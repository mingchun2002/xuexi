
<file path=[Content_Types].xml><?xml version="1.0" encoding="utf-8"?>
<Types xmlns="http://schemas.openxmlformats.org/package/2006/content-types">
  <Override PartName="/xl/theme/theme1.xml" ContentType="application/vnd.openxmlformats-officedocument.theme+xml"/>
  <Default Extension="rels" ContentType="application/vnd.openxmlformats-package.relationships+xml"/>
  <Default Extension="xml" ContentType="application/xml"/>
  <Override PartName="/xl/vbaProject.bin" ContentType="application/vnd.ms-office.vbaProject"/>
  <Default Extension="bin" ContentType="application/vnd.openxmlformats-officedocument.spreadsheetml.printerSettings"/>
  <Override PartName="/xl/styles.xml" ContentType="application/vnd.openxmlformats-officedocument.spreadsheetml.styles+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indows\HTActiveX\HongTaiOfficeNhhy\Uploads\NanHai\Lims\RenWu\905\检测记录\"/>
    </mc:Choice>
  </mc:AlternateContent>
  <workbookProtection workbookPassword="E9CD" lockStructure="1"/>
  <bookViews>
    <workbookView xWindow="0" yWindow="0" windowWidth="23895" windowHeight="11760" activeTab="1"/>
  </bookViews>
  <sheets>
    <sheet name="基本信息" sheetId="9" r:id="rId3"/>
    <sheet name="数据" sheetId="10" r:id="rId4"/>
    <sheet name="站位样品信息" sheetId="11" r:id="rId5"/>
    <sheet name="生物种群" sheetId="12" r:id="rId6"/>
  </sheets>
  <definedNames/>
  <calcPr fullCalcOnLoad="1"/>
</workbook>
</file>

<file path=xl/sharedStrings.xml><?xml version="1.0" encoding="utf-8"?>
<sst xmlns="http://schemas.openxmlformats.org/spreadsheetml/2006/main" count="16301" uniqueCount="10294">
  <si>
    <r>
      <rPr>
        <sz val="11"/>
        <color theme="1"/>
        <rFont val="宋体"/>
        <family val="3"/>
        <charset val="134"/>
      </rPr>
      <t>鉴定者</t>
    </r>
  </si>
  <si>
    <r>
      <rPr>
        <sz val="11"/>
        <color theme="1"/>
        <rFont val="宋体"/>
        <family val="3"/>
        <charset val="134"/>
      </rPr>
      <t>记录者</t>
    </r>
  </si>
  <si>
    <r>
      <rPr>
        <sz val="11"/>
        <color theme="1"/>
        <rFont val="宋体"/>
        <family val="3"/>
        <charset val="134"/>
      </rPr>
      <t>校对者</t>
    </r>
  </si>
  <si>
    <t>仪器型号</t>
  </si>
  <si>
    <t>仪器编号</t>
  </si>
  <si>
    <t>检测项目</t>
  </si>
  <si>
    <t>任务编号</t>
  </si>
  <si>
    <t>模板编号</t>
  </si>
  <si>
    <t>层次</t>
  </si>
  <si>
    <t>数量
（个）</t>
  </si>
  <si>
    <t>签名</t>
  </si>
  <si>
    <t>种类编号（计数器）</t>
  </si>
  <si>
    <t>大型浮游动物</t>
  </si>
  <si>
    <t>科学</t>
  </si>
  <si>
    <t>严谨</t>
  </si>
  <si>
    <t>安全</t>
  </si>
  <si>
    <t>高效</t>
  </si>
  <si>
    <r>
      <rPr>
        <b/>
        <sz val="11"/>
        <color theme="1"/>
        <rFont val="宋体"/>
        <family val="3"/>
        <charset val="134"/>
      </rPr>
      <t>说明：</t>
    </r>
  </si>
  <si>
    <r>
      <rPr>
        <sz val="11"/>
        <color rgb="FFFF0000"/>
        <rFont val="宋体"/>
        <family val="3"/>
        <charset val="134"/>
      </rPr>
      <t>为需填写内容</t>
    </r>
  </si>
  <si>
    <r>
      <rPr>
        <sz val="11"/>
        <color rgb="FFFF0000"/>
        <rFont val="宋体"/>
        <family val="3"/>
        <charset val="134"/>
      </rPr>
      <t>为不需要填写</t>
    </r>
  </si>
  <si>
    <r>
      <rPr>
        <sz val="11"/>
        <color rgb="FFFF0000"/>
        <rFont val="宋体"/>
        <family val="3"/>
        <charset val="134"/>
      </rPr>
      <t>为质控模块</t>
    </r>
  </si>
  <si>
    <r>
      <rPr>
        <b/>
        <sz val="11"/>
        <color theme="0"/>
        <rFont val="宋体"/>
        <family val="3"/>
        <charset val="134"/>
      </rPr>
      <t>基本信息</t>
    </r>
  </si>
  <si>
    <t>ykc</t>
  </si>
  <si>
    <t>Forsp</t>
  </si>
  <si>
    <t>原生动物</t>
  </si>
  <si>
    <t/>
  </si>
  <si>
    <t>泡抱球虫</t>
  </si>
  <si>
    <t>Globigerina bulloides</t>
  </si>
  <si>
    <t>pbq</t>
  </si>
  <si>
    <t>Globu</t>
  </si>
  <si>
    <t>d'Orbigny</t>
  </si>
  <si>
    <t>Globigerina sp.</t>
  </si>
  <si>
    <t>bqc</t>
  </si>
  <si>
    <t>夜光虫</t>
  </si>
  <si>
    <t>Noctiluca scintillans</t>
  </si>
  <si>
    <t>ygc</t>
  </si>
  <si>
    <t>Nocsc</t>
  </si>
  <si>
    <t>Favella sp.</t>
  </si>
  <si>
    <t>wwc</t>
  </si>
  <si>
    <t>favsp</t>
  </si>
  <si>
    <t>Tintinnopsis sp.</t>
  </si>
  <si>
    <t>nlc</t>
  </si>
  <si>
    <t>双手扁胃水母</t>
  </si>
  <si>
    <t>ssb</t>
  </si>
  <si>
    <t>Plabi</t>
  </si>
  <si>
    <t>腔肠动物</t>
  </si>
  <si>
    <t>南海扁胃水母</t>
  </si>
  <si>
    <t>nhb</t>
  </si>
  <si>
    <t>Plana</t>
  </si>
  <si>
    <t>sgs</t>
  </si>
  <si>
    <t>Boubi</t>
  </si>
  <si>
    <t>bld</t>
  </si>
  <si>
    <t>Boubr</t>
  </si>
  <si>
    <t>ggs</t>
  </si>
  <si>
    <t>Boufu</t>
  </si>
  <si>
    <t>Bouni</t>
  </si>
  <si>
    <t>nbw</t>
  </si>
  <si>
    <t>Boupa</t>
  </si>
  <si>
    <t>Boupl</t>
  </si>
  <si>
    <t>Boupr</t>
  </si>
  <si>
    <t>szg</t>
  </si>
  <si>
    <t>Boura</t>
  </si>
  <si>
    <t>(Van Beneden)</t>
  </si>
  <si>
    <t>Bousu</t>
  </si>
  <si>
    <t>Bougainvillia sp.</t>
  </si>
  <si>
    <t>gss</t>
  </si>
  <si>
    <t>Bousp</t>
  </si>
  <si>
    <t>缢八束水母</t>
  </si>
  <si>
    <t>ybs</t>
  </si>
  <si>
    <t>Koeco</t>
  </si>
  <si>
    <t>双叉八束水母</t>
  </si>
  <si>
    <t>scb</t>
  </si>
  <si>
    <t>Koedi</t>
  </si>
  <si>
    <t>八束水母</t>
  </si>
  <si>
    <t>bss</t>
  </si>
  <si>
    <t>Koefa</t>
  </si>
  <si>
    <t>异手八束水母</t>
  </si>
  <si>
    <t>ysb</t>
  </si>
  <si>
    <t>Koehe</t>
  </si>
  <si>
    <t>多手八束水母</t>
  </si>
  <si>
    <t>dsb</t>
  </si>
  <si>
    <t>Koemu</t>
  </si>
  <si>
    <t>八手八束水母</t>
  </si>
  <si>
    <t>bsb</t>
  </si>
  <si>
    <t>Koeoc</t>
  </si>
  <si>
    <t>台湾八束水母</t>
  </si>
  <si>
    <t>twb</t>
  </si>
  <si>
    <t>Koeta</t>
  </si>
  <si>
    <t>八束水母属</t>
  </si>
  <si>
    <t>Koellikerina sp.</t>
  </si>
  <si>
    <t>Koesp</t>
  </si>
  <si>
    <t>贝氏拟线水母</t>
  </si>
  <si>
    <t>bsn</t>
  </si>
  <si>
    <t>Nemba</t>
  </si>
  <si>
    <t>瘦棱水母</t>
  </si>
  <si>
    <t>sls</t>
  </si>
  <si>
    <t>Lizgr</t>
  </si>
  <si>
    <t>bsj</t>
  </si>
  <si>
    <t>刺胞水母</t>
  </si>
  <si>
    <t>cbs</t>
  </si>
  <si>
    <t>Cytte</t>
  </si>
  <si>
    <t>短柄灯塔水母</t>
  </si>
  <si>
    <t>dbd</t>
  </si>
  <si>
    <t>Turla</t>
  </si>
  <si>
    <t>灯塔水母</t>
  </si>
  <si>
    <t>dts</t>
  </si>
  <si>
    <t>Turnu</t>
  </si>
  <si>
    <t>jzz</t>
  </si>
  <si>
    <t>zzz</t>
  </si>
  <si>
    <t>(Pallas)</t>
  </si>
  <si>
    <t>Linnaeus</t>
  </si>
  <si>
    <t>dzz</t>
  </si>
  <si>
    <t>xmx</t>
  </si>
  <si>
    <t>zzx</t>
  </si>
  <si>
    <t>Eudsp</t>
  </si>
  <si>
    <t>顶突介穗水母</t>
  </si>
  <si>
    <t>dtj</t>
  </si>
  <si>
    <t>Kramp</t>
  </si>
  <si>
    <t>肉质介穗水母</t>
  </si>
  <si>
    <t>rzj</t>
  </si>
  <si>
    <t>sjs</t>
  </si>
  <si>
    <t>芽介穗水母</t>
  </si>
  <si>
    <t>yjs</t>
  </si>
  <si>
    <t>小介穗水母</t>
  </si>
  <si>
    <t>xjs</t>
  </si>
  <si>
    <t>简单介穗水母</t>
  </si>
  <si>
    <t>jdj</t>
  </si>
  <si>
    <t>jss</t>
  </si>
  <si>
    <t>Podsp</t>
  </si>
  <si>
    <t>hlz</t>
  </si>
  <si>
    <t>Verrill</t>
  </si>
  <si>
    <t>隐异形水母</t>
  </si>
  <si>
    <t>yyx</t>
  </si>
  <si>
    <t>Hetan</t>
  </si>
  <si>
    <t>小异形水母</t>
  </si>
  <si>
    <t>xyx</t>
  </si>
  <si>
    <t>Hetmi</t>
  </si>
  <si>
    <t>十字深眼水母</t>
  </si>
  <si>
    <t>szs</t>
  </si>
  <si>
    <t>Bytcr</t>
  </si>
  <si>
    <t>缩口深帽水母</t>
  </si>
  <si>
    <t>sks</t>
  </si>
  <si>
    <t>Bytde</t>
  </si>
  <si>
    <t>莫氏深帽水母</t>
  </si>
  <si>
    <t>mss</t>
  </si>
  <si>
    <t>Bytmu</t>
  </si>
  <si>
    <t>深帽水母属</t>
  </si>
  <si>
    <t>Bythotiara sp.</t>
  </si>
  <si>
    <t>sms</t>
  </si>
  <si>
    <t>多手萼水母</t>
  </si>
  <si>
    <t>dse</t>
  </si>
  <si>
    <t>Calbi</t>
  </si>
  <si>
    <t>乳状萼水母</t>
  </si>
  <si>
    <t>rze</t>
  </si>
  <si>
    <t>热带伪帽水母</t>
  </si>
  <si>
    <t>rdw</t>
  </si>
  <si>
    <t>Psetr</t>
  </si>
  <si>
    <t>大洋堪拿水母</t>
  </si>
  <si>
    <t>dyk</t>
  </si>
  <si>
    <t>Kanpe</t>
  </si>
  <si>
    <t>叶手水母</t>
  </si>
  <si>
    <t>yss</t>
  </si>
  <si>
    <t>Niode</t>
  </si>
  <si>
    <t>澳洲双手水母</t>
  </si>
  <si>
    <t>azs</t>
  </si>
  <si>
    <t>Ampau</t>
  </si>
  <si>
    <t>双手水母</t>
  </si>
  <si>
    <t>sss</t>
  </si>
  <si>
    <t>Ampdi</t>
  </si>
  <si>
    <t>氯囊双手水母</t>
  </si>
  <si>
    <t>lns</t>
  </si>
  <si>
    <t>Ampph</t>
  </si>
  <si>
    <t>皱口双手水母</t>
  </si>
  <si>
    <t>zks</t>
  </si>
  <si>
    <t>Ampru</t>
  </si>
  <si>
    <t>塔形双手水母</t>
  </si>
  <si>
    <t>txs</t>
  </si>
  <si>
    <t>Amptu</t>
  </si>
  <si>
    <t>双手水母属</t>
  </si>
  <si>
    <t>Amphinema sp.</t>
  </si>
  <si>
    <t>Ampsp</t>
  </si>
  <si>
    <t>近缘连帽水母</t>
  </si>
  <si>
    <t>jyl</t>
  </si>
  <si>
    <t>Annaf</t>
  </si>
  <si>
    <t>简丝帽水母</t>
  </si>
  <si>
    <t>jsm</t>
  </si>
  <si>
    <t>Cirsi</t>
  </si>
  <si>
    <t>囊状全水母</t>
  </si>
  <si>
    <t>nzq</t>
  </si>
  <si>
    <t>Catve</t>
  </si>
  <si>
    <t>微海圆水母</t>
  </si>
  <si>
    <t>why</t>
  </si>
  <si>
    <t>Halpa</t>
  </si>
  <si>
    <t>厦门隔膜水母</t>
  </si>
  <si>
    <t>xmg</t>
  </si>
  <si>
    <t>Leuho</t>
  </si>
  <si>
    <t>圆隔膜水母</t>
  </si>
  <si>
    <t>ygm</t>
  </si>
  <si>
    <t>Leuga</t>
  </si>
  <si>
    <t>八辨隔膜水母</t>
  </si>
  <si>
    <t>bbg</t>
  </si>
  <si>
    <t>Leuoc</t>
  </si>
  <si>
    <t>东方隔膜水母</t>
  </si>
  <si>
    <t>dfg</t>
  </si>
  <si>
    <t>Leuor</t>
  </si>
  <si>
    <t>真隔膜水母</t>
  </si>
  <si>
    <t>zgm</t>
  </si>
  <si>
    <t>Leuza</t>
  </si>
  <si>
    <t>隔膜水母属</t>
  </si>
  <si>
    <t>Leuckartiara sp.</t>
  </si>
  <si>
    <t>gms</t>
  </si>
  <si>
    <t>Leusp</t>
  </si>
  <si>
    <t>球潜水母</t>
  </si>
  <si>
    <t>qqs</t>
  </si>
  <si>
    <t>Merbu</t>
  </si>
  <si>
    <t>大球潜水母</t>
  </si>
  <si>
    <t>dqq</t>
  </si>
  <si>
    <t>Merma</t>
  </si>
  <si>
    <t>顶突潜水母</t>
  </si>
  <si>
    <t>dtq</t>
  </si>
  <si>
    <t>Merte</t>
  </si>
  <si>
    <t>潜水母属</t>
  </si>
  <si>
    <t>Merga sp.</t>
  </si>
  <si>
    <t>顶突尖塔水母</t>
  </si>
  <si>
    <t>Neopa</t>
  </si>
  <si>
    <t>太平尖塔水母</t>
  </si>
  <si>
    <t>tpj</t>
  </si>
  <si>
    <t>neope</t>
  </si>
  <si>
    <t>叉管拟尖塔水母</t>
  </si>
  <si>
    <t>Netocertoides branchiatum</t>
  </si>
  <si>
    <t>cgn</t>
  </si>
  <si>
    <t>八帽水母</t>
  </si>
  <si>
    <t>bms</t>
  </si>
  <si>
    <t>Octri</t>
  </si>
  <si>
    <t>锥形面具水母</t>
  </si>
  <si>
    <t>zxm</t>
  </si>
  <si>
    <t>Panco</t>
  </si>
  <si>
    <t>拟面具水母</t>
  </si>
  <si>
    <t>nmj</t>
  </si>
  <si>
    <t>Panik</t>
  </si>
  <si>
    <t>拟帽水母</t>
  </si>
  <si>
    <t>Paratiara digitalis</t>
  </si>
  <si>
    <t>nms</t>
  </si>
  <si>
    <t>Pardi</t>
  </si>
  <si>
    <t>东方宽帽水母</t>
  </si>
  <si>
    <t>dfk</t>
  </si>
  <si>
    <t>Lator</t>
  </si>
  <si>
    <t>美丽海帽水母</t>
  </si>
  <si>
    <t>mlh</t>
  </si>
  <si>
    <t>Halfo</t>
  </si>
  <si>
    <t>眼拟海帽水母</t>
  </si>
  <si>
    <t>ynh</t>
  </si>
  <si>
    <t>Haloc</t>
  </si>
  <si>
    <t>xnh</t>
  </si>
  <si>
    <t>Halmi</t>
  </si>
  <si>
    <t>八斑芮氏水母</t>
  </si>
  <si>
    <t>bbr</t>
  </si>
  <si>
    <t>Ratoc</t>
  </si>
  <si>
    <t>大胃拟唇腕水母</t>
  </si>
  <si>
    <t>dwn</t>
  </si>
  <si>
    <t>Psema</t>
  </si>
  <si>
    <t>辐状枝手水母</t>
  </si>
  <si>
    <t>fzz</t>
  </si>
  <si>
    <t>Clara</t>
  </si>
  <si>
    <t>Corcr</t>
  </si>
  <si>
    <t>Corpu</t>
  </si>
  <si>
    <t>双球水母</t>
  </si>
  <si>
    <t>sqs</t>
  </si>
  <si>
    <t>Dicje</t>
  </si>
  <si>
    <t>拟长管水母</t>
  </si>
  <si>
    <t>ncg</t>
  </si>
  <si>
    <t>Dipop</t>
  </si>
  <si>
    <t>缢拟长管水母</t>
  </si>
  <si>
    <t>ync</t>
  </si>
  <si>
    <t>Dipst</t>
  </si>
  <si>
    <t>日本长管水母</t>
  </si>
  <si>
    <t>rbc</t>
  </si>
  <si>
    <t>Sarni</t>
  </si>
  <si>
    <t>广口拟棍螅水母</t>
  </si>
  <si>
    <t>gkn</t>
  </si>
  <si>
    <t>Hydmi</t>
  </si>
  <si>
    <t>mls</t>
  </si>
  <si>
    <t>小手奥德水母</t>
  </si>
  <si>
    <t>xsa</t>
  </si>
  <si>
    <t>Odemi</t>
  </si>
  <si>
    <t>帽铃水母</t>
  </si>
  <si>
    <t>Tiaco</t>
  </si>
  <si>
    <t>厦门枝刺水母</t>
  </si>
  <si>
    <t>xmz</t>
  </si>
  <si>
    <t>Cnixi</t>
  </si>
  <si>
    <t>锥胃内胞水母</t>
  </si>
  <si>
    <t>zwn</t>
  </si>
  <si>
    <t>Euppy</t>
  </si>
  <si>
    <t>真囊水母</t>
  </si>
  <si>
    <t>Euphysora bigelowi</t>
  </si>
  <si>
    <t>zns</t>
  </si>
  <si>
    <t>Eupbi</t>
  </si>
  <si>
    <t>球真囊水母</t>
  </si>
  <si>
    <t>qzn</t>
  </si>
  <si>
    <t>Eupan</t>
  </si>
  <si>
    <t>叉真囊水母</t>
  </si>
  <si>
    <t>czn</t>
  </si>
  <si>
    <t>Eupfu</t>
  </si>
  <si>
    <t>短拟内胞水母</t>
  </si>
  <si>
    <t>dnn</t>
  </si>
  <si>
    <t>Eupbr</t>
  </si>
  <si>
    <t>正型单手水母</t>
  </si>
  <si>
    <t>zxd</t>
  </si>
  <si>
    <t>Gotty</t>
  </si>
  <si>
    <t>珠手水母</t>
  </si>
  <si>
    <t>zss</t>
  </si>
  <si>
    <t>端粗范氏水母</t>
  </si>
  <si>
    <t>dcf</t>
  </si>
  <si>
    <t>Vanfo</t>
  </si>
  <si>
    <t>耳状囊水母</t>
  </si>
  <si>
    <t>ezn</t>
  </si>
  <si>
    <t>Eupau</t>
  </si>
  <si>
    <t>海笔螅水母</t>
  </si>
  <si>
    <t>hbx</t>
  </si>
  <si>
    <t>blh</t>
  </si>
  <si>
    <t>bxs</t>
  </si>
  <si>
    <t>Halsp</t>
  </si>
  <si>
    <t>杜氏外肋水母</t>
  </si>
  <si>
    <t>dsw</t>
  </si>
  <si>
    <t>Ectdu</t>
  </si>
  <si>
    <t>广东外肋水母</t>
  </si>
  <si>
    <t>gdw</t>
  </si>
  <si>
    <t>Ectgu</t>
  </si>
  <si>
    <t>宽外肋水母</t>
  </si>
  <si>
    <t>kwl</t>
  </si>
  <si>
    <t>Ectla</t>
  </si>
  <si>
    <t>双手外肋水母</t>
  </si>
  <si>
    <t>ssw</t>
  </si>
  <si>
    <t>Ectmi</t>
  </si>
  <si>
    <t>new</t>
  </si>
  <si>
    <t>Ectsa</t>
  </si>
  <si>
    <t>厦门外肋水母</t>
  </si>
  <si>
    <t>xmw</t>
  </si>
  <si>
    <t>Ectxi</t>
  </si>
  <si>
    <t>外肋水母属</t>
  </si>
  <si>
    <t>Ectopleura sp.</t>
  </si>
  <si>
    <t>wls</t>
  </si>
  <si>
    <t>Ectsp</t>
  </si>
  <si>
    <t>厦门斜球螅</t>
  </si>
  <si>
    <t>Hybam</t>
  </si>
  <si>
    <t>八肋斜球水母</t>
  </si>
  <si>
    <t>blx</t>
  </si>
  <si>
    <t>Hyboc</t>
  </si>
  <si>
    <t>芽斜球水母</t>
  </si>
  <si>
    <t>Hybocodon prolifer</t>
  </si>
  <si>
    <t>yxq</t>
  </si>
  <si>
    <t>Hybpr</t>
  </si>
  <si>
    <t>htx</t>
  </si>
  <si>
    <t>银币水母</t>
  </si>
  <si>
    <t>Porpo</t>
  </si>
  <si>
    <t>帆水母</t>
  </si>
  <si>
    <t>fsm</t>
  </si>
  <si>
    <t>Velve</t>
  </si>
  <si>
    <t>Forskål</t>
  </si>
  <si>
    <t>zzd</t>
  </si>
  <si>
    <t>dkx</t>
  </si>
  <si>
    <t>澳洲拟镰螅水母</t>
  </si>
  <si>
    <t>azn</t>
  </si>
  <si>
    <t>Teiau</t>
  </si>
  <si>
    <t>Teima</t>
  </si>
  <si>
    <t>ytl</t>
  </si>
  <si>
    <t>Teime</t>
  </si>
  <si>
    <t>螅芽拟镰螅水母</t>
  </si>
  <si>
    <t>xyn</t>
  </si>
  <si>
    <t>Teipo</t>
  </si>
  <si>
    <t>镰螅水母属</t>
  </si>
  <si>
    <t>Teissiera sp.</t>
  </si>
  <si>
    <t>lxs</t>
  </si>
  <si>
    <t>Teisp</t>
  </si>
  <si>
    <t>嵴状镰螅水母</t>
  </si>
  <si>
    <t>jzl</t>
  </si>
  <si>
    <t>Zanco</t>
  </si>
  <si>
    <t>Gegenbaur</t>
  </si>
  <si>
    <t>东方镰螅水母</t>
  </si>
  <si>
    <t>dfl</t>
  </si>
  <si>
    <t>Zanor</t>
  </si>
  <si>
    <t>多管水母</t>
  </si>
  <si>
    <t>dgs</t>
  </si>
  <si>
    <t>Aeqae</t>
  </si>
  <si>
    <t>(Forskål)</t>
  </si>
  <si>
    <t>澳洲多管水母</t>
  </si>
  <si>
    <t>azd</t>
  </si>
  <si>
    <t>Aeqau</t>
  </si>
  <si>
    <t>青色多管水母</t>
  </si>
  <si>
    <t>qsd</t>
  </si>
  <si>
    <t>Aeqco</t>
  </si>
  <si>
    <t>锥形多管水母</t>
  </si>
  <si>
    <t>佛罗里达多管水母</t>
  </si>
  <si>
    <t>fll</t>
  </si>
  <si>
    <t>Aeqfl</t>
  </si>
  <si>
    <t>球型多管水母</t>
  </si>
  <si>
    <t>qxd</t>
  </si>
  <si>
    <t>Aeqgl</t>
  </si>
  <si>
    <t>大型多管水母</t>
  </si>
  <si>
    <t>dxd</t>
  </si>
  <si>
    <t>Aeqma</t>
  </si>
  <si>
    <t>细小多管水母</t>
  </si>
  <si>
    <t>xxd</t>
  </si>
  <si>
    <t>Aeqpa</t>
  </si>
  <si>
    <t>镜状多管水母</t>
  </si>
  <si>
    <t>jzd</t>
  </si>
  <si>
    <t>Aeqpe</t>
  </si>
  <si>
    <t>多管水母属</t>
  </si>
  <si>
    <t>Aequorea sp.</t>
  </si>
  <si>
    <t>Aeqsp</t>
  </si>
  <si>
    <t>广东胃瘤水母</t>
  </si>
  <si>
    <t>Gangu</t>
  </si>
  <si>
    <t>枝多管水母</t>
  </si>
  <si>
    <t>zdg</t>
  </si>
  <si>
    <t>Zygva</t>
  </si>
  <si>
    <t>弯皱袋囊水母</t>
  </si>
  <si>
    <t>wzd</t>
  </si>
  <si>
    <t>totco</t>
  </si>
  <si>
    <t>lzs</t>
  </si>
  <si>
    <t>Haeckel</t>
  </si>
  <si>
    <t>gsm</t>
  </si>
  <si>
    <t>指突水母</t>
  </si>
  <si>
    <t>zts</t>
  </si>
  <si>
    <t>Blama</t>
  </si>
  <si>
    <t>多手指突水母</t>
  </si>
  <si>
    <t>Blackfordia polytentaculata</t>
  </si>
  <si>
    <t>dsz</t>
  </si>
  <si>
    <t>Blapo</t>
  </si>
  <si>
    <t>弗洲指突水母</t>
  </si>
  <si>
    <t>Blavi</t>
  </si>
  <si>
    <t>dxx</t>
  </si>
  <si>
    <t>卡玛拉水母</t>
  </si>
  <si>
    <t>kml</t>
  </si>
  <si>
    <t>Malca</t>
  </si>
  <si>
    <t>厚伞玛拉水母</t>
  </si>
  <si>
    <t>Malagazzia condensum</t>
  </si>
  <si>
    <t>hsm</t>
  </si>
  <si>
    <t>Malco</t>
  </si>
  <si>
    <t>弯管玛拉水母</t>
  </si>
  <si>
    <t>Malagazzia curviductum</t>
  </si>
  <si>
    <t>wgm</t>
  </si>
  <si>
    <t>Malcu</t>
  </si>
  <si>
    <t>曲玛拉水母</t>
  </si>
  <si>
    <t>Malagazzia cyphogonia</t>
  </si>
  <si>
    <t>qma</t>
  </si>
  <si>
    <t>Malcy</t>
  </si>
  <si>
    <t>带玛拉水母</t>
  </si>
  <si>
    <t>Malagazzia taeniogonia</t>
  </si>
  <si>
    <t>dma</t>
  </si>
  <si>
    <t>Malta</t>
  </si>
  <si>
    <t>玛拉水母属</t>
  </si>
  <si>
    <t>Malagazzia sp.</t>
  </si>
  <si>
    <t>Malsp</t>
  </si>
  <si>
    <t>眼八管水母</t>
  </si>
  <si>
    <t>Octocannoides ocellata</t>
  </si>
  <si>
    <t>ybg</t>
  </si>
  <si>
    <t>Octoc</t>
  </si>
  <si>
    <t>宽八拟杯水母</t>
  </si>
  <si>
    <t>Octophialucium funerarium</t>
  </si>
  <si>
    <t>kbn</t>
  </si>
  <si>
    <t>Octfu</t>
  </si>
  <si>
    <t>印度八拟杯水母</t>
  </si>
  <si>
    <t>ydb</t>
  </si>
  <si>
    <t>Octin</t>
  </si>
  <si>
    <t>中型八拟杯水母</t>
  </si>
  <si>
    <t>zxb</t>
  </si>
  <si>
    <t>Octme</t>
  </si>
  <si>
    <t>坚实八拟杯水母</t>
  </si>
  <si>
    <t>Octophialucium solidum</t>
  </si>
  <si>
    <t>jsb</t>
  </si>
  <si>
    <t>八拟杯水母属</t>
  </si>
  <si>
    <t>Octophialucium sp.</t>
  </si>
  <si>
    <t>bnb</t>
  </si>
  <si>
    <t>Octsp</t>
  </si>
  <si>
    <t>大腺似杯水母</t>
  </si>
  <si>
    <t>Phialella macrogona</t>
  </si>
  <si>
    <t>dxn</t>
  </si>
  <si>
    <t>Phima</t>
  </si>
  <si>
    <t>嵊山秀氏水母</t>
  </si>
  <si>
    <t>ssx</t>
  </si>
  <si>
    <t>Sugch</t>
  </si>
  <si>
    <t>管叉水母</t>
  </si>
  <si>
    <t>gcs</t>
  </si>
  <si>
    <t>Dicca</t>
  </si>
  <si>
    <t>八棱海神水母</t>
  </si>
  <si>
    <t>Melicertum octocostatum</t>
  </si>
  <si>
    <t>Meloc</t>
  </si>
  <si>
    <t>八唇拟海神水母</t>
  </si>
  <si>
    <t>bcn</t>
  </si>
  <si>
    <t>短腺和平水母</t>
  </si>
  <si>
    <t>dxh</t>
  </si>
  <si>
    <t>Eirbr</t>
  </si>
  <si>
    <t>锡兰和平水母</t>
  </si>
  <si>
    <t>xlh</t>
  </si>
  <si>
    <t>Eirce</t>
  </si>
  <si>
    <t>六辐和平水母</t>
  </si>
  <si>
    <t>lfh</t>
  </si>
  <si>
    <t>Eirhe</t>
  </si>
  <si>
    <t>蟹形和平水母</t>
  </si>
  <si>
    <t>xxh</t>
  </si>
  <si>
    <t>Eirka</t>
  </si>
  <si>
    <t>细颈和平水母</t>
  </si>
  <si>
    <t>xjh</t>
  </si>
  <si>
    <t>Eirme</t>
  </si>
  <si>
    <t>帕克和平水母</t>
  </si>
  <si>
    <t>pkh</t>
  </si>
  <si>
    <t>Eirpa</t>
  </si>
  <si>
    <t>塔形和平水母</t>
  </si>
  <si>
    <t>txh</t>
  </si>
  <si>
    <t>Eirpy</t>
  </si>
  <si>
    <t>细腺和平水母</t>
  </si>
  <si>
    <t>Eirte</t>
  </si>
  <si>
    <t>变形和平水母</t>
  </si>
  <si>
    <t>bxh</t>
  </si>
  <si>
    <t>Eirva</t>
  </si>
  <si>
    <t>和平水母属</t>
  </si>
  <si>
    <t>Eirene sp.</t>
  </si>
  <si>
    <t>hps</t>
  </si>
  <si>
    <t>Eirsp</t>
  </si>
  <si>
    <t>真强状水母</t>
  </si>
  <si>
    <t>zqz</t>
  </si>
  <si>
    <t>Eutsc</t>
  </si>
  <si>
    <t>弯真瘤水母</t>
  </si>
  <si>
    <t>wzl</t>
  </si>
  <si>
    <t>Eutcu</t>
  </si>
  <si>
    <t>情帽真瘤水母</t>
  </si>
  <si>
    <t>qmz</t>
  </si>
  <si>
    <t>Eutge</t>
  </si>
  <si>
    <t>细真瘤水母</t>
  </si>
  <si>
    <t>xzl</t>
  </si>
  <si>
    <t>Eutgr</t>
  </si>
  <si>
    <t>八芯真瘤水母</t>
  </si>
  <si>
    <t>bxz</t>
  </si>
  <si>
    <t>日本真瘤水母</t>
  </si>
  <si>
    <t>Eutima japonica</t>
  </si>
  <si>
    <t>rbz</t>
  </si>
  <si>
    <t>Eutja</t>
  </si>
  <si>
    <t>真瘤水母</t>
  </si>
  <si>
    <t>Eutima levuka</t>
  </si>
  <si>
    <t>zls</t>
  </si>
  <si>
    <t>Eutle</t>
  </si>
  <si>
    <t>怪真瘤水母</t>
  </si>
  <si>
    <t>gzl</t>
  </si>
  <si>
    <t>Eutmi</t>
  </si>
  <si>
    <t>端庄真瘤水母</t>
  </si>
  <si>
    <t>Eutmo</t>
  </si>
  <si>
    <t>新卡真瘤水母</t>
  </si>
  <si>
    <t>xkz</t>
  </si>
  <si>
    <t>Eutne</t>
  </si>
  <si>
    <t>东方真瘤水母</t>
  </si>
  <si>
    <t>dfz</t>
  </si>
  <si>
    <t>Eutor</t>
  </si>
  <si>
    <t>异手真瘤水母</t>
  </si>
  <si>
    <t>ysz</t>
  </si>
  <si>
    <t>Eutva</t>
  </si>
  <si>
    <t>真瘤水母属</t>
  </si>
  <si>
    <t>Eutima sp.</t>
  </si>
  <si>
    <t>Eutsp</t>
  </si>
  <si>
    <t>短柄侧丝水母</t>
  </si>
  <si>
    <t>dbc</t>
  </si>
  <si>
    <t>Helbr</t>
  </si>
  <si>
    <t>柯氏侧丝水母</t>
  </si>
  <si>
    <t>ksc</t>
  </si>
  <si>
    <t>Helco</t>
  </si>
  <si>
    <t>马来侧丝水母</t>
  </si>
  <si>
    <t>mlc</t>
  </si>
  <si>
    <t>Helma</t>
  </si>
  <si>
    <t>瘤手水母</t>
  </si>
  <si>
    <t>lss</t>
  </si>
  <si>
    <t>Timfo</t>
  </si>
  <si>
    <t>印度感棒水母</t>
  </si>
  <si>
    <t>ydg</t>
  </si>
  <si>
    <t>Laoin</t>
  </si>
  <si>
    <t>波状感棒水母</t>
  </si>
  <si>
    <t>bzg</t>
  </si>
  <si>
    <t>Laoun</t>
  </si>
  <si>
    <t>十盘水母</t>
  </si>
  <si>
    <t>Staurodiscus gotoi</t>
  </si>
  <si>
    <t>sps</t>
  </si>
  <si>
    <t>Stago</t>
  </si>
  <si>
    <t>越南十盘水母</t>
  </si>
  <si>
    <t>Staurodiscus vietnanensis</t>
  </si>
  <si>
    <t>yns</t>
  </si>
  <si>
    <t>Stavi</t>
  </si>
  <si>
    <t>弓状毒水母</t>
  </si>
  <si>
    <t>Toxorchis arcuatus</t>
  </si>
  <si>
    <t>gzd</t>
  </si>
  <si>
    <t>Toxar</t>
  </si>
  <si>
    <t>多手毒水母</t>
  </si>
  <si>
    <t>Toxorchis polynema</t>
  </si>
  <si>
    <t>dsd</t>
  </si>
  <si>
    <t>Toxpo</t>
  </si>
  <si>
    <t>多手卷丝水母</t>
  </si>
  <si>
    <t>dsj</t>
  </si>
  <si>
    <t>Cirpo</t>
  </si>
  <si>
    <t>四手卷丝水母</t>
  </si>
  <si>
    <t>ssj</t>
  </si>
  <si>
    <t>Cirte</t>
  </si>
  <si>
    <t>两手拟触丝水母</t>
  </si>
  <si>
    <t>Paralovenia bitentaculata</t>
  </si>
  <si>
    <t>lsn</t>
  </si>
  <si>
    <t>Parbi</t>
  </si>
  <si>
    <t>lsz</t>
  </si>
  <si>
    <t>十二囊真唇水母</t>
  </si>
  <si>
    <t>Eucheilota duodecimalis</t>
  </si>
  <si>
    <t>sen</t>
  </si>
  <si>
    <t>Eucdu</t>
  </si>
  <si>
    <t>大腺真唇水母</t>
  </si>
  <si>
    <t>dxz</t>
  </si>
  <si>
    <t>Eucma</t>
  </si>
  <si>
    <t>黑球真唇水母</t>
  </si>
  <si>
    <t>hqz</t>
  </si>
  <si>
    <t>Eucme</t>
  </si>
  <si>
    <t>多丝真唇水母</t>
  </si>
  <si>
    <t>奇异真唇水母</t>
  </si>
  <si>
    <t>Eucheilota paradoxia</t>
  </si>
  <si>
    <t>qyz</t>
  </si>
  <si>
    <t>Eucpa</t>
  </si>
  <si>
    <t>台湾真唇水母</t>
  </si>
  <si>
    <t>Eucheilota taiwanensis</t>
  </si>
  <si>
    <t>twz</t>
  </si>
  <si>
    <t>Eucta</t>
  </si>
  <si>
    <t>热带真唇水母</t>
  </si>
  <si>
    <t>rdz</t>
  </si>
  <si>
    <t>Euctr</t>
  </si>
  <si>
    <t>心形真唇水母</t>
  </si>
  <si>
    <t>Eucheilota ventricularis</t>
  </si>
  <si>
    <t>xxz</t>
  </si>
  <si>
    <t>Eucve</t>
  </si>
  <si>
    <t>真唇水母属</t>
  </si>
  <si>
    <t>Eucheilota sp.</t>
  </si>
  <si>
    <t>zcs</t>
  </si>
  <si>
    <t>Eucsp</t>
  </si>
  <si>
    <t>四手触丝水母</t>
  </si>
  <si>
    <t>ssc</t>
  </si>
  <si>
    <t>Lovas</t>
  </si>
  <si>
    <t>海沧触丝水母</t>
  </si>
  <si>
    <t>Lovenella haichangensis</t>
  </si>
  <si>
    <t>hcc</t>
  </si>
  <si>
    <t>Lovha</t>
  </si>
  <si>
    <t>多手帽形水母</t>
  </si>
  <si>
    <t>dmm</t>
  </si>
  <si>
    <t>Tiamu</t>
  </si>
  <si>
    <t>hkx</t>
  </si>
  <si>
    <t>zhh</t>
  </si>
  <si>
    <t>bzd</t>
  </si>
  <si>
    <t>Halte</t>
  </si>
  <si>
    <t>(Linnaeus)</t>
  </si>
  <si>
    <t>jyx</t>
  </si>
  <si>
    <t>zsy</t>
  </si>
  <si>
    <t>yxs</t>
  </si>
  <si>
    <t>Aglsp</t>
  </si>
  <si>
    <t>xjl</t>
  </si>
  <si>
    <t>Gymsp</t>
  </si>
  <si>
    <t>lgx</t>
  </si>
  <si>
    <t>hjg</t>
  </si>
  <si>
    <t>dlx</t>
  </si>
  <si>
    <t>zcj</t>
  </si>
  <si>
    <t>ccj</t>
  </si>
  <si>
    <t>(Heller)</t>
  </si>
  <si>
    <t>scd</t>
  </si>
  <si>
    <t>hpx</t>
  </si>
  <si>
    <t>bzb</t>
  </si>
  <si>
    <t>tys</t>
  </si>
  <si>
    <t>scx</t>
  </si>
  <si>
    <t>Dipsp</t>
  </si>
  <si>
    <t>gsx</t>
  </si>
  <si>
    <t>Serga</t>
  </si>
  <si>
    <t>zhx</t>
  </si>
  <si>
    <t>Setsp</t>
  </si>
  <si>
    <t>zlj</t>
  </si>
  <si>
    <t>xsz</t>
  </si>
  <si>
    <t>jcz</t>
  </si>
  <si>
    <t>zxs</t>
  </si>
  <si>
    <t>ksz</t>
  </si>
  <si>
    <t>xcz</t>
  </si>
  <si>
    <t>疑美螅水母</t>
  </si>
  <si>
    <t>Clytia amiguum</t>
  </si>
  <si>
    <t>nmx</t>
  </si>
  <si>
    <t>Clyam</t>
  </si>
  <si>
    <t>盘形美螅水母</t>
  </si>
  <si>
    <t>Clytia discoida</t>
  </si>
  <si>
    <t>pxm</t>
  </si>
  <si>
    <t>Clydi</t>
  </si>
  <si>
    <t>单囊美螅水母</t>
  </si>
  <si>
    <t>Clytia folleata</t>
  </si>
  <si>
    <t>dnm</t>
  </si>
  <si>
    <t>Clyfo</t>
  </si>
  <si>
    <t>半球美螅水母</t>
  </si>
  <si>
    <t>bqm</t>
  </si>
  <si>
    <t>Clyhe</t>
  </si>
  <si>
    <t>微弱美螅水母</t>
  </si>
  <si>
    <t>Clytia langguida</t>
  </si>
  <si>
    <t>wrm</t>
  </si>
  <si>
    <t>Clyla</t>
  </si>
  <si>
    <t>马来美螅水母</t>
  </si>
  <si>
    <t>Clytia malayense</t>
  </si>
  <si>
    <t>mlm</t>
  </si>
  <si>
    <t>Clyma</t>
  </si>
  <si>
    <t>六辐美螅水母</t>
  </si>
  <si>
    <t>Clytia hexacanalis</t>
  </si>
  <si>
    <t>lfm</t>
  </si>
  <si>
    <t>子茎美螅水母</t>
  </si>
  <si>
    <t>Clytia mccradyi</t>
  </si>
  <si>
    <t>zjm</t>
  </si>
  <si>
    <t>Clymc</t>
  </si>
  <si>
    <t>单管美螅水母</t>
  </si>
  <si>
    <t>dgm</t>
  </si>
  <si>
    <t>Clyov</t>
  </si>
  <si>
    <t>简美螅</t>
  </si>
  <si>
    <t>Clytia cylindrica</t>
  </si>
  <si>
    <t>jmx</t>
  </si>
  <si>
    <t>Clycy</t>
  </si>
  <si>
    <t>Agassiz</t>
  </si>
  <si>
    <t>乌氏美螅水母</t>
  </si>
  <si>
    <t>Clytia uchidai</t>
  </si>
  <si>
    <t>wsm</t>
  </si>
  <si>
    <t>Clyuc</t>
  </si>
  <si>
    <t>施氏美螅</t>
  </si>
  <si>
    <t>Clytia stechowi</t>
  </si>
  <si>
    <t>ssm</t>
  </si>
  <si>
    <t>Clyst</t>
  </si>
  <si>
    <t>Clytia sp.</t>
  </si>
  <si>
    <t>mxs</t>
  </si>
  <si>
    <t>Clysp</t>
  </si>
  <si>
    <t>舌状直杯螅</t>
  </si>
  <si>
    <t>Orthopyxis integra</t>
  </si>
  <si>
    <t>szz</t>
  </si>
  <si>
    <t>Ortin</t>
  </si>
  <si>
    <t>扁直杯螅</t>
  </si>
  <si>
    <t>Orthopyxis plathcarpa</t>
  </si>
  <si>
    <t>Ortpl</t>
  </si>
  <si>
    <t>缩直杯螅水母</t>
  </si>
  <si>
    <t>Orthopyxis compressa</t>
  </si>
  <si>
    <t>szb</t>
  </si>
  <si>
    <t>Ortco</t>
  </si>
  <si>
    <t>双齿薮枝螅</t>
  </si>
  <si>
    <t>Obelia bidentala</t>
  </si>
  <si>
    <t>scj</t>
  </si>
  <si>
    <t>Obebi</t>
  </si>
  <si>
    <t>双叉薮枝螅水母</t>
  </si>
  <si>
    <t>Obelia dichotoma</t>
  </si>
  <si>
    <t>Obedi</t>
  </si>
  <si>
    <t>曲膝薮枝螅</t>
  </si>
  <si>
    <t>Obelia geniculata</t>
  </si>
  <si>
    <t>qqj</t>
  </si>
  <si>
    <t>Obege</t>
  </si>
  <si>
    <t>szx</t>
  </si>
  <si>
    <t>obesp</t>
  </si>
  <si>
    <t>zgg</t>
  </si>
  <si>
    <t>真拟杯水母</t>
  </si>
  <si>
    <t>Phialucium mbenga</t>
  </si>
  <si>
    <t>znb</t>
  </si>
  <si>
    <t>Phimb</t>
  </si>
  <si>
    <t>钩手水母</t>
  </si>
  <si>
    <t>Gonionemus vertens</t>
  </si>
  <si>
    <t>Gonve</t>
  </si>
  <si>
    <t>心管水母</t>
  </si>
  <si>
    <t>Maeotias inexpectata</t>
  </si>
  <si>
    <t>xgs</t>
  </si>
  <si>
    <t>Maein</t>
  </si>
  <si>
    <t>似钩手水母</t>
  </si>
  <si>
    <t>Scolionema suvaense</t>
  </si>
  <si>
    <t>Scosu</t>
  </si>
  <si>
    <t>四枝管水母</t>
  </si>
  <si>
    <t>Profl</t>
  </si>
  <si>
    <t>异枝管水母</t>
  </si>
  <si>
    <t>yzg</t>
  </si>
  <si>
    <t>Promu</t>
  </si>
  <si>
    <t>芽口枝管水母</t>
  </si>
  <si>
    <t>ykz</t>
  </si>
  <si>
    <t>Proor</t>
  </si>
  <si>
    <t>六枝管水母</t>
  </si>
  <si>
    <t>lzg</t>
  </si>
  <si>
    <t>Prost</t>
  </si>
  <si>
    <t>枝管水母属</t>
  </si>
  <si>
    <t>Proboscidactyla sp.</t>
  </si>
  <si>
    <t>zgs</t>
  </si>
  <si>
    <t>Prosp</t>
  </si>
  <si>
    <t>枝管怪水母</t>
  </si>
  <si>
    <t>Gerpr</t>
  </si>
  <si>
    <t>四叶小舌水母</t>
  </si>
  <si>
    <t>syx</t>
  </si>
  <si>
    <t>Lirte</t>
  </si>
  <si>
    <t>马氏海生水母</t>
  </si>
  <si>
    <t>msh</t>
  </si>
  <si>
    <t>Halma</t>
  </si>
  <si>
    <t>jhj</t>
  </si>
  <si>
    <t>Halco</t>
  </si>
  <si>
    <t>微小海棘水母</t>
  </si>
  <si>
    <t>wxh</t>
  </si>
  <si>
    <t>ssh</t>
  </si>
  <si>
    <t>Halra</t>
  </si>
  <si>
    <t>烟台异手水母</t>
  </si>
  <si>
    <t>yty</t>
  </si>
  <si>
    <t>Varya</t>
  </si>
  <si>
    <t>异距小帽水母</t>
  </si>
  <si>
    <t>yjx</t>
  </si>
  <si>
    <t>Petas</t>
  </si>
  <si>
    <t>半口壮丽水母</t>
  </si>
  <si>
    <t>bkz</t>
  </si>
  <si>
    <t>Aglhe</t>
  </si>
  <si>
    <t>高华丽水母</t>
  </si>
  <si>
    <t>ghl</t>
  </si>
  <si>
    <t>Aglel</t>
  </si>
  <si>
    <t>顶突瓮水母</t>
  </si>
  <si>
    <t>dtw</t>
  </si>
  <si>
    <t>异腺瓮水母</t>
  </si>
  <si>
    <t>yxw</t>
  </si>
  <si>
    <t>微小瓮水母</t>
  </si>
  <si>
    <t>wxw</t>
  </si>
  <si>
    <t>Amppu</t>
  </si>
  <si>
    <t>红色短手水母</t>
  </si>
  <si>
    <t>hsd</t>
  </si>
  <si>
    <t>Colig</t>
  </si>
  <si>
    <t>短手水母</t>
  </si>
  <si>
    <t>dss</t>
  </si>
  <si>
    <t>Colse</t>
  </si>
  <si>
    <t>棕壶水母</t>
  </si>
  <si>
    <t>zhs</t>
  </si>
  <si>
    <t>Crobr</t>
  </si>
  <si>
    <t>墓形棍手水母</t>
  </si>
  <si>
    <t>mxg</t>
  </si>
  <si>
    <t>Rhofu</t>
  </si>
  <si>
    <t>宽膜棍手水母</t>
  </si>
  <si>
    <t>kmg</t>
  </si>
  <si>
    <t>Rhove</t>
  </si>
  <si>
    <t>真胃穴水母</t>
  </si>
  <si>
    <t>zwx</t>
  </si>
  <si>
    <t>Smieu</t>
  </si>
  <si>
    <t>四手筐水母</t>
  </si>
  <si>
    <t>ssk</t>
  </si>
  <si>
    <t>Aegci</t>
  </si>
  <si>
    <t>八手筐水母</t>
  </si>
  <si>
    <t>bsk</t>
  </si>
  <si>
    <t>Aeggr</t>
  </si>
  <si>
    <t>刺纹水母</t>
  </si>
  <si>
    <t>cws</t>
  </si>
  <si>
    <t>Otopo</t>
  </si>
  <si>
    <t>两手筐水母</t>
  </si>
  <si>
    <t>lsk</t>
  </si>
  <si>
    <t>Solbi</t>
  </si>
  <si>
    <t>坚固水母</t>
  </si>
  <si>
    <t>jgs</t>
  </si>
  <si>
    <t>Pegma</t>
  </si>
  <si>
    <t>三叶坚固水母</t>
  </si>
  <si>
    <t>syj</t>
  </si>
  <si>
    <t>Pegtr</t>
  </si>
  <si>
    <t>锈色坚固水母</t>
  </si>
  <si>
    <t>xsj</t>
  </si>
  <si>
    <t>黄色太阳水母</t>
  </si>
  <si>
    <t>hst</t>
  </si>
  <si>
    <t>Solfl</t>
  </si>
  <si>
    <t>太阳水母</t>
  </si>
  <si>
    <t>Solle</t>
  </si>
  <si>
    <t>果状摇篮水母</t>
  </si>
  <si>
    <t>gzy</t>
  </si>
  <si>
    <t>Cunfr</t>
  </si>
  <si>
    <t>八囊摇篮水母</t>
  </si>
  <si>
    <t>bny</t>
  </si>
  <si>
    <t>Cunoc</t>
  </si>
  <si>
    <t>异摇篮水母</t>
  </si>
  <si>
    <t>Cunina peregrina</t>
  </si>
  <si>
    <t>yyl</t>
  </si>
  <si>
    <t>Cunpe</t>
  </si>
  <si>
    <t>马氏嗜阳水母</t>
  </si>
  <si>
    <t>Solma</t>
  </si>
  <si>
    <t>hks</t>
  </si>
  <si>
    <t>侧管水母</t>
  </si>
  <si>
    <t>cgs</t>
  </si>
  <si>
    <t>僧帽水母</t>
  </si>
  <si>
    <t>Phyph</t>
  </si>
  <si>
    <t>丝根水母</t>
  </si>
  <si>
    <t>Phifi</t>
  </si>
  <si>
    <t>盛装水母</t>
  </si>
  <si>
    <t>Agaok</t>
  </si>
  <si>
    <t>华丽盛装水母</t>
  </si>
  <si>
    <t>hls</t>
  </si>
  <si>
    <t>Agael</t>
  </si>
  <si>
    <t>(Sars)</t>
  </si>
  <si>
    <t>sxs</t>
  </si>
  <si>
    <t>Nanbi</t>
  </si>
  <si>
    <t>xsm</t>
  </si>
  <si>
    <t>nanca</t>
  </si>
  <si>
    <t>海冠水母</t>
  </si>
  <si>
    <t>hgs</t>
  </si>
  <si>
    <t>Halru</t>
  </si>
  <si>
    <t>舟形水母</t>
  </si>
  <si>
    <t>Bargmannia elongata</t>
  </si>
  <si>
    <t>Barel</t>
  </si>
  <si>
    <t>气囊水母</t>
  </si>
  <si>
    <t>qns</t>
  </si>
  <si>
    <t>Phyhy</t>
  </si>
  <si>
    <t>htg</t>
  </si>
  <si>
    <t>Melme</t>
  </si>
  <si>
    <t>玫瑰花蓝水母</t>
  </si>
  <si>
    <t>mgh</t>
  </si>
  <si>
    <t>Athro</t>
  </si>
  <si>
    <t>Nectalia loligo</t>
  </si>
  <si>
    <t>hws</t>
  </si>
  <si>
    <t>Neclo</t>
  </si>
  <si>
    <t>楔形翼钟水母</t>
  </si>
  <si>
    <t>qxy</t>
  </si>
  <si>
    <t>Forcu</t>
  </si>
  <si>
    <t>Chun</t>
  </si>
  <si>
    <t>yzs</t>
  </si>
  <si>
    <t>Fored</t>
  </si>
  <si>
    <t>尖囊双钟水母</t>
  </si>
  <si>
    <t>jns</t>
  </si>
  <si>
    <t>Ampac</t>
  </si>
  <si>
    <t>支管双钟水母</t>
  </si>
  <si>
    <t>Amper</t>
  </si>
  <si>
    <t>盾状双钟水母</t>
  </si>
  <si>
    <t>Amphicaryon peltifera</t>
  </si>
  <si>
    <t>dzs</t>
  </si>
  <si>
    <t>Amppe</t>
  </si>
  <si>
    <t>褶玫瑰水母</t>
  </si>
  <si>
    <t>zmg</t>
  </si>
  <si>
    <t>Rospl</t>
  </si>
  <si>
    <t>不定帕腊水母</t>
  </si>
  <si>
    <t>bdp</t>
  </si>
  <si>
    <t>Pradu</t>
  </si>
  <si>
    <t>wzp</t>
  </si>
  <si>
    <t>Prare</t>
  </si>
  <si>
    <t>马蹄水母</t>
  </si>
  <si>
    <t>mts</t>
  </si>
  <si>
    <t>Hiphi</t>
  </si>
  <si>
    <t>Vogtia glabra</t>
  </si>
  <si>
    <t>wyn</t>
  </si>
  <si>
    <t>Voggl</t>
  </si>
  <si>
    <t>多角拟蹄水母</t>
  </si>
  <si>
    <t>djn</t>
  </si>
  <si>
    <t>Vogku</t>
  </si>
  <si>
    <t>Alvarino</t>
  </si>
  <si>
    <t>小口拟蹄水母</t>
  </si>
  <si>
    <t>xkn</t>
  </si>
  <si>
    <t>Vogmi</t>
  </si>
  <si>
    <t>Vogpe</t>
  </si>
  <si>
    <t>齿棱拟蹄水母</t>
  </si>
  <si>
    <t>Vogtia serrata</t>
  </si>
  <si>
    <t>cln</t>
  </si>
  <si>
    <t>Vogse</t>
  </si>
  <si>
    <t>疣拟蹄水母</t>
  </si>
  <si>
    <t>ynt</t>
  </si>
  <si>
    <t>Vogsp</t>
  </si>
  <si>
    <t>拟蹄水母属</t>
  </si>
  <si>
    <t>Vogtia sp.</t>
  </si>
  <si>
    <t>nts</t>
  </si>
  <si>
    <t>狭无棱水母</t>
  </si>
  <si>
    <t>xwl</t>
  </si>
  <si>
    <t>Sulan</t>
  </si>
  <si>
    <t>宽板无棱水母</t>
  </si>
  <si>
    <t>kbw</t>
  </si>
  <si>
    <t>Sulbi</t>
  </si>
  <si>
    <t>双叶无棱水母</t>
  </si>
  <si>
    <t>syw</t>
  </si>
  <si>
    <t>stw</t>
  </si>
  <si>
    <t>Sulbr</t>
  </si>
  <si>
    <t>cnw</t>
  </si>
  <si>
    <t>Sulch</t>
  </si>
  <si>
    <t>dcw</t>
  </si>
  <si>
    <t>Sulmo</t>
  </si>
  <si>
    <t>四齿无棱水母</t>
  </si>
  <si>
    <t>scw</t>
  </si>
  <si>
    <t>Sulqu</t>
  </si>
  <si>
    <t>膨大无棱水母</t>
  </si>
  <si>
    <t>pdw</t>
  </si>
  <si>
    <t>Sultu</t>
  </si>
  <si>
    <t>xsw</t>
  </si>
  <si>
    <t>无棱水母属</t>
  </si>
  <si>
    <t>Sulculeolaria sp.</t>
  </si>
  <si>
    <t>Sulsp</t>
  </si>
  <si>
    <t>拟双生水母</t>
  </si>
  <si>
    <t>nss</t>
  </si>
  <si>
    <t>Dipbo</t>
  </si>
  <si>
    <t>双生水母</t>
  </si>
  <si>
    <t>Dipch</t>
  </si>
  <si>
    <t>异双生水母</t>
  </si>
  <si>
    <t>Dipdi</t>
  </si>
  <si>
    <t>ctq</t>
  </si>
  <si>
    <t>Lenba</t>
  </si>
  <si>
    <t>拟铃浅室水母</t>
  </si>
  <si>
    <t>nlq</t>
  </si>
  <si>
    <t>Lenca</t>
  </si>
  <si>
    <t>粗管浅室水母</t>
  </si>
  <si>
    <t>cgq</t>
  </si>
  <si>
    <t>异板浅室水母</t>
  </si>
  <si>
    <t>ybq</t>
  </si>
  <si>
    <t>Lench</t>
  </si>
  <si>
    <t>锥体浅室水母</t>
  </si>
  <si>
    <t>ztq</t>
  </si>
  <si>
    <t>Lenco</t>
  </si>
  <si>
    <t>(Kefersein et Ehlers)</t>
  </si>
  <si>
    <t>心形浅室水母</t>
  </si>
  <si>
    <t>xxq</t>
  </si>
  <si>
    <t>微脊浅室水母</t>
  </si>
  <si>
    <t>wjq</t>
  </si>
  <si>
    <t>Lenfo</t>
  </si>
  <si>
    <t>十棱浅室水母</t>
  </si>
  <si>
    <t>slq</t>
  </si>
  <si>
    <t>Lengr</t>
  </si>
  <si>
    <t>qlq</t>
  </si>
  <si>
    <t>小体浅室水母</t>
  </si>
  <si>
    <t>xtq</t>
  </si>
  <si>
    <t>Lenho</t>
  </si>
  <si>
    <t>细条浅室水母</t>
  </si>
  <si>
    <t>Lenle</t>
  </si>
  <si>
    <t>多棱浅室水母</t>
  </si>
  <si>
    <t>dlq</t>
  </si>
  <si>
    <t>cbq</t>
  </si>
  <si>
    <t>Lenme</t>
  </si>
  <si>
    <t>七棱浅室水母</t>
  </si>
  <si>
    <t>Lenmu</t>
  </si>
  <si>
    <t>拟七棱浅室水母</t>
  </si>
  <si>
    <t>nql</t>
  </si>
  <si>
    <t>wwq</t>
  </si>
  <si>
    <t>细浅室水母</t>
  </si>
  <si>
    <t>xqs</t>
  </si>
  <si>
    <t>Lensu</t>
  </si>
  <si>
    <t>拟细浅室水母</t>
  </si>
  <si>
    <t>nxq</t>
  </si>
  <si>
    <t>短体浅室水母</t>
  </si>
  <si>
    <t>Lento</t>
  </si>
  <si>
    <t>浅室水母属</t>
  </si>
  <si>
    <t>Lensia sp.</t>
  </si>
  <si>
    <t>Lensp</t>
  </si>
  <si>
    <t>北极单板水母</t>
  </si>
  <si>
    <t>qss</t>
  </si>
  <si>
    <t>Dimar</t>
  </si>
  <si>
    <t>五角水母</t>
  </si>
  <si>
    <t>bjd</t>
  </si>
  <si>
    <t>Mugat</t>
  </si>
  <si>
    <t>短体五角水母</t>
  </si>
  <si>
    <t>wjs</t>
  </si>
  <si>
    <t>Mugde</t>
  </si>
  <si>
    <t>爪室水母</t>
  </si>
  <si>
    <t>Cheap</t>
  </si>
  <si>
    <t>扭歪爪室水母</t>
  </si>
  <si>
    <t>Checo</t>
  </si>
  <si>
    <t>尖角水母</t>
  </si>
  <si>
    <t>nwz</t>
  </si>
  <si>
    <t>Eudmi</t>
  </si>
  <si>
    <t>螺旋尖角水母</t>
  </si>
  <si>
    <t>jjs</t>
  </si>
  <si>
    <t>大真光水母</t>
  </si>
  <si>
    <t>lxj</t>
  </si>
  <si>
    <t>Eudma</t>
  </si>
  <si>
    <t>盔形双体水母</t>
  </si>
  <si>
    <t>dzg</t>
  </si>
  <si>
    <t>Chaga</t>
  </si>
  <si>
    <t>卵形双体水母</t>
  </si>
  <si>
    <t>kxs</t>
  </si>
  <si>
    <t>Chaov</t>
  </si>
  <si>
    <t>Chumo</t>
  </si>
  <si>
    <t>多齿角锥水母</t>
  </si>
  <si>
    <t>djz</t>
  </si>
  <si>
    <t>Chumu</t>
  </si>
  <si>
    <t>晶体水母</t>
  </si>
  <si>
    <t>dcj</t>
  </si>
  <si>
    <t>Cryam</t>
  </si>
  <si>
    <t>色斑异塔水母</t>
  </si>
  <si>
    <t>jts</t>
  </si>
  <si>
    <t>Hetma</t>
  </si>
  <si>
    <t>sby</t>
  </si>
  <si>
    <t>Sphgr</t>
  </si>
  <si>
    <t>(Claus)</t>
  </si>
  <si>
    <t>齿角舟水母</t>
  </si>
  <si>
    <t>xqy</t>
  </si>
  <si>
    <t>Cerde</t>
  </si>
  <si>
    <t>中型角舟水母</t>
  </si>
  <si>
    <t>cjz</t>
  </si>
  <si>
    <t>Cerin</t>
  </si>
  <si>
    <t>Sears</t>
  </si>
  <si>
    <t>四角舟水母</t>
  </si>
  <si>
    <t>zxj</t>
  </si>
  <si>
    <t>Cerle</t>
  </si>
  <si>
    <t>sjz</t>
  </si>
  <si>
    <t>Cersa</t>
  </si>
  <si>
    <t>角舟水母属</t>
  </si>
  <si>
    <t>Ceratocymba sp.</t>
  </si>
  <si>
    <t>Cersp</t>
  </si>
  <si>
    <t>双翼多面水母</t>
  </si>
  <si>
    <t>jzs</t>
  </si>
  <si>
    <t>Abybi</t>
  </si>
  <si>
    <t>小双翼多面水母</t>
  </si>
  <si>
    <t>syd</t>
  </si>
  <si>
    <t>Abybr</t>
  </si>
  <si>
    <t>txd</t>
  </si>
  <si>
    <t>Abyca</t>
  </si>
  <si>
    <t>横棱多面水母</t>
  </si>
  <si>
    <t>hld</t>
  </si>
  <si>
    <t>Abyha</t>
  </si>
  <si>
    <t>狭腹多面水母</t>
  </si>
  <si>
    <t>xfd</t>
  </si>
  <si>
    <t>Abyin</t>
  </si>
  <si>
    <t>高顶多面水母</t>
  </si>
  <si>
    <t>gdd</t>
  </si>
  <si>
    <t>Abype</t>
  </si>
  <si>
    <t>顶大多面水母</t>
  </si>
  <si>
    <t>dad</t>
  </si>
  <si>
    <t>Abysc</t>
  </si>
  <si>
    <t>三角多面水母</t>
  </si>
  <si>
    <t>sjd</t>
  </si>
  <si>
    <t>Abytr</t>
  </si>
  <si>
    <t>Quoy et Gamard</t>
  </si>
  <si>
    <t>Abysp</t>
  </si>
  <si>
    <t>小方拟多面水母</t>
  </si>
  <si>
    <t>xfn</t>
  </si>
  <si>
    <t>Abyes</t>
  </si>
  <si>
    <t>方拟多面水母</t>
  </si>
  <si>
    <t>fnd</t>
  </si>
  <si>
    <t>Abyte</t>
  </si>
  <si>
    <t>巴斯水母</t>
  </si>
  <si>
    <t>Basba</t>
  </si>
  <si>
    <t>Ennhy</t>
  </si>
  <si>
    <t>长棱九角水母</t>
  </si>
  <si>
    <t>clj</t>
  </si>
  <si>
    <t>Ennse</t>
  </si>
  <si>
    <t>hyd</t>
  </si>
  <si>
    <t>四脊翼水母</t>
  </si>
  <si>
    <t>Tetraplatia volitans</t>
  </si>
  <si>
    <t>sjy</t>
  </si>
  <si>
    <t>Tetvo</t>
  </si>
  <si>
    <t>Bush</t>
  </si>
  <si>
    <t>耳喇叭水母</t>
  </si>
  <si>
    <t>Haliclystus auricula</t>
  </si>
  <si>
    <t>elb</t>
  </si>
  <si>
    <t>Halau</t>
  </si>
  <si>
    <t>Haliclystus steinegeri</t>
  </si>
  <si>
    <t>Halst</t>
  </si>
  <si>
    <t>Stenoscyphus inabai</t>
  </si>
  <si>
    <t>xbs</t>
  </si>
  <si>
    <t>Stein</t>
  </si>
  <si>
    <t>正十字水母</t>
  </si>
  <si>
    <t>Kishinouyea nagatensis</t>
  </si>
  <si>
    <t>zsz</t>
  </si>
  <si>
    <t>Kisna</t>
  </si>
  <si>
    <t>(Oka)</t>
  </si>
  <si>
    <t>十字佐氏水母</t>
  </si>
  <si>
    <t>Sasakiella cruciformis</t>
  </si>
  <si>
    <t>Sascr</t>
  </si>
  <si>
    <t>青岛佐氏水母</t>
  </si>
  <si>
    <t>Sasakiella tsingtaoensis</t>
  </si>
  <si>
    <t>qdz</t>
  </si>
  <si>
    <t>Sasts</t>
  </si>
  <si>
    <t>灯水母</t>
  </si>
  <si>
    <t>Carybdea rastoni</t>
  </si>
  <si>
    <t>dsm</t>
  </si>
  <si>
    <t>Carra</t>
  </si>
  <si>
    <t>疣灯水母</t>
  </si>
  <si>
    <t>Carybdea sivickisi</t>
  </si>
  <si>
    <t>yds</t>
  </si>
  <si>
    <t>Carsi</t>
  </si>
  <si>
    <t>火水母</t>
  </si>
  <si>
    <t>Tamoya gargantua</t>
  </si>
  <si>
    <t>Tamga</t>
  </si>
  <si>
    <t>Atolla wyvillei</t>
  </si>
  <si>
    <t>hjs</t>
  </si>
  <si>
    <t>Atowy</t>
  </si>
  <si>
    <t>阿氏六手水母</t>
  </si>
  <si>
    <t>Atorella arcturi</t>
  </si>
  <si>
    <t>asl</t>
  </si>
  <si>
    <t>Atoar</t>
  </si>
  <si>
    <t>小球六手水母</t>
  </si>
  <si>
    <t>xql</t>
  </si>
  <si>
    <t>Btosu</t>
  </si>
  <si>
    <t>端球六手水母</t>
  </si>
  <si>
    <t>Atorella vanhoeffeni</t>
  </si>
  <si>
    <t>dql</t>
  </si>
  <si>
    <t>Atova</t>
  </si>
  <si>
    <t>Linuche draco</t>
  </si>
  <si>
    <t>Lindr</t>
  </si>
  <si>
    <t>红斑游船水母</t>
  </si>
  <si>
    <t>hby</t>
  </si>
  <si>
    <t>Naupu</t>
  </si>
  <si>
    <t>紫蓝盖缘水母</t>
  </si>
  <si>
    <t>Periphylla periphylla</t>
  </si>
  <si>
    <t>zlg</t>
  </si>
  <si>
    <t>Perpe</t>
  </si>
  <si>
    <t>金黄水母</t>
  </si>
  <si>
    <t>Chrysaora helovola</t>
  </si>
  <si>
    <t>jhs</t>
  </si>
  <si>
    <t>Chrhe</t>
  </si>
  <si>
    <t>夜光游水母</t>
  </si>
  <si>
    <t>ygy</t>
  </si>
  <si>
    <t>Pelno</t>
  </si>
  <si>
    <t>马来沙水母</t>
  </si>
  <si>
    <t>Sanma</t>
  </si>
  <si>
    <t>白色霞水母</t>
  </si>
  <si>
    <t>Cyanea nozakii</t>
  </si>
  <si>
    <t>bsx</t>
  </si>
  <si>
    <t>Cyano</t>
  </si>
  <si>
    <t>发状霞水母</t>
  </si>
  <si>
    <t>Cyanea capillata</t>
  </si>
  <si>
    <t>fzx</t>
  </si>
  <si>
    <t>Cyaca</t>
  </si>
  <si>
    <t>棕色霞水母</t>
  </si>
  <si>
    <t>Cyanea ferruginea</t>
  </si>
  <si>
    <t>zsx</t>
  </si>
  <si>
    <t>Cyafe</t>
  </si>
  <si>
    <t>紫色霞水母</t>
  </si>
  <si>
    <t>Cyanea purpurea</t>
  </si>
  <si>
    <t>Cyapu</t>
  </si>
  <si>
    <t>霞水母属</t>
  </si>
  <si>
    <t>Cyanea sp.</t>
  </si>
  <si>
    <t>Cyasp</t>
  </si>
  <si>
    <t>海月水母</t>
  </si>
  <si>
    <t>Aurelia aurita</t>
  </si>
  <si>
    <t>hys</t>
  </si>
  <si>
    <t>Aurau</t>
  </si>
  <si>
    <t>松果水母</t>
  </si>
  <si>
    <t>Cephea conifera</t>
  </si>
  <si>
    <t>Cepco</t>
  </si>
  <si>
    <t>蝶形棱口水母</t>
  </si>
  <si>
    <t>Netrostoma setouchianum</t>
  </si>
  <si>
    <t>dxl</t>
  </si>
  <si>
    <t>Netse</t>
  </si>
  <si>
    <t>墨绿棱口水母</t>
  </si>
  <si>
    <t>Netrostoma coerulescens</t>
  </si>
  <si>
    <t>mll</t>
  </si>
  <si>
    <t>Netco</t>
  </si>
  <si>
    <t>巴布亚硝水母</t>
  </si>
  <si>
    <t>Mastigias papua</t>
  </si>
  <si>
    <t>byy</t>
  </si>
  <si>
    <t>Maspa</t>
  </si>
  <si>
    <t>眼硝水母</t>
  </si>
  <si>
    <t>Mastigias ocellatus</t>
  </si>
  <si>
    <t>Masoc</t>
  </si>
  <si>
    <t>鞭腕丝胃水母</t>
  </si>
  <si>
    <t>Thysanostoma flagellatum</t>
  </si>
  <si>
    <t>bws</t>
  </si>
  <si>
    <t>Thyfl</t>
  </si>
  <si>
    <t>鞭腕水母</t>
  </si>
  <si>
    <t>Acromitus flagellatus</t>
  </si>
  <si>
    <t>Acrfl</t>
  </si>
  <si>
    <t>嘉庚水母</t>
  </si>
  <si>
    <t>Acromitus tankahkeei</t>
  </si>
  <si>
    <t>Acrta</t>
  </si>
  <si>
    <t>叶腕水母</t>
  </si>
  <si>
    <t>Lobonema smithi</t>
  </si>
  <si>
    <t>yws</t>
  </si>
  <si>
    <t>Lobsm</t>
  </si>
  <si>
    <t>拟叶腕水母</t>
  </si>
  <si>
    <t>Lobonemoides gracilis</t>
  </si>
  <si>
    <t>nyw</t>
  </si>
  <si>
    <t>Lobgr</t>
  </si>
  <si>
    <t>海蜇</t>
  </si>
  <si>
    <t>Rhopilema esculentum</t>
  </si>
  <si>
    <t>hz</t>
  </si>
  <si>
    <t>Rhoes</t>
  </si>
  <si>
    <t>黄斑海蜇</t>
  </si>
  <si>
    <t>Rhopilema hispidum</t>
  </si>
  <si>
    <t>hbh</t>
  </si>
  <si>
    <t>Rhohi</t>
  </si>
  <si>
    <t>棒状海蜇</t>
  </si>
  <si>
    <t>Rhopilema rhopalophorum</t>
  </si>
  <si>
    <t>bzh</t>
  </si>
  <si>
    <t>Rhorh</t>
  </si>
  <si>
    <t>口冠海蜇</t>
  </si>
  <si>
    <t>Stomolophus meleagris</t>
  </si>
  <si>
    <t>kgh</t>
  </si>
  <si>
    <t>Stome</t>
  </si>
  <si>
    <t>bsm</t>
  </si>
  <si>
    <t>scy</t>
  </si>
  <si>
    <t>刺胞栉水母</t>
  </si>
  <si>
    <t>cbz</t>
  </si>
  <si>
    <t>Eucru</t>
  </si>
  <si>
    <t>(Kolliker)</t>
  </si>
  <si>
    <t>球型侧腕水母</t>
  </si>
  <si>
    <t>qxc</t>
  </si>
  <si>
    <t>Plegl</t>
  </si>
  <si>
    <t>掌状风球水母</t>
  </si>
  <si>
    <t>zzf</t>
  </si>
  <si>
    <t>Horpa</t>
  </si>
  <si>
    <t>风球水母属</t>
  </si>
  <si>
    <t>Hormiphora sp.</t>
  </si>
  <si>
    <t>fqs</t>
  </si>
  <si>
    <t>Horsp</t>
  </si>
  <si>
    <t>蝶水母</t>
  </si>
  <si>
    <t>Ocycr</t>
  </si>
  <si>
    <t>蛾水母</t>
  </si>
  <si>
    <t>Bolinopsis vitrea</t>
  </si>
  <si>
    <t>esm</t>
  </si>
  <si>
    <t>Bolvi</t>
  </si>
  <si>
    <t>带水母属</t>
  </si>
  <si>
    <t>Cestum sp.</t>
  </si>
  <si>
    <t>Cessp</t>
  </si>
  <si>
    <t>瓜水母</t>
  </si>
  <si>
    <t>Bercu</t>
  </si>
  <si>
    <t>卵型瓜水母</t>
  </si>
  <si>
    <t>Berov</t>
  </si>
  <si>
    <t>Chamisso et Egsenhardt</t>
  </si>
  <si>
    <t>瓜水母属</t>
  </si>
  <si>
    <t>Beroe sp.</t>
  </si>
  <si>
    <t>纽虫属</t>
  </si>
  <si>
    <t>Tubulanus sp.</t>
  </si>
  <si>
    <t>ncs</t>
  </si>
  <si>
    <t>tubsp</t>
  </si>
  <si>
    <t>萼花臂尾轮虫</t>
  </si>
  <si>
    <t>ehb</t>
  </si>
  <si>
    <t>Braca</t>
  </si>
  <si>
    <t>轮虫类</t>
  </si>
  <si>
    <t>壶状臂尾轮虫</t>
  </si>
  <si>
    <t>hzb</t>
  </si>
  <si>
    <t>Braur</t>
  </si>
  <si>
    <t>角突臂尾轮虫</t>
  </si>
  <si>
    <t>jtb</t>
  </si>
  <si>
    <t>Braan</t>
  </si>
  <si>
    <t>Gosse</t>
  </si>
  <si>
    <t>矩形臂尾轮虫</t>
  </si>
  <si>
    <t>jxb</t>
  </si>
  <si>
    <t>Brale</t>
  </si>
  <si>
    <t>Cohn</t>
  </si>
  <si>
    <t>臂尾轮虫属</t>
  </si>
  <si>
    <t>Brachionus sp.</t>
  </si>
  <si>
    <t>bwl</t>
  </si>
  <si>
    <t>叶轮虫属</t>
  </si>
  <si>
    <t>Notholca sp.</t>
  </si>
  <si>
    <t>ylc</t>
  </si>
  <si>
    <t>Notsp</t>
  </si>
  <si>
    <t>螺形龟甲轮虫</t>
  </si>
  <si>
    <t>lxg</t>
  </si>
  <si>
    <t>Kerco</t>
  </si>
  <si>
    <t>(Gosse)</t>
  </si>
  <si>
    <t>矩形龟甲轮虫</t>
  </si>
  <si>
    <t>jxg</t>
  </si>
  <si>
    <t>Kerqu</t>
  </si>
  <si>
    <t>(Müller)</t>
  </si>
  <si>
    <t>曲腿龟甲轮虫</t>
  </si>
  <si>
    <t>qtg</t>
  </si>
  <si>
    <t>Kerva</t>
  </si>
  <si>
    <t>(Ehrenberg)</t>
  </si>
  <si>
    <t>裂足轮虫</t>
  </si>
  <si>
    <t>lzl</t>
  </si>
  <si>
    <t>Schdi</t>
  </si>
  <si>
    <t>Daday</t>
  </si>
  <si>
    <t>Brasp</t>
  </si>
  <si>
    <t>颤动疣毛轮虫</t>
  </si>
  <si>
    <t>cdy</t>
  </si>
  <si>
    <t>Syntr</t>
  </si>
  <si>
    <t>Müller</t>
  </si>
  <si>
    <t>针簇多肢轮虫</t>
  </si>
  <si>
    <t>Poltr</t>
  </si>
  <si>
    <t>前节晶囊轮虫</t>
  </si>
  <si>
    <t>qjj</t>
  </si>
  <si>
    <t>Asppr</t>
  </si>
  <si>
    <t>卜氏晶囊轮虫</t>
  </si>
  <si>
    <t>psj</t>
  </si>
  <si>
    <t>Aspbr</t>
  </si>
  <si>
    <t>西氏晶囊轮虫</t>
  </si>
  <si>
    <t>Aspsi</t>
  </si>
  <si>
    <t>(Leydig)</t>
  </si>
  <si>
    <t>晶囊轮虫属</t>
  </si>
  <si>
    <t>Asplanchna sp.</t>
  </si>
  <si>
    <t>团状聚花轮虫</t>
  </si>
  <si>
    <t>tzj</t>
  </si>
  <si>
    <t>Conhi</t>
  </si>
  <si>
    <t>迈氏三肢轮虫</t>
  </si>
  <si>
    <t>Filinia maior</t>
  </si>
  <si>
    <t>Filma</t>
  </si>
  <si>
    <t>(Colditz)</t>
  </si>
  <si>
    <t>微凸镜轮虫</t>
  </si>
  <si>
    <t>Testudinella mucronata</t>
  </si>
  <si>
    <t>wtj</t>
  </si>
  <si>
    <t>Tesmu</t>
  </si>
  <si>
    <t>多毛类</t>
  </si>
  <si>
    <t>lsx</t>
  </si>
  <si>
    <t>Phyla</t>
  </si>
  <si>
    <t>btc</t>
  </si>
  <si>
    <t>Physp</t>
  </si>
  <si>
    <t>byx</t>
  </si>
  <si>
    <t>jxs</t>
  </si>
  <si>
    <t>sxc</t>
  </si>
  <si>
    <t>sdh</t>
  </si>
  <si>
    <t>短盘首蚕</t>
  </si>
  <si>
    <t>Lopadorhynchus brevis</t>
  </si>
  <si>
    <t>dps</t>
  </si>
  <si>
    <t>Lopbr</t>
  </si>
  <si>
    <t>锥片盘首蚕</t>
  </si>
  <si>
    <t>Lopadorhynchus kronhni</t>
  </si>
  <si>
    <t>zpp</t>
  </si>
  <si>
    <t>Lopkr</t>
  </si>
  <si>
    <t>方盘首蚕</t>
  </si>
  <si>
    <t>Lopadorhynchus unicinatus</t>
  </si>
  <si>
    <t>fps</t>
  </si>
  <si>
    <t>Lopun</t>
  </si>
  <si>
    <t>纺锤盘首蚕</t>
  </si>
  <si>
    <t>fcp</t>
  </si>
  <si>
    <t>Lopna</t>
  </si>
  <si>
    <t>瘤盘首蚕</t>
  </si>
  <si>
    <t>Lopadorhynchus tuberculus</t>
  </si>
  <si>
    <t>lps</t>
  </si>
  <si>
    <t>Loptu</t>
  </si>
  <si>
    <t>盘首蚕属</t>
  </si>
  <si>
    <t>Lopadorhynchus sp.</t>
  </si>
  <si>
    <t>psc</t>
  </si>
  <si>
    <t>Lopsp</t>
  </si>
  <si>
    <t>游蚕</t>
  </si>
  <si>
    <t>yc</t>
  </si>
  <si>
    <t>Pello</t>
  </si>
  <si>
    <t>Greeff</t>
  </si>
  <si>
    <t>tpf</t>
  </si>
  <si>
    <t>Tompa</t>
  </si>
  <si>
    <t>四须蚕</t>
  </si>
  <si>
    <t>Maupasia caeca</t>
  </si>
  <si>
    <t>Mauca</t>
  </si>
  <si>
    <t>矮指蚕</t>
  </si>
  <si>
    <t>Pedinosoma curtum</t>
  </si>
  <si>
    <t>Pedcu</t>
  </si>
  <si>
    <t>丁齿蚕</t>
  </si>
  <si>
    <t>Phalacrophorus pictus</t>
  </si>
  <si>
    <t>dcc</t>
  </si>
  <si>
    <t>Phapi</t>
  </si>
  <si>
    <t>单丁齿蚕</t>
  </si>
  <si>
    <t>Phalacrophorus uniformis</t>
  </si>
  <si>
    <t>ddc</t>
  </si>
  <si>
    <t>Phaun</t>
  </si>
  <si>
    <t>水蚕</t>
  </si>
  <si>
    <t>Naiades cantrainii</t>
  </si>
  <si>
    <t>scc</t>
  </si>
  <si>
    <t>Naica</t>
  </si>
  <si>
    <t>晶明蚕</t>
  </si>
  <si>
    <t>Vanadis crystallina</t>
  </si>
  <si>
    <t>jmc</t>
  </si>
  <si>
    <t>Vancr</t>
  </si>
  <si>
    <t>小明蚕</t>
  </si>
  <si>
    <t>Vanadis minuta</t>
  </si>
  <si>
    <t>xmc</t>
  </si>
  <si>
    <t>Vanmi</t>
  </si>
  <si>
    <t>Vanadis fuscapunctata</t>
  </si>
  <si>
    <t>bmc</t>
  </si>
  <si>
    <t>Vanfu</t>
  </si>
  <si>
    <t>泳蚕</t>
  </si>
  <si>
    <t>Plotohelmis capitata</t>
  </si>
  <si>
    <t>Ploca</t>
  </si>
  <si>
    <t>Plotohelmis alata</t>
  </si>
  <si>
    <t>yyt</t>
  </si>
  <si>
    <t>Ploal</t>
  </si>
  <si>
    <t>拟眼蚕</t>
  </si>
  <si>
    <t>Alciopina parasitica</t>
  </si>
  <si>
    <t>nyc</t>
  </si>
  <si>
    <t>Alcpa</t>
  </si>
  <si>
    <t>眼蚕属</t>
  </si>
  <si>
    <t>Alciopina sp.</t>
  </si>
  <si>
    <t>ycs</t>
  </si>
  <si>
    <t>西沙鼻蚕</t>
  </si>
  <si>
    <t>Rhynchonerella xishaensis</t>
  </si>
  <si>
    <t>xsb</t>
  </si>
  <si>
    <t>Rhyxi</t>
  </si>
  <si>
    <t>鼻蚕</t>
  </si>
  <si>
    <t>Rhynchonerella gracilis</t>
  </si>
  <si>
    <t>bc</t>
  </si>
  <si>
    <t>Rhygr</t>
  </si>
  <si>
    <t>锯毛鼻蚕</t>
  </si>
  <si>
    <t>Rhynchonerella petersii</t>
  </si>
  <si>
    <t>jmb</t>
  </si>
  <si>
    <t>Rhype</t>
  </si>
  <si>
    <t>长尾浮蚕</t>
  </si>
  <si>
    <t>Tomopteris apsteini</t>
  </si>
  <si>
    <t>cwf</t>
  </si>
  <si>
    <t>Tomap</t>
  </si>
  <si>
    <t>毛肩浮蚕</t>
  </si>
  <si>
    <t>Tomopteris cavallii</t>
  </si>
  <si>
    <t>mjf</t>
  </si>
  <si>
    <t>Tomca</t>
  </si>
  <si>
    <t>秀丽浮蚕</t>
  </si>
  <si>
    <t>Tomopteris elegans</t>
  </si>
  <si>
    <t>xlf</t>
  </si>
  <si>
    <t>Tomel</t>
  </si>
  <si>
    <t>唇舌浮蚕</t>
  </si>
  <si>
    <t>Tomopteris ligulata</t>
  </si>
  <si>
    <t>csf</t>
  </si>
  <si>
    <t>Tomli</t>
  </si>
  <si>
    <t>双殖浮蚕</t>
  </si>
  <si>
    <t>Tomopteris mariana</t>
  </si>
  <si>
    <t>szf</t>
  </si>
  <si>
    <t>Tomma</t>
  </si>
  <si>
    <t>Tomopteris nationalis</t>
  </si>
  <si>
    <t>mxf</t>
  </si>
  <si>
    <t>Tomna</t>
  </si>
  <si>
    <t>漂泊浮蚕</t>
  </si>
  <si>
    <t>Tomopteris plankonis</t>
  </si>
  <si>
    <t>pbf</t>
  </si>
  <si>
    <t>Tompl</t>
  </si>
  <si>
    <t>无针浮蚕</t>
  </si>
  <si>
    <t>Tomopteris rolasi</t>
  </si>
  <si>
    <t>wzf</t>
  </si>
  <si>
    <t>Tomro</t>
  </si>
  <si>
    <t>北斗浮蚕</t>
  </si>
  <si>
    <t>Tomopteris septentrionalis</t>
  </si>
  <si>
    <t>bdf</t>
  </si>
  <si>
    <t>Tomse</t>
  </si>
  <si>
    <t>等须浮蚕</t>
  </si>
  <si>
    <t>dxf</t>
  </si>
  <si>
    <t>Tomdu</t>
  </si>
  <si>
    <t>浮蚕属</t>
  </si>
  <si>
    <t>Tomopteris sp.</t>
  </si>
  <si>
    <t>fcs</t>
  </si>
  <si>
    <t>Tomsp</t>
  </si>
  <si>
    <t>盲蚕</t>
  </si>
  <si>
    <t>Typhloscolex muelleri</t>
  </si>
  <si>
    <t>mc</t>
  </si>
  <si>
    <t>Typmu</t>
  </si>
  <si>
    <t>盲蚕属</t>
  </si>
  <si>
    <t>Typhloscolex sp.</t>
  </si>
  <si>
    <t>typsp</t>
  </si>
  <si>
    <t>项器浮蚕</t>
  </si>
  <si>
    <t>xqf</t>
  </si>
  <si>
    <t>无瘤蚕</t>
  </si>
  <si>
    <t>Travisiopsis dubia</t>
  </si>
  <si>
    <t>wlc</t>
  </si>
  <si>
    <t>Tradu</t>
  </si>
  <si>
    <t>方瘤蚕</t>
  </si>
  <si>
    <t>Travisiopsis levinseni</t>
  </si>
  <si>
    <t>flc</t>
  </si>
  <si>
    <t>Trale</t>
  </si>
  <si>
    <t>瘤蚕</t>
  </si>
  <si>
    <t>Travisiopsis lobifera</t>
  </si>
  <si>
    <t>lc</t>
  </si>
  <si>
    <t>Tralo</t>
  </si>
  <si>
    <t>瘤蚕属</t>
  </si>
  <si>
    <t>Travisiopsis sp.</t>
  </si>
  <si>
    <t>lcs</t>
  </si>
  <si>
    <t>trasp</t>
  </si>
  <si>
    <t>箭蚕</t>
  </si>
  <si>
    <t>Sagitella kowalevskii</t>
  </si>
  <si>
    <t>jc</t>
  </si>
  <si>
    <t>Sagko</t>
  </si>
  <si>
    <t>箭蚕属</t>
  </si>
  <si>
    <t>Sagitella sp.</t>
  </si>
  <si>
    <t>Parpa</t>
  </si>
  <si>
    <t>ccs</t>
  </si>
  <si>
    <t>Lepmi</t>
  </si>
  <si>
    <t>Lepma</t>
  </si>
  <si>
    <t>Lepsp</t>
  </si>
  <si>
    <t>dmh</t>
  </si>
  <si>
    <t>Halbr</t>
  </si>
  <si>
    <t>Lepte</t>
  </si>
  <si>
    <t>hsb</t>
  </si>
  <si>
    <t>Lepja</t>
  </si>
  <si>
    <t>wbl</t>
  </si>
  <si>
    <t>Scalo</t>
  </si>
  <si>
    <t>cxy</t>
  </si>
  <si>
    <t>Harsp</t>
  </si>
  <si>
    <t>xjc</t>
  </si>
  <si>
    <t>ynz</t>
  </si>
  <si>
    <t>cmz</t>
  </si>
  <si>
    <t>wxz</t>
  </si>
  <si>
    <t>ztc</t>
  </si>
  <si>
    <t>xzx</t>
  </si>
  <si>
    <t>xmj</t>
  </si>
  <si>
    <t>Scogr</t>
  </si>
  <si>
    <t>ncj</t>
  </si>
  <si>
    <t>jzc</t>
  </si>
  <si>
    <t>Scoar</t>
  </si>
  <si>
    <t>Scosp</t>
  </si>
  <si>
    <t>tpy</t>
  </si>
  <si>
    <t>zzj</t>
  </si>
  <si>
    <t>wsz</t>
  </si>
  <si>
    <t>szc</t>
  </si>
  <si>
    <t>Polci</t>
  </si>
  <si>
    <t>gcn</t>
  </si>
  <si>
    <t>Langerhans</t>
  </si>
  <si>
    <t>gsc</t>
  </si>
  <si>
    <t>Polsp</t>
  </si>
  <si>
    <t>rbw</t>
  </si>
  <si>
    <t>wcn</t>
  </si>
  <si>
    <t>Psesp</t>
  </si>
  <si>
    <t>Spima</t>
  </si>
  <si>
    <t>cgz</t>
  </si>
  <si>
    <t>dsx</t>
  </si>
  <si>
    <t>ssz</t>
  </si>
  <si>
    <t>Prima</t>
  </si>
  <si>
    <t>xnz</t>
  </si>
  <si>
    <t>mlz</t>
  </si>
  <si>
    <t>zcc</t>
  </si>
  <si>
    <t>wjy</t>
  </si>
  <si>
    <t>djs</t>
  </si>
  <si>
    <t>yzz</t>
  </si>
  <si>
    <t>znc</t>
  </si>
  <si>
    <t>zmc</t>
  </si>
  <si>
    <t>Sabsp</t>
  </si>
  <si>
    <t>scs</t>
  </si>
  <si>
    <t>dml</t>
  </si>
  <si>
    <t>软体动物</t>
  </si>
  <si>
    <t>rtd</t>
  </si>
  <si>
    <t>biv</t>
  </si>
  <si>
    <t>双壳纲</t>
  </si>
  <si>
    <t>异足类</t>
  </si>
  <si>
    <t>cyc</t>
  </si>
  <si>
    <t>ass</t>
  </si>
  <si>
    <t>dcl</t>
  </si>
  <si>
    <t>xsl</t>
  </si>
  <si>
    <t>cww</t>
  </si>
  <si>
    <t>hwn</t>
  </si>
  <si>
    <t>mzl</t>
  </si>
  <si>
    <t>jml</t>
  </si>
  <si>
    <t>str</t>
  </si>
  <si>
    <t>明螺</t>
  </si>
  <si>
    <t>ml</t>
  </si>
  <si>
    <t>Atlpe</t>
  </si>
  <si>
    <t>玫瑰明螺</t>
  </si>
  <si>
    <t>mgm</t>
  </si>
  <si>
    <t>Atlro</t>
  </si>
  <si>
    <t>胖明螺</t>
  </si>
  <si>
    <t>pml</t>
  </si>
  <si>
    <t>大口明螺</t>
  </si>
  <si>
    <t>dkm</t>
  </si>
  <si>
    <t>Atlle</t>
  </si>
  <si>
    <t>歪轴明螺</t>
  </si>
  <si>
    <t>wzm</t>
  </si>
  <si>
    <t>褐明螺</t>
  </si>
  <si>
    <t>hml</t>
  </si>
  <si>
    <t>Atlfu</t>
  </si>
  <si>
    <t>塔明螺</t>
  </si>
  <si>
    <t>tml</t>
  </si>
  <si>
    <t>Atltu</t>
  </si>
  <si>
    <t>扁明螺</t>
  </si>
  <si>
    <t>bml</t>
  </si>
  <si>
    <t>Atlde</t>
  </si>
  <si>
    <t>蜗牛明螺</t>
  </si>
  <si>
    <t>wnm</t>
  </si>
  <si>
    <t>Atlhe</t>
  </si>
  <si>
    <t>明螺属</t>
  </si>
  <si>
    <t>长尾心足螺</t>
  </si>
  <si>
    <t>cwx</t>
  </si>
  <si>
    <t>Carri</t>
  </si>
  <si>
    <t>龙骨螺</t>
  </si>
  <si>
    <t>lgl</t>
  </si>
  <si>
    <t>Carcr</t>
  </si>
  <si>
    <t>盔龙骨螺</t>
  </si>
  <si>
    <t>klg</t>
  </si>
  <si>
    <t>Carga</t>
  </si>
  <si>
    <t>龙骨螺属</t>
  </si>
  <si>
    <t>Carinaria sp.</t>
  </si>
  <si>
    <t>角明螺</t>
  </si>
  <si>
    <t>Oxyke</t>
  </si>
  <si>
    <t>翼体螺</t>
  </si>
  <si>
    <t>Pterosoma planum</t>
  </si>
  <si>
    <t>Ptepl</t>
  </si>
  <si>
    <t>小翼管螺</t>
  </si>
  <si>
    <t>xyg</t>
  </si>
  <si>
    <t>Ptemi</t>
  </si>
  <si>
    <t>盾翼管螺</t>
  </si>
  <si>
    <t>dyg</t>
  </si>
  <si>
    <t>Ptesc</t>
  </si>
  <si>
    <t>翼管螺</t>
  </si>
  <si>
    <t>ygl</t>
  </si>
  <si>
    <t>Pteco</t>
  </si>
  <si>
    <t>海马翼管螺</t>
  </si>
  <si>
    <t>hmy</t>
  </si>
  <si>
    <t>Ptehi</t>
  </si>
  <si>
    <t>翼管螺属</t>
  </si>
  <si>
    <t>Pterotracchea sp.</t>
  </si>
  <si>
    <t>原明螺</t>
  </si>
  <si>
    <t>yml</t>
  </si>
  <si>
    <t>Proso</t>
  </si>
  <si>
    <t>拟翼管螺</t>
  </si>
  <si>
    <t>nyg</t>
  </si>
  <si>
    <t>Firde</t>
  </si>
  <si>
    <t>zwl</t>
  </si>
  <si>
    <t>强卷螺</t>
  </si>
  <si>
    <t>qjl</t>
  </si>
  <si>
    <t>翼足类</t>
  </si>
  <si>
    <t>芽笔帽螺</t>
  </si>
  <si>
    <t>ybm</t>
  </si>
  <si>
    <t>Crevi</t>
  </si>
  <si>
    <t>锥笔帽螺</t>
  </si>
  <si>
    <t>zbm</t>
  </si>
  <si>
    <t>尖笔帽螺</t>
  </si>
  <si>
    <t>jbm</t>
  </si>
  <si>
    <t>Creac</t>
  </si>
  <si>
    <t>棒笔帽螺</t>
  </si>
  <si>
    <t>bbm</t>
  </si>
  <si>
    <t>Crecl</t>
  </si>
  <si>
    <t>环箍笔帽螺</t>
  </si>
  <si>
    <t>hgb</t>
  </si>
  <si>
    <t>Crech</t>
  </si>
  <si>
    <t>笔帽螺属</t>
  </si>
  <si>
    <t>Creseis sp.</t>
  </si>
  <si>
    <t>锥棒螺</t>
  </si>
  <si>
    <t>zbl</t>
  </si>
  <si>
    <t>Stysu</t>
  </si>
  <si>
    <t>玻杯螺</t>
  </si>
  <si>
    <t>bbl</t>
  </si>
  <si>
    <t>Hyast</t>
  </si>
  <si>
    <t>蛆状螺</t>
  </si>
  <si>
    <t>qzl</t>
  </si>
  <si>
    <t>Cuvco</t>
  </si>
  <si>
    <t>mth</t>
  </si>
  <si>
    <t>Limtr</t>
  </si>
  <si>
    <t>phl</t>
  </si>
  <si>
    <t>Limbu</t>
  </si>
  <si>
    <t>Limin</t>
  </si>
  <si>
    <t>Limacina lesueuri</t>
  </si>
  <si>
    <t>dkh</t>
  </si>
  <si>
    <t>limle</t>
  </si>
  <si>
    <t>Limacina sp.</t>
  </si>
  <si>
    <t>矛头长角螺</t>
  </si>
  <si>
    <t>mtc</t>
  </si>
  <si>
    <t>小尾长角螺</t>
  </si>
  <si>
    <t>xwc</t>
  </si>
  <si>
    <t>袋长角螺</t>
  </si>
  <si>
    <t>长角螺属</t>
  </si>
  <si>
    <t>cjl</t>
  </si>
  <si>
    <t>厚唇螺</t>
  </si>
  <si>
    <t>hcl</t>
  </si>
  <si>
    <t>Diatr</t>
  </si>
  <si>
    <t>(Lesueur)</t>
  </si>
  <si>
    <t>Diaqu</t>
  </si>
  <si>
    <t>lcj</t>
  </si>
  <si>
    <t>厚唇螺属</t>
  </si>
  <si>
    <t>Diacria sp.</t>
  </si>
  <si>
    <t>龟螺</t>
  </si>
  <si>
    <t>gl</t>
  </si>
  <si>
    <t>Cavtr</t>
  </si>
  <si>
    <t>角长吻龟螺</t>
  </si>
  <si>
    <t>jcw</t>
  </si>
  <si>
    <t>Cavlo</t>
  </si>
  <si>
    <t>长吻龟螺</t>
  </si>
  <si>
    <t>cwg</t>
  </si>
  <si>
    <t>球龟螺</t>
  </si>
  <si>
    <t>qgl</t>
  </si>
  <si>
    <t>Cavgl</t>
  </si>
  <si>
    <t>驼龟螺</t>
  </si>
  <si>
    <t>tgl</t>
  </si>
  <si>
    <t>Cavgi</t>
  </si>
  <si>
    <t>钩龟螺</t>
  </si>
  <si>
    <t>ggl</t>
  </si>
  <si>
    <t>Cavun</t>
  </si>
  <si>
    <t>宽弯龟螺</t>
  </si>
  <si>
    <t>kwg</t>
  </si>
  <si>
    <t>Cavin</t>
  </si>
  <si>
    <t>龟螺属</t>
  </si>
  <si>
    <t>Cavolinia sp.</t>
  </si>
  <si>
    <t>gls</t>
  </si>
  <si>
    <t>Cavsp</t>
  </si>
  <si>
    <t>长轴螺</t>
  </si>
  <si>
    <t>Peraclis reticulata</t>
  </si>
  <si>
    <t>czl</t>
  </si>
  <si>
    <t>Perre</t>
  </si>
  <si>
    <t>舴艋螺</t>
  </si>
  <si>
    <t>Cymbulia peroni</t>
  </si>
  <si>
    <t>zml</t>
  </si>
  <si>
    <t>Cympe</t>
  </si>
  <si>
    <t>三窦舴艋螺</t>
  </si>
  <si>
    <t>Cymbulia tricavernosa</t>
  </si>
  <si>
    <t>sdz</t>
  </si>
  <si>
    <t>Cymtr</t>
  </si>
  <si>
    <t>冕螺</t>
  </si>
  <si>
    <t>Corolla ovata</t>
  </si>
  <si>
    <t>Corov</t>
  </si>
  <si>
    <t>蝴蝶螺</t>
  </si>
  <si>
    <t>hdl</t>
  </si>
  <si>
    <t>Despa</t>
  </si>
  <si>
    <t>皮鳃螺</t>
  </si>
  <si>
    <t>psl</t>
  </si>
  <si>
    <t>Pneat</t>
  </si>
  <si>
    <t>地中海皮鳃螺</t>
  </si>
  <si>
    <t>dzh</t>
  </si>
  <si>
    <t>Pneme</t>
  </si>
  <si>
    <t>异盘皮鳃螺</t>
  </si>
  <si>
    <t>ypp</t>
  </si>
  <si>
    <t>Pnehe</t>
  </si>
  <si>
    <t>拟皮鳃螺</t>
  </si>
  <si>
    <t>nps</t>
  </si>
  <si>
    <t>Pneci</t>
  </si>
  <si>
    <t>寡齿拟皮鳃螺</t>
  </si>
  <si>
    <t>Pnepa</t>
  </si>
  <si>
    <t>多盘拟皮鳃螺</t>
  </si>
  <si>
    <t>dpn</t>
  </si>
  <si>
    <t>Pnepo</t>
  </si>
  <si>
    <t>大盘拟皮鳃螺</t>
  </si>
  <si>
    <t>Pneumodermopsis macrocotyla</t>
  </si>
  <si>
    <t>Pnema</t>
  </si>
  <si>
    <t>拟皮鳃螺属</t>
  </si>
  <si>
    <t>Pneumodermopsis sp.</t>
  </si>
  <si>
    <t>Pnesp</t>
  </si>
  <si>
    <t>无鳃螺</t>
  </si>
  <si>
    <t>wsl</t>
  </si>
  <si>
    <t>Abrch</t>
  </si>
  <si>
    <t>拟海若螺</t>
  </si>
  <si>
    <t>nhr</t>
  </si>
  <si>
    <t>Parlo</t>
  </si>
  <si>
    <t>背鳃螺</t>
  </si>
  <si>
    <t>Notobranchaea macdonaldi</t>
  </si>
  <si>
    <t>bsl</t>
  </si>
  <si>
    <t>Notma</t>
  </si>
  <si>
    <t>透明扁齿螺</t>
  </si>
  <si>
    <t>Thliptodon diaphanus</t>
  </si>
  <si>
    <t>tmb</t>
  </si>
  <si>
    <t>Thldi</t>
  </si>
  <si>
    <t>ads</t>
  </si>
  <si>
    <t>syh</t>
  </si>
  <si>
    <t>cjh</t>
  </si>
  <si>
    <t>rbh</t>
  </si>
  <si>
    <t>xyj</t>
  </si>
  <si>
    <t>hyy</t>
  </si>
  <si>
    <t>xsy</t>
  </si>
  <si>
    <t>Plemo</t>
  </si>
  <si>
    <t>海蜗牛</t>
  </si>
  <si>
    <t>Janja</t>
  </si>
  <si>
    <t>长海蜗牛</t>
  </si>
  <si>
    <t>chw</t>
  </si>
  <si>
    <t>Janpr</t>
  </si>
  <si>
    <t>hsy</t>
  </si>
  <si>
    <t>透明薄皮溞</t>
  </si>
  <si>
    <t>Lepki</t>
  </si>
  <si>
    <t>枝角类</t>
  </si>
  <si>
    <t>晶莹仙达溞</t>
  </si>
  <si>
    <t>Sidcr</t>
  </si>
  <si>
    <t>短尾秀体溞</t>
  </si>
  <si>
    <t>dwx</t>
  </si>
  <si>
    <t>Diabr</t>
  </si>
  <si>
    <t>长肢秀体溞</t>
  </si>
  <si>
    <t>Diaphanosoma leuchtenbergianum</t>
  </si>
  <si>
    <t>czx</t>
  </si>
  <si>
    <t>Diale</t>
  </si>
  <si>
    <t>鸟喙尖头溞</t>
  </si>
  <si>
    <t>nhj</t>
  </si>
  <si>
    <t>Penav</t>
  </si>
  <si>
    <t>Dana</t>
  </si>
  <si>
    <t>壳腺溞属</t>
  </si>
  <si>
    <t>Latonopsis sp.</t>
  </si>
  <si>
    <t>qxs</t>
  </si>
  <si>
    <t>Latsp</t>
  </si>
  <si>
    <t>隆线溞</t>
  </si>
  <si>
    <t>Daphnia carinata</t>
  </si>
  <si>
    <t>Dapca</t>
  </si>
  <si>
    <t>蚤状溞</t>
  </si>
  <si>
    <t>Daphnia pulex</t>
  </si>
  <si>
    <t>Leydig</t>
  </si>
  <si>
    <t>长刺溞</t>
  </si>
  <si>
    <t>Daphnia longispina</t>
  </si>
  <si>
    <t>Daplo</t>
  </si>
  <si>
    <t>溞属</t>
  </si>
  <si>
    <t>Daphnia sp.</t>
  </si>
  <si>
    <t>Dapsp</t>
  </si>
  <si>
    <t>壳纹船卵溞</t>
  </si>
  <si>
    <t>Scapholeberis kingi</t>
  </si>
  <si>
    <t>qwc</t>
  </si>
  <si>
    <t>Scaki</t>
  </si>
  <si>
    <t>Sars</t>
  </si>
  <si>
    <t>老年低额溞</t>
  </si>
  <si>
    <t>lnd</t>
  </si>
  <si>
    <t>Simve</t>
  </si>
  <si>
    <t>方形网纹溞</t>
  </si>
  <si>
    <t>fxw</t>
  </si>
  <si>
    <t>Cerqu</t>
  </si>
  <si>
    <t>角突网纹溞</t>
  </si>
  <si>
    <t>jtw</t>
  </si>
  <si>
    <t>Cerco</t>
  </si>
  <si>
    <t>鹦鹉溞</t>
  </si>
  <si>
    <t>Daphnia pisttacea</t>
  </si>
  <si>
    <t>dappi</t>
  </si>
  <si>
    <t>多刺裸腹溞</t>
  </si>
  <si>
    <t>Moima</t>
  </si>
  <si>
    <t>微型裸腹溞</t>
  </si>
  <si>
    <t>wxl</t>
  </si>
  <si>
    <t>Moimi</t>
  </si>
  <si>
    <t>长额象鼻溞</t>
  </si>
  <si>
    <t>cex</t>
  </si>
  <si>
    <t>Boslo</t>
  </si>
  <si>
    <t>象鼻溞属</t>
  </si>
  <si>
    <t>Bosmina sp.</t>
  </si>
  <si>
    <t>Bossp</t>
  </si>
  <si>
    <t>粉红粗毛溞</t>
  </si>
  <si>
    <t>fhc</t>
  </si>
  <si>
    <t>Macro</t>
  </si>
  <si>
    <t>短角粗毛溞</t>
  </si>
  <si>
    <t>djc</t>
  </si>
  <si>
    <t>Macbr</t>
  </si>
  <si>
    <t>多刺粗毛溞</t>
  </si>
  <si>
    <t>Macsp</t>
  </si>
  <si>
    <t>宽角粗毛溞</t>
  </si>
  <si>
    <t>kjc</t>
  </si>
  <si>
    <t>Macla</t>
  </si>
  <si>
    <t>纤毛大尾溞</t>
  </si>
  <si>
    <t>qmd</t>
  </si>
  <si>
    <t>Leyci</t>
  </si>
  <si>
    <t>方形尖额溞</t>
  </si>
  <si>
    <t>fxj</t>
  </si>
  <si>
    <t>Aloqu</t>
  </si>
  <si>
    <t>矩形尖额溞</t>
  </si>
  <si>
    <t>Alona rectangula</t>
  </si>
  <si>
    <t>jxj</t>
  </si>
  <si>
    <t>Alore</t>
  </si>
  <si>
    <t>球形锐额溞</t>
  </si>
  <si>
    <t>Alonella globulosa</t>
  </si>
  <si>
    <t>Alogl</t>
  </si>
  <si>
    <t>光滑平直溞</t>
  </si>
  <si>
    <t>Pleuroxus laevis</t>
  </si>
  <si>
    <t>ghp</t>
  </si>
  <si>
    <t>Plela</t>
  </si>
  <si>
    <t>钩足平直溞</t>
  </si>
  <si>
    <t>Pleuroxus hamulatus</t>
  </si>
  <si>
    <t>gzp</t>
  </si>
  <si>
    <t>Pleha</t>
  </si>
  <si>
    <t>大腹盘肠溞</t>
  </si>
  <si>
    <t>Chydorus ventricosus</t>
  </si>
  <si>
    <t>dfp</t>
  </si>
  <si>
    <t>Chyve</t>
  </si>
  <si>
    <t>多型圆囊溞</t>
  </si>
  <si>
    <t>dxy</t>
  </si>
  <si>
    <t>Podpo</t>
  </si>
  <si>
    <t>(Leuckart)</t>
  </si>
  <si>
    <t>史氏圆囊溞</t>
  </si>
  <si>
    <t>ssy</t>
  </si>
  <si>
    <t>Podsc</t>
  </si>
  <si>
    <t>Poppe</t>
  </si>
  <si>
    <t>诺氏三角溞</t>
  </si>
  <si>
    <t>Evano</t>
  </si>
  <si>
    <t>肥胖三角溞</t>
  </si>
  <si>
    <t>Evate</t>
  </si>
  <si>
    <t>Claus</t>
  </si>
  <si>
    <t>阿氏巨海萤</t>
  </si>
  <si>
    <t>asj</t>
  </si>
  <si>
    <t>Gigag</t>
  </si>
  <si>
    <t>介形类</t>
  </si>
  <si>
    <t>澳洲巨海萤</t>
  </si>
  <si>
    <t>azj</t>
  </si>
  <si>
    <t>Gigau</t>
  </si>
  <si>
    <t>Poulsen</t>
  </si>
  <si>
    <t>达那巨海萤</t>
  </si>
  <si>
    <t>dnj</t>
  </si>
  <si>
    <t>Gigda</t>
  </si>
  <si>
    <t>龙巨海萤</t>
  </si>
  <si>
    <t>ljh</t>
  </si>
  <si>
    <t>Gigdr</t>
  </si>
  <si>
    <t>巨海萤属</t>
  </si>
  <si>
    <t>Gigantocypris sp.</t>
  </si>
  <si>
    <t>jhy</t>
  </si>
  <si>
    <t>Gigsp</t>
  </si>
  <si>
    <t>舟形双管萤</t>
  </si>
  <si>
    <t>Ampna</t>
  </si>
  <si>
    <t>背齿假疼萤</t>
  </si>
  <si>
    <t>bcj</t>
  </si>
  <si>
    <t>Pardo</t>
  </si>
  <si>
    <t>钝齿斯氏萤</t>
  </si>
  <si>
    <t>dcs</t>
  </si>
  <si>
    <t>Skocr</t>
  </si>
  <si>
    <t>弯曲斯氏萤</t>
  </si>
  <si>
    <t>wqs</t>
  </si>
  <si>
    <t>Skocu</t>
  </si>
  <si>
    <t>小斯氏萤</t>
  </si>
  <si>
    <t>xss</t>
  </si>
  <si>
    <t>Skomi</t>
  </si>
  <si>
    <t>希氏弯喉萤</t>
  </si>
  <si>
    <t>Varhi</t>
  </si>
  <si>
    <t>针刺弯喉萤</t>
  </si>
  <si>
    <t>zcw</t>
  </si>
  <si>
    <t>Varsp</t>
  </si>
  <si>
    <t>八爪拟弯喉萤</t>
  </si>
  <si>
    <t>bzn</t>
  </si>
  <si>
    <t>Parfo</t>
  </si>
  <si>
    <t>Tseng</t>
  </si>
  <si>
    <t>多毛拟弯喉萤</t>
  </si>
  <si>
    <t>dmn</t>
  </si>
  <si>
    <t>Parhi</t>
  </si>
  <si>
    <t>台湾拟弯喉萤</t>
  </si>
  <si>
    <t>twn</t>
  </si>
  <si>
    <t>Parta</t>
  </si>
  <si>
    <t>日本黑变喉萤</t>
  </si>
  <si>
    <t>Melja</t>
  </si>
  <si>
    <t>尖尾海萤</t>
  </si>
  <si>
    <t>jwh</t>
  </si>
  <si>
    <t>Cypac</t>
  </si>
  <si>
    <t>双眼海萤</t>
  </si>
  <si>
    <t>Cypam</t>
  </si>
  <si>
    <t>齿形海萤</t>
  </si>
  <si>
    <t>cxh</t>
  </si>
  <si>
    <t>Cypde</t>
  </si>
  <si>
    <t>无刺海萤</t>
  </si>
  <si>
    <t>wch</t>
  </si>
  <si>
    <t>Cypin</t>
  </si>
  <si>
    <t>日本海萤</t>
  </si>
  <si>
    <t>Cypja</t>
  </si>
  <si>
    <t>纳米海萤</t>
  </si>
  <si>
    <t>nmh</t>
  </si>
  <si>
    <t>Cypna</t>
  </si>
  <si>
    <t>小型海萤</t>
  </si>
  <si>
    <t>Cypridina nana</t>
  </si>
  <si>
    <t>细孔海萤</t>
  </si>
  <si>
    <t>xkh</t>
  </si>
  <si>
    <t>Cyppu</t>
  </si>
  <si>
    <t>漂浮海萤</t>
  </si>
  <si>
    <t>pfh</t>
  </si>
  <si>
    <t>(Brady)</t>
  </si>
  <si>
    <t>锯齿海萤</t>
  </si>
  <si>
    <t>jch</t>
  </si>
  <si>
    <t>Cypse</t>
  </si>
  <si>
    <t>弯曲海萤</t>
  </si>
  <si>
    <t>wqh</t>
  </si>
  <si>
    <t>Cypsi</t>
  </si>
  <si>
    <t>海萤属</t>
  </si>
  <si>
    <t>Cypridina sp.</t>
  </si>
  <si>
    <t>Cypsp</t>
  </si>
  <si>
    <t>栗色圆大海萤</t>
  </si>
  <si>
    <t>lsy</t>
  </si>
  <si>
    <t>Macca</t>
  </si>
  <si>
    <t>波氏粗海萤</t>
  </si>
  <si>
    <t>bsc</t>
  </si>
  <si>
    <t>macpo</t>
  </si>
  <si>
    <t>翼羽海萤</t>
  </si>
  <si>
    <t>yyh</t>
  </si>
  <si>
    <t>Pteal</t>
  </si>
  <si>
    <t>非对称拟海萤</t>
  </si>
  <si>
    <t>fdc</t>
  </si>
  <si>
    <t>Cypas</t>
  </si>
  <si>
    <t>不规则拟海萤</t>
  </si>
  <si>
    <t>bgz</t>
  </si>
  <si>
    <t>Cypba</t>
  </si>
  <si>
    <t>鸟形拟海萤</t>
  </si>
  <si>
    <t>nxn</t>
  </si>
  <si>
    <t>Cypav</t>
  </si>
  <si>
    <t>铃萤拟海萤</t>
  </si>
  <si>
    <t>lyn</t>
  </si>
  <si>
    <t>Cypco</t>
  </si>
  <si>
    <t>铠甲拟海萤</t>
  </si>
  <si>
    <t>kqn</t>
  </si>
  <si>
    <t>Cypga</t>
  </si>
  <si>
    <t>小拟海萤</t>
  </si>
  <si>
    <t>Cypmi</t>
  </si>
  <si>
    <t>nhy</t>
  </si>
  <si>
    <t>细长铃萤</t>
  </si>
  <si>
    <t>xcl</t>
  </si>
  <si>
    <t>Codel</t>
  </si>
  <si>
    <t>眼角铃萤</t>
  </si>
  <si>
    <t>yjl</t>
  </si>
  <si>
    <t>Codgo</t>
  </si>
  <si>
    <t>莫氏铃萤</t>
  </si>
  <si>
    <t>msl</t>
  </si>
  <si>
    <t>Codmo</t>
  </si>
  <si>
    <t>多角铃萤</t>
  </si>
  <si>
    <t>djl</t>
  </si>
  <si>
    <t>Codpo</t>
  </si>
  <si>
    <t>弱小铃萤</t>
  </si>
  <si>
    <t>rxl</t>
  </si>
  <si>
    <t>Codpu</t>
  </si>
  <si>
    <t>星兽铃萤</t>
  </si>
  <si>
    <t>Codst</t>
  </si>
  <si>
    <t>铃萤属</t>
  </si>
  <si>
    <t>Codonocera sp.</t>
  </si>
  <si>
    <t>lys</t>
  </si>
  <si>
    <t>Codsp</t>
  </si>
  <si>
    <t>黄色单萤</t>
  </si>
  <si>
    <t>Monfl</t>
  </si>
  <si>
    <t>栉刺单萤</t>
  </si>
  <si>
    <t>zcd</t>
  </si>
  <si>
    <t>Monte</t>
  </si>
  <si>
    <t>翘尾异链萤</t>
  </si>
  <si>
    <t>qwy</t>
  </si>
  <si>
    <t>Hetad</t>
  </si>
  <si>
    <t>Brady</t>
  </si>
  <si>
    <t>双牙喜萤</t>
  </si>
  <si>
    <t>Phieu</t>
  </si>
  <si>
    <t>李氏喜萤</t>
  </si>
  <si>
    <t>Phili</t>
  </si>
  <si>
    <t>敏捷真喜萤</t>
  </si>
  <si>
    <t>Euphilomedes agilis</t>
  </si>
  <si>
    <t>mjz</t>
  </si>
  <si>
    <t>Eupag</t>
  </si>
  <si>
    <t>皱摺真喜萤</t>
  </si>
  <si>
    <t>Eupco</t>
  </si>
  <si>
    <t>Eupin</t>
  </si>
  <si>
    <t>日本真喜萤</t>
  </si>
  <si>
    <t>Eupja</t>
  </si>
  <si>
    <t>长毛真喜萤</t>
  </si>
  <si>
    <t>Euplo</t>
  </si>
  <si>
    <t>(Juday)</t>
  </si>
  <si>
    <t>多节真喜萤</t>
  </si>
  <si>
    <t>Eupno</t>
  </si>
  <si>
    <t>污贱真喜萤</t>
  </si>
  <si>
    <t>wjz</t>
  </si>
  <si>
    <t>Eupso</t>
  </si>
  <si>
    <t>真喜萤属</t>
  </si>
  <si>
    <t>Euphilomedes sp.</t>
  </si>
  <si>
    <t>zxy</t>
  </si>
  <si>
    <t>Eupsp</t>
  </si>
  <si>
    <t>单角拟喜萤</t>
  </si>
  <si>
    <t>Parun</t>
  </si>
  <si>
    <t>三角拟喜萤</t>
  </si>
  <si>
    <t>sjn</t>
  </si>
  <si>
    <t>极双喜萤</t>
  </si>
  <si>
    <t>jsx</t>
  </si>
  <si>
    <t>Zeupo</t>
  </si>
  <si>
    <t>长羽真帚萤</t>
  </si>
  <si>
    <t>cyz</t>
  </si>
  <si>
    <t>Euslo</t>
  </si>
  <si>
    <t>多微刺真帚萤</t>
  </si>
  <si>
    <t>dwc</t>
  </si>
  <si>
    <t>Euspa</t>
  </si>
  <si>
    <t>刺形真帚萤</t>
  </si>
  <si>
    <t>cxz</t>
  </si>
  <si>
    <t>Eussp</t>
  </si>
  <si>
    <t>膨胀真帚萤</t>
  </si>
  <si>
    <t>pzz</t>
  </si>
  <si>
    <t>Eustu</t>
  </si>
  <si>
    <t>(Scott)</t>
  </si>
  <si>
    <t>真帚萤属</t>
  </si>
  <si>
    <t>Eusarsilla sp.</t>
  </si>
  <si>
    <t>zzy</t>
  </si>
  <si>
    <t>卷曲暗萤</t>
  </si>
  <si>
    <t>jqa</t>
  </si>
  <si>
    <t>Scocr</t>
  </si>
  <si>
    <t>美洲圆荚萤</t>
  </si>
  <si>
    <t>mzy</t>
  </si>
  <si>
    <t>Cycam</t>
  </si>
  <si>
    <t>六突圆荚萤</t>
  </si>
  <si>
    <t>lty</t>
  </si>
  <si>
    <t>Cycbi</t>
  </si>
  <si>
    <t>Kornicker</t>
  </si>
  <si>
    <t>短圆荚萤</t>
  </si>
  <si>
    <t>dyj</t>
  </si>
  <si>
    <t>Cycbr</t>
  </si>
  <si>
    <t>波氏圆荚萤</t>
  </si>
  <si>
    <t>bsy</t>
  </si>
  <si>
    <t>Cycpo</t>
  </si>
  <si>
    <t>拟圆荚萤</t>
  </si>
  <si>
    <t>nyj</t>
  </si>
  <si>
    <t>Cycsi</t>
  </si>
  <si>
    <t>伯氏圆荚萤</t>
  </si>
  <si>
    <t>Cycsp</t>
  </si>
  <si>
    <t>双毛圆星萤</t>
  </si>
  <si>
    <t>smy</t>
  </si>
  <si>
    <t>毛束圆星萤</t>
  </si>
  <si>
    <t>msy</t>
  </si>
  <si>
    <t>Cycfa</t>
  </si>
  <si>
    <t>希氏圆星萤</t>
  </si>
  <si>
    <t>Cychi</t>
  </si>
  <si>
    <t>暗星羽萤</t>
  </si>
  <si>
    <t>axy</t>
  </si>
  <si>
    <t>Astfu</t>
  </si>
  <si>
    <t>纳氏联萤</t>
  </si>
  <si>
    <t>nsl</t>
  </si>
  <si>
    <t>Synkn</t>
  </si>
  <si>
    <t>格氏星萤</t>
  </si>
  <si>
    <t>Astgr</t>
  </si>
  <si>
    <t>小星萤</t>
  </si>
  <si>
    <t>xxy</t>
  </si>
  <si>
    <t>Astmi</t>
  </si>
  <si>
    <t>勺状始浮萤</t>
  </si>
  <si>
    <t>Arccu</t>
  </si>
  <si>
    <t>转变始浮萤</t>
  </si>
  <si>
    <t>zbs</t>
  </si>
  <si>
    <t>Arcve</t>
  </si>
  <si>
    <t>Deevey</t>
  </si>
  <si>
    <t>始浮萤属</t>
  </si>
  <si>
    <t>Archiconchoecia sp.</t>
  </si>
  <si>
    <t>sfy</t>
  </si>
  <si>
    <t>Arcsp</t>
  </si>
  <si>
    <t>镰形始海萤</t>
  </si>
  <si>
    <t>Arcfa</t>
  </si>
  <si>
    <t>条纹始浮萤</t>
  </si>
  <si>
    <t>tws</t>
  </si>
  <si>
    <t>Arcst</t>
  </si>
  <si>
    <t>安氏深海浮萤</t>
  </si>
  <si>
    <t>Batan</t>
  </si>
  <si>
    <t>窝穴深海浮萤</t>
  </si>
  <si>
    <t>wxs</t>
  </si>
  <si>
    <t>Batla</t>
  </si>
  <si>
    <t>小深海浮萤</t>
  </si>
  <si>
    <t>xsh</t>
  </si>
  <si>
    <t>Batpa</t>
  </si>
  <si>
    <t>圆突深海浮萤</t>
  </si>
  <si>
    <t>yts</t>
  </si>
  <si>
    <t>Batcr</t>
  </si>
  <si>
    <t>盔形深海浮萤</t>
  </si>
  <si>
    <t>Batga</t>
  </si>
  <si>
    <t>深海浮萤属</t>
  </si>
  <si>
    <t>Bathyconchoecoa sp.</t>
  </si>
  <si>
    <t>shf</t>
  </si>
  <si>
    <t>Batsp</t>
  </si>
  <si>
    <t>针刺真浮萤</t>
  </si>
  <si>
    <t>zcz</t>
  </si>
  <si>
    <t>Eucac</t>
  </si>
  <si>
    <t>细长真浮萤</t>
  </si>
  <si>
    <t>Eucel</t>
  </si>
  <si>
    <t>后圆真浮萤</t>
  </si>
  <si>
    <t>hyz</t>
  </si>
  <si>
    <t>弧刺真浮萤</t>
  </si>
  <si>
    <t>gcz</t>
  </si>
  <si>
    <t>Eucsh</t>
  </si>
  <si>
    <t>双叉真浮萤</t>
  </si>
  <si>
    <t>scz</t>
  </si>
  <si>
    <t>Eucbi</t>
  </si>
  <si>
    <t>短棒真浮萤</t>
  </si>
  <si>
    <t>dbz</t>
  </si>
  <si>
    <t>Eucch</t>
  </si>
  <si>
    <t>真浮萤属</t>
  </si>
  <si>
    <t>Euconchoecia sp.</t>
  </si>
  <si>
    <t>zfy</t>
  </si>
  <si>
    <t>球大额萤</t>
  </si>
  <si>
    <t>qde</t>
  </si>
  <si>
    <t>Halgl</t>
  </si>
  <si>
    <t>肥胖吸海萤</t>
  </si>
  <si>
    <t>fpx</t>
  </si>
  <si>
    <t>双突猫萤</t>
  </si>
  <si>
    <t>stm</t>
  </si>
  <si>
    <t>Felbi</t>
  </si>
  <si>
    <t>齿突猫萤</t>
  </si>
  <si>
    <t>ctm</t>
  </si>
  <si>
    <t>Felco</t>
  </si>
  <si>
    <t>不等齿突猫萤</t>
  </si>
  <si>
    <t>bdc</t>
  </si>
  <si>
    <t>玻叶浮萤</t>
  </si>
  <si>
    <t>byf</t>
  </si>
  <si>
    <t>Conhy</t>
  </si>
  <si>
    <t>巨手浮萤</t>
  </si>
  <si>
    <t>jsf</t>
  </si>
  <si>
    <t>Conma</t>
  </si>
  <si>
    <t>大浮萤</t>
  </si>
  <si>
    <t>dfy</t>
  </si>
  <si>
    <t>斜大浮萤</t>
  </si>
  <si>
    <t>xdf</t>
  </si>
  <si>
    <t>细齿浮萤</t>
  </si>
  <si>
    <t>xcf</t>
  </si>
  <si>
    <t>Conpa</t>
  </si>
  <si>
    <t>亚弓浮萤</t>
  </si>
  <si>
    <t>ygf</t>
  </si>
  <si>
    <t>Consu</t>
  </si>
  <si>
    <t>腹腺浮萤</t>
  </si>
  <si>
    <t>fxf</t>
  </si>
  <si>
    <t>Conlo</t>
  </si>
  <si>
    <t>平滑腹腺浮萤</t>
  </si>
  <si>
    <t>phf</t>
  </si>
  <si>
    <t>浮萤属</t>
  </si>
  <si>
    <t>Conchoecia sp.</t>
  </si>
  <si>
    <t>fys</t>
  </si>
  <si>
    <t>Consp</t>
  </si>
  <si>
    <t>等刺拟浮萤</t>
  </si>
  <si>
    <t>dcn</t>
  </si>
  <si>
    <t>异兽拟浮萤</t>
  </si>
  <si>
    <t>ysn</t>
  </si>
  <si>
    <t>Paral</t>
  </si>
  <si>
    <t>短拟浮萤</t>
  </si>
  <si>
    <t>dnf</t>
  </si>
  <si>
    <t>Parbr</t>
  </si>
  <si>
    <t>刺尾拟浮萤</t>
  </si>
  <si>
    <t>cwn</t>
  </si>
  <si>
    <t>Parca</t>
  </si>
  <si>
    <t>钝缘拟浮萤</t>
  </si>
  <si>
    <t>dyn</t>
  </si>
  <si>
    <t>Parco</t>
  </si>
  <si>
    <t>多毛拟浮萤</t>
  </si>
  <si>
    <t>Parda</t>
  </si>
  <si>
    <t>齿形拟浮萤</t>
  </si>
  <si>
    <t>cxn</t>
  </si>
  <si>
    <t>Parde</t>
  </si>
  <si>
    <t>腹突拟浮萤</t>
  </si>
  <si>
    <t>ftn</t>
  </si>
  <si>
    <t>背瘤拟浮萤</t>
  </si>
  <si>
    <t>bln</t>
  </si>
  <si>
    <t>猬刺拟浮萤</t>
  </si>
  <si>
    <t>Parec</t>
  </si>
  <si>
    <t>背刺拟浮萤</t>
  </si>
  <si>
    <t>Parge</t>
  </si>
  <si>
    <t>无刺拟浮萤</t>
  </si>
  <si>
    <t>Parin</t>
  </si>
  <si>
    <t>大型拟浮萤</t>
  </si>
  <si>
    <t>Parma</t>
  </si>
  <si>
    <t>乳突拟浮萤</t>
  </si>
  <si>
    <t>rtn</t>
  </si>
  <si>
    <t>小型拟浮萤</t>
  </si>
  <si>
    <t>xxn</t>
  </si>
  <si>
    <t>Parmi</t>
  </si>
  <si>
    <t>长拟浮萤</t>
  </si>
  <si>
    <t>cnf</t>
  </si>
  <si>
    <t>Parob</t>
  </si>
  <si>
    <t>斜突拟浮萤</t>
  </si>
  <si>
    <t>xtn</t>
  </si>
  <si>
    <t>Parpr</t>
  </si>
  <si>
    <t>网状拟浮萤</t>
  </si>
  <si>
    <t>wzn</t>
  </si>
  <si>
    <t>Parre</t>
  </si>
  <si>
    <t>棘刺拟浮萤</t>
  </si>
  <si>
    <t>jcn</t>
  </si>
  <si>
    <t>Parsp</t>
  </si>
  <si>
    <t>斜纹拟浮萤</t>
  </si>
  <si>
    <t>xwn</t>
  </si>
  <si>
    <t>Parvi</t>
  </si>
  <si>
    <t>拟浮萤属</t>
  </si>
  <si>
    <t>Paraconchoecia sp.</t>
  </si>
  <si>
    <t>nfy</t>
  </si>
  <si>
    <t>葱萤</t>
  </si>
  <si>
    <t>cy</t>
  </si>
  <si>
    <t>刺喙葱萤</t>
  </si>
  <si>
    <t>异果双浮萤</t>
  </si>
  <si>
    <t>ygs</t>
  </si>
  <si>
    <t>Disdi</t>
  </si>
  <si>
    <t>华丽双浮萤</t>
  </si>
  <si>
    <t>假异果双浮萤</t>
  </si>
  <si>
    <t>jyg</t>
  </si>
  <si>
    <t>Disps</t>
  </si>
  <si>
    <t>膨大双浮萤</t>
  </si>
  <si>
    <t>Discoconchoecia tamensis</t>
  </si>
  <si>
    <t>pds</t>
  </si>
  <si>
    <t>Dista</t>
  </si>
  <si>
    <t>双浮萤属</t>
  </si>
  <si>
    <t>Discoconchoecia sp.</t>
  </si>
  <si>
    <t>Dissp</t>
  </si>
  <si>
    <t>尖头毛浮萤</t>
  </si>
  <si>
    <t>jtm</t>
  </si>
  <si>
    <t>Conac</t>
  </si>
  <si>
    <t>球形毛浮萤</t>
  </si>
  <si>
    <t>qxm</t>
  </si>
  <si>
    <t>Congi</t>
  </si>
  <si>
    <t>刺肋小浮萤</t>
  </si>
  <si>
    <t>clx</t>
  </si>
  <si>
    <t>Micac</t>
  </si>
  <si>
    <t>短形小浮萤</t>
  </si>
  <si>
    <t>多刺小浮萤</t>
  </si>
  <si>
    <t>dcx</t>
  </si>
  <si>
    <t>Micec</t>
  </si>
  <si>
    <t>小斑小浮萤</t>
  </si>
  <si>
    <t>xbx</t>
  </si>
  <si>
    <t>Micst</t>
  </si>
  <si>
    <t>Micsp</t>
  </si>
  <si>
    <t>深海后浮萤</t>
  </si>
  <si>
    <t>shh</t>
  </si>
  <si>
    <t>Metab</t>
  </si>
  <si>
    <t>小腺后浮萤</t>
  </si>
  <si>
    <t>Metgl</t>
  </si>
  <si>
    <t>等手后浮萤</t>
  </si>
  <si>
    <t>dsh</t>
  </si>
  <si>
    <t>Metis</t>
  </si>
  <si>
    <t>弓曲后浮萤</t>
  </si>
  <si>
    <t>gqh</t>
  </si>
  <si>
    <t>Metky</t>
  </si>
  <si>
    <t>弱小后浮萤</t>
  </si>
  <si>
    <t>rxh</t>
  </si>
  <si>
    <t>Metpu</t>
  </si>
  <si>
    <t>圆形后浮萤</t>
  </si>
  <si>
    <t>yxh</t>
  </si>
  <si>
    <t>斯氏后浮萤</t>
  </si>
  <si>
    <t>Metsk</t>
  </si>
  <si>
    <t>平滑后浮萤</t>
  </si>
  <si>
    <t>phh</t>
  </si>
  <si>
    <t>Mette</t>
  </si>
  <si>
    <t>粗大后浮萤</t>
  </si>
  <si>
    <t>cdh</t>
  </si>
  <si>
    <t>Metma</t>
  </si>
  <si>
    <t>后浮萤属</t>
  </si>
  <si>
    <t>Metaconchoecia sp.</t>
  </si>
  <si>
    <t>hfy</t>
  </si>
  <si>
    <t>Metsp</t>
  </si>
  <si>
    <t>大西洋直浮萤</t>
  </si>
  <si>
    <t>Ortat</t>
  </si>
  <si>
    <t>双刺直浮萤</t>
  </si>
  <si>
    <t>哈氏直浮萤</t>
  </si>
  <si>
    <t>hsz</t>
  </si>
  <si>
    <t>Ortha</t>
  </si>
  <si>
    <t>短刺直浮萤</t>
  </si>
  <si>
    <t>dcz</t>
  </si>
  <si>
    <t>Ortse</t>
  </si>
  <si>
    <t>条纹直浮萤</t>
  </si>
  <si>
    <t>Ortst</t>
  </si>
  <si>
    <t>直浮萤属</t>
  </si>
  <si>
    <t>Orthoconchoecia sp.</t>
  </si>
  <si>
    <t>Ortsp</t>
  </si>
  <si>
    <t>粗刺刺萤</t>
  </si>
  <si>
    <t>ccc</t>
  </si>
  <si>
    <t>Spicr</t>
  </si>
  <si>
    <t>贞女刺萤</t>
  </si>
  <si>
    <t>zyc</t>
  </si>
  <si>
    <t>Spipa</t>
  </si>
  <si>
    <t>假贞女刺萤</t>
  </si>
  <si>
    <t>jzn</t>
  </si>
  <si>
    <t>Spips</t>
  </si>
  <si>
    <t>栉兜甲萤</t>
  </si>
  <si>
    <t>zdj</t>
  </si>
  <si>
    <t>Lorct</t>
  </si>
  <si>
    <t>兜甲萤</t>
  </si>
  <si>
    <t>djy</t>
  </si>
  <si>
    <t>Lorlo</t>
  </si>
  <si>
    <t>小齿曲萤</t>
  </si>
  <si>
    <t>xcq</t>
  </si>
  <si>
    <t>Gaued</t>
  </si>
  <si>
    <t>小刀曲萤</t>
  </si>
  <si>
    <t>xdq</t>
  </si>
  <si>
    <t>Gauga</t>
  </si>
  <si>
    <t>切曲萤</t>
  </si>
  <si>
    <t>qqy</t>
  </si>
  <si>
    <t>Gauin</t>
  </si>
  <si>
    <t>前腺扁浮萤</t>
  </si>
  <si>
    <t>qxb</t>
  </si>
  <si>
    <t>Plapr</t>
  </si>
  <si>
    <t>巨形瓦浮萤</t>
  </si>
  <si>
    <t>jxw</t>
  </si>
  <si>
    <t>Conam</t>
  </si>
  <si>
    <t>长额瓦浮萤</t>
  </si>
  <si>
    <t>cew</t>
  </si>
  <si>
    <t>Conim</t>
  </si>
  <si>
    <t>砖形瓦浮萤</t>
  </si>
  <si>
    <t>zxw</t>
  </si>
  <si>
    <t>Conpl</t>
  </si>
  <si>
    <t>对称瓦浮萤</t>
  </si>
  <si>
    <t>Consy</t>
  </si>
  <si>
    <t>具刺软萤</t>
  </si>
  <si>
    <t>jcr</t>
  </si>
  <si>
    <t>Molac</t>
  </si>
  <si>
    <t>齿突软萤</t>
  </si>
  <si>
    <t>ctr</t>
  </si>
  <si>
    <t>Molka</t>
  </si>
  <si>
    <t>软萤</t>
  </si>
  <si>
    <t>ry</t>
  </si>
  <si>
    <t>Molmo</t>
  </si>
  <si>
    <t>敏氏软萤</t>
  </si>
  <si>
    <t>msr</t>
  </si>
  <si>
    <t>Molmi</t>
  </si>
  <si>
    <t>软萤属</t>
  </si>
  <si>
    <t>Mollicia sp.</t>
  </si>
  <si>
    <t>rys</t>
  </si>
  <si>
    <t>Molsp</t>
  </si>
  <si>
    <t>双叉拟软萤</t>
  </si>
  <si>
    <t>scn</t>
  </si>
  <si>
    <t>圆盘拟软萤</t>
  </si>
  <si>
    <t>ypn</t>
  </si>
  <si>
    <t>Parpl</t>
  </si>
  <si>
    <t>嘴拟软萤</t>
  </si>
  <si>
    <t>znr</t>
  </si>
  <si>
    <t>Parrh</t>
  </si>
  <si>
    <t>锡博加拟软萤</t>
  </si>
  <si>
    <t>xbj</t>
  </si>
  <si>
    <t>Parsi</t>
  </si>
  <si>
    <t>拟软萤属</t>
  </si>
  <si>
    <t>Paramollicia sp.</t>
  </si>
  <si>
    <t>nry</t>
  </si>
  <si>
    <t>钝额齿浮萤</t>
  </si>
  <si>
    <t>dec</t>
  </si>
  <si>
    <t>Conda</t>
  </si>
  <si>
    <t>尖额齿浮萤</t>
  </si>
  <si>
    <t>jec</t>
  </si>
  <si>
    <t>尖尾翼萤</t>
  </si>
  <si>
    <t>jwy</t>
  </si>
  <si>
    <t>Alaal</t>
  </si>
  <si>
    <t>小尖尾翼萤</t>
  </si>
  <si>
    <t>xjw</t>
  </si>
  <si>
    <t>ldx</t>
  </si>
  <si>
    <t>多腺翼萤</t>
  </si>
  <si>
    <t>Alabe</t>
  </si>
  <si>
    <t>锯状翼萤</t>
  </si>
  <si>
    <t>jzy</t>
  </si>
  <si>
    <t>二腺翼萤</t>
  </si>
  <si>
    <t>exy</t>
  </si>
  <si>
    <t>Alahe</t>
  </si>
  <si>
    <t>厚缘翼萤</t>
  </si>
  <si>
    <t>Alale</t>
  </si>
  <si>
    <t>翼萤属</t>
  </si>
  <si>
    <t>Alacia sp.</t>
  </si>
  <si>
    <t>yys</t>
  </si>
  <si>
    <t>Alasp</t>
  </si>
  <si>
    <t>同心假浮萤</t>
  </si>
  <si>
    <t>txj</t>
  </si>
  <si>
    <t>锯齿假浮萤</t>
  </si>
  <si>
    <t>jcj</t>
  </si>
  <si>
    <t>Psese</t>
  </si>
  <si>
    <t>南极拱萤</t>
  </si>
  <si>
    <t>njg</t>
  </si>
  <si>
    <t>Obtan</t>
  </si>
  <si>
    <t>北方贪萤</t>
  </si>
  <si>
    <t>Boroecia barealis</t>
  </si>
  <si>
    <t>bft</t>
  </si>
  <si>
    <t>Borba</t>
  </si>
  <si>
    <t>jxl</t>
  </si>
  <si>
    <t>中华哲水蚤</t>
  </si>
  <si>
    <t>zhz</t>
  </si>
  <si>
    <t>Calsi</t>
  </si>
  <si>
    <t>桡足类</t>
  </si>
  <si>
    <t>达氏筛哲水蚤</t>
  </si>
  <si>
    <t>cosda</t>
  </si>
  <si>
    <t>瘦新哲水蚤</t>
  </si>
  <si>
    <t>sxz</t>
  </si>
  <si>
    <t>Neogr</t>
  </si>
  <si>
    <t>粗新哲水蚤</t>
  </si>
  <si>
    <t>Neoro</t>
  </si>
  <si>
    <t>xjx</t>
  </si>
  <si>
    <t>Calca</t>
  </si>
  <si>
    <t>微刺哲水蚤</t>
  </si>
  <si>
    <t>wcz</t>
  </si>
  <si>
    <t>Canpa</t>
  </si>
  <si>
    <t>小哲水蚤</t>
  </si>
  <si>
    <t>xzs</t>
  </si>
  <si>
    <t>Nanmi</t>
  </si>
  <si>
    <t>普通波水蚤</t>
  </si>
  <si>
    <t>ptb</t>
  </si>
  <si>
    <t>Undvu</t>
  </si>
  <si>
    <t>瘦长真哲水蚤</t>
  </si>
  <si>
    <t>jez</t>
  </si>
  <si>
    <t>mxz</t>
  </si>
  <si>
    <t>真哲水蚤属</t>
  </si>
  <si>
    <t>Eucalanus sp.</t>
  </si>
  <si>
    <t>zzs</t>
  </si>
  <si>
    <t>角锚真哲水蚤</t>
  </si>
  <si>
    <t>jmz</t>
  </si>
  <si>
    <t>Rhico</t>
  </si>
  <si>
    <t>鼻锚真哲水蚤</t>
  </si>
  <si>
    <t>bmz</t>
  </si>
  <si>
    <t>Rhina</t>
  </si>
  <si>
    <t>Giesbrecht</t>
  </si>
  <si>
    <t>彩额锚真哲水蚤</t>
  </si>
  <si>
    <t>cem</t>
  </si>
  <si>
    <t>rhiro</t>
  </si>
  <si>
    <t>克氏长角哲水蚤</t>
  </si>
  <si>
    <t>Meccl</t>
  </si>
  <si>
    <t>小拟哲水蚤</t>
  </si>
  <si>
    <t>针刺拟哲水蚤</t>
  </si>
  <si>
    <t>zcn</t>
  </si>
  <si>
    <t>Parac</t>
  </si>
  <si>
    <t>qen</t>
  </si>
  <si>
    <t>Parcr</t>
  </si>
  <si>
    <t>瘦拟哲水蚤</t>
  </si>
  <si>
    <t>snz</t>
  </si>
  <si>
    <t>Pargr</t>
  </si>
  <si>
    <t>锯缘拟哲水蚤</t>
  </si>
  <si>
    <t>Paracalanus serrulus</t>
  </si>
  <si>
    <t>jyn</t>
  </si>
  <si>
    <t>Parse</t>
  </si>
  <si>
    <t>矮拟哲水蚤</t>
  </si>
  <si>
    <t>anz</t>
  </si>
  <si>
    <t>Parna</t>
  </si>
  <si>
    <t>裸拟哲水蚤</t>
  </si>
  <si>
    <t>lnz</t>
  </si>
  <si>
    <t>拟哲水蚤属</t>
  </si>
  <si>
    <t>Paracalanus sp.</t>
  </si>
  <si>
    <t>nzs</t>
  </si>
  <si>
    <t>中华矮隆哲水蚤</t>
  </si>
  <si>
    <t>zha</t>
  </si>
  <si>
    <t>Bessi</t>
  </si>
  <si>
    <t>厦门矮隆哲水蚤</t>
  </si>
  <si>
    <t>xma</t>
  </si>
  <si>
    <t>Besam</t>
  </si>
  <si>
    <t>孔雀丽哲水蚤</t>
  </si>
  <si>
    <t>kql</t>
  </si>
  <si>
    <t>羽丽哲水蚤</t>
  </si>
  <si>
    <t>ylz</t>
  </si>
  <si>
    <t>Calpl</t>
  </si>
  <si>
    <t>锦丽哲水蚤</t>
  </si>
  <si>
    <t>jlz</t>
  </si>
  <si>
    <t>针丽哲水蚤</t>
  </si>
  <si>
    <t>zlz</t>
  </si>
  <si>
    <t>Calst</t>
  </si>
  <si>
    <t>短缩丽哲水蚤</t>
  </si>
  <si>
    <t>dsl</t>
  </si>
  <si>
    <t>单刺丽哲水蚤</t>
  </si>
  <si>
    <t>Calmo</t>
  </si>
  <si>
    <t>瘦丽哲水蚤</t>
  </si>
  <si>
    <t>slz</t>
  </si>
  <si>
    <t>Calgr</t>
  </si>
  <si>
    <t>丽哲水蚤属</t>
  </si>
  <si>
    <t>Calocalanus sp.</t>
  </si>
  <si>
    <t>Calsp</t>
  </si>
  <si>
    <t>微驼隆哲水蚤</t>
  </si>
  <si>
    <t>wtl</t>
  </si>
  <si>
    <t>Acrgr</t>
  </si>
  <si>
    <t>驼背隆哲水蚤</t>
  </si>
  <si>
    <t>tbl</t>
  </si>
  <si>
    <t>Acrgi</t>
  </si>
  <si>
    <t>长角隆哲水蚤</t>
  </si>
  <si>
    <t>Acrlo</t>
  </si>
  <si>
    <t>单隆哲水蚤</t>
  </si>
  <si>
    <t>dlz</t>
  </si>
  <si>
    <t>Acrmo</t>
  </si>
  <si>
    <t>印度隆哲水蚤</t>
  </si>
  <si>
    <t>ydl</t>
  </si>
  <si>
    <t>Acrin</t>
  </si>
  <si>
    <t>安氏隆哲水蚤</t>
  </si>
  <si>
    <t>Acran</t>
  </si>
  <si>
    <t>Bowman</t>
  </si>
  <si>
    <t>隆哲水蚤属</t>
  </si>
  <si>
    <t>Acrocalanus sp.</t>
  </si>
  <si>
    <t>Acrsp</t>
  </si>
  <si>
    <t>弓角基齿哲水蚤</t>
  </si>
  <si>
    <t>gjj</t>
  </si>
  <si>
    <t>Claar</t>
  </si>
  <si>
    <t>长尾基齿哲水蚤</t>
  </si>
  <si>
    <t>cwj</t>
  </si>
  <si>
    <t>Clafu</t>
  </si>
  <si>
    <t>短尾基齿哲水蚤</t>
  </si>
  <si>
    <t>dwj</t>
  </si>
  <si>
    <t>Clape</t>
  </si>
  <si>
    <t>法氏基齿哲水蚤</t>
  </si>
  <si>
    <t>fsj</t>
  </si>
  <si>
    <t>Clafa</t>
  </si>
  <si>
    <t>厚基齿哲水蚤</t>
  </si>
  <si>
    <t>Clausocalanus paululus</t>
  </si>
  <si>
    <t>hjc</t>
  </si>
  <si>
    <t>Clapa</t>
  </si>
  <si>
    <t>拟鞭基齿哲水蚤</t>
  </si>
  <si>
    <t>Clausocalanus mastigophorus</t>
  </si>
  <si>
    <t>nbj</t>
  </si>
  <si>
    <t>Clama</t>
  </si>
  <si>
    <t>小基齿哲水蚤</t>
  </si>
  <si>
    <t>Clami</t>
  </si>
  <si>
    <t>jjc</t>
  </si>
  <si>
    <t>宽头基齿哲水蚤</t>
  </si>
  <si>
    <t>ktj</t>
  </si>
  <si>
    <t>Clala</t>
  </si>
  <si>
    <t>基齿哲水蚤属</t>
  </si>
  <si>
    <t>Clausocalanus sp.</t>
  </si>
  <si>
    <t>Clasp</t>
  </si>
  <si>
    <t>空栉哲水蚤</t>
  </si>
  <si>
    <t>Ctenocalanus vanus</t>
  </si>
  <si>
    <t>kzz</t>
  </si>
  <si>
    <t>Cteva</t>
  </si>
  <si>
    <t>小微哲水蚤</t>
  </si>
  <si>
    <t>Microcalanus pusillus</t>
  </si>
  <si>
    <t>xwz</t>
  </si>
  <si>
    <t>Micpu</t>
  </si>
  <si>
    <t>大刺哲水蚤</t>
  </si>
  <si>
    <t>Spinocalanus magnus</t>
  </si>
  <si>
    <t>多毛刺哲水蚤</t>
  </si>
  <si>
    <t>Spinocalanus spinosus</t>
  </si>
  <si>
    <t>dmc</t>
  </si>
  <si>
    <t>Spisp</t>
  </si>
  <si>
    <t>窄头刺哲水蚤</t>
  </si>
  <si>
    <t>Spian</t>
  </si>
  <si>
    <t>寡毛刺哲水蚤</t>
  </si>
  <si>
    <t>Spinocalanus oligospinosus</t>
  </si>
  <si>
    <t>gmc</t>
  </si>
  <si>
    <t>Spiol</t>
  </si>
  <si>
    <t>粗刺哲水蚤</t>
  </si>
  <si>
    <t>Spinocalanus horridus</t>
  </si>
  <si>
    <t>ccz</t>
  </si>
  <si>
    <t>Spiho</t>
  </si>
  <si>
    <t>刺哲水蚤属</t>
  </si>
  <si>
    <t>Spinocalanus sp.</t>
  </si>
  <si>
    <t>czs</t>
  </si>
  <si>
    <t>刀仿哲水蚤</t>
  </si>
  <si>
    <t>Mimocalanus cultrifer</t>
  </si>
  <si>
    <t>Mimcu</t>
  </si>
  <si>
    <t>典型异足水蚤</t>
  </si>
  <si>
    <t>Monty</t>
  </si>
  <si>
    <t>冷镰水蚤</t>
  </si>
  <si>
    <t>lls</t>
  </si>
  <si>
    <t>缺足镰水蚤</t>
  </si>
  <si>
    <t>武装鹰嘴水蚤</t>
  </si>
  <si>
    <t>wzy</t>
  </si>
  <si>
    <t>Aetar</t>
  </si>
  <si>
    <t>jsz</t>
  </si>
  <si>
    <t>盔甲刺额水蚤</t>
  </si>
  <si>
    <t>Undinopsis armatus</t>
  </si>
  <si>
    <t>Undar</t>
  </si>
  <si>
    <t>Chipo</t>
  </si>
  <si>
    <t>瘦袖水蚤</t>
  </si>
  <si>
    <t>Chiridius gracilis</t>
  </si>
  <si>
    <t>Chigr</t>
  </si>
  <si>
    <t>粗指小袖水蚤</t>
  </si>
  <si>
    <t>Chiridiella macrodactyla</t>
  </si>
  <si>
    <t>Chima</t>
  </si>
  <si>
    <t>小枪水蚤</t>
  </si>
  <si>
    <t>Gaetanus minor</t>
  </si>
  <si>
    <t>长角枪水蚤</t>
  </si>
  <si>
    <t>cjq</t>
  </si>
  <si>
    <t>帽形枪水蚤</t>
  </si>
  <si>
    <t>Gaetanus pileatus</t>
  </si>
  <si>
    <t>mxq</t>
  </si>
  <si>
    <t>Gaepi</t>
  </si>
  <si>
    <t>短角枪水蚤</t>
  </si>
  <si>
    <t>Gaetanus brevicornis</t>
  </si>
  <si>
    <t>djq</t>
  </si>
  <si>
    <t>Gaebr</t>
  </si>
  <si>
    <t>枪水蚤属</t>
  </si>
  <si>
    <t>Gaetanus sp.</t>
  </si>
  <si>
    <t>qsz</t>
  </si>
  <si>
    <t>Gaesp</t>
  </si>
  <si>
    <t>刺盾水蚤</t>
  </si>
  <si>
    <t>cds</t>
  </si>
  <si>
    <t>Gaipu</t>
  </si>
  <si>
    <t>粗壮真胖水蚤</t>
  </si>
  <si>
    <t>czz</t>
  </si>
  <si>
    <t>Eucam</t>
  </si>
  <si>
    <t>秀真胖水蚤</t>
  </si>
  <si>
    <t>xzp</t>
  </si>
  <si>
    <t>Eucbe</t>
  </si>
  <si>
    <t>短尾真胖水蚤</t>
  </si>
  <si>
    <t>dwz</t>
  </si>
  <si>
    <t>Euccu</t>
  </si>
  <si>
    <t>盔头真胖水蚤</t>
  </si>
  <si>
    <t>ktz</t>
  </si>
  <si>
    <t>Eucga</t>
  </si>
  <si>
    <t>丽真胖水蚤</t>
  </si>
  <si>
    <t>Euchirella venusta</t>
  </si>
  <si>
    <t>lzp</t>
  </si>
  <si>
    <t>单刺真胖水蚤</t>
  </si>
  <si>
    <t>Euchirella unispina</t>
  </si>
  <si>
    <t>Eucun</t>
  </si>
  <si>
    <t>锦真胖水蚤</t>
  </si>
  <si>
    <t>Euchirella pulchra</t>
  </si>
  <si>
    <t>jzp</t>
  </si>
  <si>
    <t>Eucpu</t>
  </si>
  <si>
    <t>东方真胖水蚤</t>
  </si>
  <si>
    <t>Euchirella orientalis</t>
  </si>
  <si>
    <t>Eucor</t>
  </si>
  <si>
    <t>印度真胖水蚤</t>
  </si>
  <si>
    <t>Euchirella indica</t>
  </si>
  <si>
    <t>ydz</t>
  </si>
  <si>
    <t>Eucin</t>
  </si>
  <si>
    <t>墨塞真胖水蚤</t>
  </si>
  <si>
    <t>Euchirella messinensis</t>
  </si>
  <si>
    <t>msz</t>
  </si>
  <si>
    <t>巨真胖水蚤</t>
  </si>
  <si>
    <t>Euchirella maxima</t>
  </si>
  <si>
    <t>喙真胖水蚤</t>
  </si>
  <si>
    <t>Euchirella rostrata</t>
  </si>
  <si>
    <t>yzp</t>
  </si>
  <si>
    <t>Eucro</t>
  </si>
  <si>
    <t>双突真胖水蚤</t>
  </si>
  <si>
    <t>Euchirella bitumida</t>
  </si>
  <si>
    <t>stz</t>
  </si>
  <si>
    <t>真胖水蚤属</t>
  </si>
  <si>
    <t>Euchirella sp.</t>
  </si>
  <si>
    <t>zps</t>
  </si>
  <si>
    <t>斯氏手水蚤</t>
  </si>
  <si>
    <t>Chirundina streetsi</t>
  </si>
  <si>
    <t>Chist</t>
  </si>
  <si>
    <t>羽波刺水蚤</t>
  </si>
  <si>
    <t>Undeuchaeta plumosa</t>
  </si>
  <si>
    <t>ybc</t>
  </si>
  <si>
    <t>Undpl</t>
  </si>
  <si>
    <t>中型波刺水蚤</t>
  </si>
  <si>
    <t>Undeuchaeta intermedia</t>
  </si>
  <si>
    <t>Undin</t>
  </si>
  <si>
    <t>大波刺水蚤</t>
  </si>
  <si>
    <t>Undma</t>
  </si>
  <si>
    <t>茸伪胖水蚤</t>
  </si>
  <si>
    <t>Pseudochirella scopularis</t>
  </si>
  <si>
    <t>rwp</t>
  </si>
  <si>
    <t>Psesc</t>
  </si>
  <si>
    <t>A. Scott</t>
  </si>
  <si>
    <t>精致真刺水蚤</t>
  </si>
  <si>
    <t>Eucco</t>
  </si>
  <si>
    <t>长角真刺水蚤</t>
  </si>
  <si>
    <t>Euclo</t>
  </si>
  <si>
    <t>平滑真刺水蚤</t>
  </si>
  <si>
    <t>phz</t>
  </si>
  <si>
    <t>Eucpl</t>
  </si>
  <si>
    <t>Mori</t>
  </si>
  <si>
    <t>中型真刺水蚤</t>
  </si>
  <si>
    <t>zxz</t>
  </si>
  <si>
    <t>小刺真刺水蚤</t>
  </si>
  <si>
    <t>尖真刺水蚤</t>
  </si>
  <si>
    <t>瘦真刺水蚤</t>
  </si>
  <si>
    <t>Eucte</t>
  </si>
  <si>
    <t>印度真刺水蚤</t>
  </si>
  <si>
    <t>Euchaeta sp.</t>
  </si>
  <si>
    <t>芦氏拟真刺水蚤</t>
  </si>
  <si>
    <t>Parru</t>
  </si>
  <si>
    <t>黄拟真刺水蚤</t>
  </si>
  <si>
    <t>hnz</t>
  </si>
  <si>
    <t>Parfl</t>
  </si>
  <si>
    <t>舟拟真刺水蚤</t>
  </si>
  <si>
    <t>znz</t>
  </si>
  <si>
    <t>Parsc</t>
  </si>
  <si>
    <t>(Fontaine)</t>
  </si>
  <si>
    <t>马来拟真刺水蚤</t>
  </si>
  <si>
    <t>mln</t>
  </si>
  <si>
    <t>瘤拟真刺水蚤</t>
  </si>
  <si>
    <t>Pareuchaeta tuberculata</t>
  </si>
  <si>
    <t>Partu</t>
  </si>
  <si>
    <t>韦氏拟真刺水蚤</t>
  </si>
  <si>
    <t>Pareuchaeta weberi</t>
  </si>
  <si>
    <t>wsn</t>
  </si>
  <si>
    <t>Parwe</t>
  </si>
  <si>
    <t>拟真刺水蚤属</t>
  </si>
  <si>
    <t>Pareuchaeta sp.</t>
  </si>
  <si>
    <t>nzc</t>
  </si>
  <si>
    <t>刺褐水蚤</t>
  </si>
  <si>
    <t>Phaenna spinifera</t>
  </si>
  <si>
    <t>chs</t>
  </si>
  <si>
    <t>Phasp</t>
  </si>
  <si>
    <t>双突黄水蚤</t>
  </si>
  <si>
    <t>Xanthocalanus dilatus</t>
  </si>
  <si>
    <t>sth</t>
  </si>
  <si>
    <t>Xandi</t>
  </si>
  <si>
    <t>Grice</t>
  </si>
  <si>
    <t>活泼黄水蚤</t>
  </si>
  <si>
    <t>hph</t>
  </si>
  <si>
    <t>Xanag</t>
  </si>
  <si>
    <t>多刺黄水蚤</t>
  </si>
  <si>
    <t>Xanthocalanus multispinus</t>
  </si>
  <si>
    <t>dch</t>
  </si>
  <si>
    <t>Xanmu</t>
  </si>
  <si>
    <t>双齿卵毛水蚤</t>
  </si>
  <si>
    <t>scl</t>
  </si>
  <si>
    <t>冠爪哲水蚤</t>
  </si>
  <si>
    <t>Onchocalanus cristatus</t>
  </si>
  <si>
    <t>Onccr</t>
  </si>
  <si>
    <t>斧暗哲水蚤</t>
  </si>
  <si>
    <t>Scottocalanus securifrons</t>
  </si>
  <si>
    <t>Scose</t>
  </si>
  <si>
    <t>叉暗哲水蚤</t>
  </si>
  <si>
    <t>caz</t>
  </si>
  <si>
    <t>Scope</t>
  </si>
  <si>
    <t>海伦暗哲水蚤</t>
  </si>
  <si>
    <t>Scohe</t>
  </si>
  <si>
    <t>法氏暗哲水蚤</t>
  </si>
  <si>
    <t>Scottocalanus farrani</t>
  </si>
  <si>
    <t>fsz</t>
  </si>
  <si>
    <t>Scofa</t>
  </si>
  <si>
    <t>静暗哲水蚤</t>
  </si>
  <si>
    <t>Scottocalanus sedatus</t>
  </si>
  <si>
    <t>jaz</t>
  </si>
  <si>
    <t>Scoau</t>
  </si>
  <si>
    <t>圆暗哲水蚤</t>
  </si>
  <si>
    <t>Scottocalanus rotundatus</t>
  </si>
  <si>
    <t>yaz</t>
  </si>
  <si>
    <t>Scoro</t>
  </si>
  <si>
    <t>汤氏暗哲水蚤</t>
  </si>
  <si>
    <t>Scottocalanus thomasi</t>
  </si>
  <si>
    <t>tsa</t>
  </si>
  <si>
    <t>Scoth</t>
  </si>
  <si>
    <t>暗哲水蚤属</t>
  </si>
  <si>
    <t>Scottocalanus sp.</t>
  </si>
  <si>
    <t>低额脊水蚤</t>
  </si>
  <si>
    <t>Lophothrix latipes</t>
  </si>
  <si>
    <t>dej</t>
  </si>
  <si>
    <t>Lopla</t>
  </si>
  <si>
    <t>高额脊水蚤</t>
  </si>
  <si>
    <t>Lophothrix frontalis</t>
  </si>
  <si>
    <t>gej</t>
  </si>
  <si>
    <t>Lopfr</t>
  </si>
  <si>
    <t>双刺麦壳水蚤</t>
  </si>
  <si>
    <t>Macandrewella joanae</t>
  </si>
  <si>
    <t>scm</t>
  </si>
  <si>
    <t>Macjo</t>
  </si>
  <si>
    <t>小突麦壳水蚤</t>
  </si>
  <si>
    <t>Macandrewella tuberculata</t>
  </si>
  <si>
    <t>xtm</t>
  </si>
  <si>
    <t>Mactu</t>
  </si>
  <si>
    <t>锯齿舟哲水蚤</t>
  </si>
  <si>
    <t>Scaphocalanus echinatus</t>
  </si>
  <si>
    <t>Scaec</t>
  </si>
  <si>
    <t>长叉舟哲水蚤</t>
  </si>
  <si>
    <t>Scaphocalanus longifurca</t>
  </si>
  <si>
    <t>大舟哲水蚤</t>
  </si>
  <si>
    <t>Scaphocalanus magnus</t>
  </si>
  <si>
    <t>Scaphocalanus brevicornis</t>
  </si>
  <si>
    <t>Scabr</t>
  </si>
  <si>
    <t>巨舟哲水蚤</t>
  </si>
  <si>
    <t>Scaphocalanus major</t>
  </si>
  <si>
    <t>舟哲水蚤属</t>
  </si>
  <si>
    <t>Scaphocalanus sp.</t>
  </si>
  <si>
    <t>Scasp</t>
  </si>
  <si>
    <t>平滑异尾水蚤</t>
  </si>
  <si>
    <t>Racovitzanus levis</t>
  </si>
  <si>
    <t>phy</t>
  </si>
  <si>
    <t>Racle</t>
  </si>
  <si>
    <t>丹氏厚壳水蚤</t>
  </si>
  <si>
    <t>Scoda</t>
  </si>
  <si>
    <t>缘齿厚壳水蚤</t>
  </si>
  <si>
    <t>ych</t>
  </si>
  <si>
    <t>Sconi</t>
  </si>
  <si>
    <t>Scobr</t>
  </si>
  <si>
    <t>细齿小厚壳水蚤</t>
  </si>
  <si>
    <t>xcx</t>
  </si>
  <si>
    <t>Scote</t>
  </si>
  <si>
    <t>长刺小厚壳水蚤</t>
  </si>
  <si>
    <t>ccx</t>
  </si>
  <si>
    <t>Scolo</t>
  </si>
  <si>
    <t>小型小厚壳水蚤</t>
  </si>
  <si>
    <t>xxx</t>
  </si>
  <si>
    <t>Scomi</t>
  </si>
  <si>
    <t>深小厚壳水蚤</t>
  </si>
  <si>
    <t>sxh</t>
  </si>
  <si>
    <t>Scoab</t>
  </si>
  <si>
    <t>叶足小厚壳水蚤</t>
  </si>
  <si>
    <t>yzx</t>
  </si>
  <si>
    <t>Scode</t>
  </si>
  <si>
    <t>活泼小厚壳水蚤</t>
  </si>
  <si>
    <t>Scovi</t>
  </si>
  <si>
    <t>法氏小厚壳水蚤</t>
  </si>
  <si>
    <t>fsx</t>
  </si>
  <si>
    <t>Scofo</t>
  </si>
  <si>
    <t>热带小厚壳水蚤</t>
  </si>
  <si>
    <t>rdx</t>
  </si>
  <si>
    <t>Scotr</t>
  </si>
  <si>
    <t>zxh</t>
  </si>
  <si>
    <t>Scoct</t>
  </si>
  <si>
    <t>卵形小厚壳水蚤</t>
  </si>
  <si>
    <t>lxx</t>
  </si>
  <si>
    <t>Scoov</t>
  </si>
  <si>
    <t>Scoal</t>
  </si>
  <si>
    <t>弱小厚壳水蚤</t>
  </si>
  <si>
    <t>Scoti</t>
  </si>
  <si>
    <t>强小厚壳水蚤</t>
  </si>
  <si>
    <t>qxh</t>
  </si>
  <si>
    <t>Scova</t>
  </si>
  <si>
    <t>jxh</t>
  </si>
  <si>
    <t>gxh</t>
  </si>
  <si>
    <t>小厚壳水蚤属</t>
  </si>
  <si>
    <t>Scolecithricella sp.</t>
  </si>
  <si>
    <t>xhk</t>
  </si>
  <si>
    <t>五刺冠水蚤</t>
  </si>
  <si>
    <t>Stephos pentacanthos</t>
  </si>
  <si>
    <t>wcg</t>
  </si>
  <si>
    <t>Stepe</t>
  </si>
  <si>
    <t>锥形宽水蚤</t>
  </si>
  <si>
    <t>zxk</t>
  </si>
  <si>
    <t>Temtu</t>
  </si>
  <si>
    <t>异尾宽水蚤</t>
  </si>
  <si>
    <t>ywk</t>
  </si>
  <si>
    <t>Temdi</t>
  </si>
  <si>
    <t>柱形宽水蚤</t>
  </si>
  <si>
    <t>Temst</t>
  </si>
  <si>
    <t>太平洋真宽水蚤</t>
  </si>
  <si>
    <t>Eurpa</t>
  </si>
  <si>
    <t>腹突拟宽水蚤</t>
  </si>
  <si>
    <t>Temoropia mayumbaensis</t>
  </si>
  <si>
    <t>Temma</t>
  </si>
  <si>
    <t>Temorites brevis</t>
  </si>
  <si>
    <t>dxk</t>
  </si>
  <si>
    <t>Tembr</t>
  </si>
  <si>
    <t>前长腹水蚤</t>
  </si>
  <si>
    <t>Metridia princeps</t>
  </si>
  <si>
    <t>qcf</t>
  </si>
  <si>
    <t>Metpr</t>
  </si>
  <si>
    <t>短尾长腹水蚤</t>
  </si>
  <si>
    <t>Metridia brevicauda</t>
  </si>
  <si>
    <t>Metbr</t>
  </si>
  <si>
    <t>美丽长腹水蚤</t>
  </si>
  <si>
    <t>Metridia venusta</t>
  </si>
  <si>
    <t>Metve</t>
  </si>
  <si>
    <t>大长腹水蚤</t>
  </si>
  <si>
    <t>Metridia macrura</t>
  </si>
  <si>
    <t>剑乳点水蚤</t>
  </si>
  <si>
    <t>jrd</t>
  </si>
  <si>
    <t>Plexi</t>
  </si>
  <si>
    <t>腹突乳点水蚤</t>
  </si>
  <si>
    <t>ftr</t>
  </si>
  <si>
    <t>Pleab</t>
  </si>
  <si>
    <t>粗乳点水蚤</t>
  </si>
  <si>
    <t>crd</t>
  </si>
  <si>
    <t>Plero</t>
  </si>
  <si>
    <t>北方乳点水蚤</t>
  </si>
  <si>
    <t>bfr</t>
  </si>
  <si>
    <t>Plebo</t>
  </si>
  <si>
    <t>瘦乳点水蚤</t>
  </si>
  <si>
    <t>srd</t>
  </si>
  <si>
    <t>Plegr</t>
  </si>
  <si>
    <t>乳点水蚤属</t>
  </si>
  <si>
    <t>Pleuromamma sp.</t>
  </si>
  <si>
    <t>rds</t>
  </si>
  <si>
    <t>Plesp</t>
  </si>
  <si>
    <t>腹针胸刺水蚤</t>
  </si>
  <si>
    <t>Cenab</t>
  </si>
  <si>
    <t>瘦尾胸刺水蚤</t>
  </si>
  <si>
    <t>swx</t>
  </si>
  <si>
    <t>Cente</t>
  </si>
  <si>
    <t>Thompson et Scott</t>
  </si>
  <si>
    <t>背针胸刺水蚤</t>
  </si>
  <si>
    <t>bzx</t>
  </si>
  <si>
    <t>Cendo</t>
  </si>
  <si>
    <t>中华胸刺水蚤</t>
  </si>
  <si>
    <t>Censi</t>
  </si>
  <si>
    <t>细胸刺水蚤</t>
  </si>
  <si>
    <t>xxc</t>
  </si>
  <si>
    <t>Cengr</t>
  </si>
  <si>
    <t>哲胸刺水蚤</t>
  </si>
  <si>
    <t>zxc</t>
  </si>
  <si>
    <t>Cenca</t>
  </si>
  <si>
    <t>瘦长胸刺水蚤</t>
  </si>
  <si>
    <t>Cenel</t>
  </si>
  <si>
    <t>奥氏胸刺水蚤</t>
  </si>
  <si>
    <t>asx</t>
  </si>
  <si>
    <t>Cenor</t>
  </si>
  <si>
    <t>长角胸刺水蚤</t>
  </si>
  <si>
    <t>cjx</t>
  </si>
  <si>
    <t>Cenlo</t>
  </si>
  <si>
    <t>叉胸刺水蚤</t>
  </si>
  <si>
    <t>cxc</t>
  </si>
  <si>
    <t>Cenfu</t>
  </si>
  <si>
    <t>紫胸刺水蚤</t>
  </si>
  <si>
    <t>Cenvi</t>
  </si>
  <si>
    <t>短尾胸刺水蚤</t>
  </si>
  <si>
    <t>Cenbr</t>
  </si>
  <si>
    <t>胸刺水蚤属</t>
  </si>
  <si>
    <t>Centropages sp.</t>
  </si>
  <si>
    <t>xcs</t>
  </si>
  <si>
    <t>Censp</t>
  </si>
  <si>
    <t>细巧华哲水蚤</t>
  </si>
  <si>
    <t>xqh</t>
  </si>
  <si>
    <t>Sinte</t>
  </si>
  <si>
    <t>华哲水蚤</t>
  </si>
  <si>
    <t>hzs</t>
  </si>
  <si>
    <t>Sinsi</t>
  </si>
  <si>
    <t>左指华哲水蚤</t>
  </si>
  <si>
    <t>zzh</t>
  </si>
  <si>
    <t>Sinla</t>
  </si>
  <si>
    <t>长日华哲水蚤</t>
  </si>
  <si>
    <t>crh</t>
  </si>
  <si>
    <t>Sinso</t>
  </si>
  <si>
    <t>华哲水蚤属</t>
  </si>
  <si>
    <t>Sinocalanus sp.</t>
  </si>
  <si>
    <t>Sinsp</t>
  </si>
  <si>
    <t>海洋伪镖水蚤</t>
  </si>
  <si>
    <t>缺刻伪镖水蚤</t>
  </si>
  <si>
    <t>qkw</t>
  </si>
  <si>
    <t>Psein</t>
  </si>
  <si>
    <t>刷状伪镖水蚤</t>
  </si>
  <si>
    <t>Pseudodiaptomus penicillus</t>
  </si>
  <si>
    <t>szw</t>
  </si>
  <si>
    <t>Psepe</t>
  </si>
  <si>
    <t>Schin</t>
  </si>
  <si>
    <t>Schdu</t>
  </si>
  <si>
    <t>qzx</t>
  </si>
  <si>
    <t>Schfo</t>
  </si>
  <si>
    <t>长江新镖水蚤</t>
  </si>
  <si>
    <t>Neoya</t>
  </si>
  <si>
    <t>锥肢蒙镖水蚤</t>
  </si>
  <si>
    <t>Mongolodiaptomus birulai</t>
  </si>
  <si>
    <t>zzm</t>
  </si>
  <si>
    <t>Monbi</t>
  </si>
  <si>
    <t>米粒近镖水蚤</t>
  </si>
  <si>
    <t>Tropodiaptomus oryzanus</t>
  </si>
  <si>
    <t>mlj</t>
  </si>
  <si>
    <t>Troor</t>
  </si>
  <si>
    <t>黄角光水蚤</t>
  </si>
  <si>
    <t>卵形光水蚤</t>
  </si>
  <si>
    <t>克氏光水蚤</t>
  </si>
  <si>
    <t>ksg</t>
  </si>
  <si>
    <t>Luccl</t>
  </si>
  <si>
    <t>双光水蚤</t>
  </si>
  <si>
    <t>Lucge</t>
  </si>
  <si>
    <t>巨光水蚤</t>
  </si>
  <si>
    <t>Lucma</t>
  </si>
  <si>
    <t>大光水蚤</t>
  </si>
  <si>
    <t>吴氏光水蚤</t>
  </si>
  <si>
    <t>wsg</t>
  </si>
  <si>
    <t>Lucwo</t>
  </si>
  <si>
    <t>长齿光水蚤</t>
  </si>
  <si>
    <t>ccg</t>
  </si>
  <si>
    <t>Luclo</t>
  </si>
  <si>
    <t>短光水蚤</t>
  </si>
  <si>
    <t>Luccu</t>
  </si>
  <si>
    <t>瘦尾光水蚤</t>
  </si>
  <si>
    <t>swg</t>
  </si>
  <si>
    <t>Lucte</t>
  </si>
  <si>
    <t>双角光水蚤</t>
  </si>
  <si>
    <t>sjg</t>
  </si>
  <si>
    <t>Lucbi</t>
  </si>
  <si>
    <t>Lucsp</t>
  </si>
  <si>
    <t>lxd</t>
  </si>
  <si>
    <t>乳状异肢水蚤</t>
  </si>
  <si>
    <t>rzy</t>
  </si>
  <si>
    <t>Hetpa</t>
  </si>
  <si>
    <t>刺额异肢水蚤</t>
  </si>
  <si>
    <t>cey</t>
  </si>
  <si>
    <t>syz</t>
  </si>
  <si>
    <t>Hetvi</t>
  </si>
  <si>
    <t>克氏异肢水蚤</t>
  </si>
  <si>
    <t>ksy</t>
  </si>
  <si>
    <t>Hetcl</t>
  </si>
  <si>
    <t>深异肢水蚤</t>
  </si>
  <si>
    <t>Hetab</t>
  </si>
  <si>
    <t>myz</t>
  </si>
  <si>
    <t>cjy</t>
  </si>
  <si>
    <t>Hetlo</t>
  </si>
  <si>
    <t>Heterorhabdus sp.</t>
  </si>
  <si>
    <t>瘦半肢水蚤</t>
  </si>
  <si>
    <t>Mesorhabdus gracilis</t>
  </si>
  <si>
    <t>sbz</t>
  </si>
  <si>
    <t>Mesgr</t>
  </si>
  <si>
    <t>帕氏双刺水蚤</t>
  </si>
  <si>
    <t>pss</t>
  </si>
  <si>
    <t>Dispa</t>
  </si>
  <si>
    <t>长角海羽水蚤</t>
  </si>
  <si>
    <t>Hallo</t>
  </si>
  <si>
    <t>长须海羽水蚤</t>
  </si>
  <si>
    <t>Haloptilus longicirrus</t>
  </si>
  <si>
    <t>瘤海羽水蚤</t>
  </si>
  <si>
    <t>Haloptilus fertilis</t>
  </si>
  <si>
    <t>lhy</t>
  </si>
  <si>
    <t>Halfe</t>
  </si>
  <si>
    <t>奥氏海羽水蚤</t>
  </si>
  <si>
    <t>Haloptilus austini</t>
  </si>
  <si>
    <t>ash</t>
  </si>
  <si>
    <t>圆额海羽水蚤</t>
  </si>
  <si>
    <t>Haloptilus ornatus</t>
  </si>
  <si>
    <t>yeh</t>
  </si>
  <si>
    <t>Halor</t>
  </si>
  <si>
    <t>刺额海羽水蚤</t>
  </si>
  <si>
    <t>Haloptilus spiniceps</t>
  </si>
  <si>
    <t>ceh</t>
  </si>
  <si>
    <t>尖额海羽水蚤</t>
  </si>
  <si>
    <t>jeh</t>
  </si>
  <si>
    <t>Halmu</t>
  </si>
  <si>
    <t>尖头海羽水蚤</t>
  </si>
  <si>
    <t>Haloptilus oxycephalus</t>
  </si>
  <si>
    <t>jth</t>
  </si>
  <si>
    <t>Halox</t>
  </si>
  <si>
    <t>拟长须海羽水蚤</t>
  </si>
  <si>
    <t>Haloptilus paralongicirrus</t>
  </si>
  <si>
    <t>ncx</t>
  </si>
  <si>
    <t>锐额海羽水蚤</t>
  </si>
  <si>
    <t>Haloptilus acutifrons</t>
  </si>
  <si>
    <t>reh</t>
  </si>
  <si>
    <t>Halac</t>
  </si>
  <si>
    <t>瘦海羽水蚤</t>
  </si>
  <si>
    <t>Haloptilus tenuis</t>
  </si>
  <si>
    <t>shy</t>
  </si>
  <si>
    <t>宽额海羽水蚤</t>
  </si>
  <si>
    <t>Haloptilus bulliceps</t>
  </si>
  <si>
    <t>keh</t>
  </si>
  <si>
    <t>halbu</t>
  </si>
  <si>
    <t>海羽水蚤属</t>
  </si>
  <si>
    <t>Haloptilus sp.</t>
  </si>
  <si>
    <t>刺额亮羽水蚤</t>
  </si>
  <si>
    <t>cel</t>
  </si>
  <si>
    <t>Augsp</t>
  </si>
  <si>
    <t>长尾亮羽水蚤</t>
  </si>
  <si>
    <t>cwl</t>
  </si>
  <si>
    <t>Auglo</t>
  </si>
  <si>
    <t>大亮羽水蚤</t>
  </si>
  <si>
    <t>dly</t>
  </si>
  <si>
    <t>Augme</t>
  </si>
  <si>
    <t>冻亮羽水蚤</t>
  </si>
  <si>
    <t>Augaptilus glacialis</t>
  </si>
  <si>
    <t>Auggl</t>
  </si>
  <si>
    <t>线真亮羽水蚤</t>
  </si>
  <si>
    <t>Euafi</t>
  </si>
  <si>
    <t>长毛真亮羽水蚤</t>
  </si>
  <si>
    <t>Euaugaptilus hecticus</t>
  </si>
  <si>
    <t>Euahe</t>
  </si>
  <si>
    <t>瘤角真亮羽水蚤</t>
  </si>
  <si>
    <t>Euaugaptilus nodifrons</t>
  </si>
  <si>
    <t>ljz</t>
  </si>
  <si>
    <t>Euano</t>
  </si>
  <si>
    <t>帕氏真亮羽水蚤</t>
  </si>
  <si>
    <t>Euaugaptilus palumbii</t>
  </si>
  <si>
    <t>psz</t>
  </si>
  <si>
    <t>Euapa</t>
  </si>
  <si>
    <t>杂真亮羽水蚤</t>
  </si>
  <si>
    <t>Euaugaptilus mixtus</t>
  </si>
  <si>
    <t>zzl</t>
  </si>
  <si>
    <t>Euami</t>
  </si>
  <si>
    <t>Brodsky</t>
  </si>
  <si>
    <t>面真亮羽水蚤</t>
  </si>
  <si>
    <t>Euaugaptilus facilis</t>
  </si>
  <si>
    <t>Euafa</t>
  </si>
  <si>
    <t>近缘真亮羽水蚤</t>
  </si>
  <si>
    <t>jyz</t>
  </si>
  <si>
    <t>Euaaf</t>
  </si>
  <si>
    <t>真亮羽水蚤属</t>
  </si>
  <si>
    <t>Euaugaptilus sp.</t>
  </si>
  <si>
    <t>zly</t>
  </si>
  <si>
    <t>Euasp</t>
  </si>
  <si>
    <t>鼠刺亮羽水蚤</t>
  </si>
  <si>
    <t>Centraugaptilus rattrayi</t>
  </si>
  <si>
    <t>Cenra</t>
  </si>
  <si>
    <t>东方伪亮羽水蚤</t>
  </si>
  <si>
    <t>Pseudaugaptilus orientalis</t>
  </si>
  <si>
    <t>dfw</t>
  </si>
  <si>
    <t>Pseor</t>
  </si>
  <si>
    <t>多毛尖头水蚤</t>
  </si>
  <si>
    <t>Arietellus setosus</t>
  </si>
  <si>
    <t>dmj</t>
  </si>
  <si>
    <t>Arise</t>
  </si>
  <si>
    <t>针刺尖头水蚤</t>
  </si>
  <si>
    <t>Arietellus aculeatus</t>
  </si>
  <si>
    <t>Ariac</t>
  </si>
  <si>
    <t>羽尖头水蚤</t>
  </si>
  <si>
    <t>Arietellus plumifer</t>
  </si>
  <si>
    <t>yjt</t>
  </si>
  <si>
    <t>Aripl</t>
  </si>
  <si>
    <t>布氏拟亮羽水蚤</t>
  </si>
  <si>
    <t>Paraugaptilus buchani</t>
  </si>
  <si>
    <t>Parbu</t>
  </si>
  <si>
    <t>长指叶足水蚤</t>
  </si>
  <si>
    <t>Phyllopus helgae</t>
  </si>
  <si>
    <t>czy</t>
  </si>
  <si>
    <t>Phyhe</t>
  </si>
  <si>
    <t>双齿叶足水蚤</t>
  </si>
  <si>
    <t>Phyllopus bidentatus</t>
  </si>
  <si>
    <t>Phybi</t>
  </si>
  <si>
    <t>变叶足水蚤</t>
  </si>
  <si>
    <t>Phyllopus mutatus</t>
  </si>
  <si>
    <t>byz</t>
  </si>
  <si>
    <t>Phymu</t>
  </si>
  <si>
    <t>等叶足水蚤</t>
  </si>
  <si>
    <t>Phyllopus aequalis</t>
  </si>
  <si>
    <t>dyz</t>
  </si>
  <si>
    <t>Phyae</t>
  </si>
  <si>
    <t>异叶足水蚤</t>
  </si>
  <si>
    <t>Phyllopus impar</t>
  </si>
  <si>
    <t>yyz</t>
  </si>
  <si>
    <t>Phyim</t>
  </si>
  <si>
    <t>叶足水蚤属</t>
  </si>
  <si>
    <t>Phyllopus sp.</t>
  </si>
  <si>
    <t>欧氏后哲水蚤</t>
  </si>
  <si>
    <t>Metau</t>
  </si>
  <si>
    <t>双棘拟平头水蚤</t>
  </si>
  <si>
    <t>简拟平头水蚤</t>
  </si>
  <si>
    <t>jnp</t>
  </si>
  <si>
    <t>截拟平头水蚤</t>
  </si>
  <si>
    <t>cantr</t>
  </si>
  <si>
    <t>短平头水蚤</t>
  </si>
  <si>
    <t>dpt</t>
  </si>
  <si>
    <t>Cancu</t>
  </si>
  <si>
    <t>厚指平头水蚤</t>
  </si>
  <si>
    <t>幼平头水蚤</t>
  </si>
  <si>
    <t>Canca</t>
  </si>
  <si>
    <t>长突平头水蚤</t>
  </si>
  <si>
    <t>Canlo</t>
  </si>
  <si>
    <t>双翼平头水蚤</t>
  </si>
  <si>
    <t>耳突平头水蚤</t>
  </si>
  <si>
    <t>Cangu</t>
  </si>
  <si>
    <t>黑斑平头水蚤</t>
  </si>
  <si>
    <t>瘦平头水蚤</t>
  </si>
  <si>
    <t>spt</t>
  </si>
  <si>
    <t>Cante</t>
  </si>
  <si>
    <t>异尾平头水蚤</t>
  </si>
  <si>
    <t>Candi</t>
  </si>
  <si>
    <t>伯氏平头水蚤</t>
  </si>
  <si>
    <t>Canbr</t>
  </si>
  <si>
    <t>腹突平头水蚤</t>
  </si>
  <si>
    <t>Canva</t>
  </si>
  <si>
    <t>哥伦平头水蚤</t>
  </si>
  <si>
    <t>Canco</t>
  </si>
  <si>
    <t>汤氏长足水蚤</t>
  </si>
  <si>
    <t>Calth</t>
  </si>
  <si>
    <t>椭形长足水蚤</t>
  </si>
  <si>
    <t>Calel</t>
  </si>
  <si>
    <t>小长足水蚤</t>
  </si>
  <si>
    <t>Calmi</t>
  </si>
  <si>
    <t>真刺唇角水蚤</t>
  </si>
  <si>
    <t>Labeu</t>
  </si>
  <si>
    <t>孔雀唇角水蚤</t>
  </si>
  <si>
    <t>kqc</t>
  </si>
  <si>
    <t>Labpa</t>
  </si>
  <si>
    <t>尖额唇角水蚤</t>
  </si>
  <si>
    <t>Labac</t>
  </si>
  <si>
    <t>小唇角水蚤</t>
  </si>
  <si>
    <t>xcj</t>
  </si>
  <si>
    <t>Labmi</t>
  </si>
  <si>
    <t>克氏唇角水蚤</t>
  </si>
  <si>
    <t>Labkr</t>
  </si>
  <si>
    <t>左突唇角水蚤</t>
  </si>
  <si>
    <t>Labidocera sinilobata</t>
  </si>
  <si>
    <t>Labsi</t>
  </si>
  <si>
    <t>后截唇角水蚤</t>
  </si>
  <si>
    <t>Labde</t>
  </si>
  <si>
    <t>锐唇角水蚤</t>
  </si>
  <si>
    <t>rcj</t>
  </si>
  <si>
    <t>巴塔唇角水蚤</t>
  </si>
  <si>
    <t>Labidocera bataviae</t>
  </si>
  <si>
    <t>Labba</t>
  </si>
  <si>
    <t>小齿唇角水蚤</t>
  </si>
  <si>
    <t>xcc</t>
  </si>
  <si>
    <t>Labla</t>
  </si>
  <si>
    <t>双刺唇角水蚤</t>
  </si>
  <si>
    <t>Labbi</t>
  </si>
  <si>
    <t>唇角水蚤属</t>
  </si>
  <si>
    <t>Labidocera sp.</t>
  </si>
  <si>
    <t>cjs</t>
  </si>
  <si>
    <t>Labsp</t>
  </si>
  <si>
    <t>刺尾角水蚤</t>
  </si>
  <si>
    <t>Ponsp</t>
  </si>
  <si>
    <t>腹斧角水蚤</t>
  </si>
  <si>
    <t>ffj</t>
  </si>
  <si>
    <t>Ponse</t>
  </si>
  <si>
    <t>叉刺角水蚤</t>
  </si>
  <si>
    <t>Ponch</t>
  </si>
  <si>
    <t>阔节角水蚤</t>
  </si>
  <si>
    <t>kjj</t>
  </si>
  <si>
    <t>Ponfe</t>
  </si>
  <si>
    <t>中华角水蚤</t>
  </si>
  <si>
    <t>zhj</t>
  </si>
  <si>
    <t>Ponsi</t>
  </si>
  <si>
    <t>宽尾角水蚤</t>
  </si>
  <si>
    <t>kwj</t>
  </si>
  <si>
    <t>Ponla</t>
  </si>
  <si>
    <t>丹氏角水蚤</t>
  </si>
  <si>
    <t>Ponda</t>
  </si>
  <si>
    <t>三指角水蚤</t>
  </si>
  <si>
    <t>szj</t>
  </si>
  <si>
    <t>Pontr</t>
  </si>
  <si>
    <t>前角水蚤</t>
  </si>
  <si>
    <t>qjs</t>
  </si>
  <si>
    <t>Ponpr</t>
  </si>
  <si>
    <t>齿尾角水蚤</t>
  </si>
  <si>
    <t>Ponde</t>
  </si>
  <si>
    <t>克福角水蚤</t>
  </si>
  <si>
    <t>kfj</t>
  </si>
  <si>
    <t>Ponki</t>
  </si>
  <si>
    <t>Pontella sp.</t>
  </si>
  <si>
    <t>瘦尾简角水蚤</t>
  </si>
  <si>
    <t>swj</t>
  </si>
  <si>
    <t>Ponte</t>
  </si>
  <si>
    <t>钝简角水蚤</t>
  </si>
  <si>
    <t>djj</t>
  </si>
  <si>
    <t>Ponya</t>
  </si>
  <si>
    <t>皇简角水蚤</t>
  </si>
  <si>
    <t>hjj</t>
  </si>
  <si>
    <t>Ponre</t>
  </si>
  <si>
    <t>粗毛简角水蚤</t>
  </si>
  <si>
    <t>cmj</t>
  </si>
  <si>
    <t>Ponvi</t>
  </si>
  <si>
    <t>武装简角水蚤</t>
  </si>
  <si>
    <t>wzj</t>
  </si>
  <si>
    <t>Ponar</t>
  </si>
  <si>
    <t>勇简角水蚤</t>
  </si>
  <si>
    <t>yjj</t>
  </si>
  <si>
    <t>Ponst</t>
  </si>
  <si>
    <t>克氏简角水蚤</t>
  </si>
  <si>
    <t>ksj</t>
  </si>
  <si>
    <t>Ponkr</t>
  </si>
  <si>
    <t>长指简角水蚤</t>
  </si>
  <si>
    <t>czj</t>
  </si>
  <si>
    <t>Ponma</t>
  </si>
  <si>
    <t>扩指简角水蚤</t>
  </si>
  <si>
    <t>kzj</t>
  </si>
  <si>
    <t>Ponin</t>
  </si>
  <si>
    <t>简角水蚤属</t>
  </si>
  <si>
    <t>Pontellopsis sp.</t>
  </si>
  <si>
    <t>羽小角水蚤</t>
  </si>
  <si>
    <t>yxj</t>
  </si>
  <si>
    <t>Ponpl</t>
  </si>
  <si>
    <t>长角深角水蚤</t>
  </si>
  <si>
    <t>小深角水蚤</t>
  </si>
  <si>
    <t>刺深角水蚤</t>
  </si>
  <si>
    <t>csj</t>
  </si>
  <si>
    <t>拟深角水蚤</t>
  </si>
  <si>
    <t>nsj</t>
  </si>
  <si>
    <t>深角水蚤属</t>
  </si>
  <si>
    <t>克氏纺锤水蚤</t>
  </si>
  <si>
    <t>ksf</t>
  </si>
  <si>
    <t>Acacl</t>
  </si>
  <si>
    <t>ymf</t>
  </si>
  <si>
    <t>Acabi</t>
  </si>
  <si>
    <t>太平洋纺锤水蚤</t>
  </si>
  <si>
    <t>Acapa</t>
  </si>
  <si>
    <t>红纺锤水蚤</t>
  </si>
  <si>
    <t>hfc</t>
  </si>
  <si>
    <t>Acaer</t>
  </si>
  <si>
    <t>丹氏纺锤水蚤</t>
  </si>
  <si>
    <t>dsf</t>
  </si>
  <si>
    <t>Acada</t>
  </si>
  <si>
    <t>小纺锤水蚤</t>
  </si>
  <si>
    <t>xfc</t>
  </si>
  <si>
    <t>Acane</t>
  </si>
  <si>
    <t>刺尾纺锤水蚤</t>
  </si>
  <si>
    <t>Acasp</t>
  </si>
  <si>
    <t>披针纺锤水蚤</t>
  </si>
  <si>
    <t>pzf</t>
  </si>
  <si>
    <t>Acaso</t>
  </si>
  <si>
    <t>Acalo</t>
  </si>
  <si>
    <t>钩纺锤水蚤</t>
  </si>
  <si>
    <t>gfc</t>
  </si>
  <si>
    <t>Acaha</t>
  </si>
  <si>
    <t>纺锤水蚤属</t>
  </si>
  <si>
    <t>Acartia sp.</t>
  </si>
  <si>
    <t>Acasi</t>
  </si>
  <si>
    <t>捷氏歪水蚤</t>
  </si>
  <si>
    <t>jsw</t>
  </si>
  <si>
    <t>Torde</t>
  </si>
  <si>
    <t>钳形歪水蚤</t>
  </si>
  <si>
    <t>qxw</t>
  </si>
  <si>
    <t>Torfo</t>
  </si>
  <si>
    <t>刺尾歪水蚤</t>
  </si>
  <si>
    <t>Torsp</t>
  </si>
  <si>
    <t>虫肢歪水蚤</t>
  </si>
  <si>
    <t>czw</t>
  </si>
  <si>
    <t>Torve</t>
  </si>
  <si>
    <t>瘦歪水蚤</t>
  </si>
  <si>
    <t>sws</t>
  </si>
  <si>
    <t>Torgr</t>
  </si>
  <si>
    <t>右突歪水蚤</t>
  </si>
  <si>
    <t>ytw</t>
  </si>
  <si>
    <t>杓状歪水蚤</t>
  </si>
  <si>
    <t>zzw</t>
  </si>
  <si>
    <t>Torsc</t>
  </si>
  <si>
    <t>小突歪水蚤</t>
  </si>
  <si>
    <t>xtw</t>
  </si>
  <si>
    <t>Tormu</t>
  </si>
  <si>
    <t>中华歪水蚤</t>
  </si>
  <si>
    <t>zhw</t>
  </si>
  <si>
    <t>Torsi</t>
  </si>
  <si>
    <t>须歪水蚤</t>
  </si>
  <si>
    <t>xws</t>
  </si>
  <si>
    <t>Torba</t>
  </si>
  <si>
    <t>歪水蚤属</t>
  </si>
  <si>
    <t>Tortanus sp.</t>
  </si>
  <si>
    <t>拟长腹剑水蚤</t>
  </si>
  <si>
    <t>ncf</t>
  </si>
  <si>
    <t>Oitsi</t>
  </si>
  <si>
    <t>伪长腹剑水蚤</t>
  </si>
  <si>
    <t>wcf</t>
  </si>
  <si>
    <t>Oitfa</t>
  </si>
  <si>
    <t>隐长腹剑水蚤</t>
  </si>
  <si>
    <t>ycf</t>
  </si>
  <si>
    <t>Oitde</t>
  </si>
  <si>
    <t>小长腹剑水蚤</t>
  </si>
  <si>
    <t>Oitna</t>
  </si>
  <si>
    <t>细长腹剑水蚤</t>
  </si>
  <si>
    <t>Oitat</t>
  </si>
  <si>
    <t>简长腹剑水蚤</t>
  </si>
  <si>
    <t>jcf</t>
  </si>
  <si>
    <t>短角长腹剑水蚤</t>
  </si>
  <si>
    <t>Oitbr</t>
  </si>
  <si>
    <t>羽长腹剑水蚤</t>
  </si>
  <si>
    <t>Oitpl</t>
  </si>
  <si>
    <t>刺长腹剑水蚤</t>
  </si>
  <si>
    <t>ccf</t>
  </si>
  <si>
    <t>Oitse</t>
  </si>
  <si>
    <t>瘦长腹剑水蚤</t>
  </si>
  <si>
    <t>scf</t>
  </si>
  <si>
    <t>Oitte</t>
  </si>
  <si>
    <t>长刺长腹剑水蚤</t>
  </si>
  <si>
    <t>Oitlo</t>
  </si>
  <si>
    <t>Nishida et al.</t>
  </si>
  <si>
    <t>敏长腹剑水蚤</t>
  </si>
  <si>
    <t>mcf</t>
  </si>
  <si>
    <t>Oitvi</t>
  </si>
  <si>
    <t>粗长腹剑水蚤</t>
  </si>
  <si>
    <t>Oitro</t>
  </si>
  <si>
    <t>长腹剑水蚤属</t>
  </si>
  <si>
    <t>Oithona sp.</t>
  </si>
  <si>
    <t>cfj</t>
  </si>
  <si>
    <t>Oitsp</t>
  </si>
  <si>
    <t>Pontoeciella abyssicola</t>
  </si>
  <si>
    <t>Ponab</t>
  </si>
  <si>
    <t>黄棒剑水蚤</t>
  </si>
  <si>
    <t>hbj</t>
  </si>
  <si>
    <t>丽隆剑水蚤</t>
  </si>
  <si>
    <t>llj</t>
  </si>
  <si>
    <t>Oncve</t>
  </si>
  <si>
    <t>中隆剑水蚤</t>
  </si>
  <si>
    <t>Oncme</t>
  </si>
  <si>
    <t>等刺隆剑水蚤</t>
  </si>
  <si>
    <t>背突隆剑水蚤</t>
  </si>
  <si>
    <t>btl</t>
  </si>
  <si>
    <t>Onccl</t>
  </si>
  <si>
    <t>小隆剑水蚤</t>
  </si>
  <si>
    <t>xlj</t>
  </si>
  <si>
    <t>Oncmi</t>
  </si>
  <si>
    <t>拟隆剑水蚤</t>
  </si>
  <si>
    <t>nlj</t>
  </si>
  <si>
    <t>Oncsi</t>
  </si>
  <si>
    <t>锦隆剑水蚤</t>
  </si>
  <si>
    <t>jlj</t>
  </si>
  <si>
    <t>Oncor</t>
  </si>
  <si>
    <t>隆剑水蚤属</t>
  </si>
  <si>
    <t>Oncaea sp.</t>
  </si>
  <si>
    <t>ljs</t>
  </si>
  <si>
    <t>Oncsp</t>
  </si>
  <si>
    <t>掌刺梭剑水蚤</t>
  </si>
  <si>
    <t>Lubaq</t>
  </si>
  <si>
    <t>针刺梭剑水蚤</t>
  </si>
  <si>
    <t>Lubac</t>
  </si>
  <si>
    <t>马氏梭剑水蚤</t>
  </si>
  <si>
    <t>Lubma</t>
  </si>
  <si>
    <t>齿厚剑水蚤</t>
  </si>
  <si>
    <t>chj</t>
  </si>
  <si>
    <t>Pacde</t>
  </si>
  <si>
    <t>厚剑水蚤属</t>
  </si>
  <si>
    <t>Pachysoma sp.</t>
  </si>
  <si>
    <t>pacsp</t>
  </si>
  <si>
    <t>斑点厚剑水蚤</t>
  </si>
  <si>
    <t>bdh</t>
  </si>
  <si>
    <t>Pacpu</t>
  </si>
  <si>
    <t>狭叶剑水蚤</t>
  </si>
  <si>
    <t>Sapan</t>
  </si>
  <si>
    <t>圆矛叶剑水蚤</t>
  </si>
  <si>
    <t>ymy</t>
  </si>
  <si>
    <t>Sapov</t>
  </si>
  <si>
    <t>芽叶剑水蚤</t>
  </si>
  <si>
    <t>yyj</t>
  </si>
  <si>
    <t>Sapge</t>
  </si>
  <si>
    <t>虹叶剑水蚤</t>
  </si>
  <si>
    <t>hyj</t>
  </si>
  <si>
    <t>Sapir</t>
  </si>
  <si>
    <t>玛瑙叶剑水蚤</t>
  </si>
  <si>
    <t>mny</t>
  </si>
  <si>
    <t>Sapop</t>
  </si>
  <si>
    <t>达氏叶剑水蚤</t>
  </si>
  <si>
    <t>dsy</t>
  </si>
  <si>
    <t>Sapda</t>
  </si>
  <si>
    <t>弯尾叶剑水蚤</t>
  </si>
  <si>
    <t>wwy</t>
  </si>
  <si>
    <t>Sapsi</t>
  </si>
  <si>
    <t>星叶剑水蚤</t>
  </si>
  <si>
    <t>Sapst</t>
  </si>
  <si>
    <t>肠叶剑水蚤</t>
  </si>
  <si>
    <t>cyj</t>
  </si>
  <si>
    <t>Sapin</t>
  </si>
  <si>
    <t>斑点叶剑水蚤</t>
  </si>
  <si>
    <t>bdy</t>
  </si>
  <si>
    <t>Sapma</t>
  </si>
  <si>
    <t>曙光叶剑水蚤</t>
  </si>
  <si>
    <t>sgy</t>
  </si>
  <si>
    <t>Sapau</t>
  </si>
  <si>
    <t>双尖叶剑水蚤</t>
  </si>
  <si>
    <t>Sapbi</t>
  </si>
  <si>
    <t>胃叶剑水蚤</t>
  </si>
  <si>
    <t>wyj</t>
  </si>
  <si>
    <t>Sapga</t>
  </si>
  <si>
    <t>金叶剑水蚤</t>
  </si>
  <si>
    <t>jyj</t>
  </si>
  <si>
    <t>Sapme</t>
  </si>
  <si>
    <t>狭尾叶剑水蚤</t>
  </si>
  <si>
    <t>xwy</t>
  </si>
  <si>
    <t>Sapla</t>
  </si>
  <si>
    <t>红叶剑水蚤</t>
  </si>
  <si>
    <t>Sapsc</t>
  </si>
  <si>
    <t>黑点叶剑水蚤</t>
  </si>
  <si>
    <t>hdy</t>
  </si>
  <si>
    <t>Sapni</t>
  </si>
  <si>
    <t>叶剑水蚤属</t>
  </si>
  <si>
    <t>Sapphirina sp.</t>
  </si>
  <si>
    <t>Sapsp</t>
  </si>
  <si>
    <t>奇桨剑水蚤</t>
  </si>
  <si>
    <t>Copmi</t>
  </si>
  <si>
    <t>直桨剑水蚤</t>
  </si>
  <si>
    <t>zjj</t>
  </si>
  <si>
    <t>Copre</t>
  </si>
  <si>
    <t>方桨剑水蚤</t>
  </si>
  <si>
    <t>fjj</t>
  </si>
  <si>
    <t>Copqu</t>
  </si>
  <si>
    <t>大桨剑水蚤</t>
  </si>
  <si>
    <t>长桨剑水蚤</t>
  </si>
  <si>
    <t>cjj</t>
  </si>
  <si>
    <t>Coplo</t>
  </si>
  <si>
    <t>晶桨剑水蚤</t>
  </si>
  <si>
    <t>jjj</t>
  </si>
  <si>
    <t>Copvi</t>
  </si>
  <si>
    <t>颗粒心剑水蚤</t>
  </si>
  <si>
    <t>klx</t>
  </si>
  <si>
    <t>Corgr</t>
  </si>
  <si>
    <t>桨剑水蚤属</t>
  </si>
  <si>
    <t>Copilia sp.</t>
  </si>
  <si>
    <t>Copsp</t>
  </si>
  <si>
    <t>美丽大眼剑水蚤</t>
  </si>
  <si>
    <t>mld</t>
  </si>
  <si>
    <t>Corsp</t>
  </si>
  <si>
    <t>微胖大眼剑水蚤</t>
  </si>
  <si>
    <t>克氏大眼剑水蚤</t>
  </si>
  <si>
    <t>ksd</t>
  </si>
  <si>
    <t>Corcl</t>
  </si>
  <si>
    <t>F. dahl</t>
  </si>
  <si>
    <t>绿大眼剑水蚤</t>
  </si>
  <si>
    <t>ldy</t>
  </si>
  <si>
    <t>Corvi</t>
  </si>
  <si>
    <t>粗大眼剑水蚤</t>
  </si>
  <si>
    <t>Corro</t>
  </si>
  <si>
    <t>柔大眼剑水蚤</t>
  </si>
  <si>
    <t>rdy</t>
  </si>
  <si>
    <t>Corfl</t>
  </si>
  <si>
    <t>典型大眼剑水蚤</t>
  </si>
  <si>
    <t>Corty</t>
  </si>
  <si>
    <t>菱形大眼剑水蚤</t>
  </si>
  <si>
    <t>Corli</t>
  </si>
  <si>
    <t>长刺大眼剑水蚤</t>
  </si>
  <si>
    <t>ccd</t>
  </si>
  <si>
    <t>Corlo</t>
  </si>
  <si>
    <t>伶俐大眼剑水蚤</t>
  </si>
  <si>
    <t>lld</t>
  </si>
  <si>
    <t>Corla</t>
  </si>
  <si>
    <t>叉大眼剑水蚤</t>
  </si>
  <si>
    <t>Corfu</t>
  </si>
  <si>
    <t>近缘大眼剑水蚤</t>
  </si>
  <si>
    <t>jyd</t>
  </si>
  <si>
    <t>Coraf</t>
  </si>
  <si>
    <t>平大眼剑水蚤</t>
  </si>
  <si>
    <t>pdy</t>
  </si>
  <si>
    <t>Corda</t>
  </si>
  <si>
    <t>细大眼剑水蚤</t>
  </si>
  <si>
    <t>xdy</t>
  </si>
  <si>
    <t>Corsu</t>
  </si>
  <si>
    <t>小突大眼剑水蚤</t>
  </si>
  <si>
    <t>xtd</t>
  </si>
  <si>
    <t>Corlu</t>
  </si>
  <si>
    <t>亮大眼剑水蚤</t>
  </si>
  <si>
    <t>Coran</t>
  </si>
  <si>
    <t>卵大眼剑水蚤</t>
  </si>
  <si>
    <t>哲大眼剑水蚤</t>
  </si>
  <si>
    <t>zdy</t>
  </si>
  <si>
    <t>Corca</t>
  </si>
  <si>
    <t>东亚大眼剑水蚤</t>
  </si>
  <si>
    <t>dyd</t>
  </si>
  <si>
    <t>Coras</t>
  </si>
  <si>
    <t>红大眼剑水蚤</t>
  </si>
  <si>
    <t>Corer</t>
  </si>
  <si>
    <t>活泼大眼剑水蚤</t>
  </si>
  <si>
    <t>hpd</t>
  </si>
  <si>
    <t>Corag</t>
  </si>
  <si>
    <t>短大眼剑水蚤</t>
  </si>
  <si>
    <t>ddy</t>
  </si>
  <si>
    <t>Corgi</t>
  </si>
  <si>
    <t>太平洋大眼剑水蚤</t>
  </si>
  <si>
    <t>Corpa</t>
  </si>
  <si>
    <t>灵巧大眼剑水蚤</t>
  </si>
  <si>
    <t>小型大眼剑水蚤</t>
  </si>
  <si>
    <t>隆脊大眼剑水蚤</t>
  </si>
  <si>
    <t>ljd</t>
  </si>
  <si>
    <t>长尾大眼剑水蚤</t>
  </si>
  <si>
    <t>cwd</t>
  </si>
  <si>
    <t>日本大眼剑水蚤</t>
  </si>
  <si>
    <t>rbd</t>
  </si>
  <si>
    <t>Caja</t>
  </si>
  <si>
    <t>dana</t>
  </si>
  <si>
    <t>大眼剑水蚤属</t>
  </si>
  <si>
    <t>Corycaeus sp.</t>
  </si>
  <si>
    <t>杂刺镖剑水蚤</t>
  </si>
  <si>
    <t>zcb</t>
  </si>
  <si>
    <t>Cyche</t>
  </si>
  <si>
    <t>广布中剑水蚤</t>
  </si>
  <si>
    <t>gbz</t>
  </si>
  <si>
    <t>中华咸水剑水蚤</t>
  </si>
  <si>
    <t>Halsi</t>
  </si>
  <si>
    <t>短角异剑水蚤</t>
  </si>
  <si>
    <t>aporo</t>
  </si>
  <si>
    <t>ysd</t>
  </si>
  <si>
    <t>dzy</t>
  </si>
  <si>
    <t>斯氏长足猛水蚤</t>
  </si>
  <si>
    <t>Lonsc</t>
  </si>
  <si>
    <t>伟氏长足猛水蚤</t>
  </si>
  <si>
    <t>wsc</t>
  </si>
  <si>
    <t>Lonwe</t>
  </si>
  <si>
    <t>猛水蚤目</t>
  </si>
  <si>
    <t>Harpacticoida sp.</t>
  </si>
  <si>
    <t>挪威小毛猛水蚤</t>
  </si>
  <si>
    <t>nwx</t>
  </si>
  <si>
    <t>Micno</t>
  </si>
  <si>
    <t>红小毛猛水蚤</t>
  </si>
  <si>
    <t>hxm</t>
  </si>
  <si>
    <t>Micro</t>
  </si>
  <si>
    <t>尖额谐猛水蚤</t>
  </si>
  <si>
    <t>jex</t>
  </si>
  <si>
    <t>Eutac</t>
  </si>
  <si>
    <t>标准戴氏猛水蚤</t>
  </si>
  <si>
    <t>Danty</t>
  </si>
  <si>
    <t>Boeck</t>
  </si>
  <si>
    <t>xpk</t>
  </si>
  <si>
    <t>Clysc</t>
  </si>
  <si>
    <t>有额盔头猛水蚤</t>
  </si>
  <si>
    <t>yek</t>
  </si>
  <si>
    <t>Clyro</t>
  </si>
  <si>
    <t>尖额保猛水蚤</t>
  </si>
  <si>
    <t>jeb</t>
  </si>
  <si>
    <t>Aegmu</t>
  </si>
  <si>
    <t>针刺保猛水蚤</t>
  </si>
  <si>
    <t>Aegac</t>
  </si>
  <si>
    <t>卵形龟甲猛水蚤</t>
  </si>
  <si>
    <t>Peltidium ovale</t>
  </si>
  <si>
    <t>Pelov</t>
  </si>
  <si>
    <t>镰形龟甲猛水蚤</t>
  </si>
  <si>
    <t>Pelfa</t>
  </si>
  <si>
    <t>锐利真盾猛水蚤</t>
  </si>
  <si>
    <t>rlz</t>
  </si>
  <si>
    <t>Eupac</t>
  </si>
  <si>
    <t>折腰厚甲猛水蚤</t>
  </si>
  <si>
    <t>zyh</t>
  </si>
  <si>
    <t>Altin</t>
  </si>
  <si>
    <t>尖尾鼠猛水蚤</t>
  </si>
  <si>
    <t>jws</t>
  </si>
  <si>
    <t>Porac</t>
  </si>
  <si>
    <t>卵形鼠猛水蚤</t>
  </si>
  <si>
    <t>Porcellidium ovatum</t>
  </si>
  <si>
    <t>Porov</t>
  </si>
  <si>
    <t>Haller</t>
  </si>
  <si>
    <t>大尾猛水蚤</t>
  </si>
  <si>
    <t>dwm</t>
  </si>
  <si>
    <t>Harun</t>
  </si>
  <si>
    <t>Willey</t>
  </si>
  <si>
    <t>武装劳林猛水蚤</t>
  </si>
  <si>
    <t>Louar</t>
  </si>
  <si>
    <t>长尾外毛猛水蚤</t>
  </si>
  <si>
    <t>Esolo</t>
  </si>
  <si>
    <t>Edwards</t>
  </si>
  <si>
    <t>同类拟老毛猛水蚤</t>
  </si>
  <si>
    <t>tln</t>
  </si>
  <si>
    <t>奇爪猛水蚤</t>
  </si>
  <si>
    <t>qzm</t>
  </si>
  <si>
    <t>Onymi</t>
  </si>
  <si>
    <t>(Gurney)</t>
  </si>
  <si>
    <t>钩状拟老丰猛水蚤</t>
  </si>
  <si>
    <t>gzn</t>
  </si>
  <si>
    <t>Laohi</t>
  </si>
  <si>
    <t xml:space="preserve">Thompson </t>
  </si>
  <si>
    <t>日角小肢猛水蚤</t>
  </si>
  <si>
    <t>rjx</t>
  </si>
  <si>
    <t>Dacti</t>
  </si>
  <si>
    <t>偏足真小肢猛水蚤</t>
  </si>
  <si>
    <t>Eudactylopus latipes</t>
  </si>
  <si>
    <t>bzz</t>
  </si>
  <si>
    <t>Eudla</t>
  </si>
  <si>
    <t>T. Scott</t>
  </si>
  <si>
    <t>赤腰吻殊足猛水蚤</t>
  </si>
  <si>
    <t>cyw</t>
  </si>
  <si>
    <t>Rhyru</t>
  </si>
  <si>
    <t>叉小殊足猛水蚤</t>
  </si>
  <si>
    <t>Micfo</t>
  </si>
  <si>
    <t>海刺拟同相猛水蚤</t>
  </si>
  <si>
    <t>hcn</t>
  </si>
  <si>
    <t>略残次疑囊猛水蚤</t>
  </si>
  <si>
    <t>lcc</t>
  </si>
  <si>
    <t>Ampsu</t>
  </si>
  <si>
    <t>Willeg</t>
  </si>
  <si>
    <t>哈氏仿疑囊猛水蚤</t>
  </si>
  <si>
    <t>hsf</t>
  </si>
  <si>
    <t>Ampha</t>
  </si>
  <si>
    <t>多毛后仿疑囊猛水蚤</t>
  </si>
  <si>
    <t>Methi</t>
  </si>
  <si>
    <t>长足阿玛猛水蚤</t>
  </si>
  <si>
    <t>cza</t>
  </si>
  <si>
    <t>Amelo</t>
  </si>
  <si>
    <t>钟摆拟阿玛猛水蚤</t>
  </si>
  <si>
    <t>zbn</t>
  </si>
  <si>
    <t>Parpe</t>
  </si>
  <si>
    <t>短尾伪阿玛猛水蚤</t>
  </si>
  <si>
    <t>dww</t>
  </si>
  <si>
    <t>Psebr</t>
  </si>
  <si>
    <t>叉叶足猛水蚤</t>
  </si>
  <si>
    <t>Phyfu</t>
  </si>
  <si>
    <t>巨大怪水蚤</t>
  </si>
  <si>
    <t>jdg</t>
  </si>
  <si>
    <t>Mongr</t>
  </si>
  <si>
    <t>中华异水蚤</t>
  </si>
  <si>
    <t>Misophria sinensis</t>
  </si>
  <si>
    <t>zhy</t>
  </si>
  <si>
    <t>Missi</t>
  </si>
  <si>
    <t>Boxshall</t>
  </si>
  <si>
    <t>rzl</t>
  </si>
  <si>
    <t>Gamsp</t>
  </si>
  <si>
    <t>糠虾类</t>
  </si>
  <si>
    <t>巨额颚糠虾</t>
  </si>
  <si>
    <t>jee</t>
  </si>
  <si>
    <t>Gnain</t>
  </si>
  <si>
    <t>细节糠虾</t>
  </si>
  <si>
    <t>xjk</t>
  </si>
  <si>
    <t>Sirgr</t>
  </si>
  <si>
    <t>tsk</t>
  </si>
  <si>
    <t>Sirth</t>
  </si>
  <si>
    <t>中华节糠虾</t>
  </si>
  <si>
    <t>Sirsi</t>
  </si>
  <si>
    <t>等枝节糠虾</t>
  </si>
  <si>
    <t>dzj</t>
  </si>
  <si>
    <t>Sirae</t>
  </si>
  <si>
    <t>Hansen</t>
  </si>
  <si>
    <t>三刺节糠虾</t>
  </si>
  <si>
    <t>Sirtr</t>
  </si>
  <si>
    <t>伊豆节糠虾</t>
  </si>
  <si>
    <t>ydj</t>
  </si>
  <si>
    <t>Sirja</t>
  </si>
  <si>
    <t>日本节糠虾</t>
  </si>
  <si>
    <t>rbj</t>
  </si>
  <si>
    <t>和田节糠虾</t>
  </si>
  <si>
    <t>htj</t>
  </si>
  <si>
    <t>Sirwa</t>
  </si>
  <si>
    <t>冈田节糠虾</t>
  </si>
  <si>
    <t>gtj</t>
  </si>
  <si>
    <t>Sirok</t>
  </si>
  <si>
    <t>中型节糠虾</t>
  </si>
  <si>
    <t>Sirme</t>
  </si>
  <si>
    <t>节糠虾属</t>
  </si>
  <si>
    <t>Siriella sp.</t>
  </si>
  <si>
    <t>jkx</t>
  </si>
  <si>
    <t>Sirsp</t>
  </si>
  <si>
    <t>小拟节糠虾</t>
  </si>
  <si>
    <t>xnj</t>
  </si>
  <si>
    <t>Hempa</t>
  </si>
  <si>
    <t>美丽拟节糠虾</t>
  </si>
  <si>
    <t>Hempu</t>
  </si>
  <si>
    <t>东方棒眼糠虾</t>
  </si>
  <si>
    <t>Rhopalophthalmus orientalis</t>
  </si>
  <si>
    <t>dfb</t>
  </si>
  <si>
    <t>Rhoor</t>
  </si>
  <si>
    <t>近糠虾</t>
  </si>
  <si>
    <t>Ancty</t>
  </si>
  <si>
    <t>厚近糠虾</t>
  </si>
  <si>
    <t>hjk</t>
  </si>
  <si>
    <t>Ancgr</t>
  </si>
  <si>
    <t>小近糠虾</t>
  </si>
  <si>
    <t>Ancpa</t>
  </si>
  <si>
    <t>刺近糠虾</t>
  </si>
  <si>
    <t>cjk</t>
  </si>
  <si>
    <t>Anczi</t>
  </si>
  <si>
    <t>Tattersall</t>
  </si>
  <si>
    <t>近糠虾属</t>
  </si>
  <si>
    <t>Anchialina sp.</t>
  </si>
  <si>
    <t>Ancsp</t>
  </si>
  <si>
    <t>极小假近糠虾</t>
  </si>
  <si>
    <t>Psepu</t>
  </si>
  <si>
    <t>G. O. Sars</t>
  </si>
  <si>
    <t>无刺假近糠虾</t>
  </si>
  <si>
    <t>wcj</t>
  </si>
  <si>
    <t>单节古糠虾</t>
  </si>
  <si>
    <t>djg</t>
  </si>
  <si>
    <t>Arcko</t>
  </si>
  <si>
    <t>pfn</t>
  </si>
  <si>
    <t>董氏囊糠虾</t>
  </si>
  <si>
    <t>dsn</t>
  </si>
  <si>
    <t>Gasdu</t>
  </si>
  <si>
    <t>Zimmer</t>
  </si>
  <si>
    <t>san</t>
  </si>
  <si>
    <t>yan</t>
  </si>
  <si>
    <t>印度囊糠虾</t>
  </si>
  <si>
    <t>ydn</t>
  </si>
  <si>
    <t>Gasin</t>
  </si>
  <si>
    <t>小囊糠虾</t>
  </si>
  <si>
    <t>xnk</t>
  </si>
  <si>
    <t>Gaspa</t>
  </si>
  <si>
    <t>edn</t>
  </si>
  <si>
    <t>囊糠虾属</t>
  </si>
  <si>
    <t>Gastrosaccus sp.</t>
  </si>
  <si>
    <t>nkx</t>
  </si>
  <si>
    <t>Gassp</t>
  </si>
  <si>
    <t>短尾盲糠虾</t>
  </si>
  <si>
    <t>qkc</t>
  </si>
  <si>
    <t>Plein</t>
  </si>
  <si>
    <t>超红糠虾</t>
  </si>
  <si>
    <t>chk</t>
  </si>
  <si>
    <t>Hypsp</t>
  </si>
  <si>
    <t>齐氏超红糠虾</t>
  </si>
  <si>
    <t>qsc</t>
  </si>
  <si>
    <t>Hypzi</t>
  </si>
  <si>
    <t>中间合红糠虾</t>
  </si>
  <si>
    <t>zjh</t>
  </si>
  <si>
    <t>Synin</t>
  </si>
  <si>
    <t>近霍糠虾</t>
  </si>
  <si>
    <t>jhk</t>
  </si>
  <si>
    <t>Holaf</t>
  </si>
  <si>
    <t>小红糠虾</t>
  </si>
  <si>
    <t>Erymi</t>
  </si>
  <si>
    <t>双眼糠虾</t>
  </si>
  <si>
    <t>syk</t>
  </si>
  <si>
    <t>Eucoc</t>
  </si>
  <si>
    <t>窄双眼糠虾</t>
  </si>
  <si>
    <t>Euchaetomera tenuis</t>
  </si>
  <si>
    <t>四刺端糠虾</t>
  </si>
  <si>
    <t>Doxqu</t>
  </si>
  <si>
    <t>长尾端糠虾</t>
  </si>
  <si>
    <t>Doxlo</t>
  </si>
  <si>
    <t>粗糙锯糠虾</t>
  </si>
  <si>
    <t>Prias</t>
  </si>
  <si>
    <t>东方浅水糠虾</t>
  </si>
  <si>
    <t>dfq</t>
  </si>
  <si>
    <t>Tenor</t>
  </si>
  <si>
    <t>四刺拟糠虾</t>
  </si>
  <si>
    <t>Mysde</t>
  </si>
  <si>
    <t>沿岸端糠虾</t>
  </si>
  <si>
    <t>yad</t>
  </si>
  <si>
    <t>Doxli</t>
  </si>
  <si>
    <t>东方原糠虾</t>
  </si>
  <si>
    <t>印度拟糠虾</t>
  </si>
  <si>
    <t>Mysin</t>
  </si>
  <si>
    <t>齿窦非糠虾</t>
  </si>
  <si>
    <t>cdf</t>
  </si>
  <si>
    <t>Afrde</t>
  </si>
  <si>
    <t>中国拟窄糠虾</t>
  </si>
  <si>
    <t>zgn</t>
  </si>
  <si>
    <t>异形拟窄糠虾</t>
  </si>
  <si>
    <t>yxn</t>
  </si>
  <si>
    <t>Parxe</t>
  </si>
  <si>
    <t>印度假小糠虾</t>
  </si>
  <si>
    <t>Pseco</t>
  </si>
  <si>
    <t>nzk</t>
  </si>
  <si>
    <t>猬拟刺糠虾</t>
  </si>
  <si>
    <t>wnc</t>
  </si>
  <si>
    <t>黑褐新糠虾</t>
  </si>
  <si>
    <t>hhx</t>
  </si>
  <si>
    <t>Neoaw</t>
  </si>
  <si>
    <t>日本新糠虾</t>
  </si>
  <si>
    <t>rbx</t>
  </si>
  <si>
    <t>Neoja</t>
  </si>
  <si>
    <t>短额刺糠虾</t>
  </si>
  <si>
    <t>acabr</t>
  </si>
  <si>
    <t>长额刺糠虾</t>
  </si>
  <si>
    <t>cec</t>
  </si>
  <si>
    <t>藤永刺糠虾</t>
  </si>
  <si>
    <t>tyc</t>
  </si>
  <si>
    <t>Acafu</t>
  </si>
  <si>
    <t>宽尾刺糠虾</t>
  </si>
  <si>
    <t>kwc</t>
  </si>
  <si>
    <t>Acala</t>
  </si>
  <si>
    <t>强刺刺糠虾</t>
  </si>
  <si>
    <t>qcc</t>
  </si>
  <si>
    <t>Acacr</t>
  </si>
  <si>
    <t>窄尾刺糠虾</t>
  </si>
  <si>
    <t>zwc</t>
  </si>
  <si>
    <t>Acale</t>
  </si>
  <si>
    <t>圆尾刺糠虾</t>
  </si>
  <si>
    <t>ywc</t>
  </si>
  <si>
    <t>Acaro</t>
  </si>
  <si>
    <t>平尾刺糠虾</t>
  </si>
  <si>
    <t>pwc</t>
  </si>
  <si>
    <t>Acapl</t>
  </si>
  <si>
    <t>锯齿刺糠虾</t>
  </si>
  <si>
    <t>jcc</t>
  </si>
  <si>
    <t>Acase</t>
  </si>
  <si>
    <t>纤细刺糠虾</t>
  </si>
  <si>
    <t>Acate</t>
  </si>
  <si>
    <t>南方刺糠虾</t>
  </si>
  <si>
    <t>nfc</t>
  </si>
  <si>
    <t>Acame</t>
  </si>
  <si>
    <t>四刺刺糠虾</t>
  </si>
  <si>
    <t>Acaqu</t>
  </si>
  <si>
    <t>朝鲜刺糠虾</t>
  </si>
  <si>
    <t>Acako</t>
  </si>
  <si>
    <t>沈氏刺糠虾</t>
  </si>
  <si>
    <t>Acash</t>
  </si>
  <si>
    <t>黄海刺糠虾</t>
  </si>
  <si>
    <t>hhc</t>
  </si>
  <si>
    <t>Acahw</t>
  </si>
  <si>
    <t>冈山刺糠虾</t>
  </si>
  <si>
    <t>Acaok</t>
  </si>
  <si>
    <t>粗糙刺糠虾</t>
  </si>
  <si>
    <t>Acaas</t>
  </si>
  <si>
    <t>刺糠虾属</t>
  </si>
  <si>
    <t>Acanthomysis sp.</t>
  </si>
  <si>
    <t>ckx</t>
  </si>
  <si>
    <t>zgh</t>
  </si>
  <si>
    <t>Nipsi</t>
  </si>
  <si>
    <t>sch</t>
  </si>
  <si>
    <t>Nipqu</t>
  </si>
  <si>
    <t>刺尾狼糠虾</t>
  </si>
  <si>
    <t>Lycsp</t>
  </si>
  <si>
    <t>xyk</t>
  </si>
  <si>
    <t>Animi</t>
  </si>
  <si>
    <t>双眼准异糠虾</t>
  </si>
  <si>
    <t>Anibi</t>
  </si>
  <si>
    <t>fdy</t>
  </si>
  <si>
    <t>Aniij</t>
  </si>
  <si>
    <t>Aniqu</t>
  </si>
  <si>
    <t>dwy</t>
  </si>
  <si>
    <t>Anibr</t>
  </si>
  <si>
    <t>异糠虾属</t>
  </si>
  <si>
    <t>Anisomysis sp.</t>
  </si>
  <si>
    <t>ykx</t>
  </si>
  <si>
    <t>Anisp</t>
  </si>
  <si>
    <t>中国涟虫</t>
  </si>
  <si>
    <t>zgl</t>
  </si>
  <si>
    <t>Bodch</t>
  </si>
  <si>
    <t>涟虫类</t>
  </si>
  <si>
    <t>Lomadina</t>
  </si>
  <si>
    <t>卵圆涟虫</t>
  </si>
  <si>
    <t>lyl</t>
  </si>
  <si>
    <t>Bodov</t>
  </si>
  <si>
    <t>Gamo</t>
  </si>
  <si>
    <t>蝎形涟虫</t>
  </si>
  <si>
    <t>hxl</t>
  </si>
  <si>
    <t>Bodsc</t>
  </si>
  <si>
    <t>(Montagu)</t>
  </si>
  <si>
    <t>古氏长涟虫</t>
  </si>
  <si>
    <t>Iphgu</t>
  </si>
  <si>
    <t>Lomakina</t>
  </si>
  <si>
    <t>细长涟虫</t>
  </si>
  <si>
    <t>Iphte</t>
  </si>
  <si>
    <t>舌突圆涟虫</t>
  </si>
  <si>
    <t>sty</t>
  </si>
  <si>
    <t>Cycli</t>
  </si>
  <si>
    <t>Liu er Liu</t>
  </si>
  <si>
    <t>萨氏异涟虫</t>
  </si>
  <si>
    <t>Hetsa</t>
  </si>
  <si>
    <t>Miers</t>
  </si>
  <si>
    <t>宽甲古涟虫</t>
  </si>
  <si>
    <t>kjg</t>
  </si>
  <si>
    <t>Eocla</t>
  </si>
  <si>
    <t>Calman</t>
  </si>
  <si>
    <t>三叶针尾涟虫</t>
  </si>
  <si>
    <t>(Zimmer)</t>
  </si>
  <si>
    <t>针尾涟虫属</t>
  </si>
  <si>
    <t>Diastylis sp.</t>
  </si>
  <si>
    <t>Diasp</t>
  </si>
  <si>
    <t>亚洲异针涟虫</t>
  </si>
  <si>
    <t>yay</t>
  </si>
  <si>
    <t>Dimas</t>
  </si>
  <si>
    <t>蛇头女针涟虫</t>
  </si>
  <si>
    <t>Gynan</t>
  </si>
  <si>
    <t>Harada</t>
  </si>
  <si>
    <t>六刺丽涟虫</t>
  </si>
  <si>
    <t>lcl</t>
  </si>
  <si>
    <t>Lamhe</t>
  </si>
  <si>
    <t>Liu et Liu</t>
  </si>
  <si>
    <t>太平洋方甲涟虫</t>
  </si>
  <si>
    <t>Eudpa</t>
  </si>
  <si>
    <t>Hart</t>
  </si>
  <si>
    <t>二齿半尖额涟虫</t>
  </si>
  <si>
    <t>ecb</t>
  </si>
  <si>
    <t>Hembi</t>
  </si>
  <si>
    <t>光亮拟涟虫</t>
  </si>
  <si>
    <t>gln</t>
  </si>
  <si>
    <t>Cumar</t>
  </si>
  <si>
    <t>梭形驼背涟虫</t>
  </si>
  <si>
    <t>sxt</t>
  </si>
  <si>
    <t>Camfu</t>
  </si>
  <si>
    <t>笨驼背涟虫</t>
  </si>
  <si>
    <t>btb</t>
  </si>
  <si>
    <t>Camam</t>
  </si>
  <si>
    <t>wwl</t>
  </si>
  <si>
    <t>nsy</t>
  </si>
  <si>
    <t>等足类</t>
  </si>
  <si>
    <t>Cirsp</t>
  </si>
  <si>
    <t>大眼水虱</t>
  </si>
  <si>
    <t>Aegathoa oculata</t>
  </si>
  <si>
    <t>dys</t>
  </si>
  <si>
    <t>Aegoc</t>
  </si>
  <si>
    <t>jsl</t>
  </si>
  <si>
    <t>Stebbing</t>
  </si>
  <si>
    <t>hzl</t>
  </si>
  <si>
    <t>dcy</t>
  </si>
  <si>
    <t>dfs</t>
  </si>
  <si>
    <t>zhq</t>
  </si>
  <si>
    <t>rbn</t>
  </si>
  <si>
    <t>yhn</t>
  </si>
  <si>
    <t>ssr</t>
  </si>
  <si>
    <t>dzl</t>
  </si>
  <si>
    <t>钩虾亚目</t>
  </si>
  <si>
    <t>gx</t>
  </si>
  <si>
    <t>端足类</t>
  </si>
  <si>
    <t>hns</t>
  </si>
  <si>
    <t>hss</t>
  </si>
  <si>
    <t>xbg</t>
  </si>
  <si>
    <t>中华蜾嬴蜚</t>
  </si>
  <si>
    <t>Corophium sinense</t>
  </si>
  <si>
    <t>Corsi</t>
  </si>
  <si>
    <t>tjl</t>
  </si>
  <si>
    <t>Yu</t>
  </si>
  <si>
    <t>mjl</t>
  </si>
  <si>
    <t>(Stimpson)</t>
  </si>
  <si>
    <t>ngx</t>
  </si>
  <si>
    <t>长尾亮钩虾</t>
  </si>
  <si>
    <t>Photis longicaudata</t>
  </si>
  <si>
    <t>Pholo</t>
  </si>
  <si>
    <t>方齿亮钩虾</t>
  </si>
  <si>
    <t>Chevreux</t>
  </si>
  <si>
    <t>Hyasp</t>
  </si>
  <si>
    <t>lxy</t>
  </si>
  <si>
    <t>bcy</t>
  </si>
  <si>
    <t>jcy</t>
  </si>
  <si>
    <t>mgx</t>
  </si>
  <si>
    <t>cxm</t>
  </si>
  <si>
    <t>lsm</t>
  </si>
  <si>
    <t>asm</t>
  </si>
  <si>
    <t>Barnard</t>
  </si>
  <si>
    <t>Melsp</t>
  </si>
  <si>
    <t>jds</t>
  </si>
  <si>
    <t>Lanpa</t>
  </si>
  <si>
    <t>Scicr</t>
  </si>
  <si>
    <t>wzz</t>
  </si>
  <si>
    <t>Scicu</t>
  </si>
  <si>
    <t>Sciin</t>
  </si>
  <si>
    <t>bfz</t>
  </si>
  <si>
    <t>Scibo</t>
  </si>
  <si>
    <t>Scisu</t>
  </si>
  <si>
    <t>tsz</t>
  </si>
  <si>
    <t>Scitu</t>
  </si>
  <si>
    <t>Scisi</t>
  </si>
  <si>
    <t>Scina</t>
  </si>
  <si>
    <t>Wagler</t>
  </si>
  <si>
    <t>kez</t>
  </si>
  <si>
    <t>Scila</t>
  </si>
  <si>
    <t>Scina sp.</t>
  </si>
  <si>
    <t>Scisp</t>
  </si>
  <si>
    <t>Acaac</t>
  </si>
  <si>
    <t>Vibpr</t>
  </si>
  <si>
    <t>Vibvi</t>
  </si>
  <si>
    <t>Bovallius</t>
  </si>
  <si>
    <t>Vibst</t>
  </si>
  <si>
    <t>Vibgi</t>
  </si>
  <si>
    <t>Vibch</t>
  </si>
  <si>
    <t>Vibau</t>
  </si>
  <si>
    <t>Vibar</t>
  </si>
  <si>
    <t>Vibcu</t>
  </si>
  <si>
    <t>Vosseler</t>
  </si>
  <si>
    <t>Viblo</t>
  </si>
  <si>
    <t>Vibpy</t>
  </si>
  <si>
    <t>Vibsp</t>
  </si>
  <si>
    <t>hzn</t>
  </si>
  <si>
    <t>Paraphronima sp.</t>
  </si>
  <si>
    <t>rdj</t>
  </si>
  <si>
    <t>Hypga</t>
  </si>
  <si>
    <t>njl</t>
  </si>
  <si>
    <t>Hypan</t>
  </si>
  <si>
    <t>Hypme</t>
  </si>
  <si>
    <t>Hyperoche mediterranea</t>
  </si>
  <si>
    <t>Hypma</t>
  </si>
  <si>
    <t>Hyppi</t>
  </si>
  <si>
    <t>fxk</t>
  </si>
  <si>
    <t>Laxve</t>
  </si>
  <si>
    <t>Parathemisto gaudichardi</t>
  </si>
  <si>
    <t>Parga</t>
  </si>
  <si>
    <t>Guerin</t>
  </si>
  <si>
    <t>parja</t>
  </si>
  <si>
    <t>Hyplo</t>
  </si>
  <si>
    <t>Hypsi</t>
  </si>
  <si>
    <t>Lessc</t>
  </si>
  <si>
    <t>dym</t>
  </si>
  <si>
    <t>Lesma</t>
  </si>
  <si>
    <t>Lesbe</t>
  </si>
  <si>
    <t>Lesla</t>
  </si>
  <si>
    <t>Lescr</t>
  </si>
  <si>
    <t>Lessh</t>
  </si>
  <si>
    <t>Lestrigonus sp.</t>
  </si>
  <si>
    <t>mrs</t>
  </si>
  <si>
    <t>Lessp</t>
  </si>
  <si>
    <t>Hyplu</t>
  </si>
  <si>
    <t>Hypvo</t>
  </si>
  <si>
    <t>Hypst</t>
  </si>
  <si>
    <t>xtx</t>
  </si>
  <si>
    <t>Hyppa</t>
  </si>
  <si>
    <t>xrs</t>
  </si>
  <si>
    <t>Thefu</t>
  </si>
  <si>
    <t>Phrse</t>
  </si>
  <si>
    <t>Phrat</t>
  </si>
  <si>
    <t>Guerin-Meneville</t>
  </si>
  <si>
    <t>dqr</t>
  </si>
  <si>
    <t>Phrso</t>
  </si>
  <si>
    <t>Phrst</t>
  </si>
  <si>
    <t>Phrcu</t>
  </si>
  <si>
    <t>Phrco</t>
  </si>
  <si>
    <t>Phrpa</t>
  </si>
  <si>
    <t>Phrbu</t>
  </si>
  <si>
    <t>Phronima sp.</t>
  </si>
  <si>
    <t>Phrel</t>
  </si>
  <si>
    <t>Ancbl</t>
  </si>
  <si>
    <t>Primno brevidens</t>
  </si>
  <si>
    <t>dmy</t>
  </si>
  <si>
    <t>Pribr</t>
  </si>
  <si>
    <t>Prila</t>
  </si>
  <si>
    <t>Primno sp.</t>
  </si>
  <si>
    <t>prisp</t>
  </si>
  <si>
    <t>Lycth</t>
  </si>
  <si>
    <t>Lycza</t>
  </si>
  <si>
    <t>Eupma</t>
  </si>
  <si>
    <t>Eupmi</t>
  </si>
  <si>
    <t>Eupar</t>
  </si>
  <si>
    <t>Eupla</t>
  </si>
  <si>
    <t>Eupronoe sp.</t>
  </si>
  <si>
    <t>Proca</t>
  </si>
  <si>
    <t>xcn</t>
  </si>
  <si>
    <t>Parel</t>
  </si>
  <si>
    <t>Parapronoe sp.</t>
  </si>
  <si>
    <t>Lycpu</t>
  </si>
  <si>
    <t>Lycna</t>
  </si>
  <si>
    <t>Lycbo</t>
  </si>
  <si>
    <t>Lycvi</t>
  </si>
  <si>
    <t>Lycba</t>
  </si>
  <si>
    <t>Lycaea bovalli</t>
  </si>
  <si>
    <t>nlr</t>
  </si>
  <si>
    <t>Lycaea sp.</t>
  </si>
  <si>
    <t>lrs</t>
  </si>
  <si>
    <t>Siman</t>
  </si>
  <si>
    <t>Thyma</t>
  </si>
  <si>
    <t>Bracr</t>
  </si>
  <si>
    <t>Bragl</t>
  </si>
  <si>
    <t>Brara</t>
  </si>
  <si>
    <t>Oxypi</t>
  </si>
  <si>
    <t>jtr</t>
  </si>
  <si>
    <t>Oxycl</t>
  </si>
  <si>
    <t>Oxyla</t>
  </si>
  <si>
    <t>Oxylo</t>
  </si>
  <si>
    <t>Oxycephalus sp.</t>
  </si>
  <si>
    <t>Oxysp</t>
  </si>
  <si>
    <t>Strch</t>
  </si>
  <si>
    <t>Strst</t>
  </si>
  <si>
    <t>Strpo</t>
  </si>
  <si>
    <t>Strmi</t>
  </si>
  <si>
    <t>Streetsia sp.</t>
  </si>
  <si>
    <t>Strsp</t>
  </si>
  <si>
    <t>Calpe</t>
  </si>
  <si>
    <t>Tulcu</t>
  </si>
  <si>
    <t>Crasc</t>
  </si>
  <si>
    <t>Glomi</t>
  </si>
  <si>
    <t>wzb</t>
  </si>
  <si>
    <t>Rhaar</t>
  </si>
  <si>
    <t>Rhawh</t>
  </si>
  <si>
    <t>dwb</t>
  </si>
  <si>
    <t>Rhabr</t>
  </si>
  <si>
    <t>xbt</t>
  </si>
  <si>
    <t>Rhami</t>
  </si>
  <si>
    <t>Rhabdosoma sp.</t>
  </si>
  <si>
    <t>btr</t>
  </si>
  <si>
    <t>Rhasp</t>
  </si>
  <si>
    <t>Plaov</t>
  </si>
  <si>
    <t>Plaar</t>
  </si>
  <si>
    <t>Plase</t>
  </si>
  <si>
    <t>Hemte</t>
  </si>
  <si>
    <t>Hemcr</t>
  </si>
  <si>
    <t>Paratyphis sp.</t>
  </si>
  <si>
    <t>Tetfo</t>
  </si>
  <si>
    <t>Tetar</t>
  </si>
  <si>
    <t>Ampbi</t>
  </si>
  <si>
    <t>Ampmu</t>
  </si>
  <si>
    <t>Ampsc</t>
  </si>
  <si>
    <t>Ampgl</t>
  </si>
  <si>
    <t>Ampsi</t>
  </si>
  <si>
    <t>Schor</t>
  </si>
  <si>
    <t>qdr</t>
  </si>
  <si>
    <t>Thysp</t>
  </si>
  <si>
    <t>ysm</t>
  </si>
  <si>
    <t>mgc</t>
  </si>
  <si>
    <t>Capsp</t>
  </si>
  <si>
    <t>深磷虾</t>
  </si>
  <si>
    <t>slx</t>
  </si>
  <si>
    <t>Benam</t>
  </si>
  <si>
    <t>磷虾类</t>
  </si>
  <si>
    <t>Thytr</t>
  </si>
  <si>
    <t>Thyae</t>
  </si>
  <si>
    <t>wcs</t>
  </si>
  <si>
    <t>Thyas</t>
  </si>
  <si>
    <t>Thysanopoda monacantha</t>
  </si>
  <si>
    <t>Thymo</t>
  </si>
  <si>
    <t>Thype</t>
  </si>
  <si>
    <t>Thysanopoda cornuta</t>
  </si>
  <si>
    <t>Thyco</t>
  </si>
  <si>
    <t>jes</t>
  </si>
  <si>
    <t>Thyac</t>
  </si>
  <si>
    <t>冠毛燧磷虾</t>
  </si>
  <si>
    <t>Thycr</t>
  </si>
  <si>
    <t>优秀燧磷虾</t>
  </si>
  <si>
    <t>Thyeg</t>
  </si>
  <si>
    <t>东方燧磷虾</t>
  </si>
  <si>
    <t>Thyor</t>
  </si>
  <si>
    <t>Thyob</t>
  </si>
  <si>
    <t>燧磷虾属</t>
  </si>
  <si>
    <t>Thysanopoda sp.</t>
  </si>
  <si>
    <t>宽额假磷虾</t>
  </si>
  <si>
    <t>kej</t>
  </si>
  <si>
    <t>Psela</t>
  </si>
  <si>
    <t>中华假磷虾</t>
  </si>
  <si>
    <t>Psesi</t>
  </si>
  <si>
    <t>假磷虾属</t>
  </si>
  <si>
    <t>Pseudeuphausia sp.</t>
  </si>
  <si>
    <t>jlx</t>
  </si>
  <si>
    <t>卷叶磷虾</t>
  </si>
  <si>
    <t>Eupre</t>
  </si>
  <si>
    <t>鸟喙磷虾</t>
  </si>
  <si>
    <t>Eupmu</t>
  </si>
  <si>
    <t>长额磷虾</t>
  </si>
  <si>
    <t>Eupdi</t>
  </si>
  <si>
    <t>短磷虾</t>
  </si>
  <si>
    <t>太平洋磷虾</t>
  </si>
  <si>
    <t>Euppa</t>
  </si>
  <si>
    <t>小型磷虾</t>
  </si>
  <si>
    <t>xxl</t>
  </si>
  <si>
    <t>Eupna</t>
  </si>
  <si>
    <t>rrl</t>
  </si>
  <si>
    <t>Eupte</t>
  </si>
  <si>
    <t>dyl</t>
  </si>
  <si>
    <t>Eupsa</t>
  </si>
  <si>
    <t>拟磷虾</t>
  </si>
  <si>
    <t>nlx</t>
  </si>
  <si>
    <t>Eupsi</t>
  </si>
  <si>
    <t>假驼磷虾</t>
  </si>
  <si>
    <t>jtl</t>
  </si>
  <si>
    <t>Eupps</t>
  </si>
  <si>
    <t>半驼磷虾</t>
  </si>
  <si>
    <t>Euphe</t>
  </si>
  <si>
    <t>驼磷虾</t>
  </si>
  <si>
    <t>tlx</t>
  </si>
  <si>
    <t>Eupgi</t>
  </si>
  <si>
    <t>拟驼磷虾</t>
  </si>
  <si>
    <t>ntl</t>
  </si>
  <si>
    <t>del</t>
  </si>
  <si>
    <t>磷虾属</t>
  </si>
  <si>
    <t>Euphausia sp.</t>
  </si>
  <si>
    <t>瘦线脚磷虾</t>
  </si>
  <si>
    <t>sxj</t>
  </si>
  <si>
    <t>Nemgr</t>
  </si>
  <si>
    <t>叶片线脚磷虾</t>
  </si>
  <si>
    <t>ypx</t>
  </si>
  <si>
    <t>Nemlo</t>
  </si>
  <si>
    <t>小线脚磷虾</t>
  </si>
  <si>
    <t>xxj</t>
  </si>
  <si>
    <t>Nemmi</t>
  </si>
  <si>
    <t>娇嫩线脚磷虾</t>
  </si>
  <si>
    <t>jnx</t>
  </si>
  <si>
    <t>Nemte</t>
  </si>
  <si>
    <t>长线脚磷虾</t>
  </si>
  <si>
    <t>cxj</t>
  </si>
  <si>
    <t>Nemat</t>
  </si>
  <si>
    <t>线脚磷虾属</t>
  </si>
  <si>
    <t>Nematoscelis sp.</t>
  </si>
  <si>
    <t>Nemsp</t>
  </si>
  <si>
    <t>弯臂磷虾</t>
  </si>
  <si>
    <t>Nemfl</t>
  </si>
  <si>
    <t>牛眼臂磷虾</t>
  </si>
  <si>
    <t>nyb</t>
  </si>
  <si>
    <t>Nembo</t>
  </si>
  <si>
    <t>六刺臂磷虾</t>
  </si>
  <si>
    <t>lcb</t>
  </si>
  <si>
    <t>Nemse</t>
  </si>
  <si>
    <t>lza</t>
  </si>
  <si>
    <t>Styca</t>
  </si>
  <si>
    <t>Styaf</t>
  </si>
  <si>
    <t>ejz</t>
  </si>
  <si>
    <t>Stymi</t>
  </si>
  <si>
    <t>Stylo</t>
  </si>
  <si>
    <t>zal</t>
  </si>
  <si>
    <t>Styel</t>
  </si>
  <si>
    <t>dza</t>
  </si>
  <si>
    <t>Styab</t>
  </si>
  <si>
    <t>Styma</t>
  </si>
  <si>
    <t>印度柱螯磷虾</t>
  </si>
  <si>
    <t>yda</t>
  </si>
  <si>
    <t>Styin</t>
  </si>
  <si>
    <t>粗柱螯磷虾</t>
  </si>
  <si>
    <t>Styro</t>
  </si>
  <si>
    <t>柱螯磷虾属</t>
  </si>
  <si>
    <t>Stylocheiron sp.</t>
  </si>
  <si>
    <t>Stysp</t>
  </si>
  <si>
    <t>中国毛虾</t>
  </si>
  <si>
    <t>Acech</t>
  </si>
  <si>
    <t>十足类</t>
  </si>
  <si>
    <t>红毛虾</t>
  </si>
  <si>
    <t>hmx</t>
  </si>
  <si>
    <t>Aceer</t>
  </si>
  <si>
    <t>中型毛虾</t>
  </si>
  <si>
    <t>Acein</t>
  </si>
  <si>
    <t>日本毛虾</t>
  </si>
  <si>
    <t>rbm</t>
  </si>
  <si>
    <t>Aceja</t>
  </si>
  <si>
    <t>锯齿毛虾</t>
  </si>
  <si>
    <t>jcm</t>
  </si>
  <si>
    <t>Acese</t>
  </si>
  <si>
    <t>普通毛虾</t>
  </si>
  <si>
    <t>ptm</t>
  </si>
  <si>
    <t>Acevu</t>
  </si>
  <si>
    <t>毛虾属</t>
  </si>
  <si>
    <t>Acetes sp.</t>
  </si>
  <si>
    <t>Acesp</t>
  </si>
  <si>
    <t>费氏莹虾</t>
  </si>
  <si>
    <t>fsy</t>
  </si>
  <si>
    <t>Lucfa</t>
  </si>
  <si>
    <t>Borradaile</t>
  </si>
  <si>
    <t>Lucha</t>
  </si>
  <si>
    <t>中型莹虾</t>
  </si>
  <si>
    <t>Lucin</t>
  </si>
  <si>
    <t>东方莹虾</t>
  </si>
  <si>
    <t>Lucor</t>
  </si>
  <si>
    <t>刷状莹虾</t>
  </si>
  <si>
    <t>szy</t>
  </si>
  <si>
    <t>Lucpe</t>
  </si>
  <si>
    <t>正型莹虾</t>
  </si>
  <si>
    <t>Lucty</t>
  </si>
  <si>
    <t>莹虾属</t>
  </si>
  <si>
    <t>Lucifer sp.</t>
  </si>
  <si>
    <t>加氏樱虾</t>
  </si>
  <si>
    <t>jsy</t>
  </si>
  <si>
    <t>Kemp</t>
  </si>
  <si>
    <t>东方樱虾</t>
  </si>
  <si>
    <t>Seror</t>
  </si>
  <si>
    <t>塔氏樱虾</t>
  </si>
  <si>
    <t>tsy</t>
  </si>
  <si>
    <t>Serta</t>
  </si>
  <si>
    <t>樱虾属</t>
  </si>
  <si>
    <t>Sergestes sp.</t>
  </si>
  <si>
    <t>sersp</t>
  </si>
  <si>
    <t>细螯虾</t>
  </si>
  <si>
    <t>xax</t>
  </si>
  <si>
    <t>Lepgr</t>
  </si>
  <si>
    <t>Stimpson</t>
  </si>
  <si>
    <t>海南细螯虾</t>
  </si>
  <si>
    <t>hnx</t>
  </si>
  <si>
    <t>Lepha</t>
  </si>
  <si>
    <t>日本细螯虾</t>
  </si>
  <si>
    <t>Hayashi et Miyake</t>
  </si>
  <si>
    <t>猛细螯虾</t>
  </si>
  <si>
    <t>mxa</t>
  </si>
  <si>
    <t>Leppu</t>
  </si>
  <si>
    <t>de Man</t>
  </si>
  <si>
    <t>壮细螯虾</t>
  </si>
  <si>
    <t>zxa</t>
  </si>
  <si>
    <t>Lepro</t>
  </si>
  <si>
    <t>细螯虾属</t>
  </si>
  <si>
    <t>Leptochela sp.</t>
  </si>
  <si>
    <t>Acanthephyra curtirostris</t>
  </si>
  <si>
    <t>柔弱腹刺虾</t>
  </si>
  <si>
    <t>Heterocarpus woodmasoni</t>
  </si>
  <si>
    <t>hetwo</t>
  </si>
  <si>
    <t>异齿拟长额虾</t>
  </si>
  <si>
    <t>Parapandalus zurstrasseni</t>
  </si>
  <si>
    <t>ycn</t>
  </si>
  <si>
    <t>脊尾白虾</t>
  </si>
  <si>
    <t>jwb</t>
  </si>
  <si>
    <t>Eukba</t>
  </si>
  <si>
    <t>毛颚类</t>
  </si>
  <si>
    <t>Eukrohnia sp.</t>
  </si>
  <si>
    <t>Euksp</t>
  </si>
  <si>
    <t>太平洋撬虫</t>
  </si>
  <si>
    <t>Kropa</t>
  </si>
  <si>
    <t>(Aida)</t>
  </si>
  <si>
    <t>纤细撬虫</t>
  </si>
  <si>
    <t>qxq</t>
  </si>
  <si>
    <t>Krosu</t>
  </si>
  <si>
    <t>飞龙翼箭虫</t>
  </si>
  <si>
    <t>fly</t>
  </si>
  <si>
    <t>Ptedr</t>
  </si>
  <si>
    <t>Eukrohnia fowleri</t>
  </si>
  <si>
    <t>Eukfo</t>
  </si>
  <si>
    <t>gzz</t>
  </si>
  <si>
    <t>Eukha</t>
  </si>
  <si>
    <t>肥胖箭虫</t>
  </si>
  <si>
    <t>fpj</t>
  </si>
  <si>
    <t>Sagen</t>
  </si>
  <si>
    <t>Grassi</t>
  </si>
  <si>
    <t>lqj</t>
  </si>
  <si>
    <t>Saghe</t>
  </si>
  <si>
    <t>琴形箭虫</t>
  </si>
  <si>
    <t>qxj</t>
  </si>
  <si>
    <t>Sagly</t>
  </si>
  <si>
    <t>美丽箭虫</t>
  </si>
  <si>
    <t>Sagpu</t>
  </si>
  <si>
    <t>Doncaster</t>
  </si>
  <si>
    <t>飘浮箭虫</t>
  </si>
  <si>
    <t>pfj</t>
  </si>
  <si>
    <t>Sagpl</t>
  </si>
  <si>
    <t>Sagze</t>
  </si>
  <si>
    <t>Fowler</t>
  </si>
  <si>
    <t>大头箭虫</t>
  </si>
  <si>
    <t>Sagma</t>
  </si>
  <si>
    <t>凶形箭虫</t>
  </si>
  <si>
    <t>Sagfe</t>
  </si>
  <si>
    <t>双斑箭虫</t>
  </si>
  <si>
    <t>sbj</t>
  </si>
  <si>
    <t>Sagbi</t>
  </si>
  <si>
    <t>太平洋箭虫</t>
  </si>
  <si>
    <t>Sagpa</t>
  </si>
  <si>
    <t>Tokioka</t>
  </si>
  <si>
    <t>假锯齿箭虫</t>
  </si>
  <si>
    <t>Sagps</t>
  </si>
  <si>
    <t>狭长箭虫</t>
  </si>
  <si>
    <t>Sagitta bruani</t>
  </si>
  <si>
    <t>Sagbr</t>
  </si>
  <si>
    <t>强壮箭虫</t>
  </si>
  <si>
    <t>Sagitta crassa</t>
  </si>
  <si>
    <t>qzj</t>
  </si>
  <si>
    <t>Sagcr</t>
  </si>
  <si>
    <t>囊开形箭虫</t>
  </si>
  <si>
    <t>Sagitta crass</t>
  </si>
  <si>
    <t>forma naikaiensis Tokioka</t>
  </si>
  <si>
    <t>窄瘦形箭虫</t>
  </si>
  <si>
    <t>Sagitta tenuis</t>
  </si>
  <si>
    <t>Sagte</t>
  </si>
  <si>
    <t>Conant</t>
  </si>
  <si>
    <t>百陶箭虫</t>
  </si>
  <si>
    <t>Sagitta bedoti</t>
  </si>
  <si>
    <t>btj</t>
  </si>
  <si>
    <t>Sagbe</t>
  </si>
  <si>
    <t>Beraneck</t>
  </si>
  <si>
    <t>海龙箭虫</t>
  </si>
  <si>
    <t>Sagitta nagae</t>
  </si>
  <si>
    <t>hlj</t>
  </si>
  <si>
    <t>Sagna</t>
  </si>
  <si>
    <t>多变箭虫</t>
  </si>
  <si>
    <t>Sagitta decipiens</t>
  </si>
  <si>
    <t>dbj</t>
  </si>
  <si>
    <t>Sagde</t>
  </si>
  <si>
    <t>新多变箭虫</t>
  </si>
  <si>
    <t>Sagitta neodecipiens</t>
  </si>
  <si>
    <t>xdb</t>
  </si>
  <si>
    <t>Sagne</t>
  </si>
  <si>
    <t>微型箭虫</t>
  </si>
  <si>
    <t>Sagitta minima</t>
  </si>
  <si>
    <t>wxj</t>
  </si>
  <si>
    <t>Sagmi</t>
  </si>
  <si>
    <t>粗壮箭虫</t>
  </si>
  <si>
    <t>Sagitta robusta</t>
  </si>
  <si>
    <t>Sagro</t>
  </si>
  <si>
    <t>厚领箭虫</t>
  </si>
  <si>
    <t>Sagitta tokiokai</t>
  </si>
  <si>
    <t>Sagto</t>
  </si>
  <si>
    <t>小箭虫</t>
  </si>
  <si>
    <t>Sagitta neglecta</t>
  </si>
  <si>
    <t>Aida</t>
  </si>
  <si>
    <t>规则箭虫</t>
  </si>
  <si>
    <t>Sagitta regularis</t>
  </si>
  <si>
    <t>gzj</t>
  </si>
  <si>
    <t>Sagre</t>
  </si>
  <si>
    <t>矮壮箭虫</t>
  </si>
  <si>
    <t>Sagitta bedfordii</t>
  </si>
  <si>
    <t>弱箭虫</t>
  </si>
  <si>
    <t>Sagitta delicata</t>
  </si>
  <si>
    <t>rjc</t>
  </si>
  <si>
    <t>圆囊箭虫</t>
  </si>
  <si>
    <t>Sagitta johorensis</t>
  </si>
  <si>
    <t>ynj</t>
  </si>
  <si>
    <t>Sagjo</t>
  </si>
  <si>
    <t>Pathansali et Tokioka</t>
  </si>
  <si>
    <t>隔状箭虫</t>
  </si>
  <si>
    <t>Sagitta septata</t>
  </si>
  <si>
    <t>Sagse</t>
  </si>
  <si>
    <t>海洋箭虫</t>
  </si>
  <si>
    <t>Sagitta oceania</t>
  </si>
  <si>
    <t>Sagoc</t>
  </si>
  <si>
    <t>Gray</t>
  </si>
  <si>
    <t>箭虫属</t>
  </si>
  <si>
    <t>Sagitta sp.</t>
  </si>
  <si>
    <t>jcs</t>
  </si>
  <si>
    <t>Sagsp</t>
  </si>
  <si>
    <t>mel</t>
  </si>
  <si>
    <t>长尾住囊虫</t>
  </si>
  <si>
    <t>Oikopleura longicauda</t>
  </si>
  <si>
    <t>cwz</t>
  </si>
  <si>
    <t>Oiklo</t>
  </si>
  <si>
    <t>被囊类</t>
  </si>
  <si>
    <t>(Vogt)</t>
  </si>
  <si>
    <t>中型住囊虫</t>
  </si>
  <si>
    <t>Oikopleura interrmedia</t>
  </si>
  <si>
    <t>Oikin</t>
  </si>
  <si>
    <t>Lohmann</t>
  </si>
  <si>
    <t>梭形住囊虫</t>
  </si>
  <si>
    <t>Oikopleura fusiformis</t>
  </si>
  <si>
    <t>Oikfu</t>
  </si>
  <si>
    <t>Fol</t>
  </si>
  <si>
    <t>角胃住囊虫</t>
  </si>
  <si>
    <t>Oikopleura cornutogastra</t>
  </si>
  <si>
    <t>jwz</t>
  </si>
  <si>
    <t>Oikco</t>
  </si>
  <si>
    <t>异体住囊虫</t>
  </si>
  <si>
    <t>Oikopleura dioica</t>
  </si>
  <si>
    <t>ytz</t>
  </si>
  <si>
    <t>Oikdi</t>
  </si>
  <si>
    <t>红住囊虫</t>
  </si>
  <si>
    <t>Oikopleura rufescens</t>
  </si>
  <si>
    <t>Oikru</t>
  </si>
  <si>
    <t>小型住囊虫</t>
  </si>
  <si>
    <t>Oikopleura parva</t>
  </si>
  <si>
    <t>Oikpa</t>
  </si>
  <si>
    <t>大住囊虫</t>
  </si>
  <si>
    <t>Oikopleura megastoma</t>
  </si>
  <si>
    <t>dzn</t>
  </si>
  <si>
    <t>Oikme</t>
  </si>
  <si>
    <t>钝住囊虫</t>
  </si>
  <si>
    <t>Oikopleura cophocera</t>
  </si>
  <si>
    <t>tzn</t>
  </si>
  <si>
    <t>瘦住囊虫</t>
  </si>
  <si>
    <t>Oikopleura graciloides</t>
  </si>
  <si>
    <t>szn</t>
  </si>
  <si>
    <t>Oikgr</t>
  </si>
  <si>
    <t>Lohmann et Buckmann</t>
  </si>
  <si>
    <t>白住囊虫</t>
  </si>
  <si>
    <t>Oikopleura albicans</t>
  </si>
  <si>
    <t>Oikal</t>
  </si>
  <si>
    <t>住囊虫属</t>
  </si>
  <si>
    <t>赫氏住囊虫</t>
  </si>
  <si>
    <t>Megalocercus huxleyi</t>
  </si>
  <si>
    <t>Meghu</t>
  </si>
  <si>
    <t>(Ritter)</t>
  </si>
  <si>
    <t>头状住囊虫</t>
  </si>
  <si>
    <t>Stegosoma magnum</t>
  </si>
  <si>
    <t>tzz</t>
  </si>
  <si>
    <t>Stema</t>
  </si>
  <si>
    <t>垂直住囊虫</t>
  </si>
  <si>
    <t>Pleagopleura verticalis</t>
  </si>
  <si>
    <t>Pleve</t>
  </si>
  <si>
    <t>(Lohmann)</t>
  </si>
  <si>
    <t>隆起住囊虫</t>
  </si>
  <si>
    <t>Althoffia tumida</t>
  </si>
  <si>
    <t>lqz</t>
  </si>
  <si>
    <t>Alttu</t>
  </si>
  <si>
    <t>单胃住筒虫[单胃褶海鞘]</t>
  </si>
  <si>
    <t>Fritillaria haplostoma</t>
  </si>
  <si>
    <t>Friha</t>
  </si>
  <si>
    <t>蚁住筒虫[蚁褶海鞘]</t>
  </si>
  <si>
    <t>Fritillaria formica</t>
  </si>
  <si>
    <t>yzt</t>
  </si>
  <si>
    <t>Frifo</t>
  </si>
  <si>
    <t>隐住筒虫[隐褶海鞘]</t>
  </si>
  <si>
    <t>Fritillaria fraudax</t>
  </si>
  <si>
    <t>Frifr</t>
  </si>
  <si>
    <t>透明住筒虫[透明褶海鞘]</t>
  </si>
  <si>
    <t>Fritillaria pellucida</t>
  </si>
  <si>
    <t>tmz</t>
  </si>
  <si>
    <t>Fripe</t>
  </si>
  <si>
    <t>(Busch)</t>
  </si>
  <si>
    <t>北方住筒虫[北方褶海鞘]</t>
  </si>
  <si>
    <t>Fritillaria borealis</t>
  </si>
  <si>
    <t>Fribo</t>
  </si>
  <si>
    <t>北方住筒虫海藻亚种[北方褶海鞘海藻亚种]</t>
  </si>
  <si>
    <t>sargassi (Lohmann)</t>
  </si>
  <si>
    <t>软住筒虫[软褶海鞘]</t>
  </si>
  <si>
    <t>Fritillaria tenella</t>
  </si>
  <si>
    <t>rzt</t>
  </si>
  <si>
    <t>Frite</t>
  </si>
  <si>
    <t>美丽住筒虫[闰美丽褶海鞘]</t>
  </si>
  <si>
    <t>Fritillaria venusta</t>
  </si>
  <si>
    <t>Frive</t>
  </si>
  <si>
    <t>双角住筒虫[双角褶海鞘]</t>
  </si>
  <si>
    <t>Fritillaria bicornis</t>
  </si>
  <si>
    <t>Fribi</t>
  </si>
  <si>
    <t>巨住筒虫[巨褶海鞘]</t>
  </si>
  <si>
    <t>Fritillaria megachile</t>
  </si>
  <si>
    <t>jzt</t>
  </si>
  <si>
    <t>Frime</t>
  </si>
  <si>
    <t>住筒虫属</t>
  </si>
  <si>
    <t>Fritillaria sp.</t>
  </si>
  <si>
    <t>frisp</t>
  </si>
  <si>
    <t>多产住筒虫[多产褶海鞘]</t>
  </si>
  <si>
    <t>Tectillaria fertilis</t>
  </si>
  <si>
    <t>Tecfe</t>
  </si>
  <si>
    <t>多产住筒虫属</t>
  </si>
  <si>
    <t>Tectillaria sp.</t>
  </si>
  <si>
    <t>Tecsp</t>
  </si>
  <si>
    <t>软拟海樽</t>
  </si>
  <si>
    <t>Dolioletta gegenbauri</t>
  </si>
  <si>
    <t>rnh</t>
  </si>
  <si>
    <t>Dolge</t>
  </si>
  <si>
    <t>Uljanin</t>
  </si>
  <si>
    <t>小齿海樽</t>
  </si>
  <si>
    <t>Doliolum denticulatum</t>
  </si>
  <si>
    <t>xch</t>
  </si>
  <si>
    <t>Dolde</t>
  </si>
  <si>
    <t>小齿海樽依氏亚种</t>
  </si>
  <si>
    <t>ehrenbergi Uljanin</t>
  </si>
  <si>
    <t>邦海樽</t>
  </si>
  <si>
    <t>Doliolum mationalis</t>
  </si>
  <si>
    <t>Dolma</t>
  </si>
  <si>
    <t>Borgert</t>
  </si>
  <si>
    <t>珍奇海樽</t>
  </si>
  <si>
    <t>Dolioloides rarum</t>
  </si>
  <si>
    <t>bhz</t>
  </si>
  <si>
    <t>Dolra</t>
  </si>
  <si>
    <t>Grobben</t>
  </si>
  <si>
    <t>缪勒海樽克氏亚种</t>
  </si>
  <si>
    <t>Doliolina Mülleri</t>
  </si>
  <si>
    <t>zqh</t>
  </si>
  <si>
    <t>Dolmu</t>
  </si>
  <si>
    <t>krohni Borgert</t>
  </si>
  <si>
    <t>模糊海樽</t>
  </si>
  <si>
    <t>Doliolina obscura</t>
  </si>
  <si>
    <t>Dolob</t>
  </si>
  <si>
    <t>Tokioka et Berner</t>
  </si>
  <si>
    <t>殖离海樽</t>
  </si>
  <si>
    <t>Doliolina separata</t>
  </si>
  <si>
    <t>mhh</t>
  </si>
  <si>
    <t>Dolse</t>
  </si>
  <si>
    <t>海樽属</t>
  </si>
  <si>
    <t>Doliolina sp.</t>
  </si>
  <si>
    <t>dolsp</t>
  </si>
  <si>
    <t>大西洋火体虫</t>
  </si>
  <si>
    <t>Pyrosoma atlanticum</t>
  </si>
  <si>
    <t>zlh</t>
  </si>
  <si>
    <t>Pyrat</t>
  </si>
  <si>
    <t>Peron</t>
  </si>
  <si>
    <t>火体虫属</t>
  </si>
  <si>
    <t>Pyrosoma sp.</t>
  </si>
  <si>
    <t>pyrsp</t>
  </si>
  <si>
    <t>羽环纽鳃樽</t>
  </si>
  <si>
    <t>Cyclosalpa pinnata</t>
  </si>
  <si>
    <t>Cycpi</t>
  </si>
  <si>
    <t>羽环纽鳃樽谢氏亚种</t>
  </si>
  <si>
    <t>sewilli Metcalf</t>
  </si>
  <si>
    <t>羽环纽鳃樽长柄亚种</t>
  </si>
  <si>
    <t>polae (Sigl)</t>
  </si>
  <si>
    <t>羽环纽鳃樽四光器型</t>
  </si>
  <si>
    <t>yun</t>
  </si>
  <si>
    <t>f. quadriluminis Berner</t>
  </si>
  <si>
    <t>近缘环纽鳃樽</t>
  </si>
  <si>
    <t>Cyclosalpa affinis</t>
  </si>
  <si>
    <t>jyh</t>
  </si>
  <si>
    <t>Cycaf</t>
  </si>
  <si>
    <t>(Chamisso)</t>
  </si>
  <si>
    <t>佛环纽鳃樽</t>
  </si>
  <si>
    <t>Cyclosalpa floridana</t>
  </si>
  <si>
    <t>fhn</t>
  </si>
  <si>
    <t>Cycfl</t>
  </si>
  <si>
    <t>(Apstein)</t>
  </si>
  <si>
    <t>贝环纽鳃樽</t>
  </si>
  <si>
    <t>Cyclosalpa bakeri</t>
  </si>
  <si>
    <t>bhn</t>
  </si>
  <si>
    <t>Cycba</t>
  </si>
  <si>
    <t>Ritter</t>
  </si>
  <si>
    <t>环纽鳃樽属</t>
  </si>
  <si>
    <t>Cyclosalpa sp.</t>
  </si>
  <si>
    <t>细长环纽鳃樽</t>
  </si>
  <si>
    <t>Helicosalpa virgula</t>
  </si>
  <si>
    <t>Helvi</t>
  </si>
  <si>
    <t>长吻纽鳃樽</t>
  </si>
  <si>
    <t>Brooksia rostrata</t>
  </si>
  <si>
    <t>Broro</t>
  </si>
  <si>
    <t>(Traustedt)</t>
  </si>
  <si>
    <t>多肌纽鳃樽</t>
  </si>
  <si>
    <t>Ritteriella picteti</t>
  </si>
  <si>
    <t>Ritpi</t>
  </si>
  <si>
    <t>安纽鳃樽</t>
  </si>
  <si>
    <t>Ritteriella amboinensis</t>
  </si>
  <si>
    <t>ans</t>
  </si>
  <si>
    <t>Ritam</t>
  </si>
  <si>
    <t>六棱纽鳃樽</t>
  </si>
  <si>
    <t>Metcalfina hexagona</t>
  </si>
  <si>
    <t>lln</t>
  </si>
  <si>
    <t>Methe</t>
  </si>
  <si>
    <t>(Quoy et Gaimaid)</t>
  </si>
  <si>
    <t>宽肌纽鳃樽</t>
  </si>
  <si>
    <t>Iasis zonaria</t>
  </si>
  <si>
    <t>kjn</t>
  </si>
  <si>
    <t>Iaszo</t>
  </si>
  <si>
    <t>大刺纽鳃樽</t>
  </si>
  <si>
    <t>Thetys vagina</t>
  </si>
  <si>
    <t>Theva</t>
  </si>
  <si>
    <t>Tilesius</t>
  </si>
  <si>
    <t>双尾纽鳃樽</t>
  </si>
  <si>
    <t>Thalia democratica</t>
  </si>
  <si>
    <t>swn</t>
  </si>
  <si>
    <t>Thade</t>
  </si>
  <si>
    <t>双尾纽鳃樽东方亚种</t>
  </si>
  <si>
    <t>Thaor</t>
  </si>
  <si>
    <t>orientalis Tokioka</t>
  </si>
  <si>
    <t>双尾纽鳃樽多刺亚种</t>
  </si>
  <si>
    <t>echinata Tokioka</t>
  </si>
  <si>
    <t>双尾纽鳃樽属</t>
  </si>
  <si>
    <t>Thalia sp</t>
  </si>
  <si>
    <t>Thasp</t>
  </si>
  <si>
    <t>贫肌纽鳃樽</t>
  </si>
  <si>
    <t>Pegea confoederata</t>
  </si>
  <si>
    <t>pjn</t>
  </si>
  <si>
    <t>Pegco</t>
  </si>
  <si>
    <t>多手纽鳃樽</t>
  </si>
  <si>
    <t>Traustedtia multitentaculata</t>
  </si>
  <si>
    <t>Tramu</t>
  </si>
  <si>
    <t>韦氏纽鳃樽</t>
  </si>
  <si>
    <t>Weelia cylindrica</t>
  </si>
  <si>
    <t>Weecy</t>
  </si>
  <si>
    <t>(Cuvier)</t>
  </si>
  <si>
    <t>棱形纽鳃樽</t>
  </si>
  <si>
    <t>Salpa fusiformis</t>
  </si>
  <si>
    <t>lxn</t>
  </si>
  <si>
    <t>Salfu</t>
  </si>
  <si>
    <t>Cuvier</t>
  </si>
  <si>
    <t>棱形纽鳃樽多刺亚种</t>
  </si>
  <si>
    <t>aspera Chamisso</t>
  </si>
  <si>
    <t>大纽鳃樽</t>
  </si>
  <si>
    <t>Salpa maxima</t>
  </si>
  <si>
    <t>dns</t>
  </si>
  <si>
    <t>Salma</t>
  </si>
  <si>
    <t>大纽鳃樽疣突亚种</t>
  </si>
  <si>
    <t>tuberculata Metcalf</t>
  </si>
  <si>
    <t>纽鳃樽属</t>
  </si>
  <si>
    <t>Salpa sp.</t>
  </si>
  <si>
    <t>nsz</t>
  </si>
  <si>
    <t>Salsp</t>
  </si>
  <si>
    <t>扁平短腹海鞘</t>
  </si>
  <si>
    <t>Aplidium depressum</t>
  </si>
  <si>
    <t>bpd</t>
  </si>
  <si>
    <t>Aplde</t>
  </si>
  <si>
    <t>Sluiter</t>
  </si>
  <si>
    <t>斑点纽鳃樽</t>
  </si>
  <si>
    <t>Ihlea punctata</t>
  </si>
  <si>
    <t>bdn</t>
  </si>
  <si>
    <t>Ihlpu</t>
  </si>
  <si>
    <t>海樽类</t>
  </si>
  <si>
    <t xml:space="preserve">Thaliacea </t>
  </si>
  <si>
    <t>Thali</t>
  </si>
  <si>
    <t>增倍短腹海鞘</t>
  </si>
  <si>
    <t>Aplidium multiplicatum</t>
  </si>
  <si>
    <t>zbd</t>
  </si>
  <si>
    <t>Aplmu</t>
  </si>
  <si>
    <t>星座褶胃海鞘</t>
  </si>
  <si>
    <t>Amaroucium constellatum</t>
  </si>
  <si>
    <t>xzz</t>
  </si>
  <si>
    <t>Amaco</t>
  </si>
  <si>
    <t>圣代三段海鞘</t>
  </si>
  <si>
    <t>Polyclinum sundaicum</t>
  </si>
  <si>
    <t>sds</t>
  </si>
  <si>
    <t>Polsu</t>
  </si>
  <si>
    <t>(Sluiter)</t>
  </si>
  <si>
    <t>灰棕三段海鞘</t>
  </si>
  <si>
    <t>Polyclinum festum</t>
  </si>
  <si>
    <t>Polfe</t>
  </si>
  <si>
    <t>Hartmeyer</t>
  </si>
  <si>
    <t>星座三段海鞘</t>
  </si>
  <si>
    <t>Polyclinum constellatum</t>
  </si>
  <si>
    <t>Polco</t>
  </si>
  <si>
    <t>Savigny</t>
  </si>
  <si>
    <t>三段海鞘属</t>
  </si>
  <si>
    <t>Polyclinum sp.</t>
  </si>
  <si>
    <t>polsp</t>
  </si>
  <si>
    <t>莫氏二段海鞘</t>
  </si>
  <si>
    <t>Didemnum moseliyi</t>
  </si>
  <si>
    <t>mse</t>
  </si>
  <si>
    <t>Didmo</t>
  </si>
  <si>
    <t>(Herdman)</t>
  </si>
  <si>
    <t>膜状二段海鞘</t>
  </si>
  <si>
    <t>Didemnum membranaceum</t>
  </si>
  <si>
    <t>mze</t>
  </si>
  <si>
    <t>Didme</t>
  </si>
  <si>
    <t>颗粒二段海鞘</t>
  </si>
  <si>
    <t>Didemnum granulatum</t>
  </si>
  <si>
    <t>kle</t>
  </si>
  <si>
    <t>Didgr</t>
  </si>
  <si>
    <t>粗糙二段海鞘</t>
  </si>
  <si>
    <t>Didemnum aspersum</t>
  </si>
  <si>
    <t>cce</t>
  </si>
  <si>
    <t>Didas</t>
  </si>
  <si>
    <t>网纹二段海鞘</t>
  </si>
  <si>
    <t>Didemnum areolatum</t>
  </si>
  <si>
    <t>wwe</t>
  </si>
  <si>
    <t>Didar</t>
  </si>
  <si>
    <t>粪丸二段海鞘</t>
  </si>
  <si>
    <t>Didemnum fuscum</t>
  </si>
  <si>
    <t>few</t>
  </si>
  <si>
    <t>Didfu</t>
  </si>
  <si>
    <t>汤加二段海鞘</t>
  </si>
  <si>
    <t>Didemnum tonga</t>
  </si>
  <si>
    <t>the</t>
  </si>
  <si>
    <t>Didto</t>
  </si>
  <si>
    <t>二段海鞘属</t>
  </si>
  <si>
    <t>Didemnum sp.</t>
  </si>
  <si>
    <t>edh</t>
  </si>
  <si>
    <t>Didsp</t>
  </si>
  <si>
    <t>米氏小叶鞘</t>
  </si>
  <si>
    <t>Leptoclnum mitsukurii</t>
  </si>
  <si>
    <t>msx</t>
  </si>
  <si>
    <t>淡赤拟薄海鞘</t>
  </si>
  <si>
    <t>Leptoclinides rufus</t>
  </si>
  <si>
    <t>Lepru</t>
  </si>
  <si>
    <t>网纹拟薄海鞘</t>
  </si>
  <si>
    <t>Leptoclinides reticulatus</t>
  </si>
  <si>
    <t>wwn</t>
  </si>
  <si>
    <t>Lepre</t>
  </si>
  <si>
    <t>软拟薄海鞘</t>
  </si>
  <si>
    <t>Leptoclinides madara</t>
  </si>
  <si>
    <t>rnb</t>
  </si>
  <si>
    <t>拟薄海鞘属</t>
  </si>
  <si>
    <t>Leptoclinides sp.</t>
  </si>
  <si>
    <t>nbh</t>
  </si>
  <si>
    <t>勒氏真双盘海鞘</t>
  </si>
  <si>
    <t>Eudistama laysami</t>
  </si>
  <si>
    <t>横胸棍海鞘</t>
  </si>
  <si>
    <t>Rhopalaea crassa</t>
  </si>
  <si>
    <t>hxg</t>
  </si>
  <si>
    <t>Rhocr</t>
  </si>
  <si>
    <t>玻璃海鞘</t>
  </si>
  <si>
    <t>Ciona intestinalis</t>
  </si>
  <si>
    <t>Cioin</t>
  </si>
  <si>
    <t>长纹海鞘</t>
  </si>
  <si>
    <t>Ascidia longistriata</t>
  </si>
  <si>
    <t>cwh</t>
  </si>
  <si>
    <t>Asclo</t>
  </si>
  <si>
    <t>悉尼海鞘</t>
  </si>
  <si>
    <t>Ascidia sydneiensis</t>
  </si>
  <si>
    <t>Ascsy</t>
  </si>
  <si>
    <t>浅环海鞘</t>
  </si>
  <si>
    <t>Ascidia rhabdophora</t>
  </si>
  <si>
    <t>qhh</t>
  </si>
  <si>
    <t>Ascrh</t>
  </si>
  <si>
    <t>粗肌海鞘</t>
  </si>
  <si>
    <t>Ascidia armata</t>
  </si>
  <si>
    <t>Ascar</t>
  </si>
  <si>
    <t>蓓蕾海鞘</t>
  </si>
  <si>
    <t>Ascidia gemata</t>
  </si>
  <si>
    <t>Ascge</t>
  </si>
  <si>
    <t>阿法海鞘</t>
  </si>
  <si>
    <t>Ascidia alpha</t>
  </si>
  <si>
    <t>afh</t>
  </si>
  <si>
    <t>Ascal</t>
  </si>
  <si>
    <t>太平洋海鞘</t>
  </si>
  <si>
    <t>Ascidia pacifica</t>
  </si>
  <si>
    <t>Ascpa</t>
  </si>
  <si>
    <t>瓣肛海鞘</t>
  </si>
  <si>
    <t>Ascidia lobata</t>
  </si>
  <si>
    <t>bgh</t>
  </si>
  <si>
    <t>乳突海鞘</t>
  </si>
  <si>
    <t>Ascidia papillosa</t>
  </si>
  <si>
    <t>rth</t>
  </si>
  <si>
    <t>海鞘属</t>
  </si>
  <si>
    <t>Ascidia sp.</t>
  </si>
  <si>
    <t>hqs</t>
  </si>
  <si>
    <t>Ascsp</t>
  </si>
  <si>
    <t>西伯龟甲海鞘</t>
  </si>
  <si>
    <t>Chelyosoma siboja</t>
  </si>
  <si>
    <t>Chesi</t>
  </si>
  <si>
    <t>Oka</t>
  </si>
  <si>
    <t>初生菊海鞘</t>
  </si>
  <si>
    <t>Botryllus primigenus</t>
  </si>
  <si>
    <t>Botpr</t>
  </si>
  <si>
    <t>史氏菊海鞘</t>
  </si>
  <si>
    <t>Botryllus schlosseri</t>
  </si>
  <si>
    <t>Botsc</t>
  </si>
  <si>
    <t>瘤状菊海鞘</t>
  </si>
  <si>
    <t>Botryllus tuberatus</t>
  </si>
  <si>
    <t>lzj</t>
  </si>
  <si>
    <t>Bottu</t>
  </si>
  <si>
    <t>Ritter et Forsyth</t>
  </si>
  <si>
    <t>青岛菊海鞘</t>
  </si>
  <si>
    <t>Botryllus tsingtaoensis</t>
  </si>
  <si>
    <t>qdj</t>
  </si>
  <si>
    <t>Botts</t>
  </si>
  <si>
    <t>Ger et Zan</t>
  </si>
  <si>
    <t>菊海鞘属</t>
  </si>
  <si>
    <t>Botryllus sp.</t>
  </si>
  <si>
    <t>jhq</t>
  </si>
  <si>
    <t>Botsp</t>
  </si>
  <si>
    <t>柴拟菊海鞘</t>
  </si>
  <si>
    <t>Botrylloides violaceulus</t>
  </si>
  <si>
    <t>cnj</t>
  </si>
  <si>
    <t>Botvi</t>
  </si>
  <si>
    <t>西门登拟菊海鞘</t>
  </si>
  <si>
    <t>Botrylloides simodensis</t>
  </si>
  <si>
    <t>xmd</t>
  </si>
  <si>
    <t>Botsi</t>
  </si>
  <si>
    <t>Saito et watanabe</t>
  </si>
  <si>
    <t>对行拟菊海鞘</t>
  </si>
  <si>
    <t>Botrylloides perspicuum</t>
  </si>
  <si>
    <t>Botpe</t>
  </si>
  <si>
    <t>Herdman</t>
  </si>
  <si>
    <t>拟菊海鞘属</t>
  </si>
  <si>
    <t>Botrylloides sp.</t>
  </si>
  <si>
    <t>njh</t>
  </si>
  <si>
    <t>botsp</t>
  </si>
  <si>
    <t>大洋纵列海鞘</t>
  </si>
  <si>
    <t>Symplegma oceania</t>
  </si>
  <si>
    <t>Symoc</t>
  </si>
  <si>
    <t>匍匐纵列海鞘</t>
  </si>
  <si>
    <t>Symplegma reptans</t>
  </si>
  <si>
    <t>pfz</t>
  </si>
  <si>
    <t>Symre</t>
  </si>
  <si>
    <t>瓦二精囊海鞘</t>
  </si>
  <si>
    <t>Plyandrocarpa latericius</t>
  </si>
  <si>
    <t>wej</t>
  </si>
  <si>
    <t>Plyla</t>
  </si>
  <si>
    <t>单精囊海鞘</t>
  </si>
  <si>
    <t>Plyandrocarpa minotestis</t>
  </si>
  <si>
    <t>Plymi</t>
  </si>
  <si>
    <t>相模多精囊海鞘</t>
  </si>
  <si>
    <t>Plyandrocarpa sagamiensis</t>
  </si>
  <si>
    <t>Plysa</t>
  </si>
  <si>
    <t>不规则多果海鞘</t>
  </si>
  <si>
    <t>Polycarpa irregularis</t>
  </si>
  <si>
    <t>ggz</t>
  </si>
  <si>
    <t>Polir</t>
  </si>
  <si>
    <t>圆鼠多果海鞘</t>
  </si>
  <si>
    <t>Polycarpa circumarta</t>
  </si>
  <si>
    <t>中国豆海鞘</t>
  </si>
  <si>
    <t>Cnemidocarpa chinensis</t>
  </si>
  <si>
    <t>zgd</t>
  </si>
  <si>
    <t>Cnech</t>
  </si>
  <si>
    <t>网纹豆海鞘</t>
  </si>
  <si>
    <t>Cnemidocarpa areolata</t>
  </si>
  <si>
    <t>wwd</t>
  </si>
  <si>
    <t>Cnear</t>
  </si>
  <si>
    <t>豆海鞘属</t>
  </si>
  <si>
    <t>Cnemidocarpa sp.</t>
  </si>
  <si>
    <t>dhq</t>
  </si>
  <si>
    <t>Cnesp</t>
  </si>
  <si>
    <t>柄海鞘[柄瘤海鞘]</t>
  </si>
  <si>
    <t>Styela calva</t>
  </si>
  <si>
    <t>bhq</t>
  </si>
  <si>
    <t>冠瘤海鞘</t>
  </si>
  <si>
    <t>Styela canopus</t>
  </si>
  <si>
    <t>glh</t>
  </si>
  <si>
    <t>皱瘤海鞘</t>
  </si>
  <si>
    <t>Styela plicata</t>
  </si>
  <si>
    <t>Stypl</t>
  </si>
  <si>
    <t>青岛瘤海鞘</t>
  </si>
  <si>
    <t>Styela qindaoensis</t>
  </si>
  <si>
    <t>qdl</t>
  </si>
  <si>
    <t>Styqi</t>
  </si>
  <si>
    <t>Ger et Zang</t>
  </si>
  <si>
    <t>中国瘤海鞘</t>
  </si>
  <si>
    <t>Styela sinensis</t>
  </si>
  <si>
    <t>Stysi</t>
  </si>
  <si>
    <t>瘤海鞘属</t>
  </si>
  <si>
    <t>Styela sp.</t>
  </si>
  <si>
    <t>lhq</t>
  </si>
  <si>
    <t>色条脓海鞘</t>
  </si>
  <si>
    <t>Pyura vittata</t>
  </si>
  <si>
    <t>Pyuvi</t>
  </si>
  <si>
    <t>曲腺脓海鞘</t>
  </si>
  <si>
    <t>Pyura curvigona</t>
  </si>
  <si>
    <t>qxn</t>
  </si>
  <si>
    <t>Pyucu</t>
  </si>
  <si>
    <t>长形脓海鞘</t>
  </si>
  <si>
    <t>Pyura elongata</t>
  </si>
  <si>
    <t>Pyuel</t>
  </si>
  <si>
    <t>奇异脓海鞘</t>
  </si>
  <si>
    <t>Pyura mirabilis</t>
  </si>
  <si>
    <t>qyn</t>
  </si>
  <si>
    <t>Pyumi</t>
  </si>
  <si>
    <t>(Drasche)</t>
  </si>
  <si>
    <t>木质脓海鞘</t>
  </si>
  <si>
    <t>Pyura lignosa</t>
  </si>
  <si>
    <t>mzn</t>
  </si>
  <si>
    <t>Pyuli</t>
  </si>
  <si>
    <t>Michaelsen</t>
  </si>
  <si>
    <t>脓海鞘属</t>
  </si>
  <si>
    <t>Pyura sp.</t>
  </si>
  <si>
    <t>nhq</t>
  </si>
  <si>
    <t>Pyusp</t>
  </si>
  <si>
    <t>红贺海鞘</t>
  </si>
  <si>
    <t>Herdmania momus</t>
  </si>
  <si>
    <t>heh</t>
  </si>
  <si>
    <t>Hermo</t>
  </si>
  <si>
    <t>(Sauigny)</t>
  </si>
  <si>
    <t>澳洲齐海鞘</t>
  </si>
  <si>
    <t>Microcosmus australis</t>
  </si>
  <si>
    <t>azq</t>
  </si>
  <si>
    <t>Micau</t>
  </si>
  <si>
    <t>硬突小齐海鞘</t>
  </si>
  <si>
    <t>Microcosmus exasperatus</t>
  </si>
  <si>
    <t>ytx</t>
  </si>
  <si>
    <t>Micex</t>
  </si>
  <si>
    <t>Heller</t>
  </si>
  <si>
    <t>乳突皮海鞘</t>
  </si>
  <si>
    <t>Molgula manhattemsis</t>
  </si>
  <si>
    <t>rtp</t>
  </si>
  <si>
    <t>Molma</t>
  </si>
  <si>
    <t>(Delay)</t>
  </si>
  <si>
    <t>多形皮海鞘</t>
  </si>
  <si>
    <t>Molgula diversa</t>
  </si>
  <si>
    <t>dxp</t>
  </si>
  <si>
    <t>Moldi</t>
  </si>
  <si>
    <t>Kett</t>
  </si>
  <si>
    <t>中华哈特海鞘</t>
  </si>
  <si>
    <t>Hartmeyeria chinensis</t>
  </si>
  <si>
    <t>Harch</t>
  </si>
  <si>
    <t>有尾类</t>
  </si>
  <si>
    <t xml:space="preserve">Appendiculata </t>
  </si>
  <si>
    <t>ywl</t>
  </si>
  <si>
    <t>appen</t>
  </si>
  <si>
    <t>水母幼体</t>
  </si>
  <si>
    <t>Medusae larvae</t>
  </si>
  <si>
    <t>medla</t>
  </si>
  <si>
    <t>浮游幼体</t>
  </si>
  <si>
    <t>钵水母幼体</t>
  </si>
  <si>
    <t>Scyphomedusae larvae</t>
  </si>
  <si>
    <t>scyla</t>
  </si>
  <si>
    <t>海葵幼虫</t>
  </si>
  <si>
    <t>Aracnactis larvae</t>
  </si>
  <si>
    <t>hky</t>
  </si>
  <si>
    <t>arala</t>
  </si>
  <si>
    <t>海星幼体</t>
  </si>
  <si>
    <t>Asteroidea larvae</t>
  </si>
  <si>
    <t>hxy</t>
  </si>
  <si>
    <t>Astla</t>
  </si>
  <si>
    <t>羽腕幼体</t>
  </si>
  <si>
    <t>Bipinnaria larvae</t>
  </si>
  <si>
    <t>ywy</t>
  </si>
  <si>
    <t>bipla</t>
  </si>
  <si>
    <t>海参纲耳状幼虫</t>
  </si>
  <si>
    <t>Auricularia larvae</t>
  </si>
  <si>
    <t>ezy</t>
  </si>
  <si>
    <t>Aurla</t>
  </si>
  <si>
    <t>棘皮动物幼体</t>
  </si>
  <si>
    <t>Echinodermata larva</t>
  </si>
  <si>
    <t>jpd</t>
  </si>
  <si>
    <t>echla</t>
  </si>
  <si>
    <t>藤壶幼体</t>
  </si>
  <si>
    <t>Balanus larvae</t>
  </si>
  <si>
    <t>thy</t>
  </si>
  <si>
    <t>Balla</t>
  </si>
  <si>
    <t>海胆纲长腕幼虫</t>
  </si>
  <si>
    <t>Echinopluteus larvae</t>
  </si>
  <si>
    <t>cwy</t>
  </si>
  <si>
    <t>Echla</t>
  </si>
  <si>
    <t>蛇尾纲长腕幼虫</t>
  </si>
  <si>
    <t>Ophiopluteus larvae</t>
  </si>
  <si>
    <t>Ophla</t>
  </si>
  <si>
    <t>帚毛虫幼体</t>
  </si>
  <si>
    <t>Sabellaridae spp.</t>
  </si>
  <si>
    <t>纽虫类帽状幼虫</t>
  </si>
  <si>
    <t>Pilidum larvae</t>
  </si>
  <si>
    <t>ncl</t>
  </si>
  <si>
    <t>pilla</t>
  </si>
  <si>
    <t>苔藓动物双壳幼虫</t>
  </si>
  <si>
    <t>Cyphonautes larvae</t>
  </si>
  <si>
    <t>sky</t>
  </si>
  <si>
    <t>Cypla</t>
  </si>
  <si>
    <t>介形幼虫</t>
  </si>
  <si>
    <t>Cypris larvae</t>
  </si>
  <si>
    <t>jxy</t>
  </si>
  <si>
    <t>蔓足类无节幼体</t>
  </si>
  <si>
    <t>Cirripedia nauplius</t>
  </si>
  <si>
    <t>Cirna</t>
  </si>
  <si>
    <t>担轮幼虫</t>
  </si>
  <si>
    <t>Trochophore larvae</t>
  </si>
  <si>
    <t>Trola</t>
  </si>
  <si>
    <t>面盘幼体</t>
  </si>
  <si>
    <t>Veliger larvae</t>
  </si>
  <si>
    <t>mpy</t>
  </si>
  <si>
    <t>Vella</t>
  </si>
  <si>
    <t>口足类幼体</t>
  </si>
  <si>
    <t>Stomatopoda larvae</t>
  </si>
  <si>
    <t>kzl</t>
  </si>
  <si>
    <t>辐轮幼虫</t>
  </si>
  <si>
    <t>Actinotrocha larvae</t>
  </si>
  <si>
    <t>Actla</t>
  </si>
  <si>
    <t>腕足类舌贝幼虫</t>
  </si>
  <si>
    <t>Lingula larvae</t>
  </si>
  <si>
    <t>Linla</t>
  </si>
  <si>
    <t>叶状幼体</t>
  </si>
  <si>
    <t>Phyllopoda larvae</t>
  </si>
  <si>
    <t>yzy</t>
  </si>
  <si>
    <t>原溞状幼体</t>
  </si>
  <si>
    <t>Protozoea larvae</t>
  </si>
  <si>
    <t>Yzz</t>
  </si>
  <si>
    <t>Prola</t>
  </si>
  <si>
    <t>短尾类溞状幼体</t>
  </si>
  <si>
    <t>Brachyura zoea</t>
  </si>
  <si>
    <t>dwl</t>
  </si>
  <si>
    <t>Brazo</t>
  </si>
  <si>
    <t>短尾类大眼幼体</t>
  </si>
  <si>
    <t>Brachyura megalopa</t>
  </si>
  <si>
    <t>Brame</t>
  </si>
  <si>
    <t>短尾类幼体</t>
  </si>
  <si>
    <t>Brachyura larvae</t>
  </si>
  <si>
    <t>异尾类溞状幼体</t>
  </si>
  <si>
    <t>Anomura zoea</t>
  </si>
  <si>
    <t>anozo</t>
  </si>
  <si>
    <t>长尾类溞状幼体</t>
  </si>
  <si>
    <t>Macrura zoea</t>
  </si>
  <si>
    <t>maczo</t>
  </si>
  <si>
    <t>长尾类幼体</t>
  </si>
  <si>
    <t>Macrura larvae</t>
  </si>
  <si>
    <t>Mala</t>
  </si>
  <si>
    <t>歪尾类幼体</t>
  </si>
  <si>
    <t>Glaucothoe larvae</t>
  </si>
  <si>
    <t>glala</t>
  </si>
  <si>
    <t>磁蟹溞状幼体</t>
  </si>
  <si>
    <t>Porcellana zoea</t>
  </si>
  <si>
    <t>cxs</t>
  </si>
  <si>
    <t>Porzo</t>
  </si>
  <si>
    <t>阿利玛幼体</t>
  </si>
  <si>
    <t>Alima larvae</t>
  </si>
  <si>
    <t>alm</t>
  </si>
  <si>
    <t>Alila</t>
  </si>
  <si>
    <t xml:space="preserve">(Squilla) </t>
  </si>
  <si>
    <t>口足类伊雷奇幼虫</t>
  </si>
  <si>
    <t>Erichthus larvae</t>
  </si>
  <si>
    <t>erila</t>
  </si>
  <si>
    <t>桡足类幼体</t>
  </si>
  <si>
    <t>cola</t>
  </si>
  <si>
    <t>糠虾幼体</t>
  </si>
  <si>
    <t>kxy</t>
  </si>
  <si>
    <t>Mysla</t>
  </si>
  <si>
    <t>磷虾幼体</t>
  </si>
  <si>
    <t>Euphausia larvae</t>
  </si>
  <si>
    <t>Eula</t>
  </si>
  <si>
    <t>莹虾幼体</t>
  </si>
  <si>
    <t>Lucifer larvae</t>
  </si>
  <si>
    <t>yxy</t>
  </si>
  <si>
    <t>樱虾幼体</t>
  </si>
  <si>
    <t>Sergestes larvae</t>
  </si>
  <si>
    <t>Serla</t>
  </si>
  <si>
    <t>毛虾幼体</t>
  </si>
  <si>
    <t>Acetes larvae</t>
  </si>
  <si>
    <t>mxl</t>
  </si>
  <si>
    <t>acela</t>
  </si>
  <si>
    <t>十足类幼体</t>
  </si>
  <si>
    <t>Decapod larvae</t>
  </si>
  <si>
    <t>szl</t>
  </si>
  <si>
    <t>Decla</t>
  </si>
  <si>
    <t>戌卵</t>
  </si>
  <si>
    <t>Hyperiidea eggs</t>
  </si>
  <si>
    <t>xl</t>
  </si>
  <si>
    <t>Hypeg</t>
  </si>
  <si>
    <t>[虫戎]幼体</t>
  </si>
  <si>
    <t>Hyperiidea spp.</t>
  </si>
  <si>
    <t>xyt</t>
  </si>
  <si>
    <t>端足类幼虫</t>
  </si>
  <si>
    <t>Amphipoda larvae</t>
  </si>
  <si>
    <t>ampla</t>
  </si>
  <si>
    <t>箭虫幼体</t>
  </si>
  <si>
    <t>Sagitta larvae</t>
  </si>
  <si>
    <t>Sala</t>
  </si>
  <si>
    <t>头足类幼体</t>
  </si>
  <si>
    <t>Cephalopoda larvae</t>
  </si>
  <si>
    <t>tzl</t>
  </si>
  <si>
    <t>Cepla</t>
  </si>
  <si>
    <t>幼螺</t>
  </si>
  <si>
    <t>Gastropod post</t>
  </si>
  <si>
    <t>Gaspo</t>
  </si>
  <si>
    <t xml:space="preserve">larvae </t>
  </si>
  <si>
    <t>幼蛤</t>
  </si>
  <si>
    <t>Lamellibranchia larvae</t>
  </si>
  <si>
    <t>yg</t>
  </si>
  <si>
    <t>Lamla</t>
  </si>
  <si>
    <t>外肛类双壳幼虫</t>
  </si>
  <si>
    <t>Siphionauteus borealis</t>
  </si>
  <si>
    <t>wgl</t>
  </si>
  <si>
    <t>sipbo</t>
  </si>
  <si>
    <t>海洋昆虫</t>
  </si>
  <si>
    <t>Marina insecte</t>
  </si>
  <si>
    <t>hyk</t>
  </si>
  <si>
    <t>Marin</t>
  </si>
  <si>
    <t>蔓足类幼体</t>
  </si>
  <si>
    <t>Cirripedia larvae</t>
  </si>
  <si>
    <t>cirla</t>
  </si>
  <si>
    <t>鱼卵</t>
  </si>
  <si>
    <t>Fish eggs</t>
  </si>
  <si>
    <t>yl</t>
  </si>
  <si>
    <t>Fieg</t>
  </si>
  <si>
    <t>仔稚鱼</t>
  </si>
  <si>
    <t>Fish larvae</t>
  </si>
  <si>
    <t>zy</t>
  </si>
  <si>
    <t>Fila</t>
  </si>
  <si>
    <t>其他幼体</t>
  </si>
  <si>
    <t>Other larvae</t>
  </si>
  <si>
    <t>qty</t>
  </si>
  <si>
    <t>othla</t>
  </si>
  <si>
    <t>其他</t>
  </si>
  <si>
    <t xml:space="preserve">Others </t>
  </si>
  <si>
    <t>qt</t>
  </si>
  <si>
    <t>other</t>
  </si>
  <si>
    <t>不重复</t>
  </si>
  <si>
    <t>重复</t>
  </si>
  <si>
    <t>Hydap</t>
  </si>
  <si>
    <t>粗体浅室水母</t>
  </si>
  <si>
    <t>Agadina stimpsoni</t>
  </si>
  <si>
    <t>hcls</t>
  </si>
  <si>
    <t>Parae</t>
  </si>
  <si>
    <t>Porpor</t>
  </si>
  <si>
    <t>Ortbi</t>
  </si>
  <si>
    <t>细拟真哲水蚤</t>
  </si>
  <si>
    <t>parat</t>
  </si>
  <si>
    <t>mzz</t>
  </si>
  <si>
    <t>Eucelo</t>
  </si>
  <si>
    <t>强次真哲水蚤</t>
  </si>
  <si>
    <t>亚强次真哲水蚤</t>
  </si>
  <si>
    <t>Subeucalanus subcrassus</t>
  </si>
  <si>
    <t>狭额次真哲水蚤</t>
  </si>
  <si>
    <t>尖额次真哲水蚤</t>
  </si>
  <si>
    <t>帽形次真哲水蚤</t>
  </si>
  <si>
    <t>Parpar</t>
  </si>
  <si>
    <t>Aetideus giesbrechti</t>
  </si>
  <si>
    <t>Aetgi</t>
  </si>
  <si>
    <t>Eucmes</t>
  </si>
  <si>
    <t>叉真刺水蚤</t>
  </si>
  <si>
    <t>Euchaeta rimana</t>
  </si>
  <si>
    <t>Eucla</t>
  </si>
  <si>
    <t>火腿伪镖水蚤</t>
  </si>
  <si>
    <t>指状伪镖水蚤</t>
  </si>
  <si>
    <t>球状伪镖水蚤</t>
  </si>
  <si>
    <t>Lucfl</t>
  </si>
  <si>
    <t>耳光水蚤</t>
  </si>
  <si>
    <t>小刺异肢水蚤</t>
  </si>
  <si>
    <t>xcy</t>
  </si>
  <si>
    <t>Halpar</t>
  </si>
  <si>
    <t>Canpac</t>
  </si>
  <si>
    <t>ypt</t>
  </si>
  <si>
    <t>Candacia sp.</t>
  </si>
  <si>
    <t>圆唇角水蚤</t>
  </si>
  <si>
    <t>labro</t>
  </si>
  <si>
    <t>Labacu</t>
  </si>
  <si>
    <t>Oitsim</t>
  </si>
  <si>
    <t>角三锥水蚤</t>
  </si>
  <si>
    <t>Triconia conifera</t>
  </si>
  <si>
    <t>齿三锥水蚤</t>
  </si>
  <si>
    <t>Triconia dentipes</t>
  </si>
  <si>
    <t>Corova</t>
  </si>
  <si>
    <t>驼背羽刺大眼水蚤</t>
  </si>
  <si>
    <t>Farranula gibbula</t>
  </si>
  <si>
    <t>tbyc</t>
  </si>
  <si>
    <t>Fargi</t>
  </si>
  <si>
    <t>拟额羽刺大眼水蚤</t>
  </si>
  <si>
    <t>Farranula rostrata</t>
  </si>
  <si>
    <t>精致羽刺大眼水蚤</t>
  </si>
  <si>
    <t>Farranula concinna</t>
  </si>
  <si>
    <t>瘦长毛猛水蚤</t>
  </si>
  <si>
    <t>Macrosetella gracilis</t>
  </si>
  <si>
    <t>macgr</t>
  </si>
  <si>
    <t>Pargra</t>
  </si>
  <si>
    <t>srs</t>
  </si>
  <si>
    <t>Phrsem</t>
  </si>
  <si>
    <t>zjz</t>
  </si>
  <si>
    <t>Eupint</t>
  </si>
  <si>
    <t>端足类幼体</t>
  </si>
  <si>
    <t>毛颚类幼体</t>
  </si>
  <si>
    <t>Chaetognatha larva</t>
  </si>
  <si>
    <t>chala</t>
  </si>
  <si>
    <t>Oikopleura spp.</t>
  </si>
  <si>
    <t>Oikspp</t>
  </si>
  <si>
    <t>阶段性浮游幼体</t>
  </si>
  <si>
    <t>Stola</t>
  </si>
  <si>
    <t>多毛类幼体</t>
  </si>
  <si>
    <t>Polychaeta larvae</t>
  </si>
  <si>
    <t>POLA</t>
  </si>
  <si>
    <t>浮游多毛类</t>
  </si>
  <si>
    <t>Pelagic Polychaeta</t>
  </si>
  <si>
    <t>fydm</t>
  </si>
  <si>
    <t>Pepo</t>
  </si>
  <si>
    <t>无节幼体</t>
  </si>
  <si>
    <t>Nauplius larvae</t>
  </si>
  <si>
    <t>wjyt</t>
  </si>
  <si>
    <t>Naula</t>
  </si>
  <si>
    <t>溞状幼体</t>
  </si>
  <si>
    <t>Zoea larva</t>
  </si>
  <si>
    <t>ZZY</t>
  </si>
  <si>
    <t>Zola</t>
  </si>
  <si>
    <t>brala</t>
  </si>
  <si>
    <t>Copepoda larva</t>
  </si>
  <si>
    <t>Mysidacea larva</t>
  </si>
  <si>
    <t>Lucla</t>
  </si>
  <si>
    <t>荧虾类</t>
  </si>
  <si>
    <t>腹足类幼体</t>
  </si>
  <si>
    <t>Gastropoda larva</t>
  </si>
  <si>
    <t>fzyt</t>
  </si>
  <si>
    <t>gasla</t>
  </si>
  <si>
    <t>介形类幼体</t>
  </si>
  <si>
    <t>Ostracoda larvae</t>
  </si>
  <si>
    <t>Ostla</t>
  </si>
  <si>
    <t>狭真亮羽水蚤</t>
  </si>
  <si>
    <t>Euaugaptilus angustus</t>
  </si>
  <si>
    <t>xzly</t>
  </si>
  <si>
    <t>Euaan</t>
  </si>
  <si>
    <t>中文名</t>
  </si>
  <si>
    <t>拉丁名</t>
  </si>
  <si>
    <t>拼音</t>
  </si>
  <si>
    <t>拉丁简写</t>
  </si>
  <si>
    <t>类群</t>
  </si>
  <si>
    <t>输入代码</t>
  </si>
  <si>
    <t>类群码</t>
  </si>
  <si>
    <t>预留</t>
  </si>
  <si>
    <t>人名</t>
  </si>
  <si>
    <t>拼音重复</t>
  </si>
  <si>
    <t>拉丁重复</t>
  </si>
  <si>
    <t>站位号</t>
  </si>
  <si>
    <t>检测信息</t>
  </si>
  <si>
    <t>站位号</t>
  </si>
  <si>
    <t>中文输入</t>
  </si>
  <si>
    <t>拉丁输入</t>
  </si>
  <si>
    <t>生物种群</t>
  </si>
  <si>
    <t>站位样品信息</t>
  </si>
  <si>
    <t>样品瓶号袋号</t>
  </si>
  <si>
    <t>样品瓶号袋号</t>
  </si>
  <si>
    <t>海区</t>
  </si>
  <si>
    <t>采样日期</t>
  </si>
  <si>
    <t>水深(m)</t>
  </si>
  <si>
    <t>绳长(m)</t>
  </si>
  <si>
    <t>取样量(%)</t>
  </si>
  <si>
    <t>备注</t>
  </si>
  <si>
    <t>网具</t>
  </si>
  <si>
    <r>
      <t>滤水量</t>
    </r>
    <r>
      <rPr>
        <sz val="11"/>
        <color theme="1"/>
        <rFont val="宋体"/>
        <family val="2"/>
        <charset val="134"/>
        <scheme val="minor"/>
      </rPr>
      <t>(m</t>
    </r>
    <r>
      <rPr>
        <vertAlign val="superscript"/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charset val="134"/>
        <scheme val="minor"/>
      </rPr>
      <t>)</t>
    </r>
  </si>
  <si>
    <t>调查船</t>
  </si>
  <si>
    <t>种类输入重复提示</t>
  </si>
  <si>
    <r>
      <rPr>
        <sz val="11"/>
        <rFont val="宋体"/>
        <family val="2"/>
        <charset val="134"/>
      </rPr>
      <t>中文名</t>
    </r>
  </si>
  <si>
    <r>
      <rPr>
        <sz val="11"/>
        <rFont val="宋体"/>
        <family val="2"/>
        <charset val="134"/>
      </rPr>
      <t>拉丁名</t>
    </r>
  </si>
  <si>
    <r>
      <rPr>
        <sz val="11"/>
        <rFont val="宋体"/>
        <family val="2"/>
        <charset val="134"/>
      </rPr>
      <t>人名</t>
    </r>
  </si>
  <si>
    <r>
      <rPr>
        <sz val="11"/>
        <rFont val="宋体"/>
        <family val="2"/>
        <charset val="134"/>
      </rPr>
      <t>类群</t>
    </r>
  </si>
  <si>
    <t>代码输入</t>
  </si>
  <si>
    <t>网口面积
（m2）</t>
  </si>
  <si>
    <r>
      <t xml:space="preserve">分析日期               </t>
    </r>
    <r>
      <rPr>
        <b/>
        <sz val="11"/>
        <color rgb="FFFF0000"/>
        <rFont val="宋体"/>
        <family val="3"/>
        <charset val="134"/>
        <scheme val="minor"/>
      </rPr>
      <t>（按实际填写）</t>
    </r>
  </si>
  <si>
    <t>种个体数（个）</t>
  </si>
  <si>
    <t>种数</t>
  </si>
  <si>
    <t>总数量（个）</t>
  </si>
  <si>
    <r>
      <t>总密度  （个/m</t>
    </r>
    <r>
      <rPr>
        <vertAlign val="superscript"/>
        <sz val="11"/>
        <color theme="1"/>
        <rFont val="宋体"/>
        <family val="3"/>
        <charset val="134"/>
        <scheme val="minor"/>
      </rPr>
      <t>3</t>
    </r>
    <r>
      <rPr>
        <sz val="11"/>
        <color theme="1"/>
        <rFont val="宋体"/>
        <family val="2"/>
        <charset val="134"/>
        <scheme val="minor"/>
      </rPr>
      <t>）</t>
    </r>
  </si>
  <si>
    <t>合计</t>
  </si>
  <si>
    <r>
      <t>个/m</t>
    </r>
    <r>
      <rPr>
        <vertAlign val="superscript"/>
        <sz val="11"/>
        <rFont val="宋体"/>
        <family val="3"/>
        <charset val="134"/>
        <scheme val="minor"/>
      </rPr>
      <t>3</t>
    </r>
  </si>
  <si>
    <t>生物量</t>
  </si>
  <si>
    <r>
      <rPr>
        <sz val="11"/>
        <rFont val="宋体"/>
        <family val="2"/>
        <charset val="134"/>
      </rPr>
      <t>样品湿重
或
样品体积</t>
    </r>
    <r>
      <rPr>
        <sz val="11"/>
        <rFont val="Times New Roman"/>
        <family val="1"/>
      </rPr>
      <t>(mg</t>
    </r>
    <r>
      <rPr>
        <sz val="11"/>
        <rFont val="宋体"/>
        <family val="2"/>
        <charset val="134"/>
      </rPr>
      <t>或</t>
    </r>
    <r>
      <rPr>
        <sz val="11"/>
        <rFont val="Times New Roman"/>
        <family val="1"/>
      </rPr>
      <t>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)</t>
    </r>
  </si>
  <si>
    <r>
      <rPr>
        <sz val="11"/>
        <rFont val="宋体"/>
        <family val="2"/>
        <charset val="134"/>
      </rPr>
      <t xml:space="preserve">滤水量
</t>
    </r>
    <r>
      <rPr>
        <sz val="11"/>
        <rFont val="Times New Roman"/>
        <family val="1"/>
      </rPr>
      <t>(m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)</t>
    </r>
  </si>
  <si>
    <r>
      <rPr>
        <sz val="11"/>
        <rFont val="宋体"/>
        <family val="2"/>
        <charset val="134"/>
      </rPr>
      <t xml:space="preserve">生物量
</t>
    </r>
    <r>
      <rPr>
        <sz val="11"/>
        <rFont val="Times New Roman"/>
        <family val="1"/>
      </rPr>
      <t>(mg/m</t>
    </r>
    <r>
      <rPr>
        <vertAlign val="superscript"/>
        <sz val="11"/>
        <rFont val="Times New Roman"/>
        <family val="1"/>
      </rPr>
      <t>3</t>
    </r>
    <r>
      <rPr>
        <sz val="11"/>
        <rFont val="宋体"/>
        <family val="2"/>
        <charset val="134"/>
      </rPr>
      <t>或</t>
    </r>
    <r>
      <rPr>
        <sz val="11"/>
        <rFont val="Times New Roman"/>
        <family val="1"/>
      </rPr>
      <t>mL/m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)</t>
    </r>
  </si>
  <si>
    <r>
      <t>筛绢</t>
    </r>
    <r>
      <rPr>
        <sz val="11"/>
        <rFont val="Times New Roman"/>
        <family val="1"/>
      </rPr>
      <t>+</t>
    </r>
    <r>
      <rPr>
        <sz val="11"/>
        <rFont val="宋体"/>
        <family val="2"/>
        <charset val="134"/>
      </rPr>
      <t>样品湿重
或
海水</t>
    </r>
    <r>
      <rPr>
        <sz val="11"/>
        <rFont val="Times New Roman"/>
        <family val="1"/>
      </rPr>
      <t>+</t>
    </r>
    <r>
      <rPr>
        <sz val="11"/>
        <rFont val="宋体"/>
        <family val="2"/>
        <charset val="134"/>
      </rPr>
      <t>样品体积</t>
    </r>
  </si>
  <si>
    <r>
      <t>筛绢湿重
或
海水体积</t>
    </r>
    <r>
      <rPr>
        <sz val="11"/>
        <rFont val="Times New Roman"/>
        <family val="1"/>
      </rPr>
      <t>(mg</t>
    </r>
    <r>
      <rPr>
        <sz val="11"/>
        <rFont val="宋体"/>
        <family val="2"/>
        <charset val="134"/>
      </rPr>
      <t>或</t>
    </r>
    <r>
      <rPr>
        <sz val="11"/>
        <rFont val="Times New Roman"/>
        <family val="1"/>
      </rPr>
      <t>m</t>
    </r>
    <r>
      <rPr>
        <vertAlign val="superscript"/>
        <sz val="11"/>
        <rFont val="Times New Roman"/>
        <family val="1"/>
      </rPr>
      <t>3</t>
    </r>
    <r>
      <rPr>
        <sz val="11"/>
        <rFont val="Times New Roman"/>
        <family val="1"/>
      </rPr>
      <t>)</t>
    </r>
  </si>
  <si>
    <t>备注</t>
  </si>
  <si>
    <t>Kofoid et Swezy, 1921</t>
  </si>
  <si>
    <t>有孔虫</t>
  </si>
  <si>
    <t>Foraminifera sp.</t>
  </si>
  <si>
    <t>Forsp.</t>
  </si>
  <si>
    <t>矛棘虫属</t>
  </si>
  <si>
    <t>Hastigerinia sp.</t>
  </si>
  <si>
    <t>mjc</t>
  </si>
  <si>
    <t>Hassp.</t>
  </si>
  <si>
    <t>圆辐虫属</t>
  </si>
  <si>
    <t>Globorotalia sp.</t>
  </si>
  <si>
    <t>yfc</t>
  </si>
  <si>
    <t>Glosp.</t>
  </si>
  <si>
    <t>抱球虫属</t>
  </si>
  <si>
    <t>Globsp</t>
  </si>
  <si>
    <t>小矛棘虫属</t>
  </si>
  <si>
    <t>Hastigerinella sp.</t>
  </si>
  <si>
    <t>Hassp</t>
  </si>
  <si>
    <t>拟抱球虫属</t>
  </si>
  <si>
    <t>Globigerinoides sp.</t>
  </si>
  <si>
    <t>nbq</t>
  </si>
  <si>
    <t>Globsp.</t>
  </si>
  <si>
    <t>拟铃虫属</t>
  </si>
  <si>
    <t>Tinsp</t>
  </si>
  <si>
    <t>网纹虫属</t>
  </si>
  <si>
    <t xml:space="preserve">Aegina citrea </t>
  </si>
  <si>
    <t>Eschscholtz, 1829</t>
  </si>
  <si>
    <t>八手筐水母属</t>
  </si>
  <si>
    <t>Aeginura sp.</t>
  </si>
  <si>
    <t>Aegsp</t>
  </si>
  <si>
    <t xml:space="preserve">Aeginura grimaldii </t>
  </si>
  <si>
    <t>Maas, 1904</t>
  </si>
  <si>
    <t>刺纹水母属</t>
  </si>
  <si>
    <t>Otoporpa sp.</t>
  </si>
  <si>
    <t>Otosp</t>
  </si>
  <si>
    <t xml:space="preserve">Otoporpa polystriata </t>
  </si>
  <si>
    <t>Xu et Zhang, 1978</t>
  </si>
  <si>
    <t>两手筐水母属</t>
  </si>
  <si>
    <t>Solmundella sp.</t>
  </si>
  <si>
    <t>Solsp.</t>
  </si>
  <si>
    <t xml:space="preserve">Solmundella bitentaculata </t>
  </si>
  <si>
    <t>(Quoy et Gaimard, 1833)</t>
  </si>
  <si>
    <t>摇篮水母属</t>
  </si>
  <si>
    <t>Cunina sp.</t>
  </si>
  <si>
    <t>yls</t>
  </si>
  <si>
    <t>Cunsp</t>
  </si>
  <si>
    <t xml:space="preserve">Cunina frugifera </t>
  </si>
  <si>
    <t>Kramp, 1948</t>
  </si>
  <si>
    <t xml:space="preserve">Cunina octonaria </t>
  </si>
  <si>
    <t>McCrady, 1859</t>
  </si>
  <si>
    <t>Bigelow, 1909</t>
  </si>
  <si>
    <t>嗜阳水母属</t>
  </si>
  <si>
    <t>Solmissus sp.</t>
  </si>
  <si>
    <t>sys</t>
  </si>
  <si>
    <t>Solmsp</t>
  </si>
  <si>
    <t xml:space="preserve">Solmissus marshalii </t>
  </si>
  <si>
    <t>Agassiz et Mayer, 1902</t>
  </si>
  <si>
    <t>坚固水母属</t>
  </si>
  <si>
    <t>Pegantha sp.</t>
  </si>
  <si>
    <t>Pegsp</t>
  </si>
  <si>
    <t xml:space="preserve">Pegantha martagon </t>
  </si>
  <si>
    <t>Haeckel, 1879</t>
  </si>
  <si>
    <t xml:space="preserve">Pegantha rubiginosa </t>
  </si>
  <si>
    <t>Pegru</t>
  </si>
  <si>
    <t>(Kölliker, 1853)</t>
  </si>
  <si>
    <t xml:space="preserve">Pegantha triloca </t>
  </si>
  <si>
    <t>太阳水母属</t>
  </si>
  <si>
    <t>Solmaris sp.</t>
  </si>
  <si>
    <t>Solsp</t>
  </si>
  <si>
    <t xml:space="preserve">Solmaris flavecens </t>
  </si>
  <si>
    <t xml:space="preserve">Solmaris leucostyla </t>
  </si>
  <si>
    <t>(Will, 1844)</t>
  </si>
  <si>
    <t>玫瑰太阳水母</t>
  </si>
  <si>
    <t xml:space="preserve">Solmaris rhodoloma </t>
  </si>
  <si>
    <t>Solrh</t>
  </si>
  <si>
    <t>(Brandt, 1838)</t>
  </si>
  <si>
    <t>Solmaris solmaris</t>
  </si>
  <si>
    <t>Solso</t>
  </si>
  <si>
    <t>怪水母属</t>
  </si>
  <si>
    <t>Geryonia sp.</t>
  </si>
  <si>
    <t>Gersp</t>
  </si>
  <si>
    <t xml:space="preserve">Geryonia proboscidalis </t>
  </si>
  <si>
    <t>(Forskål, 1775)</t>
  </si>
  <si>
    <t>小舌水母属</t>
  </si>
  <si>
    <t>Liriope sp.</t>
  </si>
  <si>
    <t>Lirsp</t>
  </si>
  <si>
    <t xml:space="preserve">Liriope tetraphylla </t>
  </si>
  <si>
    <t>(Chamisso et Eysenhardt, 1821)</t>
  </si>
  <si>
    <t>海棘水母属</t>
  </si>
  <si>
    <t>Halicreas sp.</t>
  </si>
  <si>
    <t>Halisp</t>
  </si>
  <si>
    <t xml:space="preserve">Halicreas mininum </t>
  </si>
  <si>
    <t>Fewkes, 1882</t>
  </si>
  <si>
    <t>角海盔水母</t>
  </si>
  <si>
    <t xml:space="preserve">Halicrea conica </t>
  </si>
  <si>
    <t>Vanhöffen, 1902</t>
  </si>
  <si>
    <t>深水海盔水母</t>
  </si>
  <si>
    <t xml:space="preserve">Halicrea racovitzae </t>
  </si>
  <si>
    <t>(Maas, 1906)</t>
  </si>
  <si>
    <t>海生水母属</t>
  </si>
  <si>
    <t>Halitrephes sp.</t>
  </si>
  <si>
    <t>Halsp.</t>
  </si>
  <si>
    <t xml:space="preserve">Halitrephes maasi </t>
  </si>
  <si>
    <t>异手水母属</t>
  </si>
  <si>
    <t>Varitentaculata sp.</t>
  </si>
  <si>
    <t>Varsp.</t>
  </si>
  <si>
    <t xml:space="preserve">Varitentaculata yantaiensis </t>
  </si>
  <si>
    <t>He, 1980</t>
  </si>
  <si>
    <t>小帽水母属</t>
  </si>
  <si>
    <t>Petasiella sp.</t>
  </si>
  <si>
    <t>xms</t>
  </si>
  <si>
    <t>Petsp.</t>
  </si>
  <si>
    <t xml:space="preserve">Petasiella asymmetrica </t>
  </si>
  <si>
    <t>Uchida, 1947</t>
  </si>
  <si>
    <t>华丽水母属</t>
  </si>
  <si>
    <t>Aglantha sp.</t>
  </si>
  <si>
    <t xml:space="preserve">Aglantha elata </t>
  </si>
  <si>
    <t>(Haechel, 1879)</t>
  </si>
  <si>
    <t xml:space="preserve">Aglaura hemistoma </t>
  </si>
  <si>
    <t>Péron et Lessueur, 1810</t>
  </si>
  <si>
    <t xml:space="preserve">Amphogona apicata </t>
  </si>
  <si>
    <t>Ampapi</t>
  </si>
  <si>
    <t>Kramp, 1957</t>
  </si>
  <si>
    <t xml:space="preserve">Amphogona apsteini </t>
  </si>
  <si>
    <t>Ampaps</t>
  </si>
  <si>
    <t>(Vanhöffen, 1902)</t>
  </si>
  <si>
    <t xml:space="preserve">Amphogona pusilla </t>
  </si>
  <si>
    <t>Hartlaub, 1909</t>
  </si>
  <si>
    <t>短手水母属</t>
  </si>
  <si>
    <t>Colobonema sp.</t>
  </si>
  <si>
    <t>Colsp</t>
  </si>
  <si>
    <t xml:space="preserve">Colobonema igneum </t>
  </si>
  <si>
    <t xml:space="preserve">Colobonema sericeum </t>
  </si>
  <si>
    <t>壶水母属</t>
  </si>
  <si>
    <t>Crossota sp.</t>
  </si>
  <si>
    <t>Crosp</t>
  </si>
  <si>
    <t xml:space="preserve">Crossota brunnea </t>
  </si>
  <si>
    <t>棍手水母属</t>
  </si>
  <si>
    <t>Rhopalonema sp.</t>
  </si>
  <si>
    <t>Rhosp.</t>
  </si>
  <si>
    <t xml:space="preserve">Rhopalonema funerarium </t>
  </si>
  <si>
    <t xml:space="preserve">Rhopalonema velatum </t>
  </si>
  <si>
    <t>Gegenbaur, 1857</t>
  </si>
  <si>
    <t>胃穴水母属</t>
  </si>
  <si>
    <t>Sminthea sp.</t>
  </si>
  <si>
    <t>Smisp</t>
  </si>
  <si>
    <t xml:space="preserve">Sminthea euryaster </t>
  </si>
  <si>
    <t>扁胃水母属</t>
  </si>
  <si>
    <t>Platystoma sp.</t>
  </si>
  <si>
    <t>Plasp.</t>
  </si>
  <si>
    <t xml:space="preserve">Platystoma bitentaculata </t>
  </si>
  <si>
    <t>Xu, Huang and Chen, 1991</t>
  </si>
  <si>
    <t>东山扁胃水母</t>
  </si>
  <si>
    <t xml:space="preserve">Platystoma dongshanensis </t>
  </si>
  <si>
    <t>Plado</t>
  </si>
  <si>
    <t>Xu et Huang, 1994</t>
  </si>
  <si>
    <t xml:space="preserve">Platystoma nanhainensis </t>
  </si>
  <si>
    <t xml:space="preserve">Zhang, 1982 </t>
  </si>
  <si>
    <t>鲍螅水母属</t>
  </si>
  <si>
    <t>双鲍螅水母</t>
  </si>
  <si>
    <t xml:space="preserve">Bougainvillia bitentaculata </t>
  </si>
  <si>
    <t>sbx</t>
  </si>
  <si>
    <t>Uchida, 1925</t>
  </si>
  <si>
    <t>不列颠鲍螅水母</t>
  </si>
  <si>
    <t xml:space="preserve">Bougainvillia britannica </t>
  </si>
  <si>
    <t>(Forbes, 1841)</t>
  </si>
  <si>
    <t>褐鲍螅水母</t>
  </si>
  <si>
    <t xml:space="preserve">Bougainvillia fulva </t>
  </si>
  <si>
    <t>Agassiz et Mayer, 1899</t>
  </si>
  <si>
    <t>瓣鲍螅水母</t>
  </si>
  <si>
    <t xml:space="preserve">Bougainvillia lamellata </t>
  </si>
  <si>
    <t>bbx</t>
  </si>
  <si>
    <t>Boula</t>
  </si>
  <si>
    <t>Xu, Huang and Liu, 200?</t>
  </si>
  <si>
    <t>纵芽鲍螅水母</t>
  </si>
  <si>
    <t xml:space="preserve">Bougainvillia niobe </t>
  </si>
  <si>
    <t>zyb</t>
  </si>
  <si>
    <t>Mayer, 1894</t>
  </si>
  <si>
    <t>拟扁胃鲍螅水母</t>
  </si>
  <si>
    <t xml:space="preserve">Bougainvillia paraplatygaster </t>
  </si>
  <si>
    <t>扁胃鲍螅水母</t>
  </si>
  <si>
    <t xml:space="preserve">Bougainvillia platygaster </t>
  </si>
  <si>
    <t>bwb</t>
  </si>
  <si>
    <t>(Haeckel, 1879)</t>
  </si>
  <si>
    <t>首要鲍螅水母</t>
  </si>
  <si>
    <t xml:space="preserve">Bougainvillia principis </t>
  </si>
  <si>
    <t>syb</t>
  </si>
  <si>
    <t>(Steenstrup, 1850)</t>
  </si>
  <si>
    <t>盾形鲍螅水母</t>
  </si>
  <si>
    <t xml:space="preserve">Bougainvillia superciliaris </t>
  </si>
  <si>
    <t>dxb</t>
  </si>
  <si>
    <t>(L. Agassiz, 1849)</t>
  </si>
  <si>
    <t xml:space="preserve">Koellikerina constricta </t>
  </si>
  <si>
    <t>(Menon, 1932)</t>
  </si>
  <si>
    <t xml:space="preserve">Koellikerina diforficulata </t>
  </si>
  <si>
    <t xml:space="preserve">Koellikerina fasciculata </t>
  </si>
  <si>
    <t>(Péron et Lesueur, 1810)</t>
  </si>
  <si>
    <t xml:space="preserve">Koellikerina heteronemalis </t>
  </si>
  <si>
    <t>Xu, Huang et Chen, 1991</t>
  </si>
  <si>
    <t xml:space="preserve">Koellikerina multicirrata </t>
  </si>
  <si>
    <t>(Kramp, 1928)</t>
  </si>
  <si>
    <t xml:space="preserve">Koellikerina octonemalis </t>
  </si>
  <si>
    <t>(Maas, 1905)</t>
  </si>
  <si>
    <t>十字八束水母</t>
  </si>
  <si>
    <t xml:space="preserve">Koellikerina staurogaster </t>
  </si>
  <si>
    <t>Koest</t>
  </si>
  <si>
    <t>Xu et Huang, 2004</t>
  </si>
  <si>
    <t xml:space="preserve">Koellikerina taiwanensis </t>
  </si>
  <si>
    <t>棱水母属</t>
  </si>
  <si>
    <t>Lizzia sp.</t>
  </si>
  <si>
    <t>Lizsp</t>
  </si>
  <si>
    <t xml:space="preserve">Lizzia gracilis </t>
  </si>
  <si>
    <t>(Mayer, 1900)</t>
  </si>
  <si>
    <t>拟线水母属</t>
  </si>
  <si>
    <t>Nemopsis sp.</t>
  </si>
  <si>
    <t>nxs</t>
  </si>
  <si>
    <t>Nemsp.</t>
  </si>
  <si>
    <t xml:space="preserve">Nemopsis bachei </t>
  </si>
  <si>
    <t>L. Agassiz, 1849</t>
  </si>
  <si>
    <t>六辐拟线水母</t>
  </si>
  <si>
    <t xml:space="preserve">Nemopsis hexacanalis </t>
  </si>
  <si>
    <t>lfn</t>
  </si>
  <si>
    <t>Nemhe</t>
  </si>
  <si>
    <t>Huang et Xu, 1994</t>
  </si>
  <si>
    <t>单肢水母属</t>
  </si>
  <si>
    <t>Nubiella sp.</t>
  </si>
  <si>
    <t>Nubsp</t>
  </si>
  <si>
    <t>无手单肢水母</t>
  </si>
  <si>
    <t xml:space="preserve">Nubiella attentaculata </t>
  </si>
  <si>
    <t>wsd</t>
  </si>
  <si>
    <t>Nubat</t>
  </si>
  <si>
    <t>灯塔水母属</t>
  </si>
  <si>
    <t>Turritopsis sp.</t>
  </si>
  <si>
    <t>Tursp</t>
  </si>
  <si>
    <t xml:space="preserve">Turritopsis lata </t>
  </si>
  <si>
    <t>Turlat</t>
  </si>
  <si>
    <t>Lendenfeld, 1884</t>
  </si>
  <si>
    <t xml:space="preserve">Turritopsis nutricula </t>
  </si>
  <si>
    <t>刺胞水母属</t>
  </si>
  <si>
    <t>Cytaeis sp.</t>
  </si>
  <si>
    <t>Cytsp</t>
  </si>
  <si>
    <t xml:space="preserve">Cytaeis tetrastyla </t>
  </si>
  <si>
    <t>介螅水母属</t>
  </si>
  <si>
    <t>Hydractinia sp.</t>
  </si>
  <si>
    <t>Hydrsp</t>
  </si>
  <si>
    <t xml:space="preserve">Hydractinia apicata </t>
  </si>
  <si>
    <t>Kramp, 1859</t>
  </si>
  <si>
    <t xml:space="preserve">Hydractinia carnea </t>
  </si>
  <si>
    <t>Hydca</t>
  </si>
  <si>
    <t>M. Sars, 1846</t>
  </si>
  <si>
    <t xml:space="preserve">Hydractinia minima </t>
  </si>
  <si>
    <t>(Trinci, 1903)</t>
  </si>
  <si>
    <t xml:space="preserve">Hydractinia minuta </t>
  </si>
  <si>
    <t>Hydmin</t>
  </si>
  <si>
    <t xml:space="preserve">Hydractinia simplex </t>
  </si>
  <si>
    <t>Hydsi</t>
  </si>
  <si>
    <t>Kramp, 1928</t>
  </si>
  <si>
    <t>拟唇腕水母属</t>
  </si>
  <si>
    <t>Allorathkea sp.</t>
  </si>
  <si>
    <t>ncw</t>
  </si>
  <si>
    <t>Allsp</t>
  </si>
  <si>
    <t>Allorathkea macrogastrica</t>
  </si>
  <si>
    <t>Allma</t>
  </si>
  <si>
    <t>Xu et Huang, 1990</t>
  </si>
  <si>
    <t>芮氏水母属</t>
  </si>
  <si>
    <t>Rathkea sp.</t>
  </si>
  <si>
    <t>rss</t>
  </si>
  <si>
    <t>Ratsp.</t>
  </si>
  <si>
    <t xml:space="preserve">Rathkea octopunctata </t>
  </si>
  <si>
    <t>(M. Sars, 1835)</t>
  </si>
  <si>
    <t>帽单肢水母</t>
  </si>
  <si>
    <t>Nubiella mitra</t>
  </si>
  <si>
    <t>mdz</t>
  </si>
  <si>
    <t>Nubmi</t>
  </si>
  <si>
    <t>网状鲍螅水母</t>
  </si>
  <si>
    <t xml:space="preserve">Bougainvillia reticulata </t>
  </si>
  <si>
    <t>Boure</t>
  </si>
  <si>
    <t>Xu et Huang, 2006</t>
  </si>
  <si>
    <t>多手介螅水母</t>
  </si>
  <si>
    <t>Hydractinia polytentaculata</t>
  </si>
  <si>
    <t>Hydpo</t>
  </si>
  <si>
    <t>泡状介螅水母</t>
  </si>
  <si>
    <t xml:space="preserve">Hydractinia vacuolata </t>
  </si>
  <si>
    <t>pzj</t>
  </si>
  <si>
    <t>Hydva</t>
  </si>
  <si>
    <t>拟介螅水母属</t>
  </si>
  <si>
    <t>Parahydractinia sp.</t>
  </si>
  <si>
    <t>njx</t>
  </si>
  <si>
    <t>Parasp</t>
  </si>
  <si>
    <t>三沙拟介螅水母</t>
  </si>
  <si>
    <t xml:space="preserve">Parahydractinia sanshanaensis </t>
  </si>
  <si>
    <t>ssn</t>
  </si>
  <si>
    <t>Parsan</t>
  </si>
  <si>
    <t>海洋水母属</t>
  </si>
  <si>
    <t>Oceania sp.</t>
  </si>
  <si>
    <t>Ocesp</t>
  </si>
  <si>
    <t>囊海洋水母</t>
  </si>
  <si>
    <t xml:space="preserve">Oceania armata  </t>
  </si>
  <si>
    <t>Ocear</t>
  </si>
  <si>
    <t>Kolliker, 1810</t>
  </si>
  <si>
    <t>基球深眼水母</t>
  </si>
  <si>
    <t xml:space="preserve">Bythocellata bulbiformis </t>
  </si>
  <si>
    <t>jqs</t>
  </si>
  <si>
    <t>Bytbu</t>
  </si>
  <si>
    <t>八柱棱水母</t>
  </si>
  <si>
    <t xml:space="preserve">Lizzia octostyla </t>
  </si>
  <si>
    <t>bzl</t>
  </si>
  <si>
    <t>Lizoc</t>
  </si>
  <si>
    <t>羽叶鲍螅水母</t>
  </si>
  <si>
    <t>Bougainvillia frondosa</t>
  </si>
  <si>
    <t>yyb</t>
  </si>
  <si>
    <t>Boufr</t>
  </si>
  <si>
    <t>萍鲍螅水母</t>
  </si>
  <si>
    <t>Bougainvillia chenyapingii</t>
  </si>
  <si>
    <t>pbx</t>
  </si>
  <si>
    <t>Bouch</t>
  </si>
  <si>
    <t>拟帽单肢水母</t>
  </si>
  <si>
    <t>Nubiella paramitra</t>
  </si>
  <si>
    <t>nmd</t>
  </si>
  <si>
    <t>Nubpa</t>
  </si>
  <si>
    <t>管单肢水母</t>
  </si>
  <si>
    <t>Nubiella tubularia</t>
  </si>
  <si>
    <t>gdz</t>
  </si>
  <si>
    <t>Nubtu</t>
  </si>
  <si>
    <t xml:space="preserve">Bythocellata cruciformis </t>
  </si>
  <si>
    <t>Nair, 1951</t>
  </si>
  <si>
    <t>Bytsp</t>
  </si>
  <si>
    <t xml:space="preserve">Bythotiara depressa </t>
  </si>
  <si>
    <t>Naumov, 1960</t>
  </si>
  <si>
    <t xml:space="preserve">Bythotiara murrayi </t>
  </si>
  <si>
    <t>Günther, 1903</t>
  </si>
  <si>
    <t xml:space="preserve">Calycopsis bigelowi </t>
  </si>
  <si>
    <t>Vanhöffen, 1911</t>
  </si>
  <si>
    <t xml:space="preserve">Calycopsis papillata </t>
  </si>
  <si>
    <t>Calpap</t>
  </si>
  <si>
    <t>Bigelow, 1818</t>
  </si>
  <si>
    <t>异形水母属</t>
  </si>
  <si>
    <t>Heterotiara sp.</t>
  </si>
  <si>
    <t>Hetsp.</t>
  </si>
  <si>
    <t xml:space="preserve">Heterotiara anonyma </t>
  </si>
  <si>
    <t>Maas, 1905</t>
  </si>
  <si>
    <t xml:space="preserve">Heterotiara minor </t>
  </si>
  <si>
    <t>伪帽水母属</t>
  </si>
  <si>
    <t>Pseudotiara sp.</t>
  </si>
  <si>
    <t>wms</t>
  </si>
  <si>
    <t>Psesp.</t>
  </si>
  <si>
    <t xml:space="preserve">Pseudotiara tropica </t>
  </si>
  <si>
    <t>(Bigelow, 1912)</t>
  </si>
  <si>
    <t>Gymnogonium sp</t>
  </si>
  <si>
    <t>郑重裸腺水母</t>
  </si>
  <si>
    <t>Gymnogonium zhengzhongii</t>
  </si>
  <si>
    <t>Gymzh</t>
  </si>
  <si>
    <t>堪拿水母属</t>
  </si>
  <si>
    <t>Kanaka sp.</t>
  </si>
  <si>
    <t>kns</t>
  </si>
  <si>
    <t>Kansp.</t>
  </si>
  <si>
    <t xml:space="preserve">Kanaka pelagica </t>
  </si>
  <si>
    <t>叶手水母属</t>
  </si>
  <si>
    <t>Niobia sp.</t>
  </si>
  <si>
    <t>Niosp</t>
  </si>
  <si>
    <t xml:space="preserve">Niobia dendrotenacula </t>
  </si>
  <si>
    <t>Mayer, 1900</t>
  </si>
  <si>
    <t xml:space="preserve">Amphinema australis </t>
  </si>
  <si>
    <t xml:space="preserve">Amphinema dinema </t>
  </si>
  <si>
    <t xml:space="preserve">Amphinema physophorum </t>
  </si>
  <si>
    <t>(Uchida, 1927)</t>
  </si>
  <si>
    <t xml:space="preserve">Amphinema rugosum </t>
  </si>
  <si>
    <t xml:space="preserve">Amphinema turrida </t>
  </si>
  <si>
    <t>连帽水母属</t>
  </si>
  <si>
    <t>Annatiara sp.</t>
  </si>
  <si>
    <t>lms</t>
  </si>
  <si>
    <t>Annsp</t>
  </si>
  <si>
    <t xml:space="preserve">Annatiara affinis </t>
  </si>
  <si>
    <t>(Hartlaub, 1913)</t>
  </si>
  <si>
    <t>全水母属</t>
  </si>
  <si>
    <t>Catablema sp.</t>
  </si>
  <si>
    <t>qms</t>
  </si>
  <si>
    <t>Catsp</t>
  </si>
  <si>
    <t xml:space="preserve">Catablema vesicarium </t>
  </si>
  <si>
    <t>(A. Agassiz, 1862)</t>
  </si>
  <si>
    <t xml:space="preserve">Cirrhitiara simplex </t>
  </si>
  <si>
    <t>海圆水母属</t>
  </si>
  <si>
    <t>Halitholus sp.</t>
  </si>
  <si>
    <t>Halsp1</t>
  </si>
  <si>
    <t xml:space="preserve">Halitholus pauper </t>
  </si>
  <si>
    <t>Hartlaub, 1913</t>
  </si>
  <si>
    <t xml:space="preserve">Leuckartiara gardineri </t>
  </si>
  <si>
    <t>Browne, 1916</t>
  </si>
  <si>
    <t xml:space="preserve">Leuckartiara hoepplii </t>
  </si>
  <si>
    <t>Hsu, 1928</t>
  </si>
  <si>
    <t>江阴隔膜水母</t>
  </si>
  <si>
    <t xml:space="preserve">Leuckartiara jianyinensis </t>
  </si>
  <si>
    <t>Leuji</t>
  </si>
  <si>
    <t>漂浮隔膜水母</t>
  </si>
  <si>
    <t xml:space="preserve">Leuckartiara neustona </t>
  </si>
  <si>
    <t>pfg</t>
  </si>
  <si>
    <t>Leune</t>
  </si>
  <si>
    <t xml:space="preserve">Leuckartiara octona </t>
  </si>
  <si>
    <t>Leuoct</t>
  </si>
  <si>
    <t>(Fleming, 1823)</t>
  </si>
  <si>
    <t xml:space="preserve">Leuckartiara orientalis </t>
  </si>
  <si>
    <t xml:space="preserve">Leuckartiara zacae </t>
  </si>
  <si>
    <t>Bigelow, 1940</t>
  </si>
  <si>
    <t>qsm</t>
  </si>
  <si>
    <t>Mersp</t>
  </si>
  <si>
    <t xml:space="preserve">Merga bulbosa </t>
  </si>
  <si>
    <t>Bouillon, 1980</t>
  </si>
  <si>
    <t xml:space="preserve">Merga macrobulbosa </t>
  </si>
  <si>
    <t>细潜水母</t>
  </si>
  <si>
    <t xml:space="preserve">Merga minutum </t>
  </si>
  <si>
    <t>Mermi</t>
  </si>
  <si>
    <t xml:space="preserve">Merga tergestina  </t>
  </si>
  <si>
    <t>(Neppi et Stiasny, 1912)</t>
  </si>
  <si>
    <t>尖塔水母属</t>
  </si>
  <si>
    <t>Neoturris sp.</t>
  </si>
  <si>
    <t>Neosp.</t>
  </si>
  <si>
    <t xml:space="preserve">Neoturris papua </t>
  </si>
  <si>
    <t>(Lesson, 1843)</t>
  </si>
  <si>
    <t xml:space="preserve">Neoturris pelagica </t>
  </si>
  <si>
    <t>(Agassiz et Mayer, 1902)</t>
  </si>
  <si>
    <t>八帽水母属</t>
  </si>
  <si>
    <t>Octotiara sp.</t>
  </si>
  <si>
    <t>Octsp.</t>
  </si>
  <si>
    <t xml:space="preserve">Octotiara risselli </t>
  </si>
  <si>
    <t>Kramp, 1953</t>
  </si>
  <si>
    <t>面具水母属</t>
  </si>
  <si>
    <t>Pandea sp.</t>
  </si>
  <si>
    <t>mjs</t>
  </si>
  <si>
    <t>Pansp.</t>
  </si>
  <si>
    <t xml:space="preserve">Pandea conica </t>
  </si>
  <si>
    <t>(Quoy et Gaimard, 1827)</t>
  </si>
  <si>
    <t>拟面具水母属</t>
  </si>
  <si>
    <t>Pandeopsis sp.</t>
  </si>
  <si>
    <t>Pansp</t>
  </si>
  <si>
    <t xml:space="preserve">Pandeopsis ikarii </t>
  </si>
  <si>
    <t>Kramp, 1959?</t>
  </si>
  <si>
    <t>Prosp.</t>
  </si>
  <si>
    <t xml:space="preserve">Proboscidactyla flavicirrata </t>
  </si>
  <si>
    <t>Brandt, 1835</t>
  </si>
  <si>
    <t xml:space="preserve">Proboscidactyla mutabilis </t>
  </si>
  <si>
    <t>(Browne, 1902)</t>
  </si>
  <si>
    <t xml:space="preserve">Proboscidactyla ornata </t>
  </si>
  <si>
    <t>(McCrady, 1859)</t>
  </si>
  <si>
    <t xml:space="preserve">Proboscidactyla stellata </t>
  </si>
  <si>
    <t>(Forbes, 1846)</t>
  </si>
  <si>
    <t>海帽水母属</t>
  </si>
  <si>
    <t>Halitiara sp.</t>
  </si>
  <si>
    <t>hms</t>
  </si>
  <si>
    <t>Halsp2</t>
  </si>
  <si>
    <t>Halitiara formosa Fewkes</t>
  </si>
  <si>
    <t>钝海帽水母</t>
  </si>
  <si>
    <t xml:space="preserve">Halitiara obtusus </t>
  </si>
  <si>
    <t>dhm</t>
  </si>
  <si>
    <t>Halob</t>
  </si>
  <si>
    <t>拟海帽水母属</t>
  </si>
  <si>
    <t>Halitiarella sp.</t>
  </si>
  <si>
    <t>nhm</t>
  </si>
  <si>
    <t>Halsp3</t>
  </si>
  <si>
    <t>顶拟海帽水母</t>
  </si>
  <si>
    <t xml:space="preserve">Halitiarella apicea </t>
  </si>
  <si>
    <t>dnh</t>
  </si>
  <si>
    <t>Halap</t>
  </si>
  <si>
    <t xml:space="preserve">Halitiarella ocellata </t>
  </si>
  <si>
    <t>宽帽水母属</t>
  </si>
  <si>
    <t>Latitiara sp.</t>
  </si>
  <si>
    <t>kms</t>
  </si>
  <si>
    <t>Latsp.</t>
  </si>
  <si>
    <t xml:space="preserve">Latitiara orientalis </t>
  </si>
  <si>
    <t>拟帽水母属</t>
  </si>
  <si>
    <t>Paratiara sp.</t>
  </si>
  <si>
    <t>Parsp.</t>
  </si>
  <si>
    <t>Pardig</t>
  </si>
  <si>
    <t>Kramp et Damas, 1925</t>
  </si>
  <si>
    <t>八手隔膜水母</t>
  </si>
  <si>
    <t>Leuckartiara octonema</t>
  </si>
  <si>
    <t>bsg</t>
  </si>
  <si>
    <t>挺隔膜水母</t>
  </si>
  <si>
    <t xml:space="preserve">Leuckartiara zhangraotingae </t>
  </si>
  <si>
    <t>tgm</t>
  </si>
  <si>
    <t>Leuzh</t>
  </si>
  <si>
    <t>宽柄帝纹水母</t>
  </si>
  <si>
    <t>Timoides latistyla</t>
  </si>
  <si>
    <t>kbd</t>
  </si>
  <si>
    <t>Timla</t>
  </si>
  <si>
    <t>介螅水母幼体</t>
  </si>
  <si>
    <t>Hydractinia larvae</t>
  </si>
  <si>
    <t>Hydlav</t>
  </si>
  <si>
    <t>摩勒水母属</t>
  </si>
  <si>
    <t>Moerisia sp.</t>
  </si>
  <si>
    <t>Moesp</t>
  </si>
  <si>
    <t>奥德水母属</t>
  </si>
  <si>
    <t>Odessia sp.</t>
  </si>
  <si>
    <t>Odesp</t>
  </si>
  <si>
    <t xml:space="preserve">Odessia microtentaculata </t>
  </si>
  <si>
    <t>帽铃水母属</t>
  </si>
  <si>
    <t>Tiaricodon sp.</t>
  </si>
  <si>
    <t>Tiasp.</t>
  </si>
  <si>
    <t xml:space="preserve">Tiaricodon coeruleus </t>
  </si>
  <si>
    <t>Browne, 1902</t>
  </si>
  <si>
    <t>帕尔摩勒水母</t>
  </si>
  <si>
    <t xml:space="preserve">Moerisia pallasi </t>
  </si>
  <si>
    <t>pem</t>
  </si>
  <si>
    <t>Moepa</t>
  </si>
  <si>
    <t>(Derzhavin, 1912)</t>
  </si>
  <si>
    <t>拟棍螅水母属</t>
  </si>
  <si>
    <t>Hydrocoryne sp.</t>
  </si>
  <si>
    <t>Hydsp</t>
  </si>
  <si>
    <t xml:space="preserve">Hydrocoryne miurensis </t>
  </si>
  <si>
    <t>Hydrmi</t>
  </si>
  <si>
    <t>Stechow, 1907</t>
  </si>
  <si>
    <t>大胃拟棍螅水母</t>
  </si>
  <si>
    <t xml:space="preserve">Hydrocoryne macrogastera </t>
  </si>
  <si>
    <t>Hydma</t>
  </si>
  <si>
    <t xml:space="preserve">Cladonema radiatum </t>
  </si>
  <si>
    <t>Dujardin, 1843</t>
  </si>
  <si>
    <t xml:space="preserve">Dipurena ophiogaster </t>
  </si>
  <si>
    <t>Haechel, 1879</t>
  </si>
  <si>
    <t xml:space="preserve">Dipurena strangulata </t>
  </si>
  <si>
    <t>长管水母属</t>
  </si>
  <si>
    <t>Sarsia sp.</t>
  </si>
  <si>
    <t>Sarsp</t>
  </si>
  <si>
    <t xml:space="preserve">Sarsia nipponica </t>
  </si>
  <si>
    <t>Uchida, 1927</t>
  </si>
  <si>
    <t xml:space="preserve">Dicodonium jellersoni </t>
  </si>
  <si>
    <t>(Mayer, 1910)</t>
  </si>
  <si>
    <t xml:space="preserve">Corymorpha nutans </t>
  </si>
  <si>
    <t>Cornu</t>
  </si>
  <si>
    <t>真囊水母属</t>
  </si>
  <si>
    <t>Euphysora sp.</t>
  </si>
  <si>
    <t>Eupsp.</t>
  </si>
  <si>
    <t>背轴真囊水母</t>
  </si>
  <si>
    <t xml:space="preserve">Euphysora abaxialis  </t>
  </si>
  <si>
    <t>Eupab</t>
  </si>
  <si>
    <t>Kramp, 1962</t>
  </si>
  <si>
    <t xml:space="preserve">Euphysora annulata  </t>
  </si>
  <si>
    <t>顶室真囊水母</t>
  </si>
  <si>
    <t xml:space="preserve">Euphysora apiciloculifera </t>
  </si>
  <si>
    <t>Eupap</t>
  </si>
  <si>
    <t>Xu et Huang, 2003</t>
  </si>
  <si>
    <t>褐色真囊水母</t>
  </si>
  <si>
    <t xml:space="preserve">Euphysora brunnescentis </t>
  </si>
  <si>
    <t>Eupbru</t>
  </si>
  <si>
    <t>Huang, 1999</t>
  </si>
  <si>
    <t>粗管真囊水母</t>
  </si>
  <si>
    <t>Euphysora crassocanalis</t>
  </si>
  <si>
    <t>Eupcr</t>
  </si>
  <si>
    <t xml:space="preserve">Euphysora furcata  </t>
  </si>
  <si>
    <t>间腺真囊水母</t>
  </si>
  <si>
    <t xml:space="preserve">Euphysora interogona </t>
  </si>
  <si>
    <t>jxz</t>
  </si>
  <si>
    <t>刺胞真囊水母</t>
  </si>
  <si>
    <t>Euphysora knides Huang</t>
  </si>
  <si>
    <t>Eupkn</t>
  </si>
  <si>
    <t>大球真囊水母</t>
  </si>
  <si>
    <t xml:space="preserve">Euphysora macrobulbus </t>
  </si>
  <si>
    <t>dqz</t>
  </si>
  <si>
    <t>Eupmac</t>
  </si>
  <si>
    <t>硬手真囊水母</t>
  </si>
  <si>
    <t xml:space="preserve">Euphysora solidonema </t>
  </si>
  <si>
    <t>台湾真囊水母</t>
  </si>
  <si>
    <t>Euphysora taiwanensis</t>
  </si>
  <si>
    <t>Eupta</t>
  </si>
  <si>
    <t>疣真囊水母</t>
  </si>
  <si>
    <t>Euphysora verrucosa</t>
  </si>
  <si>
    <t>yzn</t>
  </si>
  <si>
    <t>Eupve</t>
  </si>
  <si>
    <t>Bouillon, 1978</t>
  </si>
  <si>
    <t>单手水母属</t>
  </si>
  <si>
    <t>Gotoea sp.</t>
  </si>
  <si>
    <t>Gotsp</t>
  </si>
  <si>
    <t xml:space="preserve">Gotoea typica </t>
  </si>
  <si>
    <t>范氏水母属</t>
  </si>
  <si>
    <t>Vannuccia sp.</t>
  </si>
  <si>
    <t>fss</t>
  </si>
  <si>
    <t>Vansp.</t>
  </si>
  <si>
    <t xml:space="preserve">Vannuccia forbesii   </t>
  </si>
  <si>
    <t>(Mayer, 1894)</t>
  </si>
  <si>
    <t>枝刺水母属</t>
  </si>
  <si>
    <t>Cnidocodon sp.</t>
  </si>
  <si>
    <t>Cnisp</t>
  </si>
  <si>
    <t xml:space="preserve">Cnidocodon xiamenensis </t>
  </si>
  <si>
    <t>(Zhang et Wu, 1981)</t>
  </si>
  <si>
    <t>内胞水母属</t>
  </si>
  <si>
    <t>Euphysilla sp.</t>
  </si>
  <si>
    <t>nbs</t>
  </si>
  <si>
    <t>Eupsp1</t>
  </si>
  <si>
    <t xml:space="preserve">Euphysilla pyramidata  </t>
  </si>
  <si>
    <t>Kramp, 1955</t>
  </si>
  <si>
    <t>囊水母属</t>
  </si>
  <si>
    <t>Euphysa sp.</t>
  </si>
  <si>
    <t>nsm</t>
  </si>
  <si>
    <t>Eupsp2</t>
  </si>
  <si>
    <t>Euphysa aurata Forbes</t>
  </si>
  <si>
    <t>Forbes, 1848</t>
  </si>
  <si>
    <t>拟内胞水母属</t>
  </si>
  <si>
    <t>Euphysomma sp.</t>
  </si>
  <si>
    <t>nnb</t>
  </si>
  <si>
    <t xml:space="preserve">Euphysomma brevia </t>
  </si>
  <si>
    <t>Eupbre</t>
  </si>
  <si>
    <t xml:space="preserve">Ectopleura dumontieri </t>
  </si>
  <si>
    <t>(van Beneden, 1844)</t>
  </si>
  <si>
    <t xml:space="preserve">Ectopleura guangdongensis </t>
  </si>
  <si>
    <t xml:space="preserve">Ectopleura latitaeniata </t>
  </si>
  <si>
    <t xml:space="preserve">Ectopleura minerva  </t>
  </si>
  <si>
    <t>囊外肋水母</t>
  </si>
  <si>
    <t xml:space="preserve">Ectopleura sacculifera  </t>
  </si>
  <si>
    <t xml:space="preserve">Ectopleura xiamenensis </t>
  </si>
  <si>
    <t>Zhang et Lin, 1984</t>
  </si>
  <si>
    <t>斜球水母属</t>
  </si>
  <si>
    <t>Hybocodon sp.</t>
  </si>
  <si>
    <t>Hybsp</t>
  </si>
  <si>
    <t xml:space="preserve">Hybocodon amoyensis </t>
  </si>
  <si>
    <t>Hargitt, 1927</t>
  </si>
  <si>
    <t xml:space="preserve">Hybocodon octopleurus </t>
  </si>
  <si>
    <t>Kao, 1958</t>
  </si>
  <si>
    <t>L Agassiz, 1862</t>
  </si>
  <si>
    <t>鼓浪枝萨水母</t>
  </si>
  <si>
    <t xml:space="preserve">Cladosarsia gulangensis </t>
  </si>
  <si>
    <t>glz</t>
  </si>
  <si>
    <t>Clagu</t>
  </si>
  <si>
    <t>福建真囊水母</t>
  </si>
  <si>
    <t xml:space="preserve">Euphysora fujianensis </t>
  </si>
  <si>
    <t>fjz</t>
  </si>
  <si>
    <t>Eupfuj</t>
  </si>
  <si>
    <t>笔螅水母属</t>
  </si>
  <si>
    <t>Pennaria sp.</t>
  </si>
  <si>
    <t>Pensp</t>
  </si>
  <si>
    <t>泡状笔螅水母</t>
  </si>
  <si>
    <t xml:space="preserve">Pennaria blistera </t>
  </si>
  <si>
    <t>pzb</t>
  </si>
  <si>
    <t>Penbl</t>
  </si>
  <si>
    <t>无手外肋水母</t>
  </si>
  <si>
    <t xml:space="preserve">Ectopleura atentaculata </t>
  </si>
  <si>
    <t>wsw</t>
  </si>
  <si>
    <t>Ectat</t>
  </si>
  <si>
    <t>顶室斜球水母</t>
  </si>
  <si>
    <t xml:space="preserve">Hybocodon apiciloculata </t>
  </si>
  <si>
    <t>Hybap</t>
  </si>
  <si>
    <t>萨氏水母幼体</t>
  </si>
  <si>
    <t>Sarsia larvae</t>
  </si>
  <si>
    <t>Sarla</t>
  </si>
  <si>
    <t>顶囊外肋水母</t>
  </si>
  <si>
    <t>Ectopleura apicisacciformis</t>
  </si>
  <si>
    <t>dnw</t>
  </si>
  <si>
    <t>Ectap</t>
  </si>
  <si>
    <t>芽外肋水母</t>
  </si>
  <si>
    <t>Ectopleura gemmifera</t>
  </si>
  <si>
    <t>Ectge</t>
  </si>
  <si>
    <t>萱外肋水母</t>
  </si>
  <si>
    <t>Ectopleura xuxuanii</t>
  </si>
  <si>
    <t>Ectxu</t>
  </si>
  <si>
    <t>日本真裸花螅</t>
  </si>
  <si>
    <t>Eugymnanthea japonica</t>
  </si>
  <si>
    <t>Eugja</t>
  </si>
  <si>
    <t>富氏斜球水母</t>
  </si>
  <si>
    <t>Hybocodon forbesi</t>
  </si>
  <si>
    <t>Hybfo</t>
  </si>
  <si>
    <t>银币水母属</t>
  </si>
  <si>
    <t>Porpita sp.</t>
  </si>
  <si>
    <t>Porsp.</t>
  </si>
  <si>
    <t xml:space="preserve">Porpita porpita   </t>
  </si>
  <si>
    <t>(Linnaeus, 1758)</t>
  </si>
  <si>
    <t>帆水母属</t>
  </si>
  <si>
    <t>Velella sp.</t>
  </si>
  <si>
    <t>Velsp</t>
  </si>
  <si>
    <t xml:space="preserve">Velella velalla   </t>
  </si>
  <si>
    <t>拟镰螅水母属</t>
  </si>
  <si>
    <t xml:space="preserve">Teissiera australe </t>
  </si>
  <si>
    <t>芽体拟镰螅水母</t>
  </si>
  <si>
    <t xml:space="preserve">Teissiera medusifera </t>
  </si>
  <si>
    <t>ytn</t>
  </si>
  <si>
    <t xml:space="preserve">Teissiera polypofera </t>
  </si>
  <si>
    <t>Zanclea sp.</t>
  </si>
  <si>
    <t>Zansp</t>
  </si>
  <si>
    <t xml:space="preserve">Zanclea costata  </t>
  </si>
  <si>
    <t>大囊镰螅水母</t>
  </si>
  <si>
    <t xml:space="preserve">Zanclea macrocystae </t>
  </si>
  <si>
    <t xml:space="preserve">Zanclea orientalis  </t>
  </si>
  <si>
    <t>康德水母属</t>
  </si>
  <si>
    <t>Kantiella sp.</t>
  </si>
  <si>
    <t>kds</t>
  </si>
  <si>
    <t>Kansp</t>
  </si>
  <si>
    <t>康德水母</t>
  </si>
  <si>
    <t xml:space="preserve">Kantiella enigmatica </t>
  </si>
  <si>
    <t>Kanen</t>
  </si>
  <si>
    <t>金德祥水母属</t>
  </si>
  <si>
    <t>Jindexiangus sp.</t>
  </si>
  <si>
    <t>jdx</t>
  </si>
  <si>
    <t>Jinsp</t>
  </si>
  <si>
    <t>金德祥水母</t>
  </si>
  <si>
    <t xml:space="preserve">Jindexiangus statocystus </t>
  </si>
  <si>
    <t>Jinst</t>
  </si>
  <si>
    <t xml:space="preserve">Aequorea aequorea </t>
  </si>
  <si>
    <t xml:space="preserve">Aequorea australis </t>
  </si>
  <si>
    <t>Uchida, 1847</t>
  </si>
  <si>
    <t xml:space="preserve">Aequorea coerulescens </t>
  </si>
  <si>
    <t>Aeqcoe</t>
  </si>
  <si>
    <t xml:space="preserve">Aequorea conica  </t>
  </si>
  <si>
    <t>Browne, 1905</t>
  </si>
  <si>
    <t xml:space="preserve">Aequorea floridana </t>
  </si>
  <si>
    <t>(L. Agassiz, 1862)</t>
  </si>
  <si>
    <t xml:space="preserve">Aequorea globosa  </t>
  </si>
  <si>
    <t xml:space="preserve">Aequorea macrodactyla </t>
  </si>
  <si>
    <t>(Brandt, 1834)</t>
  </si>
  <si>
    <t>乳突多管水母</t>
  </si>
  <si>
    <t xml:space="preserve">Aequorea papillata </t>
  </si>
  <si>
    <t>Aeqpap</t>
  </si>
  <si>
    <t xml:space="preserve">Aequorea parva  </t>
  </si>
  <si>
    <t xml:space="preserve">Aequorea pensilis </t>
  </si>
  <si>
    <t>(Eschscholtz, 1829)</t>
  </si>
  <si>
    <t>胃瘤水母属</t>
  </si>
  <si>
    <t>Gangliostoma sp.</t>
  </si>
  <si>
    <t>lws</t>
  </si>
  <si>
    <t>Gansp</t>
  </si>
  <si>
    <t xml:space="preserve">Gangliostoma guangdongensis </t>
  </si>
  <si>
    <t>Xu, 1983</t>
  </si>
  <si>
    <t>枝多管水母属</t>
  </si>
  <si>
    <t>Zygocanna sp.</t>
  </si>
  <si>
    <t>Zygsp</t>
  </si>
  <si>
    <t xml:space="preserve">Zygocanna vagans </t>
  </si>
  <si>
    <t>Bigelow, 1912</t>
  </si>
  <si>
    <t>指突水母属</t>
  </si>
  <si>
    <t>Blackfordia sp.</t>
  </si>
  <si>
    <t>Blasp</t>
  </si>
  <si>
    <t xml:space="preserve">Blackfordia manhattensis  </t>
  </si>
  <si>
    <t>Mayer, 1910</t>
  </si>
  <si>
    <t>Hsu et Chang, 1962</t>
  </si>
  <si>
    <t xml:space="preserve">Blackfordia virginica  </t>
  </si>
  <si>
    <t>卷丝水母属</t>
  </si>
  <si>
    <t>Cirrholovenia sp.</t>
  </si>
  <si>
    <t xml:space="preserve">Cirrholovenia polynema  </t>
  </si>
  <si>
    <t>Kramp, 1959</t>
  </si>
  <si>
    <t>网状卷丝水母</t>
  </si>
  <si>
    <t xml:space="preserve">Cirrholovenia reticulata </t>
  </si>
  <si>
    <t>Cirre</t>
  </si>
  <si>
    <t xml:space="preserve">Cirrholovenia tetranema  </t>
  </si>
  <si>
    <t>管叉水母属</t>
  </si>
  <si>
    <t>Dichotomia sp.</t>
  </si>
  <si>
    <t>Dicsp</t>
  </si>
  <si>
    <t xml:space="preserve">Dichotomia cannoides </t>
  </si>
  <si>
    <t>Brooks, 1903</t>
  </si>
  <si>
    <t>Dipleurosoma sp.</t>
  </si>
  <si>
    <t xml:space="preserve">Dipleurosoma pacificum   </t>
  </si>
  <si>
    <t>Dippa</t>
  </si>
  <si>
    <t xml:space="preserve">Eirene brevigona  </t>
  </si>
  <si>
    <t xml:space="preserve">Eirene ceylonensis  </t>
  </si>
  <si>
    <t xml:space="preserve">Eirene hexanemalis </t>
  </si>
  <si>
    <t>(Goette, 1886)</t>
  </si>
  <si>
    <t xml:space="preserve">Eirene kambara </t>
  </si>
  <si>
    <t xml:space="preserve">Eirene menoni  </t>
  </si>
  <si>
    <t xml:space="preserve">Eirene palkensis  </t>
  </si>
  <si>
    <t xml:space="preserve">Eirene pyramidalis </t>
  </si>
  <si>
    <t xml:space="preserve">Eirene tenuis </t>
  </si>
  <si>
    <t>(Browne, 1905)</t>
  </si>
  <si>
    <t xml:space="preserve">Eirene varidula </t>
  </si>
  <si>
    <t>(Péron et Lesueus, 1810)</t>
  </si>
  <si>
    <t>Eutsp.</t>
  </si>
  <si>
    <t xml:space="preserve">Eutima curva  </t>
  </si>
  <si>
    <t xml:space="preserve">Eutima gegenbauri </t>
  </si>
  <si>
    <t>(Haeckel, 1864)</t>
  </si>
  <si>
    <t xml:space="preserve">Eutima gentiana </t>
  </si>
  <si>
    <t>Eutgen</t>
  </si>
  <si>
    <t xml:space="preserve">Eutima gracilis </t>
  </si>
  <si>
    <t>(Forbes et Goodsir, 1851)</t>
  </si>
  <si>
    <t>(Agassiz et Mayer, 1899)</t>
  </si>
  <si>
    <t xml:space="preserve">Eutima mira </t>
  </si>
  <si>
    <t xml:space="preserve">Eutima modesta </t>
  </si>
  <si>
    <t>(Harflaub, 1909)</t>
  </si>
  <si>
    <t xml:space="preserve">Eutima neucaledonia </t>
  </si>
  <si>
    <t>Uchida, 1964</t>
  </si>
  <si>
    <t xml:space="preserve">Eutima orientalis   </t>
  </si>
  <si>
    <t xml:space="preserve">Eutima variabilis </t>
  </si>
  <si>
    <t xml:space="preserve">Eutonina scientillans </t>
  </si>
  <si>
    <t>(Bigelow, 1909)</t>
  </si>
  <si>
    <t>侧丝水母属</t>
  </si>
  <si>
    <t>Helgicirrha sp.</t>
  </si>
  <si>
    <t>css</t>
  </si>
  <si>
    <t>Helsp.</t>
  </si>
  <si>
    <t xml:space="preserve">Helgicirrha brevistyla </t>
  </si>
  <si>
    <t>Xu et Huang, 1893</t>
  </si>
  <si>
    <t xml:space="preserve">Helgicirrha cornellii </t>
  </si>
  <si>
    <t>Bouillon, 1984</t>
  </si>
  <si>
    <t>芽侧丝水母</t>
  </si>
  <si>
    <t xml:space="preserve">Helgicirrha gemmifera </t>
  </si>
  <si>
    <t>Helge</t>
  </si>
  <si>
    <t xml:space="preserve">Helgicirrha malayensis </t>
  </si>
  <si>
    <t>(Stiasny, 1928)</t>
  </si>
  <si>
    <t>瘤手水母属</t>
  </si>
  <si>
    <t>Tima sp.</t>
  </si>
  <si>
    <t>Timsp</t>
  </si>
  <si>
    <t xml:space="preserve">Tima formosa </t>
  </si>
  <si>
    <t>L. Agassiz, 1862</t>
  </si>
  <si>
    <t>杯螅水母属</t>
  </si>
  <si>
    <t>Hebella sp.</t>
  </si>
  <si>
    <t>Hebsp</t>
  </si>
  <si>
    <t>柄杯螅水母</t>
  </si>
  <si>
    <t xml:space="preserve">Hebella dissymetrica </t>
  </si>
  <si>
    <t>Hebdi</t>
  </si>
  <si>
    <t>Billard, 1933</t>
  </si>
  <si>
    <t>感棒水母属</t>
  </si>
  <si>
    <t>Laodicea sp.</t>
  </si>
  <si>
    <t>gbs</t>
  </si>
  <si>
    <t>Laosp</t>
  </si>
  <si>
    <t xml:space="preserve">Laodicea indica  </t>
  </si>
  <si>
    <t xml:space="preserve">Laodicea undulata </t>
  </si>
  <si>
    <t>十盘水母属</t>
  </si>
  <si>
    <t>Staurodiscus sp.</t>
  </si>
  <si>
    <t>Stasp</t>
  </si>
  <si>
    <t>毒水母属</t>
  </si>
  <si>
    <t>Toxorchis sp.</t>
  </si>
  <si>
    <t>Toxsp</t>
  </si>
  <si>
    <t>Eucsp.</t>
  </si>
  <si>
    <t>真唇水母幼体</t>
  </si>
  <si>
    <t>Eucheilota larvae</t>
  </si>
  <si>
    <t xml:space="preserve">A. Agassiz, 1862 </t>
  </si>
  <si>
    <t xml:space="preserve">Eucheilota macrogona </t>
  </si>
  <si>
    <t>Eucmac</t>
  </si>
  <si>
    <t xml:space="preserve">Eucheilota menoni  </t>
  </si>
  <si>
    <t>Eucheilota multicirris</t>
  </si>
  <si>
    <t>Eucmul</t>
  </si>
  <si>
    <t xml:space="preserve">Eucheilota tropica  </t>
  </si>
  <si>
    <t>Eucven</t>
  </si>
  <si>
    <t>触丝水母属</t>
  </si>
  <si>
    <t>Lovenella sp.</t>
  </si>
  <si>
    <t>Lovsp</t>
  </si>
  <si>
    <t xml:space="preserve">Lovenella assimilis   </t>
  </si>
  <si>
    <t>Xu et Huang, 1983</t>
  </si>
  <si>
    <t>拟触丝水母属</t>
  </si>
  <si>
    <t>Paralovenia sp.</t>
  </si>
  <si>
    <t>Parsp1</t>
  </si>
  <si>
    <t>Parbit</t>
  </si>
  <si>
    <t>宽胃拟触丝水母</t>
  </si>
  <si>
    <t xml:space="preserve">Paralovenia latigaster </t>
  </si>
  <si>
    <t>kwn</t>
  </si>
  <si>
    <t>Parla</t>
  </si>
  <si>
    <t xml:space="preserve">Malagazzia carolinae   </t>
  </si>
  <si>
    <t>(Kramp, 1953)</t>
  </si>
  <si>
    <t>(Xu et Zhang, 1978)</t>
  </si>
  <si>
    <t>(He et Xu, 1982)</t>
  </si>
  <si>
    <t>单管玛拉水母</t>
  </si>
  <si>
    <t>Malagazzia monocanalis</t>
  </si>
  <si>
    <t>Malmo</t>
  </si>
  <si>
    <t>(Chow et Huang, 1958)</t>
  </si>
  <si>
    <t>Octsp1</t>
  </si>
  <si>
    <t xml:space="preserve">Octophialucium indicum  </t>
  </si>
  <si>
    <t>Kramp, 1958</t>
  </si>
  <si>
    <t xml:space="preserve">Octophialucium medium  </t>
  </si>
  <si>
    <t>Octsol</t>
  </si>
  <si>
    <t>拟海神水母属</t>
  </si>
  <si>
    <t>Melicertoides sp.</t>
  </si>
  <si>
    <t>nhs</t>
  </si>
  <si>
    <t>Melsp.</t>
  </si>
  <si>
    <t>Melicertoides octolabialis</t>
  </si>
  <si>
    <t>Meloct</t>
  </si>
  <si>
    <t>海神水母属</t>
  </si>
  <si>
    <t>Melicertum sp.</t>
  </si>
  <si>
    <t>Melsp1</t>
  </si>
  <si>
    <t>拟尖塔水母属</t>
  </si>
  <si>
    <t>Netocertoides sp.</t>
  </si>
  <si>
    <t>njt</t>
  </si>
  <si>
    <t>Netsp.</t>
  </si>
  <si>
    <t>Netbr</t>
  </si>
  <si>
    <t>八管水母属</t>
  </si>
  <si>
    <t>Octocannoides sp.</t>
  </si>
  <si>
    <t>bgs</t>
  </si>
  <si>
    <t>带腺八管水母</t>
  </si>
  <si>
    <t>Octocannoides taeniogonia</t>
  </si>
  <si>
    <t>Octta</t>
  </si>
  <si>
    <t>似杯水母属</t>
  </si>
  <si>
    <t>Phialella sp.</t>
  </si>
  <si>
    <t>Phisp.</t>
  </si>
  <si>
    <t>Xu, Huang and Wang, 1985</t>
  </si>
  <si>
    <t>秀氏水母属</t>
  </si>
  <si>
    <t>Sugiura sp.</t>
  </si>
  <si>
    <t>Sugsp</t>
  </si>
  <si>
    <t xml:space="preserve">Sugiura chengshanense </t>
  </si>
  <si>
    <t>(Ling, 1937)</t>
  </si>
  <si>
    <t>异手秀氏水母</t>
  </si>
  <si>
    <t xml:space="preserve">Sugiura heternema </t>
  </si>
  <si>
    <t>ysx</t>
  </si>
  <si>
    <t>Sughe</t>
  </si>
  <si>
    <t>帽形水母属</t>
  </si>
  <si>
    <t>Tiaropsis sp.</t>
  </si>
  <si>
    <t>Tiasp</t>
  </si>
  <si>
    <t xml:space="preserve">Tiaropsis multicirrata </t>
  </si>
  <si>
    <t>(M Sars, 1835)</t>
  </si>
  <si>
    <t>短柄和平水母</t>
  </si>
  <si>
    <t>Eirene brevistyla</t>
  </si>
  <si>
    <t>dbh</t>
  </si>
  <si>
    <t>Eirbre</t>
  </si>
  <si>
    <t>八拟杯水母幼体</t>
  </si>
  <si>
    <t>Octophialucium larvae</t>
  </si>
  <si>
    <t>Octla</t>
  </si>
  <si>
    <t>黑疣真瘤水母</t>
  </si>
  <si>
    <t>Eutima krampi</t>
  </si>
  <si>
    <t>Eutkr</t>
  </si>
  <si>
    <t>侧丝水母幼体</t>
  </si>
  <si>
    <t>Helgicirrha larvae</t>
  </si>
  <si>
    <t>Hella</t>
  </si>
  <si>
    <t>多管十盘水母</t>
  </si>
  <si>
    <t>Staurodiscus multicanalis</t>
  </si>
  <si>
    <t>Stamu</t>
  </si>
  <si>
    <t>漂浮十盘水母</t>
  </si>
  <si>
    <t>Staurodiscus neustona</t>
  </si>
  <si>
    <t>pfs</t>
  </si>
  <si>
    <t>Stane</t>
  </si>
  <si>
    <t>薇八拟杯水母</t>
  </si>
  <si>
    <t>Octophialucium huangweiae</t>
  </si>
  <si>
    <t>wbn</t>
  </si>
  <si>
    <t>Octhu</t>
  </si>
  <si>
    <t>景致四管水母</t>
  </si>
  <si>
    <t>Tetracannoides jingzhii</t>
  </si>
  <si>
    <t>Terji</t>
  </si>
  <si>
    <t>美螅水母属</t>
  </si>
  <si>
    <t>(McCrady, 1959)</t>
  </si>
  <si>
    <t xml:space="preserve">Clytia hemisphaerica   </t>
  </si>
  <si>
    <t>(Linnaeus, 1767)</t>
  </si>
  <si>
    <t>Clyhex</t>
  </si>
  <si>
    <t>(L Agassiz, 1862)</t>
  </si>
  <si>
    <t>Kramp, 1961</t>
  </si>
  <si>
    <t>(Brooks, 1888)</t>
  </si>
  <si>
    <t>Clytia ovale</t>
  </si>
  <si>
    <t>兰吉美螅水母</t>
  </si>
  <si>
    <t>Clytia rangiroae</t>
  </si>
  <si>
    <t>ljm</t>
  </si>
  <si>
    <t>Clyra</t>
  </si>
  <si>
    <t>(Agassizz et Mayer, 1902)</t>
  </si>
  <si>
    <t>薮枝螅水母</t>
  </si>
  <si>
    <t>Obelia spp.</t>
  </si>
  <si>
    <t>Clark, 1875</t>
  </si>
  <si>
    <t>直杯螅水母属</t>
  </si>
  <si>
    <t>Orthopyxia sp.</t>
  </si>
  <si>
    <t>zbx</t>
  </si>
  <si>
    <t>Ortsp.</t>
  </si>
  <si>
    <t>(Clark, 1876)</t>
  </si>
  <si>
    <t>福建无垂水母</t>
  </si>
  <si>
    <t>Orthopyxis fujianensis</t>
  </si>
  <si>
    <t>fjw</t>
  </si>
  <si>
    <t>Ortfu</t>
  </si>
  <si>
    <t>(Macgillivray, 1842)</t>
  </si>
  <si>
    <t>Bale, 1914</t>
  </si>
  <si>
    <t>拟杯水母属</t>
  </si>
  <si>
    <t>Phialucium sp.</t>
  </si>
  <si>
    <t>Phisp1</t>
  </si>
  <si>
    <t>钩手水母属</t>
  </si>
  <si>
    <t>Gonionemus sp.</t>
  </si>
  <si>
    <t>Gonsp</t>
  </si>
  <si>
    <t>A Agassiz, 1862</t>
  </si>
  <si>
    <t>心管水母属</t>
  </si>
  <si>
    <t>Maeotias sp.</t>
  </si>
  <si>
    <t>Maesp</t>
  </si>
  <si>
    <t>Ostroumoff, 1896</t>
  </si>
  <si>
    <t>似钩手水母属</t>
  </si>
  <si>
    <t>Scolionema sp.</t>
  </si>
  <si>
    <t>Scosp.</t>
  </si>
  <si>
    <t>八幅和平水母</t>
  </si>
  <si>
    <t>Eirene octonemalis</t>
  </si>
  <si>
    <t>Eiroc</t>
  </si>
  <si>
    <t>僧帽水母属</t>
  </si>
  <si>
    <t>Physalia sp.</t>
  </si>
  <si>
    <t>Physp.</t>
  </si>
  <si>
    <t xml:space="preserve">Physalia physalis   </t>
  </si>
  <si>
    <t>根水母属</t>
  </si>
  <si>
    <t>Phizophysa sp.</t>
  </si>
  <si>
    <t>Phisp2</t>
  </si>
  <si>
    <t xml:space="preserve">Phizophysa filiformis   </t>
  </si>
  <si>
    <t>袋囊水母属</t>
  </si>
  <si>
    <t>Tottonia sp.</t>
  </si>
  <si>
    <t>Totsp</t>
  </si>
  <si>
    <t xml:space="preserve">Tottonia contorta </t>
  </si>
  <si>
    <t>Margulis, 1976</t>
  </si>
  <si>
    <t>Agalma sp.</t>
  </si>
  <si>
    <t>Agasp</t>
  </si>
  <si>
    <t xml:space="preserve">Agalma elegans   </t>
  </si>
  <si>
    <t>(Sars, 1846)</t>
  </si>
  <si>
    <t xml:space="preserve">Agalma okeni  </t>
  </si>
  <si>
    <t>Eschscholtz, 1825</t>
  </si>
  <si>
    <t>舟形水母属</t>
  </si>
  <si>
    <t>Bargmannia sp.</t>
  </si>
  <si>
    <t>Barsp</t>
  </si>
  <si>
    <t>Totton, 1954</t>
  </si>
  <si>
    <t>心钟水母</t>
  </si>
  <si>
    <t>Cordagalma cordiformis</t>
  </si>
  <si>
    <t>Corcor</t>
  </si>
  <si>
    <t>Totton, 1932</t>
  </si>
  <si>
    <t>海冠水母属</t>
  </si>
  <si>
    <t>Halistemma sp.</t>
  </si>
  <si>
    <t>Halsp4</t>
  </si>
  <si>
    <t xml:space="preserve">Halistemma rubrum </t>
  </si>
  <si>
    <t>(Voge, 1852)</t>
  </si>
  <si>
    <t>性轭小型水母</t>
  </si>
  <si>
    <t xml:space="preserve">Nanomia bijuga </t>
  </si>
  <si>
    <t>(Chiaje, 1841)</t>
  </si>
  <si>
    <t>小型水母</t>
  </si>
  <si>
    <t xml:space="preserve">Nanomia cara </t>
  </si>
  <si>
    <t>A Agassiz, 1865</t>
  </si>
  <si>
    <t>侧泳水母属</t>
  </si>
  <si>
    <t>Nectalia sp.</t>
  </si>
  <si>
    <t>Necsp</t>
  </si>
  <si>
    <t>侧泳水母</t>
  </si>
  <si>
    <t>Haeckel, 1888</t>
  </si>
  <si>
    <t>气囊水母属</t>
  </si>
  <si>
    <t>Physophora sp.</t>
  </si>
  <si>
    <t>Physp1</t>
  </si>
  <si>
    <t xml:space="preserve">Physophora hydrostatica  </t>
  </si>
  <si>
    <t>Forskål, 1755</t>
  </si>
  <si>
    <t>花篮水母属</t>
  </si>
  <si>
    <t>Athorybia sp.</t>
  </si>
  <si>
    <t>Athsp</t>
  </si>
  <si>
    <t xml:space="preserve">Athorybia rosacea   </t>
  </si>
  <si>
    <t>瓜果水母属</t>
  </si>
  <si>
    <t>Melophysa sp.</t>
  </si>
  <si>
    <t>瓜果水母</t>
  </si>
  <si>
    <t xml:space="preserve">Melophysa melo </t>
  </si>
  <si>
    <t>歪钟水母属</t>
  </si>
  <si>
    <t>Forskalia sp.</t>
  </si>
  <si>
    <t>wzs</t>
  </si>
  <si>
    <t>Forskalia cuneata</t>
  </si>
  <si>
    <t>歪钟水母</t>
  </si>
  <si>
    <t>Forskalia edwardsi</t>
  </si>
  <si>
    <t>Kölliker, 1853</t>
  </si>
  <si>
    <t>泳球水母属</t>
  </si>
  <si>
    <t>Sphaeronectes sp.</t>
  </si>
  <si>
    <t>yqs</t>
  </si>
  <si>
    <t>Sphsp</t>
  </si>
  <si>
    <t>细球水母</t>
  </si>
  <si>
    <t xml:space="preserve">Sphaeronectes gracilis   </t>
  </si>
  <si>
    <t>(Claus, 1874)</t>
  </si>
  <si>
    <t xml:space="preserve">Amphicaryon acaule  </t>
  </si>
  <si>
    <t>Chun, 1888</t>
  </si>
  <si>
    <t xml:space="preserve">Amphicaryon ernesti  </t>
  </si>
  <si>
    <t>(Haeckel, 1888)</t>
  </si>
  <si>
    <t>链钟水母属</t>
  </si>
  <si>
    <t>Desmophyes sp.</t>
  </si>
  <si>
    <t>Dessp</t>
  </si>
  <si>
    <t>链钟水母</t>
  </si>
  <si>
    <t xml:space="preserve">Desmophyes annectens  </t>
  </si>
  <si>
    <t>Desan</t>
  </si>
  <si>
    <t>玫瑰水母属</t>
  </si>
  <si>
    <t>Rosacea sp.</t>
  </si>
  <si>
    <t>mgs</t>
  </si>
  <si>
    <t>Rossp</t>
  </si>
  <si>
    <t>船形玫瑰水母</t>
  </si>
  <si>
    <t xml:space="preserve">Rosacea cymbiformis </t>
  </si>
  <si>
    <t>Roscy</t>
  </si>
  <si>
    <t>(Chiaje, 1822)</t>
  </si>
  <si>
    <t xml:space="preserve">Rosacea plicata </t>
  </si>
  <si>
    <t>Quoy et Gaimard, 1827</t>
  </si>
  <si>
    <t>帕腊水母属</t>
  </si>
  <si>
    <t>Praya sp.</t>
  </si>
  <si>
    <t>pls</t>
  </si>
  <si>
    <t>Prasp</t>
  </si>
  <si>
    <t xml:space="preserve">Praya dubia </t>
  </si>
  <si>
    <t>(Quoy et Gaimard, 1834)</t>
  </si>
  <si>
    <t>网管帕腊水母</t>
  </si>
  <si>
    <t xml:space="preserve">Praya reticulata </t>
  </si>
  <si>
    <t>(Bigelow, 1911)</t>
  </si>
  <si>
    <t>马蹄水母属</t>
  </si>
  <si>
    <t>Hippopodius sp.</t>
  </si>
  <si>
    <t>Hipsp</t>
  </si>
  <si>
    <t xml:space="preserve">Hippopodius hippopus   </t>
  </si>
  <si>
    <t>(Forskål, 1776)</t>
  </si>
  <si>
    <t>光滑拟蹄水母</t>
  </si>
  <si>
    <t>Bigelow, 1918</t>
  </si>
  <si>
    <t xml:space="preserve">Vogtia kuruae  </t>
  </si>
  <si>
    <t xml:space="preserve">Vogtia microsticella </t>
  </si>
  <si>
    <t>Zhang et Lin, 1990</t>
  </si>
  <si>
    <t>五棘拟蹄水母</t>
  </si>
  <si>
    <t xml:space="preserve">Vogtia pentacantha </t>
  </si>
  <si>
    <t>(Moser, 1925)</t>
  </si>
  <si>
    <t xml:space="preserve">Vogtia spinosa </t>
  </si>
  <si>
    <t>Vogspi</t>
  </si>
  <si>
    <t>Kefferstein et Ehlers, 1861</t>
  </si>
  <si>
    <t xml:space="preserve">Sulculeolaria angusta  </t>
  </si>
  <si>
    <t xml:space="preserve">Sulculeolaria bigelowi   </t>
  </si>
  <si>
    <t>(Sears, 1950)</t>
  </si>
  <si>
    <t xml:space="preserve">Sulculeolaria biloba   </t>
  </si>
  <si>
    <t>Sulbil</t>
  </si>
  <si>
    <t>镶无棱水母</t>
  </si>
  <si>
    <t xml:space="preserve">Sulculeolaria brintoni  </t>
  </si>
  <si>
    <t>Alvarino, 1968</t>
  </si>
  <si>
    <t>长无棱水母</t>
  </si>
  <si>
    <t xml:space="preserve">Sulculeolaria chuni </t>
  </si>
  <si>
    <t>(Lens et Van Riemsdijk, 1908)</t>
  </si>
  <si>
    <t>五齿无棱水母</t>
  </si>
  <si>
    <t xml:space="preserve">Sulculeolaria monoica   </t>
  </si>
  <si>
    <t>(Chun, 1888)</t>
  </si>
  <si>
    <t xml:space="preserve">Sulculeolaria quadrivalvis </t>
  </si>
  <si>
    <t>Blainville, 1834</t>
  </si>
  <si>
    <t xml:space="preserve">Sulculeolaria turgida   </t>
  </si>
  <si>
    <t>(Gegenbaur, 1853)</t>
  </si>
  <si>
    <t xml:space="preserve">Lensia baryi  </t>
  </si>
  <si>
    <t>Totton, 1965</t>
  </si>
  <si>
    <t xml:space="preserve">Lensia campanella   </t>
  </si>
  <si>
    <t xml:space="preserve">Lensia canopusi </t>
  </si>
  <si>
    <t>Lencan</t>
  </si>
  <si>
    <t>Stepanjants, 1977</t>
  </si>
  <si>
    <t xml:space="preserve">Lensia challengeri  </t>
  </si>
  <si>
    <t xml:space="preserve">Lensia conoides </t>
  </si>
  <si>
    <t>Lencon</t>
  </si>
  <si>
    <t>(Kefersein et Ehlers, 1860)</t>
  </si>
  <si>
    <t xml:space="preserve">Lensia cordata  </t>
  </si>
  <si>
    <t>Lencor</t>
  </si>
  <si>
    <t xml:space="preserve">Lensia cossack  </t>
  </si>
  <si>
    <t>Totton, 1941</t>
  </si>
  <si>
    <t>圆囊浅室水母</t>
  </si>
  <si>
    <t xml:space="preserve">Lensia fowleri </t>
  </si>
  <si>
    <t xml:space="preserve">Lensia grimaldi </t>
  </si>
  <si>
    <t>(Leloup, 1933)</t>
  </si>
  <si>
    <t xml:space="preserve">Lensia hotspur  </t>
  </si>
  <si>
    <t xml:space="preserve">Lensia leloupi  </t>
  </si>
  <si>
    <t xml:space="preserve">Lensia lelouveteau  </t>
  </si>
  <si>
    <t>Lenlel</t>
  </si>
  <si>
    <t>高悬浅室水母</t>
  </si>
  <si>
    <t xml:space="preserve">Lensia meteori </t>
  </si>
  <si>
    <t>(Leloup, 1934)</t>
  </si>
  <si>
    <t xml:space="preserve">Lensia multicristata   </t>
  </si>
  <si>
    <t xml:space="preserve">Lensia multicristatoides </t>
  </si>
  <si>
    <t>Lenmul</t>
  </si>
  <si>
    <t>Zhang et Lin, 1987</t>
  </si>
  <si>
    <t xml:space="preserve">Lensia subtilis   </t>
  </si>
  <si>
    <t>Lensub</t>
  </si>
  <si>
    <t>(Chun, 1886)</t>
  </si>
  <si>
    <t xml:space="preserve">Lensia subtiloides </t>
  </si>
  <si>
    <t xml:space="preserve">Lensia tottoni </t>
  </si>
  <si>
    <t xml:space="preserve">A. Daniel et R. Daniel, 1963 </t>
  </si>
  <si>
    <t xml:space="preserve">Diphyes bojani </t>
  </si>
  <si>
    <t xml:space="preserve">Diphyes chamissonis  </t>
  </si>
  <si>
    <t>Huxley, 1851</t>
  </si>
  <si>
    <t xml:space="preserve">Diphyes dispar </t>
  </si>
  <si>
    <t>Chanisso et Eysenhardt, 1821</t>
  </si>
  <si>
    <t>五角水母属</t>
  </si>
  <si>
    <t>Muggiaea sp.</t>
  </si>
  <si>
    <t>Mugsp</t>
  </si>
  <si>
    <t xml:space="preserve">Muggiaea atlantica </t>
  </si>
  <si>
    <t>Cunningham, 1892</t>
  </si>
  <si>
    <t xml:space="preserve">Muggiaea delsmani  </t>
  </si>
  <si>
    <t>全七棱五角水母</t>
  </si>
  <si>
    <t xml:space="preserve">Muggiaea havock   </t>
  </si>
  <si>
    <t>qql</t>
  </si>
  <si>
    <t>Mugha</t>
  </si>
  <si>
    <t>(Totton, 1941)</t>
  </si>
  <si>
    <t>爪室水母属</t>
  </si>
  <si>
    <t>Chelophyes sp.</t>
  </si>
  <si>
    <t>Chesp</t>
  </si>
  <si>
    <t xml:space="preserve">Chelophyes appendiculata </t>
  </si>
  <si>
    <t>(Eschsholtz, 1829)</t>
  </si>
  <si>
    <t xml:space="preserve">Chelophyes contorta </t>
  </si>
  <si>
    <t xml:space="preserve">Eudoxoides mitra   </t>
  </si>
  <si>
    <t>(Huxley, 1859)</t>
  </si>
  <si>
    <t xml:space="preserve">Eudoxoides spiralis </t>
  </si>
  <si>
    <t xml:space="preserve">Eudoxia macra  </t>
  </si>
  <si>
    <t>单板水母属</t>
  </si>
  <si>
    <t>Dimophyes sp.</t>
  </si>
  <si>
    <t>dbs</t>
  </si>
  <si>
    <t>Dimsp</t>
  </si>
  <si>
    <t xml:space="preserve">Dimophyes arctica   </t>
  </si>
  <si>
    <t>(Chun, 1897)</t>
  </si>
  <si>
    <t>网棱水母属</t>
  </si>
  <si>
    <t>Gilia sp.</t>
  </si>
  <si>
    <t>Gilsp</t>
  </si>
  <si>
    <t>网棱水母</t>
  </si>
  <si>
    <t xml:space="preserve">Gilia reticulata   </t>
  </si>
  <si>
    <t>Gilre</t>
  </si>
  <si>
    <t>(Totton, 1954)</t>
  </si>
  <si>
    <t>角锥水母属</t>
  </si>
  <si>
    <t>Chuniphyes sp.</t>
  </si>
  <si>
    <t>Chusp</t>
  </si>
  <si>
    <t>钝齿角锥水母</t>
  </si>
  <si>
    <t xml:space="preserve">Chuniphyes moserae  </t>
  </si>
  <si>
    <t xml:space="preserve">Chuniphyes multidentata </t>
  </si>
  <si>
    <t>Lens et Van Riemsdijk, 1908</t>
  </si>
  <si>
    <t xml:space="preserve">Chausophyes galeata </t>
  </si>
  <si>
    <t xml:space="preserve">Chausophyes ovata </t>
  </si>
  <si>
    <t>晶体水母属</t>
  </si>
  <si>
    <t>Crystallophyes sp.</t>
  </si>
  <si>
    <t>Crysp</t>
  </si>
  <si>
    <t xml:space="preserve">Crystallophyes amygdalina  </t>
  </si>
  <si>
    <t>Moser, 1925</t>
  </si>
  <si>
    <t>异塔水母属</t>
  </si>
  <si>
    <t>Heteropyramis sp.</t>
  </si>
  <si>
    <t>Hetsp4</t>
  </si>
  <si>
    <t xml:space="preserve">Heteropyramis maculata  </t>
  </si>
  <si>
    <t xml:space="preserve">Ceratocymba dentata </t>
  </si>
  <si>
    <t>(Bigelow, 1918)</t>
  </si>
  <si>
    <t xml:space="preserve">Ceratocymba intermedia  </t>
  </si>
  <si>
    <t xml:space="preserve">Ceratocymba leuckarti   </t>
  </si>
  <si>
    <t>矢角舟水母</t>
  </si>
  <si>
    <t xml:space="preserve">Ceratocymba sagittata </t>
  </si>
  <si>
    <t xml:space="preserve">Abyla bicarinata  </t>
  </si>
  <si>
    <t xml:space="preserve">Abyla brownia  </t>
  </si>
  <si>
    <t>Sears, 1953</t>
  </si>
  <si>
    <t>拟突多面水母</t>
  </si>
  <si>
    <t xml:space="preserve">Abyla carina  </t>
  </si>
  <si>
    <t xml:space="preserve">Abyla haeckeli </t>
  </si>
  <si>
    <t xml:space="preserve">Abyla ingeborae  </t>
  </si>
  <si>
    <t xml:space="preserve">Abyla peruana  </t>
  </si>
  <si>
    <t xml:space="preserve">Abyla schmidti  </t>
  </si>
  <si>
    <t xml:space="preserve">Abyla trigona </t>
  </si>
  <si>
    <t>Quoy et Gamard, 1827</t>
  </si>
  <si>
    <t>拟多面水母属</t>
  </si>
  <si>
    <t>Abylopsis sp.</t>
  </si>
  <si>
    <t>ndm</t>
  </si>
  <si>
    <t xml:space="preserve">Abylopsis eschscholtzi   </t>
  </si>
  <si>
    <t xml:space="preserve">Abylopsis tetragona </t>
  </si>
  <si>
    <t>Otto, 1823</t>
  </si>
  <si>
    <t>巴斯水母属</t>
  </si>
  <si>
    <t>Bassia sp.</t>
  </si>
  <si>
    <t>Bassp</t>
  </si>
  <si>
    <t xml:space="preserve">Bassia bassensis </t>
  </si>
  <si>
    <t>Quoy et Gaimard, 1834</t>
  </si>
  <si>
    <t>九角水母属</t>
  </si>
  <si>
    <t>Enneagonum sp.</t>
  </si>
  <si>
    <t>Ennsp</t>
  </si>
  <si>
    <t>晶莹九角水母</t>
  </si>
  <si>
    <t xml:space="preserve">Enneagonum hyalinum </t>
  </si>
  <si>
    <t xml:space="preserve">Enneagonum searsae </t>
  </si>
  <si>
    <t>Alvariño, 1968</t>
  </si>
  <si>
    <t>管水母</t>
  </si>
  <si>
    <t>Stephanophyes superba</t>
  </si>
  <si>
    <t>Stesu</t>
  </si>
  <si>
    <t>十字水母属</t>
  </si>
  <si>
    <t>Stenoscyphus sp.</t>
  </si>
  <si>
    <t>Stesp.</t>
  </si>
  <si>
    <t>喇叭形十字水母</t>
  </si>
  <si>
    <t>(Kishinouye, 1893)</t>
  </si>
  <si>
    <t>喇叭水母属</t>
  </si>
  <si>
    <t>Haliclystus sp.</t>
  </si>
  <si>
    <t>lbs</t>
  </si>
  <si>
    <t>Halsp5</t>
  </si>
  <si>
    <t>Halaur</t>
  </si>
  <si>
    <t>Clark, 1863</t>
  </si>
  <si>
    <t>中国喇叭水母</t>
  </si>
  <si>
    <t>Haliclystus sinensis</t>
  </si>
  <si>
    <t>Halsin</t>
  </si>
  <si>
    <t>Ling, 1939</t>
  </si>
  <si>
    <t>浅喇叭水母</t>
  </si>
  <si>
    <t>qlb</t>
  </si>
  <si>
    <t>Kishinouye, 1899</t>
  </si>
  <si>
    <t>佐氏水母属</t>
  </si>
  <si>
    <t>Sasakiella sp.</t>
  </si>
  <si>
    <t>Sassp</t>
  </si>
  <si>
    <t>Okubo, 1917</t>
  </si>
  <si>
    <t>Ling, 1937</t>
  </si>
  <si>
    <t>Kishinouyea sp.</t>
  </si>
  <si>
    <t>Kissp</t>
  </si>
  <si>
    <t>(Oka, 1897)</t>
  </si>
  <si>
    <t>Haacke, 1887</t>
  </si>
  <si>
    <t>Stiasny, 1926</t>
  </si>
  <si>
    <t>火水母属</t>
  </si>
  <si>
    <t>Tamoya sp.</t>
  </si>
  <si>
    <t>Tamsp</t>
  </si>
  <si>
    <t>Tamoya alata</t>
  </si>
  <si>
    <t>Tamal</t>
  </si>
  <si>
    <t>Uchida, 1829</t>
  </si>
  <si>
    <t>环礁冠水母</t>
  </si>
  <si>
    <t>Haeckel, 1880</t>
  </si>
  <si>
    <t>六手水母属</t>
  </si>
  <si>
    <t>Atorella sp.</t>
  </si>
  <si>
    <t>Atosp</t>
  </si>
  <si>
    <t>Bigelow, 1928</t>
  </si>
  <si>
    <t>Atorella subglobosa</t>
  </si>
  <si>
    <t>罩水母属</t>
  </si>
  <si>
    <t>Linuche sp.</t>
  </si>
  <si>
    <t>zsm</t>
  </si>
  <si>
    <t>Linsp</t>
  </si>
  <si>
    <t>平罩水母</t>
  </si>
  <si>
    <t>(Haeckel, 1880)</t>
  </si>
  <si>
    <t>游船水母属</t>
  </si>
  <si>
    <t>Nausithoe sp.</t>
  </si>
  <si>
    <t>Nausp</t>
  </si>
  <si>
    <t xml:space="preserve">Nausithoe punctata </t>
  </si>
  <si>
    <t>Kolliker, 1853</t>
  </si>
  <si>
    <t>盖缘水母属</t>
  </si>
  <si>
    <t>Periphylla sp.</t>
  </si>
  <si>
    <t>gys</t>
  </si>
  <si>
    <t>Persp.</t>
  </si>
  <si>
    <t>(Peron et Lesueur, 1809)</t>
  </si>
  <si>
    <t>游水母属</t>
  </si>
  <si>
    <t>Pelagia sp.</t>
  </si>
  <si>
    <t>Pelsp.</t>
  </si>
  <si>
    <t xml:space="preserve">Pelagia noctiluca   </t>
  </si>
  <si>
    <t>金黄水母属</t>
  </si>
  <si>
    <t>Chrysaora sp.</t>
  </si>
  <si>
    <t>Chrsp</t>
  </si>
  <si>
    <t>Brandt, 1838</t>
  </si>
  <si>
    <t>沙水母属</t>
  </si>
  <si>
    <t>Sanderia sp.</t>
  </si>
  <si>
    <t>Sansp</t>
  </si>
  <si>
    <t xml:space="preserve">Sanderia malayensis </t>
  </si>
  <si>
    <t>Goette, 1886</t>
  </si>
  <si>
    <t>Kishinouye, 1891</t>
  </si>
  <si>
    <t>Kishinouye, 1910</t>
  </si>
  <si>
    <t>海月水母属</t>
  </si>
  <si>
    <t>Aurelia sp.</t>
  </si>
  <si>
    <t>Aursp</t>
  </si>
  <si>
    <t>棱口水母属</t>
  </si>
  <si>
    <t>Netrostoma sp.</t>
  </si>
  <si>
    <t>lks</t>
  </si>
  <si>
    <t>Netsp</t>
  </si>
  <si>
    <t>Maas, 1903</t>
  </si>
  <si>
    <t>(Kishinouye, 1902)</t>
  </si>
  <si>
    <t>松果水母属</t>
  </si>
  <si>
    <t>Cephea sp.</t>
  </si>
  <si>
    <t>Cepsp</t>
  </si>
  <si>
    <t>Haeckel, 1890</t>
  </si>
  <si>
    <t>硝水母属</t>
  </si>
  <si>
    <t>Mastigias sp.</t>
  </si>
  <si>
    <t>Massp</t>
  </si>
  <si>
    <t>(Modeer, 1791)</t>
  </si>
  <si>
    <t>(Lesson, 1830)</t>
  </si>
  <si>
    <t>丝胃水母属</t>
  </si>
  <si>
    <t>Thysanostoma sp.</t>
  </si>
  <si>
    <t>Thysp.</t>
  </si>
  <si>
    <t>(Maas, 1903)</t>
  </si>
  <si>
    <t>Light, 1924</t>
  </si>
  <si>
    <t>叶腕水母属</t>
  </si>
  <si>
    <t>Lobonema sp.</t>
  </si>
  <si>
    <t>Lobsp.</t>
  </si>
  <si>
    <t>拟叶腕水母属</t>
  </si>
  <si>
    <t>Lobonemoides sp.</t>
  </si>
  <si>
    <t>Lobsp</t>
  </si>
  <si>
    <t>Light, 1914</t>
  </si>
  <si>
    <t>海蜇属</t>
  </si>
  <si>
    <t>Rhopilema sp.</t>
  </si>
  <si>
    <t>Rhosp1</t>
  </si>
  <si>
    <t>(Vanhöffen, 1888)</t>
  </si>
  <si>
    <t>口冠水母属</t>
  </si>
  <si>
    <t>Stomolophus sp.</t>
  </si>
  <si>
    <t>kgs</t>
  </si>
  <si>
    <t>Stosp</t>
  </si>
  <si>
    <t>L. Agassig, 1862</t>
  </si>
  <si>
    <t>水螅</t>
  </si>
  <si>
    <t>Hydroids</t>
  </si>
  <si>
    <t>sx</t>
  </si>
  <si>
    <t>晶体方形水母</t>
  </si>
  <si>
    <t>Cnboides vitreus</t>
  </si>
  <si>
    <t>jtf</t>
  </si>
  <si>
    <t>Cnbvi</t>
  </si>
  <si>
    <t>厦门枝水母</t>
  </si>
  <si>
    <t>Ramus xiamenensis</t>
  </si>
  <si>
    <t>ramxi</t>
  </si>
  <si>
    <t>Sphaeronectes truncata</t>
  </si>
  <si>
    <t>Sphtr</t>
  </si>
  <si>
    <t>Plotocnide incerta</t>
  </si>
  <si>
    <t>ploin</t>
  </si>
  <si>
    <t>束状鲍螅水母</t>
  </si>
  <si>
    <t xml:space="preserve">Bougainvillia ramosa </t>
  </si>
  <si>
    <t xml:space="preserve">Podocoryne apicata  </t>
  </si>
  <si>
    <t>Podap</t>
  </si>
  <si>
    <t>Pennaria tiarella</t>
  </si>
  <si>
    <t>Penti</t>
  </si>
  <si>
    <t>单肢水母</t>
  </si>
  <si>
    <t>Nubiella sinica</t>
  </si>
  <si>
    <t>nubsi</t>
  </si>
  <si>
    <t>刺胞海帽水母</t>
  </si>
  <si>
    <t xml:space="preserve">Halitiara knides </t>
  </si>
  <si>
    <t>cbh</t>
  </si>
  <si>
    <t>halkn</t>
  </si>
  <si>
    <t>广西介螅水母</t>
  </si>
  <si>
    <t>Hydractinia guangxiensis</t>
  </si>
  <si>
    <t>gxj</t>
  </si>
  <si>
    <t>hydgu</t>
  </si>
  <si>
    <t>南海管水母</t>
  </si>
  <si>
    <t>Aequorea nanhaiensis</t>
  </si>
  <si>
    <t>nhg</t>
  </si>
  <si>
    <t>aeqna</t>
  </si>
  <si>
    <t xml:space="preserve">Atorella subglobosa  </t>
  </si>
  <si>
    <t>atosu</t>
  </si>
  <si>
    <t>栉水母属</t>
  </si>
  <si>
    <t>Euchlora sp.</t>
  </si>
  <si>
    <t>Eucsp1</t>
  </si>
  <si>
    <t>栉水母动物</t>
  </si>
  <si>
    <t xml:space="preserve">Euchlora rubra   </t>
  </si>
  <si>
    <t>侧腕水母属</t>
  </si>
  <si>
    <t>Pleurobrachia sp.</t>
  </si>
  <si>
    <t>Plesp.</t>
  </si>
  <si>
    <t xml:space="preserve">Pleurobrachia globosa  </t>
  </si>
  <si>
    <t>Moser, 1903</t>
  </si>
  <si>
    <t xml:space="preserve">Hormiphora palnata  </t>
  </si>
  <si>
    <t>蝶水母属</t>
  </si>
  <si>
    <t>Ocyropsis sp.</t>
  </si>
  <si>
    <t>Ocysp</t>
  </si>
  <si>
    <t xml:space="preserve">Ocyropsis crystallina </t>
  </si>
  <si>
    <t>(Rang, 1828)</t>
  </si>
  <si>
    <t>蛾水母属</t>
  </si>
  <si>
    <t>Bolinopsis sp.</t>
  </si>
  <si>
    <t>Bolsp</t>
  </si>
  <si>
    <t>(L. Agassiz, 1860)</t>
  </si>
  <si>
    <t>带水母</t>
  </si>
  <si>
    <t>Cestum veneris</t>
  </si>
  <si>
    <t>Cesve</t>
  </si>
  <si>
    <t xml:space="preserve">Lesueur, </t>
  </si>
  <si>
    <t>Bersp</t>
  </si>
  <si>
    <t xml:space="preserve">Beroe cucumis  </t>
  </si>
  <si>
    <t>Fabricius, 1780</t>
  </si>
  <si>
    <t xml:space="preserve">Beroe ovata  </t>
  </si>
  <si>
    <t>扁虫</t>
  </si>
  <si>
    <t>Platyhelminthes</t>
  </si>
  <si>
    <t>Platy</t>
  </si>
  <si>
    <t>扁形动物</t>
  </si>
  <si>
    <t>纽形动物</t>
  </si>
  <si>
    <t>线虫</t>
  </si>
  <si>
    <t>Phylum Nematoda</t>
  </si>
  <si>
    <t>xc</t>
  </si>
  <si>
    <t>Nem</t>
  </si>
  <si>
    <t>线形动物</t>
  </si>
  <si>
    <t xml:space="preserve">Brachionus angularis </t>
  </si>
  <si>
    <t xml:space="preserve">Brachionus calyciflorus </t>
  </si>
  <si>
    <t>Pallas, 1766</t>
  </si>
  <si>
    <t xml:space="preserve">Brachionus leydigi  </t>
  </si>
  <si>
    <t xml:space="preserve">Brachionus ureeus   </t>
  </si>
  <si>
    <t>Notsp.</t>
  </si>
  <si>
    <t>龟甲轮虫属</t>
  </si>
  <si>
    <t>Keratella sp.</t>
  </si>
  <si>
    <t>gjl</t>
  </si>
  <si>
    <t>Kersp</t>
  </si>
  <si>
    <t xml:space="preserve">Keratella cochlearis </t>
  </si>
  <si>
    <t xml:space="preserve">Keratella quadrata   </t>
  </si>
  <si>
    <t xml:space="preserve">Keratella valga </t>
  </si>
  <si>
    <t>裂足轮虫属</t>
  </si>
  <si>
    <t>Schizocerca sp.</t>
  </si>
  <si>
    <t>Schsp.</t>
  </si>
  <si>
    <t xml:space="preserve">Schizocerca diversicornis </t>
  </si>
  <si>
    <t>疣毛轮虫属</t>
  </si>
  <si>
    <t>Synehata sp.</t>
  </si>
  <si>
    <t>Synsp.</t>
  </si>
  <si>
    <t xml:space="preserve">Synehata tremula  </t>
  </si>
  <si>
    <t>多肢轮虫属</t>
  </si>
  <si>
    <t>Polyarthra sp.</t>
  </si>
  <si>
    <t>Polsp.</t>
  </si>
  <si>
    <t xml:space="preserve">Polyarthra trigla </t>
  </si>
  <si>
    <t>Erhenberg</t>
  </si>
  <si>
    <t>jnl</t>
  </si>
  <si>
    <t>Aspsp</t>
  </si>
  <si>
    <t xml:space="preserve">Asplanchna brightwelli </t>
  </si>
  <si>
    <t xml:space="preserve">Asplanchna prildonta </t>
  </si>
  <si>
    <t>Gosse, 1850</t>
  </si>
  <si>
    <t xml:space="preserve">Asplanchna sieboldi </t>
  </si>
  <si>
    <t xml:space="preserve">Conochilus hippocrepis </t>
  </si>
  <si>
    <t>(Schrank, 1830)</t>
  </si>
  <si>
    <t>三肢轮虫属</t>
  </si>
  <si>
    <t>Filinia sp.</t>
  </si>
  <si>
    <t>Filsp</t>
  </si>
  <si>
    <t>凸镜轮虫属</t>
  </si>
  <si>
    <t>Testudinella sp.</t>
  </si>
  <si>
    <t>Tessp</t>
  </si>
  <si>
    <t>Polychaeta</t>
  </si>
  <si>
    <t>须蚕属</t>
  </si>
  <si>
    <t>Pontodora sp.</t>
  </si>
  <si>
    <t>Ponsp.</t>
  </si>
  <si>
    <t>Lopsp.</t>
  </si>
  <si>
    <t>Grube, 1855</t>
  </si>
  <si>
    <t>(Claparède, 1870)</t>
  </si>
  <si>
    <t>Lopadorhynchus nationalis</t>
  </si>
  <si>
    <t>Reibish, 1895</t>
  </si>
  <si>
    <t>Shen, 1980</t>
  </si>
  <si>
    <t>Fauvel, 1915</t>
  </si>
  <si>
    <t>四须蚕属</t>
  </si>
  <si>
    <t>Maupasia sp.</t>
  </si>
  <si>
    <t>Mausp</t>
  </si>
  <si>
    <t>Viguier, 1886</t>
  </si>
  <si>
    <t>矮指蚕属</t>
  </si>
  <si>
    <t>Pedinosoma sp.</t>
  </si>
  <si>
    <t>azc</t>
  </si>
  <si>
    <t>Pedsp</t>
  </si>
  <si>
    <t>Reibisch, 1895</t>
  </si>
  <si>
    <t>游蚕属</t>
  </si>
  <si>
    <t>Pelagobia sp.</t>
  </si>
  <si>
    <t>Pelsp</t>
  </si>
  <si>
    <t>Pelagobia longicirrata</t>
  </si>
  <si>
    <t>Greeff, 1879</t>
  </si>
  <si>
    <t>Alcsp</t>
  </si>
  <si>
    <t>Claparède et Panceri, 1867</t>
  </si>
  <si>
    <t>须叶蚕</t>
  </si>
  <si>
    <t>Krohnia lepidota</t>
  </si>
  <si>
    <t>xyc</t>
  </si>
  <si>
    <t>Krole</t>
  </si>
  <si>
    <t>(Krohn, 1845)</t>
  </si>
  <si>
    <t>泳蚕属</t>
  </si>
  <si>
    <t>Plotohelmis sp.</t>
  </si>
  <si>
    <t>Plosp</t>
  </si>
  <si>
    <t>翼突泳蚕</t>
  </si>
  <si>
    <t>Chamberlin, 1919</t>
  </si>
  <si>
    <t>(Greeff, 1876)</t>
  </si>
  <si>
    <t>鼻蚕属</t>
  </si>
  <si>
    <t>Rhynchonerella sp.</t>
  </si>
  <si>
    <t>Rhysp</t>
  </si>
  <si>
    <t>Costa, 1862</t>
  </si>
  <si>
    <t>(Langerhans, 1880)</t>
  </si>
  <si>
    <t>角蚕</t>
  </si>
  <si>
    <t>Torrea candida</t>
  </si>
  <si>
    <t>Torca</t>
  </si>
  <si>
    <t>(Delle Chiaje, 1828)</t>
  </si>
  <si>
    <t>水蚕属</t>
  </si>
  <si>
    <t>Naiades sp.</t>
  </si>
  <si>
    <t>sc</t>
  </si>
  <si>
    <t>Naisp</t>
  </si>
  <si>
    <t>Delle Chiaje, 1830</t>
  </si>
  <si>
    <t>明蚕属</t>
  </si>
  <si>
    <t>Vanadis sp.</t>
  </si>
  <si>
    <t>Vansp</t>
  </si>
  <si>
    <t>Greeff, 1876</t>
  </si>
  <si>
    <t>囊明蚕</t>
  </si>
  <si>
    <t>Treadwell, 1906</t>
  </si>
  <si>
    <t>乳突明蚕</t>
  </si>
  <si>
    <t>Vanadis longissima</t>
  </si>
  <si>
    <t>rtm</t>
  </si>
  <si>
    <t>Vanlo</t>
  </si>
  <si>
    <t>(Levisen, 1885)</t>
  </si>
  <si>
    <t>fc</t>
  </si>
  <si>
    <t>Rosa, 1908</t>
  </si>
  <si>
    <t>Rosa, 1907</t>
  </si>
  <si>
    <t>Tomopteris duccii</t>
  </si>
  <si>
    <t>Tomduc</t>
  </si>
  <si>
    <t>Tomopteris dunckeri</t>
  </si>
  <si>
    <t>Chun, 1887</t>
  </si>
  <si>
    <t>生殖浮蚕</t>
  </si>
  <si>
    <t>Tomopteris helgolandica</t>
  </si>
  <si>
    <t>Tomhe</t>
  </si>
  <si>
    <t>透明浮蚕</t>
  </si>
  <si>
    <t>Tomopteris krampi</t>
  </si>
  <si>
    <t>tmf</t>
  </si>
  <si>
    <t>Tomkr</t>
  </si>
  <si>
    <t>Wesenberg-Lund, 1936</t>
  </si>
  <si>
    <t>玫瑰浮蚕</t>
  </si>
  <si>
    <t>Apstein, 1900</t>
  </si>
  <si>
    <t>太平浮蚕</t>
  </si>
  <si>
    <t>Tomopteris pacifica</t>
  </si>
  <si>
    <t>Izuka, 1914</t>
  </si>
  <si>
    <t>Greeff, 1882</t>
  </si>
  <si>
    <t>Quatrefages, 1865</t>
  </si>
  <si>
    <t>sagsp.</t>
  </si>
  <si>
    <t>Wagner, 1872</t>
  </si>
  <si>
    <t>Støp-Bowitz, 1948</t>
  </si>
  <si>
    <t>Southern, 1910</t>
  </si>
  <si>
    <t>Levinsen, 1885</t>
  </si>
  <si>
    <t>Busch, 1851</t>
  </si>
  <si>
    <t>丁齿蚕属</t>
  </si>
  <si>
    <t>Phalacrophorus sp.</t>
  </si>
  <si>
    <t>Phasp.</t>
  </si>
  <si>
    <t>Class Bivalvia</t>
  </si>
  <si>
    <t>skg</t>
  </si>
  <si>
    <t>腹足纲</t>
  </si>
  <si>
    <t>Class Gastropoda</t>
  </si>
  <si>
    <t>fzg</t>
  </si>
  <si>
    <t>Gas</t>
  </si>
  <si>
    <t>海蜗牛属</t>
  </si>
  <si>
    <t>Janthina sp.</t>
  </si>
  <si>
    <t>Jansp</t>
  </si>
  <si>
    <t xml:space="preserve">Janthina janthina </t>
  </si>
  <si>
    <t>(Linné, 1758)</t>
  </si>
  <si>
    <t xml:space="preserve">Janthina prolongata </t>
  </si>
  <si>
    <t>Blainville, 1822</t>
  </si>
  <si>
    <t>角明螺属</t>
  </si>
  <si>
    <t>Oxygyrus sp.</t>
  </si>
  <si>
    <t>Oxysp.</t>
  </si>
  <si>
    <t xml:space="preserve">Oxygyrus keraudreni </t>
  </si>
  <si>
    <t>(Lesueur, 1817)</t>
  </si>
  <si>
    <t>原明螺属</t>
  </si>
  <si>
    <t>Protalanta sp</t>
  </si>
  <si>
    <t>Prosp1</t>
  </si>
  <si>
    <t xml:space="preserve">Protatlanta souleyeti </t>
  </si>
  <si>
    <t>(Smith, 1888)</t>
  </si>
  <si>
    <t>Atlanta sp.</t>
  </si>
  <si>
    <t>atlsp</t>
  </si>
  <si>
    <t xml:space="preserve">Atlanta depressa  </t>
  </si>
  <si>
    <t>Souleyet, 1852</t>
  </si>
  <si>
    <t xml:space="preserve">Atlanta fusca  </t>
  </si>
  <si>
    <t xml:space="preserve">Atlanta helcinoides  </t>
  </si>
  <si>
    <t xml:space="preserve">Atlanta inclinata  </t>
  </si>
  <si>
    <t>Atlinc</t>
  </si>
  <si>
    <t xml:space="preserve">Atlanta inflata  </t>
  </si>
  <si>
    <t>Atlinf</t>
  </si>
  <si>
    <t xml:space="preserve">Atlanta lesueuri  </t>
  </si>
  <si>
    <t xml:space="preserve">Atlanta peroni  </t>
  </si>
  <si>
    <t>Lesueur, 1817</t>
  </si>
  <si>
    <t xml:space="preserve">Atlanta rosea  </t>
  </si>
  <si>
    <t xml:space="preserve">Atlanta turriculata </t>
  </si>
  <si>
    <t>d'Orbigny, 1836</t>
  </si>
  <si>
    <t>Carsp</t>
  </si>
  <si>
    <t xml:space="preserve">Carinaria cristata </t>
  </si>
  <si>
    <t>(Linné, 1767)</t>
  </si>
  <si>
    <t xml:space="preserve">Carinaria galea </t>
  </si>
  <si>
    <t>Benson, 1835</t>
  </si>
  <si>
    <t>翼体螺属</t>
  </si>
  <si>
    <t>Pterosoma sp.</t>
  </si>
  <si>
    <t>Ptesp.</t>
  </si>
  <si>
    <t>Lesson, 1827</t>
  </si>
  <si>
    <t xml:space="preserve">Cardiapoda richardi </t>
  </si>
  <si>
    <t>Vayssière, 1904</t>
  </si>
  <si>
    <t>Ptesp1</t>
  </si>
  <si>
    <t xml:space="preserve">Pterotrachea cornoata  </t>
  </si>
  <si>
    <t>Forskål, 1775</t>
  </si>
  <si>
    <t xml:space="preserve">Pterotrachea hippocampus </t>
  </si>
  <si>
    <t>Philippi, 1836</t>
  </si>
  <si>
    <t xml:space="preserve">Pterotracchea minuta </t>
  </si>
  <si>
    <t>Bonnevie, 1913</t>
  </si>
  <si>
    <t xml:space="preserve">Pterotracchea scutata  </t>
  </si>
  <si>
    <t>Gegenbaur, 1855</t>
  </si>
  <si>
    <t>拟翼管螺属</t>
  </si>
  <si>
    <t>Firoloida sp.</t>
  </si>
  <si>
    <t>Firsp</t>
  </si>
  <si>
    <t xml:space="preserve">Firoloida desmaresti  </t>
  </si>
  <si>
    <t>hl</t>
  </si>
  <si>
    <t>Limsp</t>
  </si>
  <si>
    <t xml:space="preserve">Limacina bulimoides </t>
  </si>
  <si>
    <t>(d' Orbigny, 1836)</t>
  </si>
  <si>
    <t xml:space="preserve">Limacina inflata </t>
  </si>
  <si>
    <t xml:space="preserve">Limacina trochiformis </t>
  </si>
  <si>
    <t>Agast</t>
  </si>
  <si>
    <t>A. Adams, 1867</t>
  </si>
  <si>
    <t>bl</t>
  </si>
  <si>
    <t>Cresp</t>
  </si>
  <si>
    <t xml:space="preserve">Creseis acicula  </t>
  </si>
  <si>
    <t>Rang, 1828</t>
  </si>
  <si>
    <t xml:space="preserve">Creseis chierchiae </t>
  </si>
  <si>
    <t>Boas, 1886</t>
  </si>
  <si>
    <t xml:space="preserve">Creseis clava  </t>
  </si>
  <si>
    <t xml:space="preserve">Creseis virgula  </t>
  </si>
  <si>
    <t xml:space="preserve">Creseis virgula v.conica </t>
  </si>
  <si>
    <t>Crevic</t>
  </si>
  <si>
    <t>Eschschotlz, 1829</t>
  </si>
  <si>
    <t xml:space="preserve">Styliola subula </t>
  </si>
  <si>
    <t>Stysub</t>
  </si>
  <si>
    <t>玻杯螺属</t>
  </si>
  <si>
    <t>Hyalocylix sp.</t>
  </si>
  <si>
    <t xml:space="preserve">Hyalocylix striata </t>
  </si>
  <si>
    <t>蛆状螺属</t>
  </si>
  <si>
    <t>Cuvierina sp.</t>
  </si>
  <si>
    <t>Cuvsp</t>
  </si>
  <si>
    <t xml:space="preserve">Cuvierina columella </t>
  </si>
  <si>
    <t>(Rang, 1827)</t>
  </si>
  <si>
    <t>Euclio sp.</t>
  </si>
  <si>
    <t>Eucsp2</t>
  </si>
  <si>
    <t xml:space="preserve">Euclio balantium </t>
  </si>
  <si>
    <t>Eucba</t>
  </si>
  <si>
    <t>(Rang, 1834)</t>
  </si>
  <si>
    <t>Euclio pyramidata v.lanceolata</t>
  </si>
  <si>
    <t>Eucpyl</t>
  </si>
  <si>
    <t>(Lesueur, 1813)</t>
  </si>
  <si>
    <t>Euclio pyramidata v.microcaudata</t>
  </si>
  <si>
    <t>Eucpym</t>
  </si>
  <si>
    <t>Zhang, 1964</t>
  </si>
  <si>
    <t>四齿厚唇螺</t>
  </si>
  <si>
    <t xml:space="preserve">Diacria quadridenlata  </t>
  </si>
  <si>
    <t>(Lesueur, 1821)</t>
  </si>
  <si>
    <t>肋厚唇螺</t>
  </si>
  <si>
    <t xml:space="preserve">Diacria quadridenlata v.costata </t>
  </si>
  <si>
    <t>Diaquc</t>
  </si>
  <si>
    <t>(Pfeffer, 1879)</t>
  </si>
  <si>
    <t xml:space="preserve">Diacria trispinosa  </t>
  </si>
  <si>
    <t>diasp1</t>
  </si>
  <si>
    <t xml:space="preserve">Cavolinia gibbose  </t>
  </si>
  <si>
    <t>(Rang, 1836)</t>
  </si>
  <si>
    <t xml:space="preserve">Cavolinia globulosa  </t>
  </si>
  <si>
    <t>(Rang, 1850)</t>
  </si>
  <si>
    <t xml:space="preserve">Cavolinia inflexa v.labiata  </t>
  </si>
  <si>
    <t xml:space="preserve">Cavolinia longirostris  </t>
  </si>
  <si>
    <t xml:space="preserve">Cavolinia longirostris v.angulata  </t>
  </si>
  <si>
    <t>Cavloa</t>
  </si>
  <si>
    <t>(Souleyet, 1852)</t>
  </si>
  <si>
    <t xml:space="preserve">Cavolinia tridentata   </t>
  </si>
  <si>
    <t>(Forskål, 1755)</t>
  </si>
  <si>
    <t xml:space="preserve">Cavolinia uncinata  </t>
  </si>
  <si>
    <t>长轴螺属</t>
  </si>
  <si>
    <t>Peraclis sp.</t>
  </si>
  <si>
    <t>Persp</t>
  </si>
  <si>
    <t>舴艋螺属</t>
  </si>
  <si>
    <t>Cymbulia sp.</t>
  </si>
  <si>
    <t>Cymsp</t>
  </si>
  <si>
    <t>Blainville, 1818</t>
  </si>
  <si>
    <t>(Quoy et Gaimard, 1832)</t>
  </si>
  <si>
    <t>螺</t>
  </si>
  <si>
    <t>Gleba sp.</t>
  </si>
  <si>
    <t>Gelsp</t>
  </si>
  <si>
    <t>Gleba cordata</t>
  </si>
  <si>
    <t>Gelco</t>
  </si>
  <si>
    <t>Forskål, 1776</t>
  </si>
  <si>
    <t xml:space="preserve">Desmopterus papilio  </t>
  </si>
  <si>
    <t>Chun, 1889</t>
  </si>
  <si>
    <t>皮鳃螺属</t>
  </si>
  <si>
    <t>Pneumoderma sp.</t>
  </si>
  <si>
    <t>Pnesp.</t>
  </si>
  <si>
    <t xml:space="preserve">Pneumoderma atlanticum </t>
  </si>
  <si>
    <t>(Oken, 1815)</t>
  </si>
  <si>
    <t xml:space="preserve">Pneumoderma heterocotylum </t>
  </si>
  <si>
    <t>Tesch, 1904</t>
  </si>
  <si>
    <t xml:space="preserve">Pneumoderma mediterraneum  </t>
  </si>
  <si>
    <t>(Beneden, 1838)</t>
  </si>
  <si>
    <t xml:space="preserve">Pneumodermopsis ciliata   </t>
  </si>
  <si>
    <t>(Gegenbaur, 1855)</t>
  </si>
  <si>
    <t xml:space="preserve">Pneumodermopsis paucidens </t>
  </si>
  <si>
    <t>(Boas, 1886)</t>
  </si>
  <si>
    <t xml:space="preserve">Pneumodermopsis polycatyla </t>
  </si>
  <si>
    <t>无鳃螺属</t>
  </si>
  <si>
    <t>Abranchaea sp.</t>
  </si>
  <si>
    <t>Abrsp</t>
  </si>
  <si>
    <t xml:space="preserve">Abranchaea chinensis </t>
  </si>
  <si>
    <t>拟海若螺属</t>
  </si>
  <si>
    <t>Paraclione sp.</t>
  </si>
  <si>
    <t>Parsp2</t>
  </si>
  <si>
    <t xml:space="preserve">Paraclione longicaudata  </t>
  </si>
  <si>
    <t>背鳃螺属</t>
  </si>
  <si>
    <t>Notobranchaea sp.</t>
  </si>
  <si>
    <t>Pelseneer, 1886</t>
  </si>
  <si>
    <t>扁齿螺属</t>
  </si>
  <si>
    <t>Thliptodon sp.</t>
  </si>
  <si>
    <t>bcl</t>
  </si>
  <si>
    <t>Thlsp</t>
  </si>
  <si>
    <t>(Meisenbeimer, 1903)</t>
  </si>
  <si>
    <t>海神鳃</t>
  </si>
  <si>
    <t>Glaucus marinus</t>
  </si>
  <si>
    <t>Glama</t>
  </si>
  <si>
    <t>(Dupont)</t>
  </si>
  <si>
    <t>Marine insect</t>
  </si>
  <si>
    <t>甲壳动物</t>
  </si>
  <si>
    <t>薄皮溞属</t>
  </si>
  <si>
    <t>Leptodora sp.</t>
  </si>
  <si>
    <t>bpz</t>
  </si>
  <si>
    <t>Lepsp.</t>
  </si>
  <si>
    <t xml:space="preserve">Leptodora kindti  </t>
  </si>
  <si>
    <t>(Focke, 1844)</t>
  </si>
  <si>
    <t>仙达溞属</t>
  </si>
  <si>
    <t>Sida sp.</t>
  </si>
  <si>
    <t>xdz</t>
  </si>
  <si>
    <t>Sidsp</t>
  </si>
  <si>
    <t xml:space="preserve">Sida crystallina </t>
  </si>
  <si>
    <t>(O. F. Müller, 1776)</t>
  </si>
  <si>
    <t>秀体溞属</t>
  </si>
  <si>
    <t>Diaphanosoma sp.</t>
  </si>
  <si>
    <t>xtz</t>
  </si>
  <si>
    <t>Diasp.</t>
  </si>
  <si>
    <t xml:space="preserve">Diaphanosoma brachyurun </t>
  </si>
  <si>
    <t>(Liévin, 1848)</t>
  </si>
  <si>
    <t>Fischer, 1854</t>
  </si>
  <si>
    <t xml:space="preserve">Penilia avirostris  </t>
  </si>
  <si>
    <t>Dana, 1849</t>
  </si>
  <si>
    <t>z</t>
  </si>
  <si>
    <t>King, 1853</t>
  </si>
  <si>
    <t>O. F. Müller, 1785</t>
  </si>
  <si>
    <t>Baird, 1850</t>
  </si>
  <si>
    <t>船卵溞属</t>
  </si>
  <si>
    <t>Scapholeberis sp.</t>
  </si>
  <si>
    <t>clz</t>
  </si>
  <si>
    <t>Scasp.</t>
  </si>
  <si>
    <t>Sars, 1903</t>
  </si>
  <si>
    <t>低额溞属</t>
  </si>
  <si>
    <t>Simocephalus sp.</t>
  </si>
  <si>
    <t>dez</t>
  </si>
  <si>
    <t>Simsp.</t>
  </si>
  <si>
    <t xml:space="preserve">Simocephalus vetulus </t>
  </si>
  <si>
    <t xml:space="preserve">Ceriodaphnia cornuta  </t>
  </si>
  <si>
    <t>Sars, 1885</t>
  </si>
  <si>
    <t xml:space="preserve">Ceriodaphnia quadrangula </t>
  </si>
  <si>
    <t>(O. F. Müller, 1785)</t>
  </si>
  <si>
    <t>裸腹溞属</t>
  </si>
  <si>
    <t>Moina sp.</t>
  </si>
  <si>
    <t>lfz</t>
  </si>
  <si>
    <t>Moisp</t>
  </si>
  <si>
    <t xml:space="preserve">Moina macrocopa </t>
  </si>
  <si>
    <t>(Straus, 1820)</t>
  </si>
  <si>
    <t>Moina micrura Kurz</t>
  </si>
  <si>
    <t>Kurz, 1874</t>
  </si>
  <si>
    <t>xbz</t>
  </si>
  <si>
    <t xml:space="preserve">Bosmina longirostris </t>
  </si>
  <si>
    <t>粗毛溞属</t>
  </si>
  <si>
    <t>Macrothrix sp.</t>
  </si>
  <si>
    <t>Macsp.</t>
  </si>
  <si>
    <t xml:space="preserve">Macrothrix brevicornis </t>
  </si>
  <si>
    <t>Shen, Tai et Chiang, 1966</t>
  </si>
  <si>
    <t xml:space="preserve">Macrothrix laticornis </t>
  </si>
  <si>
    <t>Maclat</t>
  </si>
  <si>
    <t>(Jurine, 1820)</t>
  </si>
  <si>
    <t xml:space="preserve">Macrothrix rosea </t>
  </si>
  <si>
    <t xml:space="preserve">Macrothrix spinosa </t>
  </si>
  <si>
    <t>Macsp1</t>
  </si>
  <si>
    <t>大尾溞属</t>
  </si>
  <si>
    <t>Leydigia sp.</t>
  </si>
  <si>
    <t>Leysp</t>
  </si>
  <si>
    <t xml:space="preserve">Leydigia ciliata </t>
  </si>
  <si>
    <t>(Gauthier, 1939)</t>
  </si>
  <si>
    <t xml:space="preserve">Alona quadrangularis </t>
  </si>
  <si>
    <t>(O. F. Müller, 1875)</t>
  </si>
  <si>
    <t>Sars, 1861</t>
  </si>
  <si>
    <t>锐额溞属</t>
  </si>
  <si>
    <t>Alonella sp.</t>
  </si>
  <si>
    <t>rez</t>
  </si>
  <si>
    <t>Alosp</t>
  </si>
  <si>
    <t>Daday, 1898</t>
  </si>
  <si>
    <t>平直溞属</t>
  </si>
  <si>
    <t>Pleuroxus sp.</t>
  </si>
  <si>
    <t>Plesp1</t>
  </si>
  <si>
    <t>Birge, 1910</t>
  </si>
  <si>
    <t>Sars, 1862</t>
  </si>
  <si>
    <t>盘肠溞属</t>
  </si>
  <si>
    <t>Chydorus sp.</t>
  </si>
  <si>
    <t>pcz</t>
  </si>
  <si>
    <t>Chysp</t>
  </si>
  <si>
    <t>圆囊溞属</t>
  </si>
  <si>
    <t>Podon sp.</t>
  </si>
  <si>
    <t xml:space="preserve">Podon polyphemoides </t>
  </si>
  <si>
    <t xml:space="preserve">Podon schmackeri </t>
  </si>
  <si>
    <t>三角溞属</t>
  </si>
  <si>
    <t>Evadne sp.</t>
  </si>
  <si>
    <t>Evasp</t>
  </si>
  <si>
    <t xml:space="preserve">Evadne nordmanni </t>
  </si>
  <si>
    <t>Lovén</t>
  </si>
  <si>
    <t xml:space="preserve">Evadne tergestina  </t>
  </si>
  <si>
    <t>Claus, 1877</t>
  </si>
  <si>
    <t>佳哲水蚤</t>
  </si>
  <si>
    <t>Calanus jashnovi</t>
  </si>
  <si>
    <t>Calja</t>
  </si>
  <si>
    <t>Huslemann, 1994</t>
  </si>
  <si>
    <t xml:space="preserve">Calanus sinicus  </t>
  </si>
  <si>
    <t>Brodsky, 1962</t>
  </si>
  <si>
    <t>新哲水蚤属</t>
  </si>
  <si>
    <t>Neocalanus sp.</t>
  </si>
  <si>
    <t>Neosp1</t>
  </si>
  <si>
    <t xml:space="preserve">Neocalanus gracilis   </t>
  </si>
  <si>
    <t>(Dana, 1849)</t>
  </si>
  <si>
    <t xml:space="preserve">Neocalanus robustior   </t>
  </si>
  <si>
    <t>(Giesbrecht, 1888)</t>
  </si>
  <si>
    <t>间哲水蚤属</t>
  </si>
  <si>
    <t>Mesocalanus sp.</t>
  </si>
  <si>
    <t>Messp.</t>
  </si>
  <si>
    <t>隆线似哲水蚤</t>
  </si>
  <si>
    <t xml:space="preserve">Calanoides carinatus </t>
  </si>
  <si>
    <t>(Kröyer, 1849)</t>
  </si>
  <si>
    <t xml:space="preserve">Canthocalanus pauper   </t>
  </si>
  <si>
    <t>小哲水蚤属</t>
  </si>
  <si>
    <t>Nannocalanus sp.</t>
  </si>
  <si>
    <t>Nansp</t>
  </si>
  <si>
    <t xml:space="preserve">Nannocalanus minor   </t>
  </si>
  <si>
    <t>(Claus, 1863)</t>
  </si>
  <si>
    <t>波水蚤属</t>
  </si>
  <si>
    <t>Undinula sp.</t>
  </si>
  <si>
    <t>bsz</t>
  </si>
  <si>
    <t>Undsp.</t>
  </si>
  <si>
    <t xml:space="preserve">Undinula vulgaris   </t>
  </si>
  <si>
    <t>筛哲水蚤属</t>
  </si>
  <si>
    <t>Cosmocalanus sp.</t>
  </si>
  <si>
    <t>Cossp</t>
  </si>
  <si>
    <t xml:space="preserve">Cosmocalanus darwinii  </t>
  </si>
  <si>
    <t>(Lubbock, 1860)</t>
  </si>
  <si>
    <t>Eucsp3</t>
  </si>
  <si>
    <t xml:space="preserve">Eucalanus elongatus   </t>
  </si>
  <si>
    <t>伪细真哲水蚤</t>
  </si>
  <si>
    <t xml:space="preserve">Eucalanus pseudattenuatus  </t>
  </si>
  <si>
    <t>Eucps</t>
  </si>
  <si>
    <t>Sewell, 1947</t>
  </si>
  <si>
    <t>锚真哲水蚤属</t>
  </si>
  <si>
    <t>Rhincalanus sp.</t>
  </si>
  <si>
    <t>Rhisp</t>
  </si>
  <si>
    <t xml:space="preserve">Rhincalanus cornutus  </t>
  </si>
  <si>
    <t xml:space="preserve">Rhincalanus nasutus  </t>
  </si>
  <si>
    <t>Giesbrecht, 1888</t>
  </si>
  <si>
    <t xml:space="preserve">Rhincalanus rostrifrons   </t>
  </si>
  <si>
    <t>(Dana, 1852)</t>
  </si>
  <si>
    <t>拟真哲水蚤属</t>
  </si>
  <si>
    <t>Pareucalanus sp.</t>
  </si>
  <si>
    <t>nzz</t>
  </si>
  <si>
    <t>Parsp3</t>
  </si>
  <si>
    <t xml:space="preserve">Pareucalanus attemuatus   </t>
  </si>
  <si>
    <t xml:space="preserve">Subeucalanus crassus   </t>
  </si>
  <si>
    <t>qzz</t>
  </si>
  <si>
    <t>subcr</t>
  </si>
  <si>
    <t xml:space="preserve">(Giesbrecht, 1888) </t>
  </si>
  <si>
    <t xml:space="preserve">Subeucalanus mucronatus   </t>
  </si>
  <si>
    <t>submu</t>
  </si>
  <si>
    <t xml:space="preserve">Subeucalanus pileatus   </t>
  </si>
  <si>
    <t>subpi</t>
  </si>
  <si>
    <t xml:space="preserve">Subeucalanus subcrassus   </t>
  </si>
  <si>
    <t>yqz</t>
  </si>
  <si>
    <t>subsu</t>
  </si>
  <si>
    <t xml:space="preserve">Subeucalanus subtenuis   </t>
  </si>
  <si>
    <t>xez</t>
  </si>
  <si>
    <t>subsut</t>
  </si>
  <si>
    <t xml:space="preserve">Acrocalanus andersoni </t>
  </si>
  <si>
    <t>Bowman, 1958</t>
  </si>
  <si>
    <t xml:space="preserve">Acrocalanus gibber  </t>
  </si>
  <si>
    <t xml:space="preserve">Acrocalanus gracilis  </t>
  </si>
  <si>
    <t xml:space="preserve">Acrocalanus indicus  </t>
  </si>
  <si>
    <t>Wolfenden, 1905</t>
  </si>
  <si>
    <t xml:space="preserve">Acrocalanus longicornis  </t>
  </si>
  <si>
    <t xml:space="preserve">Acrocalanus monachus  </t>
  </si>
  <si>
    <t>矮隆哲水蚤属</t>
  </si>
  <si>
    <t>Bestiolina sp.</t>
  </si>
  <si>
    <t>alz</t>
  </si>
  <si>
    <t>Bessp</t>
  </si>
  <si>
    <t xml:space="preserve">Bestiolina amoyensis </t>
  </si>
  <si>
    <t>Li et Huang, 1984</t>
  </si>
  <si>
    <t xml:space="preserve">Bestiolina sinicus </t>
  </si>
  <si>
    <t>(Shen et Lee, 1966)</t>
  </si>
  <si>
    <t xml:space="preserve">Calocalanus contractus  </t>
  </si>
  <si>
    <t>Calcon</t>
  </si>
  <si>
    <t>Farran, 1926</t>
  </si>
  <si>
    <t xml:space="preserve">Calocalanus gracilis </t>
  </si>
  <si>
    <t xml:space="preserve">Tanaka,1956 </t>
  </si>
  <si>
    <t xml:space="preserve">Calocalanus monospinus </t>
  </si>
  <si>
    <t>Chen et Zhang, 1974</t>
  </si>
  <si>
    <t xml:space="preserve">Calocalanus pavo   </t>
  </si>
  <si>
    <t>Calpav</t>
  </si>
  <si>
    <t xml:space="preserve">Calocalanus pavoninus  </t>
  </si>
  <si>
    <t>Calpavo</t>
  </si>
  <si>
    <t>Farran, 1936</t>
  </si>
  <si>
    <t xml:space="preserve">Calocalanus plumulosus   </t>
  </si>
  <si>
    <t xml:space="preserve">Calocalanus styliremis  </t>
  </si>
  <si>
    <t>桂哲水蚤属</t>
  </si>
  <si>
    <t>Delius sp.</t>
  </si>
  <si>
    <t>gzs</t>
  </si>
  <si>
    <t>Delsp</t>
  </si>
  <si>
    <t>裸桂哲水蚤</t>
  </si>
  <si>
    <t xml:space="preserve">Delius nudus   </t>
  </si>
  <si>
    <t>Delnu</t>
  </si>
  <si>
    <t>(Sewell,1929)</t>
  </si>
  <si>
    <t>Parsp4</t>
  </si>
  <si>
    <t xml:space="preserve">Paracalanus aculeatus  </t>
  </si>
  <si>
    <t xml:space="preserve">Paracalanus gracilis </t>
  </si>
  <si>
    <t>Chen et Zhang, 1965</t>
  </si>
  <si>
    <t xml:space="preserve">Paracalanus nanus  </t>
  </si>
  <si>
    <t xml:space="preserve">Paracalanus parvus   </t>
  </si>
  <si>
    <t>Shen et Lee, 1963</t>
  </si>
  <si>
    <t>孔雀哲水蚤属</t>
  </si>
  <si>
    <t>Parvocalanus sp.</t>
  </si>
  <si>
    <t>kqz</t>
  </si>
  <si>
    <t>Parsp21</t>
  </si>
  <si>
    <t>强额孔雀哲水蚤</t>
  </si>
  <si>
    <t xml:space="preserve">Parvocalanus crassirostris </t>
  </si>
  <si>
    <t xml:space="preserve">(Dahl, 1894) </t>
  </si>
  <si>
    <t>长角哲水蚤属</t>
  </si>
  <si>
    <t>Mecynocera sp.</t>
  </si>
  <si>
    <t>Mecsp</t>
  </si>
  <si>
    <t xml:space="preserve">Mecynocera clausi   </t>
  </si>
  <si>
    <t>Thompson, 1888</t>
  </si>
  <si>
    <t>仿哲水蚤属</t>
  </si>
  <si>
    <t>Mimocalanus sp.</t>
  </si>
  <si>
    <t>fzs</t>
  </si>
  <si>
    <t>Minsp</t>
  </si>
  <si>
    <t>Farran, 1908</t>
  </si>
  <si>
    <t>异足水蚤属</t>
  </si>
  <si>
    <t>Monacilla sp.</t>
  </si>
  <si>
    <t>Monsp.</t>
  </si>
  <si>
    <t xml:space="preserve">Monacilla typicus  </t>
  </si>
  <si>
    <t>Sars, 1905</t>
  </si>
  <si>
    <t>Spisp.</t>
  </si>
  <si>
    <t xml:space="preserve">Spinocalanus angusticeps  </t>
  </si>
  <si>
    <t>Sars, 1920</t>
  </si>
  <si>
    <t>Welfenden, 1911</t>
  </si>
  <si>
    <t>Wolfenden, 1904</t>
  </si>
  <si>
    <t>Park, 1970</t>
  </si>
  <si>
    <t>Spispi</t>
  </si>
  <si>
    <t xml:space="preserve">Clausocalanus arcuicornis   </t>
  </si>
  <si>
    <t xml:space="preserve">Clausocalanus farrani  </t>
  </si>
  <si>
    <t>Sewell, 1929</t>
  </si>
  <si>
    <t xml:space="preserve">Clausocalanus furcatus  </t>
  </si>
  <si>
    <t>(Brady, 1883)</t>
  </si>
  <si>
    <t xml:space="preserve">Clausocalanus laticeps  </t>
  </si>
  <si>
    <t>Farran, 1929</t>
  </si>
  <si>
    <t xml:space="preserve">Clausocalanus minor  </t>
  </si>
  <si>
    <t xml:space="preserve">Clausocalanus pergens  </t>
  </si>
  <si>
    <t>栉哲水蚤属</t>
  </si>
  <si>
    <t>Ctenocalanus sp.</t>
  </si>
  <si>
    <t>Ctesp</t>
  </si>
  <si>
    <t>Farrania frigida</t>
  </si>
  <si>
    <t>Farfr</t>
  </si>
  <si>
    <t>(Wolfenden, 1911)</t>
  </si>
  <si>
    <t>Farrania orba</t>
  </si>
  <si>
    <t>Faror</t>
  </si>
  <si>
    <t>(Tanaka, 1956)</t>
  </si>
  <si>
    <t>鹰嘴水蚤属</t>
  </si>
  <si>
    <t>Aetideus sp.</t>
  </si>
  <si>
    <t>Aetsp</t>
  </si>
  <si>
    <t>尖鹰嘴水蚤</t>
  </si>
  <si>
    <t xml:space="preserve">Aetideus acutus   </t>
  </si>
  <si>
    <t>Aetac</t>
  </si>
  <si>
    <t>(Farran, 1929)</t>
  </si>
  <si>
    <t xml:space="preserve">Aetideus armatus  </t>
  </si>
  <si>
    <t>(Boeck, 1872)</t>
  </si>
  <si>
    <t>纪氏鹰嘴水蚤</t>
  </si>
  <si>
    <t>(Claus, 1904)</t>
  </si>
  <si>
    <t>小袖水蚤属</t>
  </si>
  <si>
    <t>Chiridiella sp.</t>
  </si>
  <si>
    <t>xxs</t>
  </si>
  <si>
    <t>Chisp</t>
  </si>
  <si>
    <t>Sars, 1907</t>
  </si>
  <si>
    <t>波氏小袖水蚤</t>
  </si>
  <si>
    <t>Chiridiella poppei</t>
  </si>
  <si>
    <t>Giesbrecht, 1892</t>
  </si>
  <si>
    <t>Giesbrecht, 1895</t>
  </si>
  <si>
    <t>Eucsp4</t>
  </si>
  <si>
    <t xml:space="preserve">Euchirella amoena  </t>
  </si>
  <si>
    <t xml:space="preserve">Euchirella bella  </t>
  </si>
  <si>
    <t>Eucbit</t>
  </si>
  <si>
    <t>With, 1915</t>
  </si>
  <si>
    <t xml:space="preserve">Euchirella curticauda  </t>
  </si>
  <si>
    <t xml:space="preserve">Euchirella galeata  </t>
  </si>
  <si>
    <t>Eucind</t>
  </si>
  <si>
    <t>Vervoort, 1949</t>
  </si>
  <si>
    <t>Eucmax</t>
  </si>
  <si>
    <t>(Clausl, 1863)</t>
  </si>
  <si>
    <t>(Lubbock, 1856)</t>
  </si>
  <si>
    <t>(Claus, 1866)</t>
  </si>
  <si>
    <t>Park, 1968</t>
  </si>
  <si>
    <t>Esterly, 1906</t>
  </si>
  <si>
    <t xml:space="preserve">Gaetanus miles  </t>
  </si>
  <si>
    <t>Gaemil</t>
  </si>
  <si>
    <t>Gaemin</t>
  </si>
  <si>
    <t>Farran, 1905</t>
  </si>
  <si>
    <t>Farran, 1903</t>
  </si>
  <si>
    <t>盾水蚤属</t>
  </si>
  <si>
    <t>Gaidius sp.</t>
  </si>
  <si>
    <t>Gaisp</t>
  </si>
  <si>
    <t xml:space="preserve">Gaidius pungens  </t>
  </si>
  <si>
    <t>伪胖水蚤属</t>
  </si>
  <si>
    <t>Pseudochirella sp.</t>
  </si>
  <si>
    <t>wps</t>
  </si>
  <si>
    <t>Psesp1</t>
  </si>
  <si>
    <t>(Sars, 1905)</t>
  </si>
  <si>
    <t>波刺水蚤属</t>
  </si>
  <si>
    <t>Undeuchaeta sp.</t>
  </si>
  <si>
    <t>bcs</t>
  </si>
  <si>
    <t>Undsp</t>
  </si>
  <si>
    <t xml:space="preserve">A Scott, 1909 </t>
  </si>
  <si>
    <t xml:space="preserve">Undeuchaeta major  </t>
  </si>
  <si>
    <t>真刺水蚤属</t>
  </si>
  <si>
    <t>Eucsp5</t>
  </si>
  <si>
    <t xml:space="preserve">Euchaeta concinna  </t>
  </si>
  <si>
    <t xml:space="preserve">Euchaeta longicornis  </t>
  </si>
  <si>
    <t xml:space="preserve">Euchaeta plana  </t>
  </si>
  <si>
    <t>Mori, 1937</t>
  </si>
  <si>
    <t xml:space="preserve">Euchaeta acutus  </t>
  </si>
  <si>
    <t>Eucacu</t>
  </si>
  <si>
    <t xml:space="preserve">Euchaeta indica  </t>
  </si>
  <si>
    <t>海洋真刺水蚤</t>
  </si>
  <si>
    <t xml:space="preserve">Euchaeta marina </t>
  </si>
  <si>
    <t>Eucmar</t>
  </si>
  <si>
    <t>(Prestandrea, 1833)</t>
  </si>
  <si>
    <t xml:space="preserve">Euchaeta media  </t>
  </si>
  <si>
    <t>Eucmed</t>
  </si>
  <si>
    <t xml:space="preserve">Euchaeta spinosa  </t>
  </si>
  <si>
    <t>Eucsp6</t>
  </si>
  <si>
    <t xml:space="preserve">Euchaeta tenuis  </t>
  </si>
  <si>
    <t>Parsp5</t>
  </si>
  <si>
    <t xml:space="preserve">Pareuchaeta flava   </t>
  </si>
  <si>
    <t>(Giesbrecht,1888)</t>
  </si>
  <si>
    <t xml:space="preserve">Pareuchaeta malayensis  </t>
  </si>
  <si>
    <t>Parmal</t>
  </si>
  <si>
    <t xml:space="preserve">Pareuchaeta russelli   </t>
  </si>
  <si>
    <t>(Farran, 1936)</t>
  </si>
  <si>
    <t xml:space="preserve">Pareuchaeta scaphula </t>
  </si>
  <si>
    <t xml:space="preserve">A. Scott, 1909 </t>
  </si>
  <si>
    <t>褐水蚤属</t>
  </si>
  <si>
    <t>Phaenna sp.</t>
  </si>
  <si>
    <t>Phaspi</t>
  </si>
  <si>
    <t>Claus, 1863</t>
  </si>
  <si>
    <t>黄水蚤属</t>
  </si>
  <si>
    <t>Xanthocalanus sp.</t>
  </si>
  <si>
    <t>Xansp</t>
  </si>
  <si>
    <t xml:space="preserve">Xanthocalanus agilis  </t>
  </si>
  <si>
    <t>Grice, 1962</t>
  </si>
  <si>
    <t xml:space="preserve">Neoscolecithrix koehleri </t>
  </si>
  <si>
    <t>Neobi</t>
  </si>
  <si>
    <t>Canu, 1896</t>
  </si>
  <si>
    <t>(Wolfenden, 1904)</t>
  </si>
  <si>
    <t>柔壳水蚤属</t>
  </si>
  <si>
    <t>Amallothrix sp.</t>
  </si>
  <si>
    <t>Amasp</t>
  </si>
  <si>
    <t>弓柔壳水蚤</t>
  </si>
  <si>
    <t>Amallothrix arcuata</t>
  </si>
  <si>
    <t>(Sars, 1920)</t>
  </si>
  <si>
    <t>瘦柔壳水蚤</t>
  </si>
  <si>
    <t>Amallothrix gracilis</t>
  </si>
  <si>
    <t>晨首壳壳水蚤</t>
  </si>
  <si>
    <t>Archescolecithrix auropecten</t>
  </si>
  <si>
    <t>(Giesbrecht, 1892)</t>
  </si>
  <si>
    <t>脊水蚤属</t>
  </si>
  <si>
    <t>Lophothrix sp.</t>
  </si>
  <si>
    <t>Lopsp1</t>
  </si>
  <si>
    <t>(T Scott, 1894)</t>
  </si>
  <si>
    <t>麦壳水蚤属</t>
  </si>
  <si>
    <t>Macandrewella sp.</t>
  </si>
  <si>
    <t>mks</t>
  </si>
  <si>
    <t>A Scott, 1909</t>
  </si>
  <si>
    <t xml:space="preserve">Chen, 1987 </t>
  </si>
  <si>
    <t>杂哲水蚤属</t>
  </si>
  <si>
    <t>Mixtocalanus sp.</t>
  </si>
  <si>
    <t>Mixsp</t>
  </si>
  <si>
    <t>变杂哲水蚤</t>
  </si>
  <si>
    <t>Mixtocalanus alter</t>
  </si>
  <si>
    <t>异尾水蚤属</t>
  </si>
  <si>
    <t>Racovitzanus sp.</t>
  </si>
  <si>
    <t>Racsp</t>
  </si>
  <si>
    <t>Tanaka, 1961</t>
  </si>
  <si>
    <t>短角舟哲水蚤</t>
  </si>
  <si>
    <t>Sars, 1900</t>
  </si>
  <si>
    <t>Scamag</t>
  </si>
  <si>
    <t>Scamaj</t>
  </si>
  <si>
    <t>Scosp1</t>
  </si>
  <si>
    <t xml:space="preserve">Scolecithricella abyssalis   </t>
  </si>
  <si>
    <t xml:space="preserve">Scolecithricella dentata   </t>
  </si>
  <si>
    <t xml:space="preserve">Scolecithricella fowleri  </t>
  </si>
  <si>
    <t xml:space="preserve">Scolecithricella longispinosa </t>
  </si>
  <si>
    <t xml:space="preserve">Scolecithricella minor  </t>
  </si>
  <si>
    <t xml:space="preserve">Scolecithricella ovata   </t>
  </si>
  <si>
    <t>(Farran, 1905)</t>
  </si>
  <si>
    <t xml:space="preserve">Scolecithricella tenuiserrata   </t>
  </si>
  <si>
    <t xml:space="preserve">Scolecithricella timida </t>
  </si>
  <si>
    <t>Tanaka, 1962</t>
  </si>
  <si>
    <t xml:space="preserve">Scolecithricella tropica </t>
  </si>
  <si>
    <t xml:space="preserve">Scolecithricella valens  </t>
  </si>
  <si>
    <t xml:space="preserve">Scolecithricella vittata   </t>
  </si>
  <si>
    <t>厚壳水蚤属</t>
  </si>
  <si>
    <t>Scolecithrix sp.</t>
  </si>
  <si>
    <t>Scosp2</t>
  </si>
  <si>
    <t>伯氏厚壳水蚤</t>
  </si>
  <si>
    <t xml:space="preserve">Scolecithrix bradyi   </t>
  </si>
  <si>
    <t>栉厚壳水蚤</t>
  </si>
  <si>
    <t xml:space="preserve">Scolecithrix ctenopus   </t>
  </si>
  <si>
    <t xml:space="preserve">Scolecithrix danae  </t>
  </si>
  <si>
    <t xml:space="preserve">Scolecithrix nicobarica  </t>
  </si>
  <si>
    <t xml:space="preserve">Scottocalanus helenae </t>
  </si>
  <si>
    <t xml:space="preserve">Scottocalanus persecans   </t>
  </si>
  <si>
    <t>(Giesbrecht, 1895)</t>
  </si>
  <si>
    <t>Scosec</t>
  </si>
  <si>
    <t>冠水蚤属</t>
  </si>
  <si>
    <t>Stephos sp.</t>
  </si>
  <si>
    <t>gsz</t>
  </si>
  <si>
    <t>Stesp1</t>
  </si>
  <si>
    <t>真宽水蚤属</t>
  </si>
  <si>
    <t>Eurytemora sp.</t>
  </si>
  <si>
    <t>Eursp</t>
  </si>
  <si>
    <t xml:space="preserve">Eurytemora pacifica </t>
  </si>
  <si>
    <t>Sato, 1913</t>
  </si>
  <si>
    <t>宽水蚤属</t>
  </si>
  <si>
    <t>Temora sp.</t>
  </si>
  <si>
    <t>Temsp.</t>
  </si>
  <si>
    <t xml:space="preserve">Temora discaudata  </t>
  </si>
  <si>
    <t>Giesbrecht, 1889</t>
  </si>
  <si>
    <t xml:space="preserve">Temora stylifera   </t>
  </si>
  <si>
    <t xml:space="preserve">Temora turbinata   </t>
  </si>
  <si>
    <t>拟宽水蚤属</t>
  </si>
  <si>
    <t>Temoropia sp.</t>
  </si>
  <si>
    <t>nks</t>
  </si>
  <si>
    <t>Temsp1</t>
  </si>
  <si>
    <t xml:space="preserve">T Scott, 1894 </t>
  </si>
  <si>
    <t>Metmac</t>
  </si>
  <si>
    <t>Plesp2</t>
  </si>
  <si>
    <t xml:space="preserve">Pleuromamma abdominalis  </t>
  </si>
  <si>
    <t xml:space="preserve">Pleuromamma boraelis </t>
  </si>
  <si>
    <t>(Dahl, 1893)</t>
  </si>
  <si>
    <t xml:space="preserve">Pleuromamma gracilis   </t>
  </si>
  <si>
    <t xml:space="preserve">Pleuromamma robusta </t>
  </si>
  <si>
    <t xml:space="preserve">Pleuromamma xiphias   </t>
  </si>
  <si>
    <t>(Giesbrecht, 1889)</t>
  </si>
  <si>
    <t xml:space="preserve">Centropages abdominalis </t>
  </si>
  <si>
    <t xml:space="preserve">Centropages brevifurcus </t>
  </si>
  <si>
    <t>Shen et lee, 1963</t>
  </si>
  <si>
    <t xml:space="preserve">Centropages calaninus   </t>
  </si>
  <si>
    <t xml:space="preserve">Centropages dorsispinatus   </t>
  </si>
  <si>
    <t>Thompson et Scott, 1903</t>
  </si>
  <si>
    <t xml:space="preserve">Centropages elongatus  </t>
  </si>
  <si>
    <t xml:space="preserve">Centropages furcatus   </t>
  </si>
  <si>
    <t xml:space="preserve">Centropages gracilis   </t>
  </si>
  <si>
    <t xml:space="preserve">Centropages longicornis  </t>
  </si>
  <si>
    <t>Mori, 1932</t>
  </si>
  <si>
    <t xml:space="preserve">Centropages orsinii  </t>
  </si>
  <si>
    <t xml:space="preserve">Centropages sinensis </t>
  </si>
  <si>
    <t xml:space="preserve">Centropages tenuiremis     </t>
  </si>
  <si>
    <t xml:space="preserve">Centropages violaceus   </t>
  </si>
  <si>
    <t xml:space="preserve">Sinocalanus laevidactylus </t>
  </si>
  <si>
    <t>Shen et Tai, 1964</t>
  </si>
  <si>
    <t xml:space="preserve">Sinocalanus sinensis </t>
  </si>
  <si>
    <t>(Poppe, 1895)</t>
  </si>
  <si>
    <t xml:space="preserve">Sinocalanus solstitialis </t>
  </si>
  <si>
    <t>Brehm, 1923</t>
  </si>
  <si>
    <t xml:space="preserve">Sinocalanus tenellus </t>
  </si>
  <si>
    <t>(Kikuchi, 1928)</t>
  </si>
  <si>
    <t>伪镖水蚤属</t>
  </si>
  <si>
    <t>Pseudodiaptomus sp.</t>
  </si>
  <si>
    <t>wbs</t>
  </si>
  <si>
    <t>Psesp2</t>
  </si>
  <si>
    <t>安氏伪镖水蚤</t>
  </si>
  <si>
    <t xml:space="preserve">Pseudodiaptomus annandalei </t>
  </si>
  <si>
    <t>(Kiefer, 1936)</t>
  </si>
  <si>
    <t xml:space="preserve">Pseudodiaptomus forbesi </t>
  </si>
  <si>
    <t>Poppe et Richard, 1890</t>
  </si>
  <si>
    <t xml:space="preserve">Pseudodiaptomus incisus </t>
  </si>
  <si>
    <t>Pseinc</t>
  </si>
  <si>
    <t xml:space="preserve">Pseudodiaptomus inopinus   </t>
  </si>
  <si>
    <t>Burckhardt, 1913</t>
  </si>
  <si>
    <t xml:space="preserve">Pseudodiaptomus marinus </t>
  </si>
  <si>
    <t>hyw</t>
  </si>
  <si>
    <t xml:space="preserve">Pseudodiaptomus poplesia </t>
  </si>
  <si>
    <t>psepo</t>
  </si>
  <si>
    <t>Shen, 1955</t>
  </si>
  <si>
    <t>新镖水蚤属</t>
  </si>
  <si>
    <t>Neodiaptomus sp.</t>
  </si>
  <si>
    <t>Neosp2</t>
  </si>
  <si>
    <t xml:space="preserve">Neodiaptomus yangtsekiangensis </t>
  </si>
  <si>
    <t>Mashiko, 1951</t>
  </si>
  <si>
    <t>蒙镖水蚤属</t>
  </si>
  <si>
    <t>Mongolodiaptomus sp.</t>
  </si>
  <si>
    <t>mbs</t>
  </si>
  <si>
    <t>Monsp1</t>
  </si>
  <si>
    <t>(Rylov, 1923)</t>
  </si>
  <si>
    <t>近镖水蚤属</t>
  </si>
  <si>
    <t>Tropodiaptomus sp.</t>
  </si>
  <si>
    <t>jbs</t>
  </si>
  <si>
    <t>Trosp</t>
  </si>
  <si>
    <t>Kiefer, 1937</t>
  </si>
  <si>
    <t xml:space="preserve">Lucicutia bicornis  </t>
  </si>
  <si>
    <t xml:space="preserve">Lucicutia clausi   </t>
  </si>
  <si>
    <t xml:space="preserve">Lucicutia curta   </t>
  </si>
  <si>
    <t xml:space="preserve">Lucicutia flavicornis   </t>
  </si>
  <si>
    <t xml:space="preserve">Lucicutia gemina   </t>
  </si>
  <si>
    <t xml:space="preserve">Lucicutia longiserrata   </t>
  </si>
  <si>
    <t xml:space="preserve">Lucicutia magna  </t>
  </si>
  <si>
    <t>Lucmag</t>
  </si>
  <si>
    <t xml:space="preserve">Lucicutia maxima </t>
  </si>
  <si>
    <t>Steuer, 1904</t>
  </si>
  <si>
    <t xml:space="preserve">Lucicutia ovalis   </t>
  </si>
  <si>
    <t>lucov</t>
  </si>
  <si>
    <t xml:space="preserve">Lucicutia tenuicauda  </t>
  </si>
  <si>
    <t xml:space="preserve">Lucicutia wolfendeni </t>
  </si>
  <si>
    <t>Tanaka, 1932</t>
  </si>
  <si>
    <t xml:space="preserve">Disseta palumbii  </t>
  </si>
  <si>
    <t>异刺水蚤属</t>
  </si>
  <si>
    <t>Hetsp5</t>
  </si>
  <si>
    <t xml:space="preserve">Heterorhabdus abyssalis   </t>
  </si>
  <si>
    <t xml:space="preserve">Heterorhabdus clausi   </t>
  </si>
  <si>
    <t xml:space="preserve">Heterorhabdus papilliger   </t>
  </si>
  <si>
    <t xml:space="preserve">Heterorhabdus spinifrons   </t>
  </si>
  <si>
    <t>Hetspi</t>
  </si>
  <si>
    <t>异针水蚤属</t>
  </si>
  <si>
    <t>Heterostylites sp.</t>
  </si>
  <si>
    <t>Hetsp6</t>
  </si>
  <si>
    <t>长角异针水蚤</t>
  </si>
  <si>
    <t xml:space="preserve">Heterostylites longicornis   </t>
  </si>
  <si>
    <t>半肢水蚤属</t>
  </si>
  <si>
    <t>Mesorhabdus sp.</t>
  </si>
  <si>
    <t>bzs</t>
  </si>
  <si>
    <t>Messp1</t>
  </si>
  <si>
    <t>拟异肢水蚤属</t>
  </si>
  <si>
    <t>Paraheterorhabdus sp.</t>
  </si>
  <si>
    <t>nyz</t>
  </si>
  <si>
    <t>Parsp6</t>
  </si>
  <si>
    <t>密拟异肢水蚤</t>
  </si>
  <si>
    <t>Paraheterorhabdus compactus</t>
  </si>
  <si>
    <t>parcom</t>
  </si>
  <si>
    <t>蛇拟异肢水蚤</t>
  </si>
  <si>
    <t xml:space="preserve">Paraheterorhabdus vipera   </t>
  </si>
  <si>
    <t xml:space="preserve">Augaptilus longicaudatus   </t>
  </si>
  <si>
    <t xml:space="preserve">Augaptilus megalurus  </t>
  </si>
  <si>
    <t xml:space="preserve">Augaptilus spinifrons  </t>
  </si>
  <si>
    <t xml:space="preserve">Euaugaptilus affinis  </t>
  </si>
  <si>
    <t>(Farran, 1908)</t>
  </si>
  <si>
    <t xml:space="preserve">Euaugaptilus filigerus   </t>
  </si>
  <si>
    <t>(Sars, 1907)</t>
  </si>
  <si>
    <t>Halsp6</t>
  </si>
  <si>
    <t>Grice, 1959</t>
  </si>
  <si>
    <t>Hallon</t>
  </si>
  <si>
    <t>Brodsky, 1950</t>
  </si>
  <si>
    <t xml:space="preserve">Haloptilus longicornis   </t>
  </si>
  <si>
    <t xml:space="preserve">Haloptilus mucronatus   </t>
  </si>
  <si>
    <t>(Claus, 1893)</t>
  </si>
  <si>
    <t>Halsp7</t>
  </si>
  <si>
    <t>伪亮羽水蚤属</t>
  </si>
  <si>
    <t>Pseudaugaptilus sp</t>
  </si>
  <si>
    <t>wly</t>
  </si>
  <si>
    <t>Psesp3</t>
  </si>
  <si>
    <t>Tanaka, 1964</t>
  </si>
  <si>
    <t>尖头水蚤属</t>
  </si>
  <si>
    <t>Arietellus sp.</t>
  </si>
  <si>
    <t>Arisp</t>
  </si>
  <si>
    <t xml:space="preserve">Metacalanus aurivillii </t>
  </si>
  <si>
    <t>Cleve, 1901</t>
  </si>
  <si>
    <t>拟亮羽水蚤属</t>
  </si>
  <si>
    <t>Paraugaptilus sp.</t>
  </si>
  <si>
    <t>nly</t>
  </si>
  <si>
    <t>Parsp18</t>
  </si>
  <si>
    <t>Brady, 1883</t>
  </si>
  <si>
    <t>平头水蚤属</t>
  </si>
  <si>
    <t>pts</t>
  </si>
  <si>
    <t>Cansp</t>
  </si>
  <si>
    <t xml:space="preserve">Candacia aethiopica   </t>
  </si>
  <si>
    <t>hbp</t>
  </si>
  <si>
    <t>Canae</t>
  </si>
  <si>
    <t xml:space="preserve">Candacia bipinnata   </t>
  </si>
  <si>
    <t>syp</t>
  </si>
  <si>
    <t>Canbi</t>
  </si>
  <si>
    <t xml:space="preserve">Candacia bradyi </t>
  </si>
  <si>
    <t>bsp</t>
  </si>
  <si>
    <t>A Scott, 1902</t>
  </si>
  <si>
    <t xml:space="preserve">Candacia catula   </t>
  </si>
  <si>
    <t xml:space="preserve">Candacia columbiae </t>
  </si>
  <si>
    <t>glp</t>
  </si>
  <si>
    <t>Campbell, 1929</t>
  </si>
  <si>
    <t xml:space="preserve">Candacia curta   </t>
  </si>
  <si>
    <t xml:space="preserve">Candacia discaudata </t>
  </si>
  <si>
    <t>ywp</t>
  </si>
  <si>
    <t xml:space="preserve">Candacia guggenheimi </t>
  </si>
  <si>
    <t>etp</t>
  </si>
  <si>
    <t>Grice et Jones, 1960</t>
  </si>
  <si>
    <t xml:space="preserve">Candacia longimana   </t>
  </si>
  <si>
    <t>ctp</t>
  </si>
  <si>
    <t xml:space="preserve">Candacia pachydactyla   </t>
  </si>
  <si>
    <t>hzp</t>
  </si>
  <si>
    <t xml:space="preserve">Candacia tenuimana   </t>
  </si>
  <si>
    <t xml:space="preserve">Candacia varicans   </t>
  </si>
  <si>
    <t>ftp</t>
  </si>
  <si>
    <t>拟平头水蚤属</t>
  </si>
  <si>
    <t>Paracandacia sp.</t>
  </si>
  <si>
    <t>npt</t>
  </si>
  <si>
    <t>Parsp22</t>
  </si>
  <si>
    <t xml:space="preserve">Paracandacia bispinosa   </t>
  </si>
  <si>
    <t xml:space="preserve">Paracandacia simplex   </t>
  </si>
  <si>
    <t xml:space="preserve">Candacia truncata   </t>
  </si>
  <si>
    <t xml:space="preserve">Calanopia elliptica   </t>
  </si>
  <si>
    <t>txc</t>
  </si>
  <si>
    <t>(Dana, 1846)</t>
  </si>
  <si>
    <t xml:space="preserve">Calanopia minor  </t>
  </si>
  <si>
    <t xml:space="preserve">A Scott, 1902 </t>
  </si>
  <si>
    <t xml:space="preserve">Calanopia thompsoni  </t>
  </si>
  <si>
    <t>tsc</t>
  </si>
  <si>
    <t xml:space="preserve">Labidocera acuta   </t>
  </si>
  <si>
    <t xml:space="preserve">Labidocera acutifrons   </t>
  </si>
  <si>
    <t xml:space="preserve">Labidocera bipinnata </t>
  </si>
  <si>
    <t>Tanaka, 1936</t>
  </si>
  <si>
    <t xml:space="preserve">Labidocera detruncata   </t>
  </si>
  <si>
    <t xml:space="preserve">Labidocera euchaeta  </t>
  </si>
  <si>
    <t xml:space="preserve">Labidocera kroyeri  </t>
  </si>
  <si>
    <t xml:space="preserve">Labidocera laevidentata  </t>
  </si>
  <si>
    <t xml:space="preserve">Labidocera minuta  </t>
  </si>
  <si>
    <t xml:space="preserve">Labidocera pavo  </t>
  </si>
  <si>
    <t>角水蚤属</t>
  </si>
  <si>
    <t xml:space="preserve">Pontella chierchiae  </t>
  </si>
  <si>
    <t xml:space="preserve">Pontella danae  </t>
  </si>
  <si>
    <t xml:space="preserve">Pontella denticauda   </t>
  </si>
  <si>
    <t xml:space="preserve">Pontella fera  </t>
  </si>
  <si>
    <t xml:space="preserve">Pontella kieferi </t>
  </si>
  <si>
    <t>Pesta, 1933</t>
  </si>
  <si>
    <t xml:space="preserve">Pontella latifurca </t>
  </si>
  <si>
    <t>Ponlat</t>
  </si>
  <si>
    <t xml:space="preserve">Pontella princeps  </t>
  </si>
  <si>
    <t xml:space="preserve">Pontella securifer   </t>
  </si>
  <si>
    <t xml:space="preserve">Pontella sinica </t>
  </si>
  <si>
    <t xml:space="preserve">Pontella spinicauda  </t>
  </si>
  <si>
    <t>Ponspi</t>
  </si>
  <si>
    <t xml:space="preserve">Pontella tridactyla </t>
  </si>
  <si>
    <t>小角水蚤属</t>
  </si>
  <si>
    <t>Pontellina sp.</t>
  </si>
  <si>
    <t>Ponsp1</t>
  </si>
  <si>
    <t xml:space="preserve">Pontellina plumata  </t>
  </si>
  <si>
    <t>Ponsp2</t>
  </si>
  <si>
    <t xml:space="preserve">Pontellopsis armatus   </t>
  </si>
  <si>
    <t xml:space="preserve">Pontellopsis inflatodigitata </t>
  </si>
  <si>
    <t>Chen et Shen, 1974</t>
  </si>
  <si>
    <t xml:space="preserve">Pontellopsis kraemeri   </t>
  </si>
  <si>
    <t>(Giesbrecht, 1896)</t>
  </si>
  <si>
    <t xml:space="preserve">Pontellopsis macronyx  </t>
  </si>
  <si>
    <t xml:space="preserve">Pontellopsis regalis   </t>
  </si>
  <si>
    <t xml:space="preserve">Pontellopsis strenua   </t>
  </si>
  <si>
    <t xml:space="preserve">Pontellopsis tenuicauda   </t>
  </si>
  <si>
    <t xml:space="preserve">Pontellopsis villosa   </t>
  </si>
  <si>
    <t xml:space="preserve">Pontellopsis yamadae  </t>
  </si>
  <si>
    <t>Temorites sp.</t>
  </si>
  <si>
    <t>Temsp</t>
  </si>
  <si>
    <t>短小深角水蚤</t>
  </si>
  <si>
    <t xml:space="preserve">Temorites longicornis </t>
  </si>
  <si>
    <t>Temlo</t>
  </si>
  <si>
    <t>(Tanaka, 1965)</t>
  </si>
  <si>
    <t xml:space="preserve">Temorites minor </t>
  </si>
  <si>
    <t>Temmi</t>
  </si>
  <si>
    <t>(Welfenden, 1906)</t>
  </si>
  <si>
    <t>Temorites similis</t>
  </si>
  <si>
    <t>Temsi</t>
  </si>
  <si>
    <t xml:space="preserve">Temorites spinifera </t>
  </si>
  <si>
    <t>Temspi</t>
  </si>
  <si>
    <t>(A Scott, 1909)</t>
  </si>
  <si>
    <t xml:space="preserve">Acartia clausi  </t>
  </si>
  <si>
    <t xml:space="preserve">Acartia danae  </t>
  </si>
  <si>
    <t xml:space="preserve">Acartia erythraea  </t>
  </si>
  <si>
    <t xml:space="preserve">Acartia hamata  </t>
  </si>
  <si>
    <t>纺锤水蚤</t>
  </si>
  <si>
    <t>Acartia hongi</t>
  </si>
  <si>
    <t>Soh &amp; Suh, 2000</t>
  </si>
  <si>
    <t xml:space="preserve">Acartia negligens  </t>
  </si>
  <si>
    <t xml:space="preserve">Acartia pacifica </t>
  </si>
  <si>
    <t>Steuer, 1915</t>
  </si>
  <si>
    <t xml:space="preserve">Acartia southwelli  </t>
  </si>
  <si>
    <t>Sewell, 1914</t>
  </si>
  <si>
    <t xml:space="preserve">Acartia spinicauda  </t>
  </si>
  <si>
    <t>Acaspi</t>
  </si>
  <si>
    <t xml:space="preserve">Acartiella sinensis </t>
  </si>
  <si>
    <t>zhf</t>
  </si>
  <si>
    <t>Shen et Lee,  1963</t>
  </si>
  <si>
    <t xml:space="preserve">Tortanus barbatus  </t>
  </si>
  <si>
    <t xml:space="preserve">Tortanus derjugini </t>
  </si>
  <si>
    <t>Smironov, 1935</t>
  </si>
  <si>
    <t xml:space="preserve">Tortanus dextrilobatus </t>
  </si>
  <si>
    <t>Tordex</t>
  </si>
  <si>
    <t xml:space="preserve">Tortanus forcipatus   </t>
  </si>
  <si>
    <t xml:space="preserve">Tortanus gracilis  </t>
  </si>
  <si>
    <t xml:space="preserve">Tortanus murrayi  </t>
  </si>
  <si>
    <t xml:space="preserve">Tortanus scaphus </t>
  </si>
  <si>
    <t>Bowman, 1971</t>
  </si>
  <si>
    <t>沈氏歪水蚤</t>
  </si>
  <si>
    <t xml:space="preserve">Tortanus sheni </t>
  </si>
  <si>
    <t>Torsh</t>
  </si>
  <si>
    <t xml:space="preserve">Hulsemann, 1988 </t>
  </si>
  <si>
    <t xml:space="preserve">Tortanus sinicus </t>
  </si>
  <si>
    <t>Chen, 1983</t>
  </si>
  <si>
    <t xml:space="preserve">Tortanus spinicaudatus </t>
  </si>
  <si>
    <t>Torspi</t>
  </si>
  <si>
    <t>Shen et Bai, 1956</t>
  </si>
  <si>
    <t xml:space="preserve">Tortanus vermiculus </t>
  </si>
  <si>
    <t xml:space="preserve">Oithona attenuata   </t>
  </si>
  <si>
    <t>Farran, 1913</t>
  </si>
  <si>
    <t xml:space="preserve">Oithona brevicornis  </t>
  </si>
  <si>
    <t>Giesbrecht, 1891</t>
  </si>
  <si>
    <t xml:space="preserve">Oithona decipiens   </t>
  </si>
  <si>
    <t xml:space="preserve">Oithona fallax   </t>
  </si>
  <si>
    <t xml:space="preserve">Oithona longispina </t>
  </si>
  <si>
    <t xml:space="preserve">Oithona nana  </t>
  </si>
  <si>
    <t xml:space="preserve">Oithona plumifera </t>
  </si>
  <si>
    <t>Baird, 1843</t>
  </si>
  <si>
    <t>坚长腹剑水蚤</t>
  </si>
  <si>
    <t xml:space="preserve">Oithona rigida  </t>
  </si>
  <si>
    <t>Oitri</t>
  </si>
  <si>
    <t>Giesbrecht, 1896</t>
  </si>
  <si>
    <t xml:space="preserve">Oithona robusta  </t>
  </si>
  <si>
    <t xml:space="preserve">Oithona setigera  </t>
  </si>
  <si>
    <t xml:space="preserve">Oithona similis  </t>
  </si>
  <si>
    <t>Claus, 1866</t>
  </si>
  <si>
    <t xml:space="preserve">Oithona simplex   </t>
  </si>
  <si>
    <t xml:space="preserve">Oithona tenuis </t>
  </si>
  <si>
    <t>Rosendorn, 1917</t>
  </si>
  <si>
    <t xml:space="preserve">Oithona vivida   </t>
  </si>
  <si>
    <t xml:space="preserve">Cyclopina heterospina </t>
  </si>
  <si>
    <t>中剑水蚤属</t>
  </si>
  <si>
    <t>Mesocyclops sp.</t>
  </si>
  <si>
    <t>zjs</t>
  </si>
  <si>
    <t>Messp</t>
  </si>
  <si>
    <t xml:space="preserve">Mesocyclops leuckarti   </t>
  </si>
  <si>
    <t>Mesle</t>
  </si>
  <si>
    <t>(Claus, 1857)</t>
  </si>
  <si>
    <t>咸水剑水蚤属</t>
  </si>
  <si>
    <t>Halicyclops sp.</t>
  </si>
  <si>
    <t>Halsp8</t>
  </si>
  <si>
    <t xml:space="preserve">Halicyclops sinensis </t>
  </si>
  <si>
    <t>Kiefer, 1913</t>
  </si>
  <si>
    <t>猛水蚤属</t>
  </si>
  <si>
    <t xml:space="preserve">Longipedia scotti   </t>
  </si>
  <si>
    <t xml:space="preserve">Longipedia weberi   </t>
  </si>
  <si>
    <t>小毛猛水蚤属</t>
  </si>
  <si>
    <t>Microsetella sp.</t>
  </si>
  <si>
    <t>xmm</t>
  </si>
  <si>
    <t>Micsp.</t>
  </si>
  <si>
    <t xml:space="preserve">Microsetella norvegica  </t>
  </si>
  <si>
    <t>(Boeck, 1846)</t>
  </si>
  <si>
    <t xml:space="preserve">Microsetella rosea   </t>
  </si>
  <si>
    <t>(Dana, 1847)</t>
  </si>
  <si>
    <t>毛猛水蚤属</t>
  </si>
  <si>
    <t>Setella sp.</t>
  </si>
  <si>
    <t>mms</t>
  </si>
  <si>
    <t xml:space="preserve">Setella gracilis  </t>
  </si>
  <si>
    <t>Setgr</t>
  </si>
  <si>
    <t>Dana, 1847</t>
  </si>
  <si>
    <t>谐猛水蚤属</t>
  </si>
  <si>
    <t>Euterpina sp.</t>
  </si>
  <si>
    <t xml:space="preserve">Euterpina acutifrons   </t>
  </si>
  <si>
    <t xml:space="preserve">Danielssenia typica   </t>
  </si>
  <si>
    <t xml:space="preserve">Clytemnestra rostrata  </t>
  </si>
  <si>
    <t>小盘盔头猛水蚤</t>
  </si>
  <si>
    <t xml:space="preserve">Clytemnestra scutellata  </t>
  </si>
  <si>
    <t xml:space="preserve">Aegisthus aculeatus  </t>
  </si>
  <si>
    <t xml:space="preserve">Aegisthus mucronatus  </t>
  </si>
  <si>
    <t xml:space="preserve">Peltidium falcatum  </t>
  </si>
  <si>
    <t xml:space="preserve">Eupelte acutispinis </t>
  </si>
  <si>
    <t>Zhang et Li, 1976</t>
  </si>
  <si>
    <t xml:space="preserve">Altentha interrupta </t>
  </si>
  <si>
    <t>(Goodsir, 1845)</t>
  </si>
  <si>
    <t xml:space="preserve">Porcellidium acuticaudatum  </t>
  </si>
  <si>
    <t xml:space="preserve">Harpacticus uniremis </t>
  </si>
  <si>
    <t>Kröyer</t>
  </si>
  <si>
    <t xml:space="preserve">Lourinia armata  </t>
  </si>
  <si>
    <t xml:space="preserve">Esola longicauda   </t>
  </si>
  <si>
    <t xml:space="preserve">Paralaophonte congenera   </t>
  </si>
  <si>
    <t>Parcon</t>
  </si>
  <si>
    <t xml:space="preserve">Onychocampus mirabilis </t>
  </si>
  <si>
    <t xml:space="preserve">Laophontodes himatus   </t>
  </si>
  <si>
    <t xml:space="preserve">Dactylopodia tisboides   </t>
  </si>
  <si>
    <t xml:space="preserve">Rhynchothalestris rufocincta </t>
  </si>
  <si>
    <t xml:space="preserve">Microthalestris forficula   </t>
  </si>
  <si>
    <t xml:space="preserve">Parastenhelia spinosa littoralis   </t>
  </si>
  <si>
    <t>Parsp7</t>
  </si>
  <si>
    <t xml:space="preserve">Amphiascella subdebilis </t>
  </si>
  <si>
    <t xml:space="preserve">Amphiascopsis havelocki    </t>
  </si>
  <si>
    <t xml:space="preserve">Metamphiascopsis hirsutus bermudae </t>
  </si>
  <si>
    <t xml:space="preserve">Ameira longipe   </t>
  </si>
  <si>
    <t xml:space="preserve">Parameira pendula </t>
  </si>
  <si>
    <t xml:space="preserve">Pseudamira brevifurca </t>
  </si>
  <si>
    <t>Psebre</t>
  </si>
  <si>
    <t xml:space="preserve">Phyllopodopsyllus furciger  </t>
  </si>
  <si>
    <t>梭剑水蚤属</t>
  </si>
  <si>
    <t>Lubbockia sp.</t>
  </si>
  <si>
    <t>Lubsp</t>
  </si>
  <si>
    <t xml:space="preserve">Lubbockia aculeata  </t>
  </si>
  <si>
    <t xml:space="preserve">Lubbockia marukawai  </t>
  </si>
  <si>
    <t xml:space="preserve">Lubbockia squillimana  </t>
  </si>
  <si>
    <t xml:space="preserve">Oncaea clevei </t>
  </si>
  <si>
    <t>Früchtl, 1923</t>
  </si>
  <si>
    <t>角突隆剑水蚤</t>
  </si>
  <si>
    <t xml:space="preserve">Oncaea conifera  </t>
  </si>
  <si>
    <t>Oncco</t>
  </si>
  <si>
    <t>齿隆剑水蚤</t>
  </si>
  <si>
    <t xml:space="preserve">Oncaea dentipes  </t>
  </si>
  <si>
    <t>Oncde</t>
  </si>
  <si>
    <t xml:space="preserve">Oncaea media  </t>
  </si>
  <si>
    <t xml:space="preserve">Oncaea mediterranea   </t>
  </si>
  <si>
    <t>Oncmed</t>
  </si>
  <si>
    <t xml:space="preserve">Oncaea minuta  </t>
  </si>
  <si>
    <t xml:space="preserve">Oncaea ornata  </t>
  </si>
  <si>
    <t xml:space="preserve">Oncaea similis  </t>
  </si>
  <si>
    <t>Sars, 1918</t>
  </si>
  <si>
    <t xml:space="preserve">Oncaea venusta </t>
  </si>
  <si>
    <t>Phillippi, 1843</t>
  </si>
  <si>
    <t xml:space="preserve">Pachysoma dentatum  </t>
  </si>
  <si>
    <t xml:space="preserve">Pachysoma punctatum  </t>
  </si>
  <si>
    <t xml:space="preserve">Sapphirina angusta  </t>
  </si>
  <si>
    <t xml:space="preserve">Sapphirina auronitens  </t>
  </si>
  <si>
    <t xml:space="preserve">Sapphirina bicuspidata  </t>
  </si>
  <si>
    <t xml:space="preserve">Sapphirina darwinii  </t>
  </si>
  <si>
    <t>Haeckel, 1864</t>
  </si>
  <si>
    <t xml:space="preserve">Sapphirina gastrica  </t>
  </si>
  <si>
    <t xml:space="preserve">Sapphirina gemma  </t>
  </si>
  <si>
    <t xml:space="preserve">Sapphirina intestinata  </t>
  </si>
  <si>
    <t xml:space="preserve">Sapphirina iris  </t>
  </si>
  <si>
    <t xml:space="preserve">Sapphirina lactens  </t>
  </si>
  <si>
    <t xml:space="preserve">Sapphirina maculosa  </t>
  </si>
  <si>
    <t xml:space="preserve">Sapphirina metallina  </t>
  </si>
  <si>
    <t xml:space="preserve">Sapphirina nigromaculata  </t>
  </si>
  <si>
    <t xml:space="preserve">Sapphirina opalina  </t>
  </si>
  <si>
    <t xml:space="preserve">Sapphirina ovatolanceolata  </t>
  </si>
  <si>
    <t xml:space="preserve">Sapphirina scarlata  </t>
  </si>
  <si>
    <t xml:space="preserve">Sapphirina sinuicauda   </t>
  </si>
  <si>
    <t xml:space="preserve">Sapphirina stellata  </t>
  </si>
  <si>
    <t xml:space="preserve">Corina granulosa  </t>
  </si>
  <si>
    <t xml:space="preserve">Copilia lata  </t>
  </si>
  <si>
    <t>Coplat</t>
  </si>
  <si>
    <t xml:space="preserve">Copilia longistylis  </t>
  </si>
  <si>
    <t>Mori, 1832</t>
  </si>
  <si>
    <t xml:space="preserve">Copilia mirabilis  </t>
  </si>
  <si>
    <t xml:space="preserve">Copilia quadrata  </t>
  </si>
  <si>
    <t>Dana, 1852</t>
  </si>
  <si>
    <t xml:space="preserve">Copilia recta  </t>
  </si>
  <si>
    <t xml:space="preserve">Copilia vitrea  </t>
  </si>
  <si>
    <t xml:space="preserve">Carycaeus japonicus  </t>
  </si>
  <si>
    <t xml:space="preserve">Corycaeus affinis  </t>
  </si>
  <si>
    <t>Mcmurrichi, 1916</t>
  </si>
  <si>
    <t xml:space="preserve">Corycaeus agilis  </t>
  </si>
  <si>
    <t xml:space="preserve">Corycaeus andrewsi   </t>
  </si>
  <si>
    <t>Farran, 1911</t>
  </si>
  <si>
    <t xml:space="preserve">Corycaeus asiatius   </t>
  </si>
  <si>
    <t>F. dahl, 1894</t>
  </si>
  <si>
    <t xml:space="preserve">Corycaeus calaninus   </t>
  </si>
  <si>
    <t>Corcal</t>
  </si>
  <si>
    <t xml:space="preserve">Corycaeus carinata  </t>
  </si>
  <si>
    <t>Corcar</t>
  </si>
  <si>
    <t xml:space="preserve">Corycaeus catus   </t>
  </si>
  <si>
    <t>lqd</t>
  </si>
  <si>
    <t xml:space="preserve">Corycaeus clausi   </t>
  </si>
  <si>
    <t xml:space="preserve">Corycaeus crassiusculus  </t>
  </si>
  <si>
    <t>wpd</t>
  </si>
  <si>
    <t xml:space="preserve">Corycaeus dahli </t>
  </si>
  <si>
    <t>Tanaka, 1957</t>
  </si>
  <si>
    <t xml:space="preserve">Corycaeus erythraeus </t>
  </si>
  <si>
    <t xml:space="preserve">Corycaeus flaccus  </t>
  </si>
  <si>
    <t xml:space="preserve">Corycaeus furcifer  </t>
  </si>
  <si>
    <t xml:space="preserve">Corycaeus giesbrechti   </t>
  </si>
  <si>
    <t xml:space="preserve">Corycaeus lautus  </t>
  </si>
  <si>
    <t xml:space="preserve">Corycaeus limbatus   </t>
  </si>
  <si>
    <t xml:space="preserve">Corycaeus longicaudis  </t>
  </si>
  <si>
    <t xml:space="preserve">Corycaeus longisylis  </t>
  </si>
  <si>
    <t>Corlon</t>
  </si>
  <si>
    <t xml:space="preserve">Corycaeus lubbocki  </t>
  </si>
  <si>
    <t xml:space="preserve">Corycaeus ovalis  </t>
  </si>
  <si>
    <t xml:space="preserve">Corycaeus pacificus   </t>
  </si>
  <si>
    <t>F. dahl, 1912</t>
  </si>
  <si>
    <t xml:space="preserve">Corycaeus pumilus </t>
  </si>
  <si>
    <t>M. dahl, 1912</t>
  </si>
  <si>
    <t xml:space="preserve">Corycaeus robustus  </t>
  </si>
  <si>
    <t xml:space="preserve">Corycaeus speciosus  </t>
  </si>
  <si>
    <t>Corspe</t>
  </si>
  <si>
    <t xml:space="preserve">Corycaeus subtilis </t>
  </si>
  <si>
    <t xml:space="preserve">Corycaeus typicus </t>
  </si>
  <si>
    <t>Kroyer, 1849</t>
  </si>
  <si>
    <t xml:space="preserve">Corycaeus viretus  </t>
  </si>
  <si>
    <t>怪水蚤属</t>
  </si>
  <si>
    <t>Monstrilloida sp.</t>
  </si>
  <si>
    <t>Monsp2</t>
  </si>
  <si>
    <t xml:space="preserve">Monstrilla grandis  </t>
  </si>
  <si>
    <t>异水蚤属</t>
  </si>
  <si>
    <t>Misophrioida sp.</t>
  </si>
  <si>
    <t>Missp</t>
  </si>
  <si>
    <t>深海剑水蚤</t>
  </si>
  <si>
    <t>shj</t>
  </si>
  <si>
    <t>新哲水蚤幼体</t>
  </si>
  <si>
    <t>Noecalanus larvae</t>
  </si>
  <si>
    <t>Neola</t>
  </si>
  <si>
    <t>简角水蚤幼体</t>
  </si>
  <si>
    <t>Pontellopsis larvae</t>
  </si>
  <si>
    <t>剑水蚤幼体</t>
  </si>
  <si>
    <t>Mimocorycella larvae</t>
  </si>
  <si>
    <t>Mimsp</t>
  </si>
  <si>
    <t>婆罗异剑水蚤</t>
  </si>
  <si>
    <t>Apocyclops borneoensis</t>
  </si>
  <si>
    <t>ply</t>
  </si>
  <si>
    <t>apobo</t>
  </si>
  <si>
    <t>剑水蚤桡足幼体</t>
  </si>
  <si>
    <t>Cyclopoida copepodite</t>
  </si>
  <si>
    <t>Cycco</t>
  </si>
  <si>
    <t>纺锤水蚤桡足幼体</t>
  </si>
  <si>
    <t>Acartia copepodite</t>
  </si>
  <si>
    <t>Acaco</t>
  </si>
  <si>
    <t>唇角水蚤桡足幼体</t>
  </si>
  <si>
    <t>Labidocera copepodite</t>
  </si>
  <si>
    <t>Labco</t>
  </si>
  <si>
    <t>鲺</t>
  </si>
  <si>
    <t>Arguloida</t>
  </si>
  <si>
    <t>Arg</t>
  </si>
  <si>
    <t>双囊猛水蚤科</t>
  </si>
  <si>
    <t>Diosaccidae sp.</t>
  </si>
  <si>
    <t>snm</t>
  </si>
  <si>
    <t>Diosp</t>
  </si>
  <si>
    <t>捷氏灵巧猛水蚤</t>
  </si>
  <si>
    <t>Metis jusseaumei</t>
  </si>
  <si>
    <t>lqm</t>
  </si>
  <si>
    <t>Metju</t>
  </si>
  <si>
    <t>歪水蚤属桡足幼体</t>
  </si>
  <si>
    <t>Tortanus copepodite</t>
  </si>
  <si>
    <t>torco</t>
  </si>
  <si>
    <t>矮小拟镖剑水蚤</t>
  </si>
  <si>
    <t>Paracyclopina nana</t>
  </si>
  <si>
    <t>axn</t>
  </si>
  <si>
    <t>parnan</t>
  </si>
  <si>
    <t>胸刺水蚤幼体</t>
  </si>
  <si>
    <t>Centropages copepodite</t>
  </si>
  <si>
    <t>cenco</t>
  </si>
  <si>
    <t>异剑水蚤属</t>
  </si>
  <si>
    <t>Apocyclops sp.</t>
  </si>
  <si>
    <t>aposp</t>
  </si>
  <si>
    <t>Apocyclops royi</t>
  </si>
  <si>
    <t>舌状叶镖水蚤</t>
  </si>
  <si>
    <t>Phyllodiaptomus tunguidus</t>
  </si>
  <si>
    <t>phytu</t>
  </si>
  <si>
    <t>窄腹剑水蚤</t>
  </si>
  <si>
    <t xml:space="preserve">Limnoithona sinensis  </t>
  </si>
  <si>
    <t>zfj</t>
  </si>
  <si>
    <t>limsi</t>
  </si>
  <si>
    <t>(Burckhardt,1912)</t>
  </si>
  <si>
    <t>拟真哲水蚤</t>
  </si>
  <si>
    <t>Pareucalanus sewelli</t>
  </si>
  <si>
    <t>Eucse</t>
  </si>
  <si>
    <t>细角间哲水蚤</t>
  </si>
  <si>
    <t xml:space="preserve">Mesocalanus tenuicornis   </t>
  </si>
  <si>
    <t>xjj</t>
  </si>
  <si>
    <t>meste</t>
  </si>
  <si>
    <t>(Dana,1849)</t>
  </si>
  <si>
    <t>异长腹剑水蚤</t>
  </si>
  <si>
    <t xml:space="preserve">Oithona dissimilis   </t>
  </si>
  <si>
    <t>oitdi</t>
  </si>
  <si>
    <t>Lingberg,1940</t>
  </si>
  <si>
    <t>掌刺梭水蚤</t>
  </si>
  <si>
    <t>lubsq</t>
  </si>
  <si>
    <t>Claus,1863</t>
  </si>
  <si>
    <t xml:space="preserve">Ratania flava  </t>
  </si>
  <si>
    <t>ratfl</t>
  </si>
  <si>
    <t>Giesbrecht,1892</t>
  </si>
  <si>
    <t>棒剑水蚤</t>
  </si>
  <si>
    <t>Ratania sp.</t>
  </si>
  <si>
    <t>bjs</t>
  </si>
  <si>
    <t>ratsp</t>
  </si>
  <si>
    <t>长尾大眼水蚤</t>
  </si>
  <si>
    <t xml:space="preserve">Farranula longicaudis   </t>
  </si>
  <si>
    <t>farlo</t>
  </si>
  <si>
    <t>岩双刺水蚤</t>
  </si>
  <si>
    <t xml:space="preserve">Disseta scopularis </t>
  </si>
  <si>
    <t>ysc</t>
  </si>
  <si>
    <t>Dissc</t>
  </si>
  <si>
    <t>(Brady,1883)</t>
  </si>
  <si>
    <t>Lucicutia aurita Cleve</t>
  </si>
  <si>
    <t>egs</t>
  </si>
  <si>
    <t>lucau</t>
  </si>
  <si>
    <t>Cleve,1904</t>
  </si>
  <si>
    <t>双尖平头水蚤</t>
  </si>
  <si>
    <t xml:space="preserve">Candacia norvegica </t>
  </si>
  <si>
    <t>sjp</t>
  </si>
  <si>
    <t>canno</t>
  </si>
  <si>
    <t>三突哲水蚤</t>
  </si>
  <si>
    <t xml:space="preserve">Onchocalanus trigoniceps  </t>
  </si>
  <si>
    <t>onctr</t>
  </si>
  <si>
    <t>球小壳水蚤</t>
  </si>
  <si>
    <t xml:space="preserve">Scolecithricella globulosa  </t>
  </si>
  <si>
    <t>scogl</t>
  </si>
  <si>
    <t>Brodsky,1950</t>
  </si>
  <si>
    <t>比氏乳点水蚤</t>
  </si>
  <si>
    <t xml:space="preserve">Pleuromamma piseki   </t>
  </si>
  <si>
    <t>bsr</t>
  </si>
  <si>
    <t>plepi</t>
  </si>
  <si>
    <t xml:space="preserve"> Farran,1929</t>
  </si>
  <si>
    <t>高斯光水蚤</t>
  </si>
  <si>
    <t xml:space="preserve">Lucicutia gaussae </t>
  </si>
  <si>
    <t>gsg</t>
  </si>
  <si>
    <t>lucga</t>
  </si>
  <si>
    <t>红拟真刺水蚤</t>
  </si>
  <si>
    <t xml:space="preserve">Paraeuchaeta rubra  </t>
  </si>
  <si>
    <t>parrub</t>
  </si>
  <si>
    <t>截真胖水蚤</t>
  </si>
  <si>
    <t xml:space="preserve">Euchirella truncata  </t>
  </si>
  <si>
    <t>euctru</t>
  </si>
  <si>
    <t>Esterly,1911</t>
  </si>
  <si>
    <t>长真亮羽水蚤</t>
  </si>
  <si>
    <t xml:space="preserve">Euaugaptilus elongatus   </t>
  </si>
  <si>
    <t>euael</t>
  </si>
  <si>
    <t>(G.O.Sars)</t>
  </si>
  <si>
    <t>盾水蚤</t>
  </si>
  <si>
    <t xml:space="preserve"> Gaidius affinis </t>
  </si>
  <si>
    <t>gaiaf</t>
  </si>
  <si>
    <t>G.O.Sars,1905</t>
  </si>
  <si>
    <t>武装尖头水蚤</t>
  </si>
  <si>
    <t xml:space="preserve">Arietellus armatus  </t>
  </si>
  <si>
    <t>ariar</t>
  </si>
  <si>
    <t xml:space="preserve">Heterorhabdus spinosus  </t>
  </si>
  <si>
    <t>hetsp1</t>
  </si>
  <si>
    <t>股异肢水蚤</t>
  </si>
  <si>
    <t xml:space="preserve">Heterorhabdus cohibilis  </t>
  </si>
  <si>
    <t>gyz</t>
  </si>
  <si>
    <t>hetco</t>
  </si>
  <si>
    <t>缘小壳水蚤</t>
  </si>
  <si>
    <t xml:space="preserve">Scolecithricella emarginata  </t>
  </si>
  <si>
    <t>scoem</t>
  </si>
  <si>
    <t>脆长腹剑水蚤</t>
  </si>
  <si>
    <t xml:space="preserve">Oithona fragilis </t>
  </si>
  <si>
    <t>oitfr</t>
  </si>
  <si>
    <t>淡异肢水蚤</t>
  </si>
  <si>
    <t xml:space="preserve">Heterorhabdus insukae  </t>
  </si>
  <si>
    <t>hetin</t>
  </si>
  <si>
    <t xml:space="preserve">Paracalanus denuatus  </t>
  </si>
  <si>
    <t>parden</t>
  </si>
  <si>
    <t>莫氏小角水蚤</t>
  </si>
  <si>
    <t xml:space="preserve">Pontellina morii </t>
  </si>
  <si>
    <t>ponmo</t>
  </si>
  <si>
    <t>舟哲水蚤</t>
  </si>
  <si>
    <t>Scaphocalanus subbrevicornis</t>
  </si>
  <si>
    <t>scasu</t>
  </si>
  <si>
    <t>亮真胖水蚤</t>
  </si>
  <si>
    <t xml:space="preserve">Euchirella splendens </t>
  </si>
  <si>
    <t>eucsp7</t>
  </si>
  <si>
    <t>萨氏拟真刺水蚤</t>
  </si>
  <si>
    <t xml:space="preserve">Paraeuchaeta sarsi  </t>
  </si>
  <si>
    <t>parsa</t>
  </si>
  <si>
    <t xml:space="preserve">Gigantocypris agassizi  </t>
  </si>
  <si>
    <t xml:space="preserve">Gigantocypris australis </t>
  </si>
  <si>
    <t>Poulsen, 1962</t>
  </si>
  <si>
    <t xml:space="preserve">Gigantocypris danae </t>
  </si>
  <si>
    <t xml:space="preserve">Gigantocypris dracontovali </t>
  </si>
  <si>
    <t>Cannon, 1940</t>
  </si>
  <si>
    <t xml:space="preserve">Amphisiphonostra naviformis </t>
  </si>
  <si>
    <t xml:space="preserve">Paradoloria dorsoserrata   </t>
  </si>
  <si>
    <t>斯氏萤属</t>
  </si>
  <si>
    <t>Skogsbergia sp.</t>
  </si>
  <si>
    <t>Skosp</t>
  </si>
  <si>
    <t xml:space="preserve">Skogsbergia crenulata </t>
  </si>
  <si>
    <t xml:space="preserve">Skogsbergia curvata </t>
  </si>
  <si>
    <t xml:space="preserve">Skogsbergia minuta </t>
  </si>
  <si>
    <t>弯喉萤属</t>
  </si>
  <si>
    <t>Vargula sp.</t>
  </si>
  <si>
    <t xml:space="preserve">Vargula higendorfi   </t>
  </si>
  <si>
    <t>(Müller, 1890)</t>
  </si>
  <si>
    <t xml:space="preserve">Vargula spinulosa </t>
  </si>
  <si>
    <t>Varspi</t>
  </si>
  <si>
    <t>拟弯喉萤属</t>
  </si>
  <si>
    <t>Paravargula sp.</t>
  </si>
  <si>
    <t>nwh</t>
  </si>
  <si>
    <t>Parsp8</t>
  </si>
  <si>
    <t xml:space="preserve">Paravargula formosana </t>
  </si>
  <si>
    <t xml:space="preserve">Paravargula hirsuta   </t>
  </si>
  <si>
    <t>(Müller, 1906)</t>
  </si>
  <si>
    <t xml:space="preserve">Paravargula taiwantuia </t>
  </si>
  <si>
    <t>Tseng, 1977</t>
  </si>
  <si>
    <t xml:space="preserve">Melavargula japonica </t>
  </si>
  <si>
    <t xml:space="preserve">Cypridina acuminata   </t>
  </si>
  <si>
    <t xml:space="preserve">Cypridina amphiacantha   </t>
  </si>
  <si>
    <t xml:space="preserve">Cypridina dentata   </t>
  </si>
  <si>
    <t xml:space="preserve">Cypridina inermis  </t>
  </si>
  <si>
    <t xml:space="preserve">Cypridina japonica   </t>
  </si>
  <si>
    <t>多毛海萤</t>
  </si>
  <si>
    <t xml:space="preserve">Cypridina multipilosa </t>
  </si>
  <si>
    <t>Cypmu</t>
  </si>
  <si>
    <t xml:space="preserve">Cypridina nami </t>
  </si>
  <si>
    <t>Chavtur, 1989</t>
  </si>
  <si>
    <t>Cypnan</t>
  </si>
  <si>
    <t xml:space="preserve">Cypridina natans  </t>
  </si>
  <si>
    <t>Cypnat</t>
  </si>
  <si>
    <t xml:space="preserve">Cypridina punctata   </t>
  </si>
  <si>
    <t xml:space="preserve">Cypridina serrata   </t>
  </si>
  <si>
    <t xml:space="preserve">Cypridina sinuosa   </t>
  </si>
  <si>
    <t xml:space="preserve">Macrocypridina castanea rotunda </t>
  </si>
  <si>
    <t xml:space="preserve">Macrocypridina poulseni </t>
  </si>
  <si>
    <t>Martens, 1978</t>
  </si>
  <si>
    <t xml:space="preserve">Pterocypridona alata </t>
  </si>
  <si>
    <t xml:space="preserve">Cypridinodes asymmetrica   </t>
  </si>
  <si>
    <t xml:space="preserve">Cypridinodes avis </t>
  </si>
  <si>
    <t xml:space="preserve">Cypridinodes bairdi  </t>
  </si>
  <si>
    <t xml:space="preserve">Cypridinodes codonocera </t>
  </si>
  <si>
    <t xml:space="preserve">Cypridinodes galatheae  </t>
  </si>
  <si>
    <t xml:space="preserve">Cypridinodes minuta  </t>
  </si>
  <si>
    <t xml:space="preserve">Codonocera elongata  </t>
  </si>
  <si>
    <t xml:space="preserve">Codonocera gonicantha  </t>
  </si>
  <si>
    <t>Müller, 1906</t>
  </si>
  <si>
    <t xml:space="preserve">Codonocera mortenseni  </t>
  </si>
  <si>
    <t xml:space="preserve">Codonocera polygonia   </t>
  </si>
  <si>
    <t xml:space="preserve">Codonocera pusilla   </t>
  </si>
  <si>
    <t xml:space="preserve">Codonocera stellifera   </t>
  </si>
  <si>
    <t>(Claus, 1872)</t>
  </si>
  <si>
    <t>单萤属</t>
  </si>
  <si>
    <t>Monopia sp.</t>
  </si>
  <si>
    <t>dy</t>
  </si>
  <si>
    <t>Monsp3</t>
  </si>
  <si>
    <t xml:space="preserve">Monopia flaveola  </t>
  </si>
  <si>
    <t>Claus, 1873</t>
  </si>
  <si>
    <t xml:space="preserve">Monopia tehani </t>
  </si>
  <si>
    <t xml:space="preserve">Heterodesmus adamsii   </t>
  </si>
  <si>
    <t>喜萤属</t>
  </si>
  <si>
    <t>Philomedes sp.</t>
  </si>
  <si>
    <t>xy</t>
  </si>
  <si>
    <t>Phisp</t>
  </si>
  <si>
    <t xml:space="preserve">Philomedes eugeniae </t>
  </si>
  <si>
    <t>Skogsberg, 1920</t>
  </si>
  <si>
    <t xml:space="preserve">Philomedes lilljeborg   </t>
  </si>
  <si>
    <t>Eupsp3</t>
  </si>
  <si>
    <t>(Thomson, 1878)</t>
  </si>
  <si>
    <t xml:space="preserve">Euphilomedes corrugata  </t>
  </si>
  <si>
    <t xml:space="preserve">Euphilomedes japonica   </t>
  </si>
  <si>
    <t xml:space="preserve">Euphilomedes longiseta </t>
  </si>
  <si>
    <t xml:space="preserve">Euphilomedes nodosa  </t>
  </si>
  <si>
    <t xml:space="preserve">Euphilomedes sordida   </t>
  </si>
  <si>
    <t>Eupsor</t>
  </si>
  <si>
    <t xml:space="preserve">Paraphilomedes unicornuta  </t>
  </si>
  <si>
    <t xml:space="preserve">Paraphilomedes tricornuta  </t>
  </si>
  <si>
    <t>Partri</t>
  </si>
  <si>
    <t>双喜萤属</t>
  </si>
  <si>
    <t>Zeugophilomedes sp.</t>
  </si>
  <si>
    <t>sxy</t>
  </si>
  <si>
    <t>Zeusp</t>
  </si>
  <si>
    <t xml:space="preserve">Zeugophilomedes polae </t>
  </si>
  <si>
    <t>(Graf, 1931)</t>
  </si>
  <si>
    <t xml:space="preserve">Eusarsilla longinenna  </t>
  </si>
  <si>
    <t>Poulsen, 1965</t>
  </si>
  <si>
    <t xml:space="preserve">Eusarsilla parvispinosa  </t>
  </si>
  <si>
    <t xml:space="preserve">Eusarsilla spinulosa  </t>
  </si>
  <si>
    <t>Eusspi</t>
  </si>
  <si>
    <t xml:space="preserve">Eusarsilla tumida  </t>
  </si>
  <si>
    <t xml:space="preserve"> iella crispata  </t>
  </si>
  <si>
    <t xml:space="preserve">Cycloleberis amertcana   </t>
  </si>
  <si>
    <t xml:space="preserve">Cycloleberis biminiensis </t>
  </si>
  <si>
    <t>Cycbim</t>
  </si>
  <si>
    <t xml:space="preserve">Cycloleberis bradyi  </t>
  </si>
  <si>
    <t xml:space="preserve">Cycloleberis brevis   </t>
  </si>
  <si>
    <t>Cycbre</t>
  </si>
  <si>
    <t xml:space="preserve">Cycloleberis poani </t>
  </si>
  <si>
    <t xml:space="preserve">Cycloleberis similis  </t>
  </si>
  <si>
    <t>(Brady, 1897)</t>
  </si>
  <si>
    <t xml:space="preserve">Cyclasterope bisetosa  </t>
  </si>
  <si>
    <t xml:space="preserve">Cyclasterope fascigera   </t>
  </si>
  <si>
    <t>Brady, 1902</t>
  </si>
  <si>
    <t xml:space="preserve">Cyclasterope hilgendorfi  </t>
  </si>
  <si>
    <t xml:space="preserve">Asteropteron fuscum  </t>
  </si>
  <si>
    <t xml:space="preserve">Synasterope knudseni  </t>
  </si>
  <si>
    <t>星萤属</t>
  </si>
  <si>
    <t>Asteropina sp.</t>
  </si>
  <si>
    <t>Astsp</t>
  </si>
  <si>
    <t xml:space="preserve">Asteropina grimaldi </t>
  </si>
  <si>
    <t>(Skogsberg, 1920)</t>
  </si>
  <si>
    <t xml:space="preserve">Asteropina minuta  </t>
  </si>
  <si>
    <t xml:space="preserve">Archiconchoecia cucullata  </t>
  </si>
  <si>
    <t>(Brady, 1902)</t>
  </si>
  <si>
    <t xml:space="preserve">Archiconchoecia falcata </t>
  </si>
  <si>
    <t xml:space="preserve">Archiconchoecia striata  </t>
  </si>
  <si>
    <t>Müller, 1894</t>
  </si>
  <si>
    <t xml:space="preserve">Archiconchoecia versicula </t>
  </si>
  <si>
    <t>Deevey, 1978</t>
  </si>
  <si>
    <t xml:space="preserve">Bathyconchoecia angeli </t>
  </si>
  <si>
    <t>George, 1977</t>
  </si>
  <si>
    <t xml:space="preserve">Bathyconchoecia crosnieri  </t>
  </si>
  <si>
    <t xml:space="preserve">Bathyconchoecia galerita </t>
  </si>
  <si>
    <t>Deevey, 1968</t>
  </si>
  <si>
    <t xml:space="preserve">Bathyconchoecia lacunosa   </t>
  </si>
  <si>
    <t>Bathyconchoecoa paulula</t>
  </si>
  <si>
    <t>Eucsp8</t>
  </si>
  <si>
    <t xml:space="preserve">Euconchoecia aculeata  </t>
  </si>
  <si>
    <t>(Scott, 1894)</t>
  </si>
  <si>
    <t xml:space="preserve">Euconchoecia bifurata </t>
  </si>
  <si>
    <t>Chen et Lin, 1984</t>
  </si>
  <si>
    <t xml:space="preserve">Euconchoecia chierchiae  </t>
  </si>
  <si>
    <t>Müller, 1890</t>
  </si>
  <si>
    <t xml:space="preserve">Euconchoecia elongata  </t>
  </si>
  <si>
    <t xml:space="preserve">Euconchoecia maimai </t>
  </si>
  <si>
    <t>Tseng, 1969</t>
  </si>
  <si>
    <t xml:space="preserve">Euconchoecia shenghwai </t>
  </si>
  <si>
    <t>大额萤属</t>
  </si>
  <si>
    <t>Halocypria sp.</t>
  </si>
  <si>
    <t>dey</t>
  </si>
  <si>
    <t>Halsp9</t>
  </si>
  <si>
    <t xml:space="preserve">Halocypria globosa  </t>
  </si>
  <si>
    <t>Claus, 1874</t>
  </si>
  <si>
    <t>吸海萤属</t>
  </si>
  <si>
    <t>Halocypris sp.</t>
  </si>
  <si>
    <t>xhy</t>
  </si>
  <si>
    <t xml:space="preserve">Halocypris brevirostris   </t>
  </si>
  <si>
    <t>猫萤属</t>
  </si>
  <si>
    <t>Fellia sp.</t>
  </si>
  <si>
    <t>my</t>
  </si>
  <si>
    <t>Felsp</t>
  </si>
  <si>
    <t xml:space="preserve">Fellia bicornis   </t>
  </si>
  <si>
    <t xml:space="preserve">Fellia cornuta   </t>
  </si>
  <si>
    <t xml:space="preserve">Fellia cornuta diapar   </t>
  </si>
  <si>
    <t>Felcod</t>
  </si>
  <si>
    <t xml:space="preserve">Conchoecia hyalophyllum  </t>
  </si>
  <si>
    <t xml:space="preserve">Conchoecia lophura  </t>
  </si>
  <si>
    <t xml:space="preserve">Conchoecia lophura lissoides </t>
  </si>
  <si>
    <t>Conlol</t>
  </si>
  <si>
    <t xml:space="preserve">Conchoecia macrocheira  </t>
  </si>
  <si>
    <t xml:space="preserve">Conchoecia magna  </t>
  </si>
  <si>
    <t>Conmag</t>
  </si>
  <si>
    <t xml:space="preserve">Conchoecia magna rhombica  </t>
  </si>
  <si>
    <t>Conmar</t>
  </si>
  <si>
    <t xml:space="preserve">Conchoecia parvidentata  </t>
  </si>
  <si>
    <t xml:space="preserve">Conchoecia subarcuata  </t>
  </si>
  <si>
    <t>Claus, 1890</t>
  </si>
  <si>
    <t>Parsp9</t>
  </si>
  <si>
    <t xml:space="preserve">Paraconchoecia aequiseta   </t>
  </si>
  <si>
    <t xml:space="preserve">Paraconchoecia allotherium   </t>
  </si>
  <si>
    <t xml:space="preserve">Paraconchoecia brachyaskos   </t>
  </si>
  <si>
    <t xml:space="preserve">Paraconchoecia caudata   </t>
  </si>
  <si>
    <t xml:space="preserve">Paraconchoecia cophopyga   </t>
  </si>
  <si>
    <t xml:space="preserve">Paraconchoecia dasyopthalma   </t>
  </si>
  <si>
    <t xml:space="preserve">Paraconchoecia decipiens   </t>
  </si>
  <si>
    <t>Pardec</t>
  </si>
  <si>
    <t xml:space="preserve">Paraconchoecia dentata   </t>
  </si>
  <si>
    <t>双刺拟浮萤</t>
  </si>
  <si>
    <t>Paraconchoecia discanthus</t>
  </si>
  <si>
    <t>Pardis</t>
  </si>
  <si>
    <t>Chen et Lin, 1994</t>
  </si>
  <si>
    <t xml:space="preserve">Paraconchoecia dorsotuberculata   </t>
  </si>
  <si>
    <t>Pardor</t>
  </si>
  <si>
    <t xml:space="preserve">Paraconchoecia echinata   </t>
  </si>
  <si>
    <t xml:space="preserve">Paraconchoecia gerdhartmanni </t>
  </si>
  <si>
    <t xml:space="preserve">Paraconchoecia inermis  </t>
  </si>
  <si>
    <t>Claus, 1891</t>
  </si>
  <si>
    <t xml:space="preserve">Paraconchoecia macroprocera </t>
  </si>
  <si>
    <t>Parmac</t>
  </si>
  <si>
    <t>(Angel, 1971)</t>
  </si>
  <si>
    <t xml:space="preserve">Paraconchoecia mamillata   </t>
  </si>
  <si>
    <t>Parmam</t>
  </si>
  <si>
    <t xml:space="preserve">Paraconchoecia microprocera </t>
  </si>
  <si>
    <t xml:space="preserve">Paraconchoecia oblonga  </t>
  </si>
  <si>
    <t xml:space="preserve">Paraconchoecia procera   </t>
  </si>
  <si>
    <t>(Müller, 1894)</t>
  </si>
  <si>
    <t xml:space="preserve">Paraconchoecia reticulata   </t>
  </si>
  <si>
    <t xml:space="preserve">Paraconchoecia spinifera  </t>
  </si>
  <si>
    <t>Parspin</t>
  </si>
  <si>
    <t xml:space="preserve">Paraconchoecia vitjazi </t>
  </si>
  <si>
    <t>(Rudjakov, 1962)</t>
  </si>
  <si>
    <t>葱萤属</t>
  </si>
  <si>
    <t>Porroecia sp.</t>
  </si>
  <si>
    <t>Porsp</t>
  </si>
  <si>
    <t xml:space="preserve">Porroecia porrecta   </t>
  </si>
  <si>
    <t>(Claus, 1890)</t>
  </si>
  <si>
    <t xml:space="preserve">Porroecia spinirostris   </t>
  </si>
  <si>
    <t>Porspi</t>
  </si>
  <si>
    <t xml:space="preserve">Discoconchoecia discophora   </t>
  </si>
  <si>
    <t xml:space="preserve">Discoconchoecia elegans   </t>
  </si>
  <si>
    <t>Disel</t>
  </si>
  <si>
    <t>(Sars, 1866)</t>
  </si>
  <si>
    <t xml:space="preserve">Discoconchoecia pseudodiscophora </t>
  </si>
  <si>
    <t>(Poulsen, 1973)</t>
  </si>
  <si>
    <t xml:space="preserve">Conchoecetta acuminata  </t>
  </si>
  <si>
    <t xml:space="preserve">Conchoecetta giesbrechti   </t>
  </si>
  <si>
    <t xml:space="preserve">Microconchoecia acuticosta   </t>
  </si>
  <si>
    <t xml:space="preserve">Microconchoecia curta  </t>
  </si>
  <si>
    <t>Miccu</t>
  </si>
  <si>
    <t xml:space="preserve">Microconchoecia echinulata  </t>
  </si>
  <si>
    <t xml:space="preserve">Microconchoecia stigmatica   </t>
  </si>
  <si>
    <t xml:space="preserve">Metaconchoecia abyssalis </t>
  </si>
  <si>
    <t xml:space="preserve">Metaconchoecia glandulosa   </t>
  </si>
  <si>
    <t xml:space="preserve">Metaconchoecia isocheira   </t>
  </si>
  <si>
    <t xml:space="preserve">Metaconchoecia kyrtophora   </t>
  </si>
  <si>
    <t xml:space="preserve">Metaconchoecia macromma   </t>
  </si>
  <si>
    <t xml:space="preserve">Metaconchoecia pusilla   </t>
  </si>
  <si>
    <t xml:space="preserve">Metaconchoecia rotundata   </t>
  </si>
  <si>
    <t>Metro</t>
  </si>
  <si>
    <t xml:space="preserve">Metaconchoecia skogsbergi </t>
  </si>
  <si>
    <t>(Iles, 1953)</t>
  </si>
  <si>
    <t xml:space="preserve">Metaconchoecia teretivalvata </t>
  </si>
  <si>
    <t xml:space="preserve">Orthoconchoecia atlantica  </t>
  </si>
  <si>
    <t xml:space="preserve">Orthoconchoecia bispinosa   </t>
  </si>
  <si>
    <t xml:space="preserve">Orthoconchoecia haddoni </t>
  </si>
  <si>
    <t>(Brady et Norman, 1896)</t>
  </si>
  <si>
    <t xml:space="preserve">Orthoconchoecia secernenda </t>
  </si>
  <si>
    <t>(Vavra, 1906)</t>
  </si>
  <si>
    <t xml:space="preserve">Orthoconchoecia striola   </t>
  </si>
  <si>
    <t>(Müller, 1891)</t>
  </si>
  <si>
    <t>刺萤属</t>
  </si>
  <si>
    <t>Spinoecia sp.</t>
  </si>
  <si>
    <t xml:space="preserve">Spinoecia crassispina </t>
  </si>
  <si>
    <t>Chen et Lin, 1986</t>
  </si>
  <si>
    <t xml:space="preserve">Spinoecia parthenoda   </t>
  </si>
  <si>
    <t xml:space="preserve">Spinoecia pseudoparthenoda </t>
  </si>
  <si>
    <t>兜甲萤属</t>
  </si>
  <si>
    <t>Loricoecia sp.</t>
  </si>
  <si>
    <t>Lorsp</t>
  </si>
  <si>
    <t xml:space="preserve">Loricoecia ctenophora   </t>
  </si>
  <si>
    <t xml:space="preserve">Loricoecia loricata   </t>
  </si>
  <si>
    <t>(Claus, 1894)</t>
  </si>
  <si>
    <t>曲萤属</t>
  </si>
  <si>
    <t>Gaussicia sp.</t>
  </si>
  <si>
    <t>qy</t>
  </si>
  <si>
    <t>Gausp</t>
  </si>
  <si>
    <t xml:space="preserve">Gaussicia edentata   </t>
  </si>
  <si>
    <t xml:space="preserve">Gaussicia gaussi   </t>
  </si>
  <si>
    <t>(Müller, 1908)</t>
  </si>
  <si>
    <t xml:space="preserve">Gaussicia incisa   </t>
  </si>
  <si>
    <t>扁浮萤</t>
  </si>
  <si>
    <t>Platycinchoecia sp.</t>
  </si>
  <si>
    <t>bfy</t>
  </si>
  <si>
    <t>Plasp1</t>
  </si>
  <si>
    <t xml:space="preserve">Platycinchoecia prosadene   </t>
  </si>
  <si>
    <t xml:space="preserve">Conchoecissa ametra   </t>
  </si>
  <si>
    <t xml:space="preserve">Conchoecissa imbricata  </t>
  </si>
  <si>
    <t>(Brady, 1880)</t>
  </si>
  <si>
    <t xml:space="preserve">Conchoecissa plinthina   </t>
  </si>
  <si>
    <t xml:space="preserve">Conchoecissa symmetrica   </t>
  </si>
  <si>
    <t xml:space="preserve">Mollicia acanthophora   </t>
  </si>
  <si>
    <t xml:space="preserve">Mollicia kampta   </t>
  </si>
  <si>
    <t xml:space="preserve">Mollicia minki  </t>
  </si>
  <si>
    <t>Poulsen, 1973</t>
  </si>
  <si>
    <t xml:space="preserve">Mollicia mollis   </t>
  </si>
  <si>
    <t>Parsp10</t>
  </si>
  <si>
    <t xml:space="preserve">Paramollicia dichotoma   </t>
  </si>
  <si>
    <t xml:space="preserve">Paramollicia plactolycos   </t>
  </si>
  <si>
    <t xml:space="preserve">Paramollicia rhynchena   </t>
  </si>
  <si>
    <t xml:space="preserve">Paramollicia siboga   </t>
  </si>
  <si>
    <t>Parsib</t>
  </si>
  <si>
    <t xml:space="preserve">Conchoecilla daphnoides  </t>
  </si>
  <si>
    <t xml:space="preserve">Conchoecilla daphnoides minor  </t>
  </si>
  <si>
    <t>Condam</t>
  </si>
  <si>
    <t xml:space="preserve">Alacia alata   </t>
  </si>
  <si>
    <t>略大尖尾翼萤</t>
  </si>
  <si>
    <t xml:space="preserve">Alacia alata major </t>
  </si>
  <si>
    <t>Alaalma</t>
  </si>
  <si>
    <t xml:space="preserve">Alacia alata minor </t>
  </si>
  <si>
    <t>Alaalmi</t>
  </si>
  <si>
    <t>(McHardy, 1964)</t>
  </si>
  <si>
    <t xml:space="preserve">Alacia belgicae   </t>
  </si>
  <si>
    <t xml:space="preserve">Alacia hettacra   </t>
  </si>
  <si>
    <t xml:space="preserve">Alacia leptothrix   </t>
  </si>
  <si>
    <t xml:space="preserve">Alacia valdiviae   </t>
  </si>
  <si>
    <t>Alava</t>
  </si>
  <si>
    <t>假浮萤属</t>
  </si>
  <si>
    <t>Pseudoconchoecia sp.</t>
  </si>
  <si>
    <t>jfy</t>
  </si>
  <si>
    <t>Psesp4</t>
  </si>
  <si>
    <t xml:space="preserve">Pseudoconchoecia concentrica   </t>
  </si>
  <si>
    <t xml:space="preserve">Pseudoconchoecia serrulata  </t>
  </si>
  <si>
    <t>拱萤属</t>
  </si>
  <si>
    <t>Obtusata sp.</t>
  </si>
  <si>
    <t>gy</t>
  </si>
  <si>
    <t>Obtsp</t>
  </si>
  <si>
    <t xml:space="preserve">Obtusata antarotica   </t>
  </si>
  <si>
    <t>贪萤属</t>
  </si>
  <si>
    <t>Boroecia sp.</t>
  </si>
  <si>
    <t>ty</t>
  </si>
  <si>
    <t>Borsp</t>
  </si>
  <si>
    <t>(Sars, 1865)</t>
  </si>
  <si>
    <t>短额吸海萤</t>
  </si>
  <si>
    <t>Halocypris inflata</t>
  </si>
  <si>
    <t>dex</t>
  </si>
  <si>
    <t>Halin</t>
  </si>
  <si>
    <t>疣背糠虾属</t>
  </si>
  <si>
    <t>Lophogaster sp.</t>
  </si>
  <si>
    <t>ybk</t>
  </si>
  <si>
    <t>夏威夷疣背糠虾</t>
  </si>
  <si>
    <t xml:space="preserve">Lophogaster hawaiensis </t>
  </si>
  <si>
    <t>Lopha</t>
  </si>
  <si>
    <t>Fage, 1940</t>
  </si>
  <si>
    <t>太平洋疣背糠虾</t>
  </si>
  <si>
    <t xml:space="preserve">Lophogaster pacificus </t>
  </si>
  <si>
    <t>Loppa</t>
  </si>
  <si>
    <t>光背糠虾属</t>
  </si>
  <si>
    <t>Paralophogaster sp.</t>
  </si>
  <si>
    <t>gbk</t>
  </si>
  <si>
    <t>光背糠虾</t>
  </si>
  <si>
    <t xml:space="preserve">Paralophogaster glaber  </t>
  </si>
  <si>
    <t>Pargl</t>
  </si>
  <si>
    <t>Hansen, 1910</t>
  </si>
  <si>
    <t>颚糠虾属</t>
  </si>
  <si>
    <t>Gnathophausia sp.</t>
  </si>
  <si>
    <t>ekx</t>
  </si>
  <si>
    <t>Gnasp</t>
  </si>
  <si>
    <t>巨颚糠虾</t>
  </si>
  <si>
    <t xml:space="preserve">Gnathophausia gigas </t>
  </si>
  <si>
    <t>jek</t>
  </si>
  <si>
    <t>Gnagi</t>
  </si>
  <si>
    <t>Willemoes-Suhm, 1875</t>
  </si>
  <si>
    <t xml:space="preserve">Gnathophausia ingens </t>
  </si>
  <si>
    <t>(Dohrn, 1870)</t>
  </si>
  <si>
    <t>溞状颚糠虾</t>
  </si>
  <si>
    <t xml:space="preserve">Gnathophausia zoea </t>
  </si>
  <si>
    <t>zze</t>
  </si>
  <si>
    <t>Gnazo</t>
  </si>
  <si>
    <t>柄糠虾属</t>
  </si>
  <si>
    <t>Eucopia sp.</t>
  </si>
  <si>
    <t>bkx</t>
  </si>
  <si>
    <t>Eucsp9</t>
  </si>
  <si>
    <t>澳洲柄糠虾</t>
  </si>
  <si>
    <t xml:space="preserve">Eucopia australis  </t>
  </si>
  <si>
    <t>azb</t>
  </si>
  <si>
    <t>Eucau</t>
  </si>
  <si>
    <t>瓣眼糠虾属</t>
  </si>
  <si>
    <t>Petalophthalmus sp.</t>
  </si>
  <si>
    <t>byk</t>
  </si>
  <si>
    <t>Petsp</t>
  </si>
  <si>
    <t>刘氏瓣眼糠虾</t>
  </si>
  <si>
    <t xml:space="preserve">Petalophthalmus liui  </t>
  </si>
  <si>
    <t>lsb</t>
  </si>
  <si>
    <t>Petli</t>
  </si>
  <si>
    <t>Wang, 1998</t>
  </si>
  <si>
    <t>北糠虾属</t>
  </si>
  <si>
    <t>Boreomysis sp</t>
  </si>
  <si>
    <t>Boesp</t>
  </si>
  <si>
    <t>东方北糠虾</t>
  </si>
  <si>
    <t xml:space="preserve">Boreomysis rostrata orientalis  </t>
  </si>
  <si>
    <t>Boeor</t>
  </si>
  <si>
    <t>Ii, 1964</t>
  </si>
  <si>
    <t>尖额北糠虾</t>
  </si>
  <si>
    <t xml:space="preserve">Boreomysis rostrata rostrata </t>
  </si>
  <si>
    <t>jyb</t>
  </si>
  <si>
    <t>Boero</t>
  </si>
  <si>
    <t>Illig, 1906</t>
  </si>
  <si>
    <t xml:space="preserve">Siriella aequiremis  </t>
  </si>
  <si>
    <t>刺节糠虾</t>
  </si>
  <si>
    <t xml:space="preserve">Siriella dubia  </t>
  </si>
  <si>
    <t>Sirdu</t>
  </si>
  <si>
    <t xml:space="preserve">Siriella gracilis  </t>
  </si>
  <si>
    <t xml:space="preserve">Siriella japonica izuensis  </t>
  </si>
  <si>
    <t>Sirjai</t>
  </si>
  <si>
    <t xml:space="preserve">Siriella japonica japonica  </t>
  </si>
  <si>
    <t xml:space="preserve">Siriella media  </t>
  </si>
  <si>
    <t xml:space="preserve">Siriella okadai  </t>
  </si>
  <si>
    <t>羽尾节糠虾</t>
  </si>
  <si>
    <t xml:space="preserve">Siriella plumicauda  </t>
  </si>
  <si>
    <t>ywj</t>
  </si>
  <si>
    <t>Sirpl</t>
  </si>
  <si>
    <t>四刺节糠虾</t>
  </si>
  <si>
    <t xml:space="preserve">Siriella quadrispinosa  </t>
  </si>
  <si>
    <t>Sirqu</t>
  </si>
  <si>
    <t xml:space="preserve">Siriella sinensis  </t>
  </si>
  <si>
    <t>汤氏节糠虾</t>
  </si>
  <si>
    <t xml:space="preserve">Siriella thompsoni </t>
  </si>
  <si>
    <t>(H. Milne-Edwardsa, 1837)</t>
  </si>
  <si>
    <t xml:space="preserve">Siriella trispina  </t>
  </si>
  <si>
    <t>普通节糠虾</t>
  </si>
  <si>
    <t xml:space="preserve">Siriella vulgaris  </t>
  </si>
  <si>
    <t>ptj</t>
  </si>
  <si>
    <t>Sirvu</t>
  </si>
  <si>
    <t xml:space="preserve">Siriella wadai  </t>
  </si>
  <si>
    <t>拟节糠虾属</t>
  </si>
  <si>
    <t>Hemisiriella sp.</t>
  </si>
  <si>
    <t>njk</t>
  </si>
  <si>
    <t>Hemsp.</t>
  </si>
  <si>
    <t xml:space="preserve">Hemisiriella parva  </t>
  </si>
  <si>
    <t xml:space="preserve">Hemisiriella pulchra  </t>
  </si>
  <si>
    <t>棒眼糠虾属</t>
  </si>
  <si>
    <t>Rhopalophthalmus sp.</t>
  </si>
  <si>
    <t>Rhosp</t>
  </si>
  <si>
    <t>长足棒眼糠虾</t>
  </si>
  <si>
    <t xml:space="preserve">Rhopalophthalmus longipes  </t>
  </si>
  <si>
    <t>czb</t>
  </si>
  <si>
    <t>Rholo</t>
  </si>
  <si>
    <t>O. S. Tattersall, 1957</t>
  </si>
  <si>
    <t xml:space="preserve">Archaeomysis kokuboi  </t>
  </si>
  <si>
    <t>孟加拉囊糠虾</t>
  </si>
  <si>
    <t xml:space="preserve">Gastrosaccus bengalensis  </t>
  </si>
  <si>
    <t>Gasbe</t>
  </si>
  <si>
    <t xml:space="preserve">Gastrosaccus dundkeri </t>
  </si>
  <si>
    <t>Zimmer, 1915</t>
  </si>
  <si>
    <t xml:space="preserve">Gastrosaccus indicus  </t>
  </si>
  <si>
    <t xml:space="preserve">Gastrosaccus parvus  </t>
  </si>
  <si>
    <t>小井伊糠虾属</t>
  </si>
  <si>
    <t>Iiella sp.</t>
  </si>
  <si>
    <t>xjy</t>
  </si>
  <si>
    <t>Iiesp</t>
  </si>
  <si>
    <t>台湾小井伊糠虾</t>
  </si>
  <si>
    <t xml:space="preserve">Iiella formosensis </t>
  </si>
  <si>
    <t>Iiefo</t>
  </si>
  <si>
    <t>(Ii, 1964)</t>
  </si>
  <si>
    <t>圆凹小井伊糠虾</t>
  </si>
  <si>
    <t xml:space="preserve">Iiella hibii </t>
  </si>
  <si>
    <t>Iiehi</t>
  </si>
  <si>
    <t>儿岛小井伊糠虾</t>
  </si>
  <si>
    <t xml:space="preserve">Iiella kojimaensis </t>
  </si>
  <si>
    <t>Iieko</t>
  </si>
  <si>
    <t>(Nakazawa, 1910)</t>
  </si>
  <si>
    <t>深凹小井伊糠虾</t>
  </si>
  <si>
    <t xml:space="preserve">Iiella ohshimai </t>
  </si>
  <si>
    <t>Iieoh</t>
  </si>
  <si>
    <t>漂浮小井伊糠虾</t>
  </si>
  <si>
    <t xml:space="preserve">Iiella pelagicus </t>
  </si>
  <si>
    <t>Iiepe</t>
  </si>
  <si>
    <t xml:space="preserve">Anchialina grossa  </t>
  </si>
  <si>
    <t xml:space="preserve">Anchialina parva  </t>
  </si>
  <si>
    <t xml:space="preserve">Anchialina typica </t>
  </si>
  <si>
    <t>(Kroyer, 1861)</t>
  </si>
  <si>
    <t xml:space="preserve">Anchialina zimmer </t>
  </si>
  <si>
    <t>Tattersall, 1951</t>
  </si>
  <si>
    <t>假近糠虾属</t>
  </si>
  <si>
    <t>Pseudanchialina sp.</t>
  </si>
  <si>
    <t>jjk</t>
  </si>
  <si>
    <t>Psesp5</t>
  </si>
  <si>
    <t xml:space="preserve">Pseudanchialina inermis </t>
  </si>
  <si>
    <t>(Illig, 1906)</t>
  </si>
  <si>
    <t xml:space="preserve">Pseudanchialina pusilla </t>
  </si>
  <si>
    <t>(G. O. Sars, 1883)</t>
  </si>
  <si>
    <t>霍糠虾属</t>
  </si>
  <si>
    <t>Holmesiella sp.</t>
  </si>
  <si>
    <t>Holsp</t>
  </si>
  <si>
    <t xml:space="preserve">Holmesiella affinis  </t>
  </si>
  <si>
    <t>Ii, 1937</t>
  </si>
  <si>
    <t>红糠虾属</t>
  </si>
  <si>
    <t>Erythrops sp.</t>
  </si>
  <si>
    <t>Erysp</t>
  </si>
  <si>
    <t xml:space="preserve">Erythrops minuta  </t>
  </si>
  <si>
    <t>双眼糠虾属</t>
  </si>
  <si>
    <t>Euchaetomera sp.</t>
  </si>
  <si>
    <t>Eucsp10</t>
  </si>
  <si>
    <t xml:space="preserve">Euchaetomera oculata  </t>
  </si>
  <si>
    <t>Eucten</t>
  </si>
  <si>
    <t>拟双眼糠虾属</t>
  </si>
  <si>
    <t>Euchaetomeropsis sp.</t>
  </si>
  <si>
    <t>光臂拟双眼糠虾</t>
  </si>
  <si>
    <t xml:space="preserve">Euchaetomeropsis merolepis </t>
  </si>
  <si>
    <t>gbn</t>
  </si>
  <si>
    <t>Eucmer</t>
  </si>
  <si>
    <t>Illig, 1908</t>
  </si>
  <si>
    <t>侧红糠虾属</t>
  </si>
  <si>
    <t>Pleurerythrops sp.</t>
  </si>
  <si>
    <t>缺刻侧红糠虾</t>
  </si>
  <si>
    <t xml:space="preserve">Pleurerythrops inscita  </t>
  </si>
  <si>
    <t>单刺侧红糠虾</t>
  </si>
  <si>
    <t xml:space="preserve">Pleurerythrops monospinosa </t>
  </si>
  <si>
    <t>Liu et Wang, 1986</t>
  </si>
  <si>
    <t>超红糠虾属</t>
  </si>
  <si>
    <t>Hypererythrops sp.</t>
  </si>
  <si>
    <t>半刺超红糠虾</t>
  </si>
  <si>
    <t xml:space="preserve">Hypererythrops semispinosa  </t>
  </si>
  <si>
    <t>bcc</t>
  </si>
  <si>
    <t>Hypse</t>
  </si>
  <si>
    <t xml:space="preserve">Hypererythrops spinifera   </t>
  </si>
  <si>
    <t>Hypspi</t>
  </si>
  <si>
    <t>(Hansen, 1910)</t>
  </si>
  <si>
    <t xml:space="preserve">Hypererythrops zimmeri  </t>
  </si>
  <si>
    <t>假红糠虾属</t>
  </si>
  <si>
    <t>Pseuderythrops sp.</t>
  </si>
  <si>
    <t>Psesp6</t>
  </si>
  <si>
    <t>细假红糠虾</t>
  </si>
  <si>
    <t xml:space="preserve">Pseuderythrops gracilis </t>
  </si>
  <si>
    <t>Psegr</t>
  </si>
  <si>
    <t>Coifmann, 1936</t>
  </si>
  <si>
    <t>合红糠虾属</t>
  </si>
  <si>
    <t>Synerythrops sp.</t>
  </si>
  <si>
    <t>hhk</t>
  </si>
  <si>
    <t>Synsp</t>
  </si>
  <si>
    <t xml:space="preserve">Synerythrops intermedia  </t>
  </si>
  <si>
    <t>盲糠虾属</t>
  </si>
  <si>
    <t>Pseudomma sp.</t>
  </si>
  <si>
    <t>mkx</t>
  </si>
  <si>
    <t>Psesp7</t>
  </si>
  <si>
    <t>双刺尾盲糠虾</t>
  </si>
  <si>
    <t xml:space="preserve">Pseudomma bispinicaudum </t>
  </si>
  <si>
    <t>Psebi</t>
  </si>
  <si>
    <t>Murano, 1974</t>
  </si>
  <si>
    <t xml:space="preserve">Pseudomma brevicaudum </t>
  </si>
  <si>
    <t>Shen et Liu, 1989</t>
  </si>
  <si>
    <t>半刺盲糠虾</t>
  </si>
  <si>
    <t xml:space="preserve">Pseudomma semispinosum  </t>
  </si>
  <si>
    <t>bcm</t>
  </si>
  <si>
    <t>Psesem</t>
  </si>
  <si>
    <t>全刺盲糠虾</t>
  </si>
  <si>
    <t xml:space="preserve">Pseudomma spinosum  </t>
  </si>
  <si>
    <t>qcm</t>
  </si>
  <si>
    <t>Psesp8</t>
  </si>
  <si>
    <t>丸川糠虾属</t>
  </si>
  <si>
    <t>Nakazawaia sp.</t>
  </si>
  <si>
    <t>wck</t>
  </si>
  <si>
    <t>Naksp</t>
  </si>
  <si>
    <t>日本丸川糠虾</t>
  </si>
  <si>
    <t xml:space="preserve">Nakazawaia japonica </t>
  </si>
  <si>
    <t>Nakja</t>
  </si>
  <si>
    <t>Murano, 1981</t>
  </si>
  <si>
    <t>刘糠虾属</t>
  </si>
  <si>
    <t>Liuimysis sp.</t>
  </si>
  <si>
    <t>lkx</t>
  </si>
  <si>
    <t>Liusp</t>
  </si>
  <si>
    <t>长尾刘糠虾</t>
  </si>
  <si>
    <t xml:space="preserve">Liuimysis longicauda  </t>
  </si>
  <si>
    <t>Liulo</t>
  </si>
  <si>
    <t>沈糠虾属</t>
  </si>
  <si>
    <t>Shenimysis sp.</t>
  </si>
  <si>
    <t>skx</t>
  </si>
  <si>
    <t>Shesp</t>
  </si>
  <si>
    <t>心形沈糠虾</t>
  </si>
  <si>
    <t xml:space="preserve">Shenimysis cordata  </t>
  </si>
  <si>
    <t>Sheco</t>
  </si>
  <si>
    <t>拟窄糠虾属</t>
  </si>
  <si>
    <t>Paraleptomysis sp.</t>
  </si>
  <si>
    <t>Parsp11</t>
  </si>
  <si>
    <t xml:space="preserve">Paraleptomysis sinensis </t>
  </si>
  <si>
    <t>Parsin</t>
  </si>
  <si>
    <t>Liu et Wang, 1983</t>
  </si>
  <si>
    <t xml:space="preserve">Paraleptomysis xenops </t>
  </si>
  <si>
    <t>(Tattersall, 1922)</t>
  </si>
  <si>
    <t>拟糠虾属</t>
  </si>
  <si>
    <t>Mysidopsis sp.</t>
  </si>
  <si>
    <t>Myssp.</t>
  </si>
  <si>
    <t xml:space="preserve">Mysidopsis indica </t>
  </si>
  <si>
    <t>Mysind</t>
  </si>
  <si>
    <t>Tattersall, 1922</t>
  </si>
  <si>
    <t xml:space="preserve">Mysidopsis kempi </t>
  </si>
  <si>
    <t>原糠虾属</t>
  </si>
  <si>
    <t>Promysis sp.</t>
  </si>
  <si>
    <t>Prosp2</t>
  </si>
  <si>
    <t xml:space="preserve">Promysis orientalis  </t>
  </si>
  <si>
    <t>Proori</t>
  </si>
  <si>
    <t>非糠虾属</t>
  </si>
  <si>
    <t>Afromysis sp.</t>
  </si>
  <si>
    <t>fkx</t>
  </si>
  <si>
    <t>Afrsp</t>
  </si>
  <si>
    <t xml:space="preserve">Afromysis dentisinus </t>
  </si>
  <si>
    <t>Pillai, 1957</t>
  </si>
  <si>
    <t>锯糠虾属</t>
  </si>
  <si>
    <t>Prionomysis sp.</t>
  </si>
  <si>
    <t>Prisp.</t>
  </si>
  <si>
    <t xml:space="preserve">Prionomysis aspera  </t>
  </si>
  <si>
    <t>端糠虾属</t>
  </si>
  <si>
    <t>Doxomysis sp.</t>
  </si>
  <si>
    <t>Doxsp</t>
  </si>
  <si>
    <t xml:space="preserve">Doxomysis littoralis </t>
  </si>
  <si>
    <t xml:space="preserve">Doxomysis longiura </t>
  </si>
  <si>
    <t>Pillai, 1963</t>
  </si>
  <si>
    <t xml:space="preserve">Doxomysis quadrispinosa </t>
  </si>
  <si>
    <t>假端糠虾属</t>
  </si>
  <si>
    <t>Pseudoxomysis sp.</t>
  </si>
  <si>
    <t>jdk</t>
  </si>
  <si>
    <t>Psesp9</t>
  </si>
  <si>
    <t>越南假端糠虾</t>
  </si>
  <si>
    <t xml:space="preserve">Pseudoxomysis caudaensis </t>
  </si>
  <si>
    <t>Pseca</t>
  </si>
  <si>
    <t>Nouvel, 1973</t>
  </si>
  <si>
    <t>浅水糠虾属</t>
  </si>
  <si>
    <t>Tenagomysis sp.</t>
  </si>
  <si>
    <t>qsk</t>
  </si>
  <si>
    <t>Tensp</t>
  </si>
  <si>
    <t xml:space="preserve">Tenagomysis orientalis  </t>
  </si>
  <si>
    <t>假小糠虾属</t>
  </si>
  <si>
    <t>Pseudomysidetes sp.</t>
  </si>
  <si>
    <t>jxk</t>
  </si>
  <si>
    <t xml:space="preserve">Pseudomysidetes cochinensis </t>
  </si>
  <si>
    <t>Psecoc</t>
  </si>
  <si>
    <t>Panampunnaypil, 1977</t>
  </si>
  <si>
    <t>拟柱糠虾属</t>
  </si>
  <si>
    <t>Parastilomysis sp.</t>
  </si>
  <si>
    <t>Parsp12</t>
  </si>
  <si>
    <t>奇异拟柱糠虾</t>
  </si>
  <si>
    <t xml:space="preserve">Parastilomysis paradoxa  </t>
  </si>
  <si>
    <t>Ii, 1936</t>
  </si>
  <si>
    <t>拟刺糠虾属</t>
  </si>
  <si>
    <t>Paracanthomysis sp.</t>
  </si>
  <si>
    <t>nck</t>
  </si>
  <si>
    <t>Parsp19</t>
  </si>
  <si>
    <t xml:space="preserve">Paracanthomysis hispida  </t>
  </si>
  <si>
    <t>Parhis</t>
  </si>
  <si>
    <t>新糠虾属</t>
  </si>
  <si>
    <t>Neomysis sp.</t>
  </si>
  <si>
    <t>xkx</t>
  </si>
  <si>
    <t>Neosp</t>
  </si>
  <si>
    <t xml:space="preserve">Neomysis awatschensis </t>
  </si>
  <si>
    <t>(Brandt, 1851)</t>
  </si>
  <si>
    <t xml:space="preserve">Neomysis japonica </t>
  </si>
  <si>
    <t>Nakazawa, 1910</t>
  </si>
  <si>
    <t>东方新糠虾</t>
  </si>
  <si>
    <t xml:space="preserve">Neomysis orientalis  </t>
  </si>
  <si>
    <t>dfx</t>
  </si>
  <si>
    <t>Neoor</t>
  </si>
  <si>
    <t>青木刺糠虾</t>
  </si>
  <si>
    <t xml:space="preserve">Acanthomysis aokii  </t>
  </si>
  <si>
    <t>qmc</t>
  </si>
  <si>
    <t>Acaao</t>
  </si>
  <si>
    <t xml:space="preserve">Acanthomysis aspera  </t>
  </si>
  <si>
    <t xml:space="preserve">Acanthomysis brevirostris  </t>
  </si>
  <si>
    <t>Wang et Liu, 1997</t>
  </si>
  <si>
    <t xml:space="preserve">Acanthomysis crassispinosa  </t>
  </si>
  <si>
    <t>Liu et Wang, 1980</t>
  </si>
  <si>
    <t xml:space="preserve">Acanthomysis fujinagai  </t>
  </si>
  <si>
    <t xml:space="preserve">Acanthomysis hwanhaiensis  </t>
  </si>
  <si>
    <t xml:space="preserve">Acanthomysis koreana  </t>
  </si>
  <si>
    <t xml:space="preserve">Acanthomysis laticauda </t>
  </si>
  <si>
    <t xml:space="preserve">Acanthomysis leptura </t>
  </si>
  <si>
    <t xml:space="preserve">Acanthomysis longirostris  </t>
  </si>
  <si>
    <t xml:space="preserve">Acanthomysis meridionalis </t>
  </si>
  <si>
    <t xml:space="preserve">Acanthomysis okayamaensis  </t>
  </si>
  <si>
    <t xml:space="preserve">Acanthomysis platycauda </t>
  </si>
  <si>
    <t>(Pillai, 1961)</t>
  </si>
  <si>
    <t xml:space="preserve">Acanthomysis quadrispinosa </t>
  </si>
  <si>
    <t>Nouvel, 1965</t>
  </si>
  <si>
    <t xml:space="preserve">Acanthomysis rotundicauda  </t>
  </si>
  <si>
    <t xml:space="preserve">Acanthomysis serrata </t>
  </si>
  <si>
    <t xml:space="preserve">Acanthomysis sheni </t>
  </si>
  <si>
    <t>Wang et Liu , 1989</t>
  </si>
  <si>
    <t xml:space="preserve">Acanthomysis tenella </t>
  </si>
  <si>
    <t>和糠虾属</t>
  </si>
  <si>
    <t>Nipponomysis sp.</t>
  </si>
  <si>
    <t>Nipsp</t>
  </si>
  <si>
    <t>四刺和糠虾</t>
  </si>
  <si>
    <t xml:space="preserve">Nipponomysis quodrispinosa </t>
  </si>
  <si>
    <t>中国和糠虾</t>
  </si>
  <si>
    <t xml:space="preserve">Nipponomysis sinensis   </t>
  </si>
  <si>
    <t>(Wang, 1981)</t>
  </si>
  <si>
    <t xml:space="preserve">Lycomysis spinicauda  </t>
  </si>
  <si>
    <t>Lycspi</t>
  </si>
  <si>
    <t>准异糠虾属</t>
  </si>
  <si>
    <t>zyk</t>
  </si>
  <si>
    <t xml:space="preserve">Anisomysis bipartoculata  </t>
  </si>
  <si>
    <t>短尾准异糠虾</t>
  </si>
  <si>
    <t xml:space="preserve">Anisomysis brevicauda  </t>
  </si>
  <si>
    <t>Wang, 1989</t>
  </si>
  <si>
    <t>饭岛准异糠虾</t>
  </si>
  <si>
    <t xml:space="preserve">Anisomysis ijimai </t>
  </si>
  <si>
    <t>小准异糠虾</t>
  </si>
  <si>
    <t xml:space="preserve">Anisomysis minuta </t>
  </si>
  <si>
    <t>四刺准异糠虾</t>
  </si>
  <si>
    <t xml:space="preserve">Anisomysis quadrispinosa  </t>
  </si>
  <si>
    <t>Heteromysis sp.</t>
  </si>
  <si>
    <t>Hetsp2</t>
  </si>
  <si>
    <t>胖尾异糠虾</t>
  </si>
  <si>
    <t xml:space="preserve">Heteromysis inflaticauda  </t>
  </si>
  <si>
    <t>pwy</t>
  </si>
  <si>
    <t>Hetinf</t>
  </si>
  <si>
    <t>小糠虾属</t>
  </si>
  <si>
    <t>Mysidella sp.</t>
  </si>
  <si>
    <t>Myssp</t>
  </si>
  <si>
    <t>尖凹小糠虾</t>
  </si>
  <si>
    <t xml:space="preserve">Mysidella incisa  </t>
  </si>
  <si>
    <t>jax</t>
  </si>
  <si>
    <t>圆凹小糠虾</t>
  </si>
  <si>
    <t xml:space="preserve">Mysidella rotundincisa  </t>
  </si>
  <si>
    <t>yax</t>
  </si>
  <si>
    <t>Mysro</t>
  </si>
  <si>
    <t>窄尾小糠虾</t>
  </si>
  <si>
    <t xml:space="preserve">Mysidella tenuicauda  </t>
  </si>
  <si>
    <t>Myste</t>
  </si>
  <si>
    <t>钩虾</t>
  </si>
  <si>
    <t>Gammaridea sp.</t>
  </si>
  <si>
    <t>zr</t>
  </si>
  <si>
    <t xml:space="preserve">Scina borealis </t>
  </si>
  <si>
    <t>(Sars,1882)</t>
  </si>
  <si>
    <t xml:space="preserve">Scina crassicornis   </t>
  </si>
  <si>
    <t>(Fabricius, 1775)</t>
  </si>
  <si>
    <t xml:space="preserve">Scina curvidactyla </t>
  </si>
  <si>
    <t>Chevreux, 1900</t>
  </si>
  <si>
    <t xml:space="preserve">Scina incerta </t>
  </si>
  <si>
    <t>bqz</t>
  </si>
  <si>
    <t xml:space="preserve">Scina latifrons </t>
  </si>
  <si>
    <t xml:space="preserve">Scina marginata  </t>
  </si>
  <si>
    <t>Scima</t>
  </si>
  <si>
    <t>(Bovallius, 1885)</t>
  </si>
  <si>
    <t xml:space="preserve">Scina nana </t>
  </si>
  <si>
    <t>zrz</t>
  </si>
  <si>
    <t>Wagler, 1926</t>
  </si>
  <si>
    <t xml:space="preserve">Scina similis   </t>
  </si>
  <si>
    <t>Stebbing, 1895</t>
  </si>
  <si>
    <t>Scina spinosa</t>
  </si>
  <si>
    <t>czr</t>
  </si>
  <si>
    <t>Scispi</t>
  </si>
  <si>
    <t>Vosseler, 1901</t>
  </si>
  <si>
    <t xml:space="preserve">Scina submarginata </t>
  </si>
  <si>
    <t xml:space="preserve">Scina tullbergi  </t>
  </si>
  <si>
    <t xml:space="preserve">Acanthoscina acanthodes  </t>
  </si>
  <si>
    <t>(Stebbing, 1895)</t>
  </si>
  <si>
    <t>Lanceola sp.</t>
  </si>
  <si>
    <t>xmr</t>
  </si>
  <si>
    <t>Lansp</t>
  </si>
  <si>
    <t xml:space="preserve">Lanceola intermedia </t>
  </si>
  <si>
    <t>zjx</t>
  </si>
  <si>
    <t>Lanin</t>
  </si>
  <si>
    <t>Vinogradov, 1957</t>
  </si>
  <si>
    <t xml:space="preserve">Lanceola pacifica   </t>
  </si>
  <si>
    <t>Stebbing, 1888</t>
  </si>
  <si>
    <t xml:space="preserve">Lanceola pirloti </t>
  </si>
  <si>
    <t>psx</t>
  </si>
  <si>
    <t>Lanpi</t>
  </si>
  <si>
    <t>Shoemaker, 1945</t>
  </si>
  <si>
    <t xml:space="preserve">Lanceola sayana   </t>
  </si>
  <si>
    <t>Lansa</t>
  </si>
  <si>
    <t>Bovallius, 1885</t>
  </si>
  <si>
    <t xml:space="preserve">Lanceola serrata   </t>
  </si>
  <si>
    <t>jcx</t>
  </si>
  <si>
    <t>Lanse</t>
  </si>
  <si>
    <t>Vibilia sp.</t>
  </si>
  <si>
    <t xml:space="preserve">Vibilia viatrix   </t>
  </si>
  <si>
    <t>Bovallius, 1887</t>
  </si>
  <si>
    <t xml:space="preserve">Vibilia armata   </t>
  </si>
  <si>
    <t>wz1</t>
  </si>
  <si>
    <t xml:space="preserve">Vibilia australis   </t>
  </si>
  <si>
    <t>az1</t>
  </si>
  <si>
    <t xml:space="preserve">Vibilia chuni </t>
  </si>
  <si>
    <t>csl</t>
  </si>
  <si>
    <t>Behning et Woltereck, 1912</t>
  </si>
  <si>
    <t xml:space="preserve">Vibilia cultripes </t>
  </si>
  <si>
    <t>dz1</t>
  </si>
  <si>
    <t>(Vosseler, 1901)</t>
  </si>
  <si>
    <t xml:space="preserve">Vibilia gibbosa   </t>
  </si>
  <si>
    <t>lbl</t>
  </si>
  <si>
    <t xml:space="preserve">Vibilia longicarpus </t>
  </si>
  <si>
    <t xml:space="preserve">Behning, 1913  </t>
  </si>
  <si>
    <t xml:space="preserve">Vibilia propinqua   </t>
  </si>
  <si>
    <t>jql</t>
  </si>
  <si>
    <t xml:space="preserve">Vibilia pyripes   </t>
  </si>
  <si>
    <t xml:space="preserve">Vibilia stebbingi </t>
  </si>
  <si>
    <t>ssl</t>
  </si>
  <si>
    <t>jsr</t>
  </si>
  <si>
    <t>parsp13</t>
  </si>
  <si>
    <t xml:space="preserve">Paraphronima crassipes  </t>
  </si>
  <si>
    <t>hzj</t>
  </si>
  <si>
    <t>Parcra</t>
  </si>
  <si>
    <t>Claus, 1879</t>
  </si>
  <si>
    <t xml:space="preserve">Paraphronima gracilis  </t>
  </si>
  <si>
    <t>ysj</t>
  </si>
  <si>
    <t xml:space="preserve">Hyperia galba </t>
  </si>
  <si>
    <t xml:space="preserve">Lestrigonus bengalensis </t>
  </si>
  <si>
    <t>Giles, 1887</t>
  </si>
  <si>
    <t xml:space="preserve">Lestrigonus crucipes  </t>
  </si>
  <si>
    <t>kzm</t>
  </si>
  <si>
    <t>(Bovallius, 1889)</t>
  </si>
  <si>
    <t xml:space="preserve">Lestrigonus latissimus  </t>
  </si>
  <si>
    <t>kkm</t>
  </si>
  <si>
    <t xml:space="preserve">Lestrigonus macrophalmus </t>
  </si>
  <si>
    <t xml:space="preserve">Lestrigonus schizogeneios  </t>
  </si>
  <si>
    <t>lem</t>
  </si>
  <si>
    <t>(Stebbing, 1888)</t>
  </si>
  <si>
    <t xml:space="preserve">Lestrigonus shoemaker </t>
  </si>
  <si>
    <t>Bowman, 1973</t>
  </si>
  <si>
    <t>Themisto sp.</t>
  </si>
  <si>
    <t>frs</t>
  </si>
  <si>
    <t>Thesp.</t>
  </si>
  <si>
    <t xml:space="preserve">Themisto gracilipes </t>
  </si>
  <si>
    <t>xzf</t>
  </si>
  <si>
    <t>Thegr</t>
  </si>
  <si>
    <t>(Norman, 1869)</t>
  </si>
  <si>
    <t>Phronimopsis sp.</t>
  </si>
  <si>
    <t>nsr</t>
  </si>
  <si>
    <t>Phrsp.</t>
  </si>
  <si>
    <t xml:space="preserve">Phronimopsis spinifera  </t>
  </si>
  <si>
    <t>cns</t>
  </si>
  <si>
    <t>Phrspi</t>
  </si>
  <si>
    <t xml:space="preserve">Hyperiella antarctica   </t>
  </si>
  <si>
    <t xml:space="preserve">Hyperoche martinezi   </t>
  </si>
  <si>
    <t>msj</t>
  </si>
  <si>
    <t>(Müller,1864)</t>
  </si>
  <si>
    <t>Senna, 1908</t>
  </si>
  <si>
    <t xml:space="preserve">Hyperoche medusarum </t>
  </si>
  <si>
    <t>smj</t>
  </si>
  <si>
    <t>Hypmed</t>
  </si>
  <si>
    <t>(Kröyer, 1838)</t>
  </si>
  <si>
    <t xml:space="preserve">Hyperoche picta   </t>
  </si>
  <si>
    <t>jqr</t>
  </si>
  <si>
    <t>Themistella sp.</t>
  </si>
  <si>
    <t>xfr</t>
  </si>
  <si>
    <t>Thesp</t>
  </si>
  <si>
    <t xml:space="preserve">Themistella fusca   </t>
  </si>
  <si>
    <t>(Dana, 1853)</t>
  </si>
  <si>
    <t>似泉[虫戎]</t>
  </si>
  <si>
    <t>Hyperioides sp.</t>
  </si>
  <si>
    <t>sqr</t>
  </si>
  <si>
    <t>hypsp.</t>
  </si>
  <si>
    <t xml:space="preserve">Hyperioides longipes </t>
  </si>
  <si>
    <t xml:space="preserve">Hyperioides sibaginis  </t>
  </si>
  <si>
    <t xml:space="preserve">Hyperietta luzoni  </t>
  </si>
  <si>
    <t xml:space="preserve">Hyperietta parviceps </t>
  </si>
  <si>
    <t xml:space="preserve">Hyperietta stebbingi </t>
  </si>
  <si>
    <t>Hypste</t>
  </si>
  <si>
    <t xml:space="preserve">Hyperietta stephenseni </t>
  </si>
  <si>
    <t xml:space="preserve">Hyperietta vosseleri  </t>
  </si>
  <si>
    <t>(Stebbing, 1904))</t>
  </si>
  <si>
    <t xml:space="preserve">Hyperionyx macrodactylus </t>
  </si>
  <si>
    <t>Hypmac</t>
  </si>
  <si>
    <t>(Stephensen, 1924)</t>
  </si>
  <si>
    <t>Laxohyperia sp.</t>
  </si>
  <si>
    <t>kqr</t>
  </si>
  <si>
    <t>Laxsp</t>
  </si>
  <si>
    <t xml:space="preserve">Laxohyperia vespuliformis </t>
  </si>
  <si>
    <t>Vinogradov et Volkov, 1982</t>
  </si>
  <si>
    <t>Parathemisto sp.</t>
  </si>
  <si>
    <t>Parsp14</t>
  </si>
  <si>
    <t xml:space="preserve">Parathemisto japonica   </t>
  </si>
  <si>
    <t>Phrsp1</t>
  </si>
  <si>
    <t xml:space="preserve">Phronima atlantica </t>
  </si>
  <si>
    <t>Guérin, 1836</t>
  </si>
  <si>
    <t xml:space="preserve">Phronima bucephala </t>
  </si>
  <si>
    <t xml:space="preserve">Phronima colletti   </t>
  </si>
  <si>
    <t xml:space="preserve">Phronima curvipes </t>
  </si>
  <si>
    <t>qzs</t>
  </si>
  <si>
    <t>Vosseler, 1900</t>
  </si>
  <si>
    <t xml:space="preserve">Phronima pacifica </t>
  </si>
  <si>
    <t>Streets, 1877</t>
  </si>
  <si>
    <t xml:space="preserve">Phronima sedentaria   </t>
  </si>
  <si>
    <t xml:space="preserve">Phronima solitaria </t>
  </si>
  <si>
    <t>Guérin et Méneville, 1836</t>
  </si>
  <si>
    <t xml:space="preserve">Phronima stebbingi </t>
  </si>
  <si>
    <t>Phronimella sp.</t>
  </si>
  <si>
    <t>xsr</t>
  </si>
  <si>
    <t>Phrsp2</t>
  </si>
  <si>
    <t>Phronimella  elongata</t>
  </si>
  <si>
    <t>cxx</t>
  </si>
  <si>
    <t>(Claus, 1862)</t>
  </si>
  <si>
    <t>Phrosina sp.</t>
  </si>
  <si>
    <t>phrsp</t>
  </si>
  <si>
    <t xml:space="preserve">Phrosina semilunata  </t>
  </si>
  <si>
    <t>Risso, 1822</t>
  </si>
  <si>
    <t xml:space="preserve">Anchylomera blossevillei </t>
  </si>
  <si>
    <t>Milne-Edwards, 1830</t>
  </si>
  <si>
    <t>hsr</t>
  </si>
  <si>
    <t xml:space="preserve">Primno abyssalis </t>
  </si>
  <si>
    <t>Priab</t>
  </si>
  <si>
    <t>(Bowman, 1968)</t>
  </si>
  <si>
    <t>Bowman, 1978</t>
  </si>
  <si>
    <t xml:space="preserve">Primno latreillei   </t>
  </si>
  <si>
    <t>lsh</t>
  </si>
  <si>
    <t xml:space="preserve">Primno macropa </t>
  </si>
  <si>
    <t xml:space="preserve">Lycaeopsis themistoides  </t>
  </si>
  <si>
    <t>jfn</t>
  </si>
  <si>
    <t xml:space="preserve">Lycaeopsis zamboanmgae  </t>
  </si>
  <si>
    <t>sbn</t>
  </si>
  <si>
    <t>Pronoe sp.</t>
  </si>
  <si>
    <t>hjr</t>
  </si>
  <si>
    <t xml:space="preserve">Pronoe capito </t>
  </si>
  <si>
    <t>dth</t>
  </si>
  <si>
    <t>Eupsp4</t>
  </si>
  <si>
    <t xml:space="preserve">Eupronoe armata  </t>
  </si>
  <si>
    <t xml:space="preserve">Eupronoe intermedia   </t>
  </si>
  <si>
    <t xml:space="preserve">Eupronoe laticarpa </t>
  </si>
  <si>
    <t>kwz</t>
  </si>
  <si>
    <t>Euplat</t>
  </si>
  <si>
    <t>Stephensen, 1925</t>
  </si>
  <si>
    <t xml:space="preserve">Eupronoe maculata  </t>
  </si>
  <si>
    <t>bdz</t>
  </si>
  <si>
    <t xml:space="preserve">Eupronoe minuta  </t>
  </si>
  <si>
    <t>Paralycaea sp.</t>
  </si>
  <si>
    <t>jlr</t>
  </si>
  <si>
    <t>Parsp15</t>
  </si>
  <si>
    <t xml:space="preserve">Paralycaea gracilis  </t>
  </si>
  <si>
    <t>Pargrac</t>
  </si>
  <si>
    <t>Parsp20</t>
  </si>
  <si>
    <t xml:space="preserve">Parapronoe campbelli   </t>
  </si>
  <si>
    <t>gsj</t>
  </si>
  <si>
    <t>Parcam</t>
  </si>
  <si>
    <t xml:space="preserve">Parapronoe crustulum  </t>
  </si>
  <si>
    <t>Parcru</t>
  </si>
  <si>
    <t xml:space="preserve">Parapronoe elongata </t>
  </si>
  <si>
    <t>Semenova, 1981</t>
  </si>
  <si>
    <t xml:space="preserve">Parapronoe parva  </t>
  </si>
  <si>
    <t>Parparv</t>
  </si>
  <si>
    <t>Anapronoe sp.</t>
  </si>
  <si>
    <t>Anasp</t>
  </si>
  <si>
    <t xml:space="preserve">Anapronoe reinhardti </t>
  </si>
  <si>
    <t>rsz</t>
  </si>
  <si>
    <t>Anare</t>
  </si>
  <si>
    <t xml:space="preserve">Lycaea bajensis </t>
  </si>
  <si>
    <t>bdl</t>
  </si>
  <si>
    <t>Shoemaker, 1925</t>
  </si>
  <si>
    <t>Lycbov</t>
  </si>
  <si>
    <t xml:space="preserve">Lycaea bovallioides </t>
  </si>
  <si>
    <t xml:space="preserve">Lycaea nasuta  </t>
  </si>
  <si>
    <t>zlr</t>
  </si>
  <si>
    <t xml:space="preserve">Lycaea pulex </t>
  </si>
  <si>
    <t>Marion, 1874</t>
  </si>
  <si>
    <t xml:space="preserve">Lycaea vincentii   </t>
  </si>
  <si>
    <t xml:space="preserve">Brachyscelus crusculum </t>
  </si>
  <si>
    <t>Bate, 1861</t>
  </si>
  <si>
    <t xml:space="preserve">Brachyscelus globiceps   </t>
  </si>
  <si>
    <t>ytd</t>
  </si>
  <si>
    <t>(Claus, 1879)</t>
  </si>
  <si>
    <t xml:space="preserve">Brachyscelus rapax   </t>
  </si>
  <si>
    <t>trd</t>
  </si>
  <si>
    <t>(Claus, 1871)</t>
  </si>
  <si>
    <t>Pseudolycaea sp.</t>
  </si>
  <si>
    <t>wlr</t>
  </si>
  <si>
    <t>Psesp10</t>
  </si>
  <si>
    <t xml:space="preserve">Pseudolycaea pachypoda  </t>
  </si>
  <si>
    <t>hzw</t>
  </si>
  <si>
    <t>psepa</t>
  </si>
  <si>
    <t>Thamneus sp.</t>
  </si>
  <si>
    <t>zxl</t>
  </si>
  <si>
    <t>Thasp.</t>
  </si>
  <si>
    <t xml:space="preserve">Thamneus rostratus   </t>
  </si>
  <si>
    <t>ezx</t>
  </si>
  <si>
    <t>Tharo</t>
  </si>
  <si>
    <t>Tryphana sp.</t>
  </si>
  <si>
    <t>hxr</t>
  </si>
  <si>
    <t>Trysp</t>
  </si>
  <si>
    <t xml:space="preserve">Thyphana malmi   </t>
  </si>
  <si>
    <t>Boeck, 1871</t>
  </si>
  <si>
    <t xml:space="preserve">Oxycephalus clausi   </t>
  </si>
  <si>
    <t xml:space="preserve">Oxycephalus latirostris  </t>
  </si>
  <si>
    <t>khj</t>
  </si>
  <si>
    <t xml:space="preserve">Oxycephalus longipes </t>
  </si>
  <si>
    <t>Spandl, 1927</t>
  </si>
  <si>
    <t xml:space="preserve">Oxycephalus piscator </t>
  </si>
  <si>
    <t>yfj</t>
  </si>
  <si>
    <t xml:space="preserve">Calamorhynchus pellucidus </t>
  </si>
  <si>
    <t>tmj</t>
  </si>
  <si>
    <t>Streets, 1878</t>
  </si>
  <si>
    <t>Glossocephalus sp.</t>
  </si>
  <si>
    <t>Glosp</t>
  </si>
  <si>
    <t xml:space="preserve">Glossocephalus milne-edwardsi   </t>
  </si>
  <si>
    <t>Bovallius, 1878</t>
  </si>
  <si>
    <t>Cranocephalus sp.</t>
  </si>
  <si>
    <t>ktr</t>
  </si>
  <si>
    <t>Crasp</t>
  </si>
  <si>
    <t xml:space="preserve">Cranocephalus scleroticus </t>
  </si>
  <si>
    <t>yhk</t>
  </si>
  <si>
    <t>(Streets, 1878)</t>
  </si>
  <si>
    <t>Leptocotis sp.</t>
  </si>
  <si>
    <t>ztr</t>
  </si>
  <si>
    <t>Lepsp1</t>
  </si>
  <si>
    <t xml:space="preserve">Leptocotis tenuirostris   </t>
  </si>
  <si>
    <t>xhz</t>
  </si>
  <si>
    <t xml:space="preserve">Rhabdosoma armatum </t>
  </si>
  <si>
    <t>(Milne-Edwards, 1840)</t>
  </si>
  <si>
    <t xml:space="preserve">Rhabdosoma brevicaudatum   </t>
  </si>
  <si>
    <t xml:space="preserve">Rhabdosoma minor </t>
  </si>
  <si>
    <t>Fage, 1954</t>
  </si>
  <si>
    <t xml:space="preserve">Rhabdosoma whitei </t>
  </si>
  <si>
    <t>Bate, 1862</t>
  </si>
  <si>
    <t>Simorhychtus sp.</t>
  </si>
  <si>
    <t>Simsp</t>
  </si>
  <si>
    <t xml:space="preserve">Simorhynchotus antennarius   </t>
  </si>
  <si>
    <t>cjb</t>
  </si>
  <si>
    <t xml:space="preserve">Streetsia challengeri   </t>
  </si>
  <si>
    <t>tjs</t>
  </si>
  <si>
    <t xml:space="preserve">Streetsia mindanaonis  </t>
  </si>
  <si>
    <t>mds</t>
  </si>
  <si>
    <t xml:space="preserve">Streetsia porcella   </t>
  </si>
  <si>
    <t xml:space="preserve">Streetsia steenstrupi  </t>
  </si>
  <si>
    <t>(Bovallius, 1887)</t>
  </si>
  <si>
    <t>Tullbergella sp.</t>
  </si>
  <si>
    <t>xts</t>
  </si>
  <si>
    <t>Tulsp</t>
  </si>
  <si>
    <t xml:space="preserve">Tullbergella cuspidata   </t>
  </si>
  <si>
    <t>Platyscelus sp.</t>
  </si>
  <si>
    <t>Plasp</t>
  </si>
  <si>
    <t xml:space="preserve">Platyscelus armatus   </t>
  </si>
  <si>
    <t>wzk</t>
  </si>
  <si>
    <t xml:space="preserve">Platyscelus ovoides </t>
  </si>
  <si>
    <t>lxk</t>
  </si>
  <si>
    <t>(Risso, 1816)</t>
  </si>
  <si>
    <t xml:space="preserve">Platyscelus serratulus   </t>
  </si>
  <si>
    <t xml:space="preserve">Amphithyrus bispinosus  </t>
  </si>
  <si>
    <t xml:space="preserve">Amphithyrus glaber </t>
  </si>
  <si>
    <t>pms</t>
  </si>
  <si>
    <t>Spandl, 1924</t>
  </si>
  <si>
    <t xml:space="preserve">Amphithyrus muratus </t>
  </si>
  <si>
    <t>Volkov, 1982</t>
  </si>
  <si>
    <t xml:space="preserve">Amphithyrus sculpturatus  </t>
  </si>
  <si>
    <t>dks</t>
  </si>
  <si>
    <t xml:space="preserve">Amphithyrus similis  </t>
  </si>
  <si>
    <t>Hemityphis sp.</t>
  </si>
  <si>
    <t>bzr</t>
  </si>
  <si>
    <t>Hemsp</t>
  </si>
  <si>
    <t xml:space="preserve">Hemityphis crustulatus  </t>
  </si>
  <si>
    <t>jkb</t>
  </si>
  <si>
    <t xml:space="preserve">Hemityphis tenuimanus  </t>
  </si>
  <si>
    <t>Parsp16</t>
  </si>
  <si>
    <t xml:space="preserve">Paratyphis maculatus  </t>
  </si>
  <si>
    <t>bdj</t>
  </si>
  <si>
    <t xml:space="preserve">Paratyphis parvus  </t>
  </si>
  <si>
    <t>Parparvu</t>
  </si>
  <si>
    <t>Claus, 1887</t>
  </si>
  <si>
    <t xml:space="preserve">Paratyphis promoniori   </t>
  </si>
  <si>
    <t>qsj</t>
  </si>
  <si>
    <t>Parpro</t>
  </si>
  <si>
    <t xml:space="preserve">Paratyphis spinosus </t>
  </si>
  <si>
    <t>Parspi</t>
  </si>
  <si>
    <t>Tetrathyrus sp.</t>
  </si>
  <si>
    <t>smr</t>
  </si>
  <si>
    <t>Tetsp</t>
  </si>
  <si>
    <t xml:space="preserve">Tetrathyrus arafurae   </t>
  </si>
  <si>
    <t>ahs</t>
  </si>
  <si>
    <t xml:space="preserve">Tetrathyrus forcipatus  </t>
  </si>
  <si>
    <t>Thyropus sp.</t>
  </si>
  <si>
    <t>mzr</t>
  </si>
  <si>
    <t>Thysp1</t>
  </si>
  <si>
    <t xml:space="preserve">Thyropus edwardsi   </t>
  </si>
  <si>
    <t>Thyed</t>
  </si>
  <si>
    <t xml:space="preserve">Thyropus sphaeroma   </t>
  </si>
  <si>
    <t>Thysph</t>
  </si>
  <si>
    <t xml:space="preserve">Thyropus typhoides   </t>
  </si>
  <si>
    <t>Thyty</t>
  </si>
  <si>
    <t>Schizoscelus sp.</t>
  </si>
  <si>
    <t>ltr</t>
  </si>
  <si>
    <t>Schsp</t>
  </si>
  <si>
    <t xml:space="preserve">Schizoscelus ornatus  </t>
  </si>
  <si>
    <t>zsl</t>
  </si>
  <si>
    <t>麦杆虫</t>
  </si>
  <si>
    <t>Caprellidea sp.</t>
  </si>
  <si>
    <t>明钩虾属</t>
  </si>
  <si>
    <t>Parhyale sp.</t>
  </si>
  <si>
    <t>parsp17</t>
  </si>
  <si>
    <t>zhg</t>
  </si>
  <si>
    <t>细麦杆虫</t>
  </si>
  <si>
    <t>Protella gracilis</t>
  </si>
  <si>
    <t>progr</t>
  </si>
  <si>
    <t>亮钩虾属</t>
  </si>
  <si>
    <t>Photis sp.</t>
  </si>
  <si>
    <t>Phosp</t>
  </si>
  <si>
    <t xml:space="preserve">Photis kapapa </t>
  </si>
  <si>
    <t>kpl</t>
  </si>
  <si>
    <t>Phoka</t>
  </si>
  <si>
    <t>Isopoda</t>
  </si>
  <si>
    <t>Isopo</t>
  </si>
  <si>
    <t>Latreille, 1817</t>
  </si>
  <si>
    <t>小寄虱属</t>
  </si>
  <si>
    <t>Microniscus sp.</t>
  </si>
  <si>
    <t>F Muller, 1871</t>
  </si>
  <si>
    <t>外浪漂水虱</t>
  </si>
  <si>
    <t>Excirolana sp.</t>
  </si>
  <si>
    <t>wlp</t>
  </si>
  <si>
    <t>excsp</t>
  </si>
  <si>
    <t>东方外浪漂水虱</t>
  </si>
  <si>
    <t xml:space="preserve">Excirolana orientalis   </t>
  </si>
  <si>
    <t>excor</t>
  </si>
  <si>
    <t>日本外浪漂水虱</t>
  </si>
  <si>
    <t>Excirolana japonica</t>
  </si>
  <si>
    <t>excja</t>
  </si>
  <si>
    <t>Cumacea sp.</t>
  </si>
  <si>
    <t>Cumac</t>
  </si>
  <si>
    <t>Krøyer, 1846</t>
  </si>
  <si>
    <t xml:space="preserve">Bodotria chinensis </t>
  </si>
  <si>
    <t xml:space="preserve">Bodotria ovalis </t>
  </si>
  <si>
    <t xml:space="preserve">Bodotria scorpioides </t>
  </si>
  <si>
    <t xml:space="preserve">Iphinoe gurjanovae </t>
  </si>
  <si>
    <t xml:space="preserve">Iphinoe tenera </t>
  </si>
  <si>
    <t xml:space="preserve">Cyclaspis linguiloba </t>
  </si>
  <si>
    <t xml:space="preserve">Heterocuma sarsi </t>
  </si>
  <si>
    <t xml:space="preserve">Eocuma lata </t>
  </si>
  <si>
    <t xml:space="preserve">Diastylis tricincta </t>
  </si>
  <si>
    <t>Diatri</t>
  </si>
  <si>
    <t xml:space="preserve">Dimorphostylis asiatica </t>
  </si>
  <si>
    <t xml:space="preserve">Gynodiastylis anguicephala </t>
  </si>
  <si>
    <t xml:space="preserve">Lamprops hexaspinula </t>
  </si>
  <si>
    <t xml:space="preserve">Eudorella pacifica </t>
  </si>
  <si>
    <t xml:space="preserve">Hemileucon bidentatus </t>
  </si>
  <si>
    <t xml:space="preserve">Cumella arguta </t>
  </si>
  <si>
    <t xml:space="preserve">Campylaspis amblyoda </t>
  </si>
  <si>
    <t xml:space="preserve">Campylaspis fusiformis </t>
  </si>
  <si>
    <t xml:space="preserve">Bentheuphausia amblyops  </t>
  </si>
  <si>
    <t>G.O.Sars, 1885</t>
  </si>
  <si>
    <t>尖额燧磷虾</t>
  </si>
  <si>
    <t xml:space="preserve">Thysanopoda acutifrons </t>
  </si>
  <si>
    <t>Holt et Tattersall, 1905</t>
  </si>
  <si>
    <t>有刺燧磷虾</t>
  </si>
  <si>
    <t xml:space="preserve">Thysanopoda aequalis  </t>
  </si>
  <si>
    <t>Hansen, 1905</t>
  </si>
  <si>
    <t>无刺燧磷虾</t>
  </si>
  <si>
    <t xml:space="preserve">Thysanopoda astylata </t>
  </si>
  <si>
    <t>Brinton, 1975</t>
  </si>
  <si>
    <t>角燧磷虾</t>
  </si>
  <si>
    <t>Illig, 1905</t>
  </si>
  <si>
    <t xml:space="preserve">Thysanopoda cristata  </t>
  </si>
  <si>
    <t>G. O. Sars, 1883</t>
  </si>
  <si>
    <t xml:space="preserve">Thysanopoda egregia  </t>
  </si>
  <si>
    <t>单刺燧磷虾</t>
  </si>
  <si>
    <t>Ortmann, 1893</t>
  </si>
  <si>
    <t>钝形燧磷虾</t>
  </si>
  <si>
    <t xml:space="preserve">Thysanopoda obtusifrons  </t>
  </si>
  <si>
    <t xml:space="preserve">Thysanopoda orintalis  </t>
  </si>
  <si>
    <t>栉状燧磷虾</t>
  </si>
  <si>
    <t xml:space="preserve">Thysanopoda pectinata </t>
  </si>
  <si>
    <t>三刺燧磷虾</t>
  </si>
  <si>
    <t xml:space="preserve">Thysanopoda tricuspidata </t>
  </si>
  <si>
    <t>H. Milne-Edwards, 1837</t>
  </si>
  <si>
    <t>psesp11</t>
  </si>
  <si>
    <t xml:space="preserve">Pseudeuphausia latifrons </t>
  </si>
  <si>
    <t>(S. O. Sars, 1883)</t>
  </si>
  <si>
    <t xml:space="preserve">Pseudeuphausia sinica   </t>
  </si>
  <si>
    <t>Wang et Chen, 1963</t>
  </si>
  <si>
    <t>Eupsp5</t>
  </si>
  <si>
    <t xml:space="preserve">Euphausia brevis  </t>
  </si>
  <si>
    <t xml:space="preserve">Euphausia diomedeae </t>
  </si>
  <si>
    <t>Ortmann, 1894</t>
  </si>
  <si>
    <t xml:space="preserve">Euphausia gibba  </t>
  </si>
  <si>
    <t xml:space="preserve">Euphausia hemigibba  </t>
  </si>
  <si>
    <t xml:space="preserve">Euphausia mutica  </t>
  </si>
  <si>
    <t xml:space="preserve">Euphausia nana </t>
  </si>
  <si>
    <t>Brinton, 1962</t>
  </si>
  <si>
    <t xml:space="preserve">Euphausia pacifica  </t>
  </si>
  <si>
    <t>Hansen, 1911</t>
  </si>
  <si>
    <t xml:space="preserve">Euphausia paragibba  </t>
  </si>
  <si>
    <t>Euppar</t>
  </si>
  <si>
    <t xml:space="preserve">Euphausia pseudogibba </t>
  </si>
  <si>
    <t xml:space="preserve">Euphausia recurva  </t>
  </si>
  <si>
    <t>大眼磷虾</t>
  </si>
  <si>
    <t xml:space="preserve">Euphausia sanzoi </t>
  </si>
  <si>
    <t>Torelli, 1934</t>
  </si>
  <si>
    <t>短额磷虾</t>
  </si>
  <si>
    <t xml:space="preserve">Euphausia sibogae  </t>
  </si>
  <si>
    <t>Eupsib</t>
  </si>
  <si>
    <t>Hansen, 1908</t>
  </si>
  <si>
    <t xml:space="preserve">Euphausia similis  </t>
  </si>
  <si>
    <t>柔弱磷虾</t>
  </si>
  <si>
    <t xml:space="preserve">Euphausia tenera  </t>
  </si>
  <si>
    <t>Nemsp1</t>
  </si>
  <si>
    <t xml:space="preserve">Nematoscelis atlantica  </t>
  </si>
  <si>
    <t xml:space="preserve">Nematoscelis gracilis  </t>
  </si>
  <si>
    <t xml:space="preserve">Nematoscelis lobata  </t>
  </si>
  <si>
    <t>Hansen, 1916</t>
  </si>
  <si>
    <t xml:space="preserve">Nematoscelis microps  </t>
  </si>
  <si>
    <t xml:space="preserve">Nematoscelis tenella  </t>
  </si>
  <si>
    <t>臂磷虾属</t>
  </si>
  <si>
    <t>Nematobrachion sp.</t>
  </si>
  <si>
    <t xml:space="preserve">Nematobrachion boopis </t>
  </si>
  <si>
    <t>(Calman, 1905)</t>
  </si>
  <si>
    <t xml:space="preserve">Nematobrachion flexipes </t>
  </si>
  <si>
    <t>(Ortmann, 1893)</t>
  </si>
  <si>
    <t xml:space="preserve">Nematobrachion sexspinosum  </t>
  </si>
  <si>
    <t>短柱螯磷虾</t>
  </si>
  <si>
    <t xml:space="preserve">Stylocheiron abbreviatum  </t>
  </si>
  <si>
    <t>近缘柱螯磷虾</t>
  </si>
  <si>
    <t xml:space="preserve">Stylocheiron affine  </t>
  </si>
  <si>
    <t>隆柱螯磷虾</t>
  </si>
  <si>
    <t xml:space="preserve">Stylocheiron carinatum  </t>
  </si>
  <si>
    <t>柱螯磷虾</t>
  </si>
  <si>
    <t xml:space="preserve">Stylocheiron elongatum  </t>
  </si>
  <si>
    <t xml:space="preserve">Stylocheiron indicus </t>
  </si>
  <si>
    <t>Silas et Mathew, 1967</t>
  </si>
  <si>
    <t>长眼柱螯磷虾</t>
  </si>
  <si>
    <t xml:space="preserve">Stylocheiron longicorne  </t>
  </si>
  <si>
    <t>大柱螯磷虾</t>
  </si>
  <si>
    <t xml:space="preserve">Stylocheiron maximum  </t>
  </si>
  <si>
    <t>二晶柱螯磷虾</t>
  </si>
  <si>
    <t xml:space="preserve">Stylocheiron microphthalma  </t>
  </si>
  <si>
    <t xml:space="preserve">Stylocheiron robustum </t>
  </si>
  <si>
    <t>三晶柱螯磷虾</t>
  </si>
  <si>
    <t xml:space="preserve">Stylocheiron suhmii  </t>
  </si>
  <si>
    <t xml:space="preserve">Lucifer faxoni </t>
  </si>
  <si>
    <t>汉森莹虾</t>
  </si>
  <si>
    <t xml:space="preserve">Lucifer hanseni  </t>
  </si>
  <si>
    <t>Nobili, 1906</t>
  </si>
  <si>
    <t xml:space="preserve">Lucifer intermedius  </t>
  </si>
  <si>
    <t>Hansen, 1927</t>
  </si>
  <si>
    <t xml:space="preserve">Lucifer orientalis  </t>
  </si>
  <si>
    <t xml:space="preserve">Lucifer penicillifer  </t>
  </si>
  <si>
    <t xml:space="preserve">Lucifer typus </t>
  </si>
  <si>
    <t xml:space="preserve">Acetes chinensis  </t>
  </si>
  <si>
    <t>Hansen, 1919</t>
  </si>
  <si>
    <t xml:space="preserve">Acetes erythraeus  </t>
  </si>
  <si>
    <t>Nobili, 1905</t>
  </si>
  <si>
    <t xml:space="preserve">Acetes intermedius </t>
  </si>
  <si>
    <t>Omori, 1975</t>
  </si>
  <si>
    <t xml:space="preserve">Acetes japonicus </t>
  </si>
  <si>
    <t>Kishinouye, 1905</t>
  </si>
  <si>
    <t xml:space="preserve">Acetes serrulatus </t>
  </si>
  <si>
    <t>(Krøyer, 1859)</t>
  </si>
  <si>
    <t xml:space="preserve">Acetes vulgaris  </t>
  </si>
  <si>
    <t xml:space="preserve">Sergestes gardineri  </t>
  </si>
  <si>
    <t xml:space="preserve">Sergestes orientalis  </t>
  </si>
  <si>
    <t xml:space="preserve">Sergestes talismani </t>
  </si>
  <si>
    <t>尖尾细螯虾</t>
  </si>
  <si>
    <t xml:space="preserve">Leptochela aculeocaudata </t>
  </si>
  <si>
    <t>jwx</t>
  </si>
  <si>
    <t>Lepac</t>
  </si>
  <si>
    <t>Paulson</t>
  </si>
  <si>
    <t xml:space="preserve">Leptochela gracilis  </t>
  </si>
  <si>
    <t>Stimpson, 1860</t>
  </si>
  <si>
    <t xml:space="preserve">Leptochela hainanensis </t>
  </si>
  <si>
    <t xml:space="preserve">Leptochela japonicus </t>
  </si>
  <si>
    <t xml:space="preserve">Leptochela pugnax </t>
  </si>
  <si>
    <t xml:space="preserve">Leptochela robusta </t>
  </si>
  <si>
    <t xml:space="preserve">Exopalaemon carinicauda </t>
  </si>
  <si>
    <t>Exoca</t>
  </si>
  <si>
    <t>(Holthuis)</t>
  </si>
  <si>
    <t>短额棘虾</t>
  </si>
  <si>
    <t>Acacu</t>
  </si>
  <si>
    <t>Wood-Mason,1891</t>
  </si>
  <si>
    <t>紫斑棘虾</t>
  </si>
  <si>
    <t xml:space="preserve">Acanthephyra purpurea </t>
  </si>
  <si>
    <t>zbj</t>
  </si>
  <si>
    <t>Acapu</t>
  </si>
  <si>
    <t>A.Milne-Edwards,1881</t>
  </si>
  <si>
    <t xml:space="preserve">Systellaspis debilis </t>
  </si>
  <si>
    <t>rrh</t>
  </si>
  <si>
    <t>Sysde</t>
  </si>
  <si>
    <t>(A.Milne-Edwards,1881)</t>
  </si>
  <si>
    <t>Parzu</t>
  </si>
  <si>
    <t>单刺异腕虾</t>
  </si>
  <si>
    <t>Alcock,1901</t>
  </si>
  <si>
    <t>白虾属</t>
  </si>
  <si>
    <t>Exopalaemon sp.</t>
  </si>
  <si>
    <t>Exosp</t>
  </si>
  <si>
    <t>锄虫属</t>
  </si>
  <si>
    <t>Spadella sp.</t>
  </si>
  <si>
    <t>cc</t>
  </si>
  <si>
    <t>Spasp</t>
  </si>
  <si>
    <t>头翼锄虫</t>
  </si>
  <si>
    <t xml:space="preserve">Spadella cephaloptera </t>
  </si>
  <si>
    <t>Space</t>
  </si>
  <si>
    <t>(Busch, 1851)</t>
  </si>
  <si>
    <t>平滑锄虫</t>
  </si>
  <si>
    <t xml:space="preserve">Spadella plana </t>
  </si>
  <si>
    <t>phc</t>
  </si>
  <si>
    <t>Spapl</t>
  </si>
  <si>
    <t>Xiao, 2004</t>
  </si>
  <si>
    <t>真撬虫属</t>
  </si>
  <si>
    <t>zqc</t>
  </si>
  <si>
    <t>南极真撬虫</t>
  </si>
  <si>
    <t xml:space="preserve">Eukrohnia bathyantarctica </t>
  </si>
  <si>
    <t>njz</t>
  </si>
  <si>
    <t>David, 1958</t>
  </si>
  <si>
    <t>深水真撬虫</t>
  </si>
  <si>
    <t xml:space="preserve">Eukrohnia bathypelagica  </t>
  </si>
  <si>
    <t>Eukbat</t>
  </si>
  <si>
    <t>Alvarino, 1962</t>
  </si>
  <si>
    <t>福勒真撬虫</t>
  </si>
  <si>
    <t>flz</t>
  </si>
  <si>
    <t>Ritter-Záhony, 1909</t>
  </si>
  <si>
    <t>钩状真撬虫</t>
  </si>
  <si>
    <t xml:space="preserve">Eukrohnia hamata </t>
  </si>
  <si>
    <t>(Möbius, 1875)</t>
  </si>
  <si>
    <t>异撬虫属</t>
  </si>
  <si>
    <t>Heterokrohnia sp.</t>
  </si>
  <si>
    <t>Hetsp3</t>
  </si>
  <si>
    <t>中华异撬虫</t>
  </si>
  <si>
    <t xml:space="preserve">Heterokrohnia sinica </t>
  </si>
  <si>
    <t>hetsi</t>
  </si>
  <si>
    <t>(Zhang et Chen, 1983)</t>
  </si>
  <si>
    <t>撬虫属</t>
  </si>
  <si>
    <t>Krohnita sp.</t>
  </si>
  <si>
    <t>qc</t>
  </si>
  <si>
    <t>Krosp</t>
  </si>
  <si>
    <t xml:space="preserve">Krohnitta pacifica   </t>
  </si>
  <si>
    <t>(Aida, 1897)</t>
  </si>
  <si>
    <t xml:space="preserve">Krohnitta subtilis </t>
  </si>
  <si>
    <t>(Grassi, 1881)</t>
  </si>
  <si>
    <t>翼箭虫属</t>
  </si>
  <si>
    <t>Pterosagitta sp.</t>
  </si>
  <si>
    <t>yjc</t>
  </si>
  <si>
    <t>Ptesp</t>
  </si>
  <si>
    <t xml:space="preserve">Pterosagitta draco </t>
  </si>
  <si>
    <t>(Krohn, 1853)</t>
  </si>
  <si>
    <t>贝德福箭虫</t>
  </si>
  <si>
    <t xml:space="preserve">Sagitta bedfordii  </t>
  </si>
  <si>
    <t>bfd</t>
  </si>
  <si>
    <t>Sagbed</t>
  </si>
  <si>
    <t>Doncaster, 1903</t>
  </si>
  <si>
    <t xml:space="preserve">Sagitta bedoti </t>
  </si>
  <si>
    <t>Béraneck, 1895</t>
  </si>
  <si>
    <t xml:space="preserve">Sagitta bipunctata </t>
  </si>
  <si>
    <t>布氏箭虫</t>
  </si>
  <si>
    <t xml:space="preserve">Sagitta brunni  </t>
  </si>
  <si>
    <t>Alvarino, 1967</t>
  </si>
  <si>
    <t>强壮箭虫内海型</t>
  </si>
  <si>
    <t xml:space="preserve">Sagitta crass f.naikaiensis  </t>
  </si>
  <si>
    <t>Sagcra</t>
  </si>
  <si>
    <t>Tokioka, 1939</t>
  </si>
  <si>
    <t xml:space="preserve">Sagitta crassa  </t>
  </si>
  <si>
    <t>Tokioka, 1938</t>
  </si>
  <si>
    <t xml:space="preserve">Sagitta decipiens </t>
  </si>
  <si>
    <t>Sagdec</t>
  </si>
  <si>
    <t>Fowler, 1905</t>
  </si>
  <si>
    <t>柔弱箭虫</t>
  </si>
  <si>
    <t xml:space="preserve">Sagitta delicata  </t>
  </si>
  <si>
    <t>rlj</t>
  </si>
  <si>
    <t xml:space="preserve">Sagitta enflata </t>
  </si>
  <si>
    <t>Grassi, 1881</t>
  </si>
  <si>
    <t xml:space="preserve">Sagitta ferox  </t>
  </si>
  <si>
    <t>六翼箭虫</t>
  </si>
  <si>
    <t xml:space="preserve">Sagitta hexaptera </t>
  </si>
  <si>
    <t>d'Orbigny, 1834</t>
  </si>
  <si>
    <t>柔佛箭虫</t>
  </si>
  <si>
    <t xml:space="preserve">Sagitta johorensis </t>
  </si>
  <si>
    <t>rfj</t>
  </si>
  <si>
    <t>Pathansali et Tokioka, 1963</t>
  </si>
  <si>
    <t xml:space="preserve">Sagitta lyra </t>
  </si>
  <si>
    <t>Krohn, 1853</t>
  </si>
  <si>
    <t xml:space="preserve">Sagitta macrocephala </t>
  </si>
  <si>
    <t>微形箭虫</t>
  </si>
  <si>
    <t xml:space="preserve">Sagitta minima </t>
  </si>
  <si>
    <t>纳嘎箭虫</t>
  </si>
  <si>
    <t xml:space="preserve">Sagitta nagae  </t>
  </si>
  <si>
    <t>ngj</t>
  </si>
  <si>
    <t>小形箭虫</t>
  </si>
  <si>
    <t xml:space="preserve">Sagitta neglecta  </t>
  </si>
  <si>
    <t>Aida, 1897</t>
  </si>
  <si>
    <t xml:space="preserve">Sagitta neodecipiens  </t>
  </si>
  <si>
    <t>Sagneo</t>
  </si>
  <si>
    <t>Tokioka, 1959</t>
  </si>
  <si>
    <t>大洋箭虫</t>
  </si>
  <si>
    <t xml:space="preserve">Sagitta oceania </t>
  </si>
  <si>
    <t>Gray, 1930</t>
  </si>
  <si>
    <t xml:space="preserve">Sagitta pacifica  </t>
  </si>
  <si>
    <t>Tokioka, 1940</t>
  </si>
  <si>
    <t xml:space="preserve">Sagitta planctonis </t>
  </si>
  <si>
    <t>Steinhaus, 1896</t>
  </si>
  <si>
    <t xml:space="preserve">Sagitta pseudoserratodentata  </t>
  </si>
  <si>
    <t xml:space="preserve">Sagitta pulchra  </t>
  </si>
  <si>
    <t>正形箭虫</t>
  </si>
  <si>
    <t xml:space="preserve">Sagitta regularis  </t>
  </si>
  <si>
    <t xml:space="preserve">Sagitta robusta  </t>
  </si>
  <si>
    <t xml:space="preserve">Sagitta septata  </t>
  </si>
  <si>
    <t>中华箭虫</t>
  </si>
  <si>
    <t xml:space="preserve">Sagitta sinica </t>
  </si>
  <si>
    <t>Sagsi</t>
  </si>
  <si>
    <t>瘦箭虫</t>
  </si>
  <si>
    <t xml:space="preserve">Sagitta tenuis </t>
  </si>
  <si>
    <t>Conant, 1896</t>
  </si>
  <si>
    <t>时岗隆箭虫</t>
  </si>
  <si>
    <t xml:space="preserve">Sagitta tokiokai  </t>
  </si>
  <si>
    <t>sgl</t>
  </si>
  <si>
    <t>肿胀箭虫</t>
  </si>
  <si>
    <t xml:space="preserve">Sagitta tumida  </t>
  </si>
  <si>
    <t>Sagtu</t>
  </si>
  <si>
    <t>寻觅箭虫</t>
  </si>
  <si>
    <t xml:space="preserve">Sagitta zetesios </t>
  </si>
  <si>
    <t>强壮箭虫中间型</t>
  </si>
  <si>
    <t>Sagitta crass f.intermedius</t>
  </si>
  <si>
    <t>Sagcri</t>
  </si>
  <si>
    <t>Oiksp</t>
  </si>
  <si>
    <t xml:space="preserve">Oikopleura albicans </t>
  </si>
  <si>
    <t>(Leuckart, 1854)</t>
  </si>
  <si>
    <t xml:space="preserve">Oikopleura cophocera  </t>
  </si>
  <si>
    <t>Oikcop</t>
  </si>
  <si>
    <t xml:space="preserve">Oikopleura dioica  </t>
  </si>
  <si>
    <t>Fol, 1872</t>
  </si>
  <si>
    <t xml:space="preserve">Oikopleura fusiformis  </t>
  </si>
  <si>
    <t xml:space="preserve">Oikopleura gracilis  </t>
  </si>
  <si>
    <t>Lohmann, 1896</t>
  </si>
  <si>
    <t xml:space="preserve">Oikopleura longicauda </t>
  </si>
  <si>
    <t>(Vogt, 1854)</t>
  </si>
  <si>
    <t xml:space="preserve">Oikopleura megastoma  </t>
  </si>
  <si>
    <t xml:space="preserve">Oikopleura parva  </t>
  </si>
  <si>
    <t xml:space="preserve">Oikopleura rufescens  </t>
  </si>
  <si>
    <t>Megalocercus sp.</t>
  </si>
  <si>
    <t>Megsp</t>
  </si>
  <si>
    <t xml:space="preserve">Megalocercus huxleyi </t>
  </si>
  <si>
    <t>(Ritter et Byxbee, 1905)</t>
  </si>
  <si>
    <t>Stegosoma sp.</t>
  </si>
  <si>
    <t>Stesp</t>
  </si>
  <si>
    <t xml:space="preserve">Stegosoma magnum </t>
  </si>
  <si>
    <t xml:space="preserve">Pelagopleura verticalis   </t>
  </si>
  <si>
    <t>(Lohmann, 1914)</t>
  </si>
  <si>
    <t>Althoffia sp.</t>
  </si>
  <si>
    <t>Altsp</t>
  </si>
  <si>
    <t xml:space="preserve">Althoffia tumida  </t>
  </si>
  <si>
    <t>Lohmann, 1892</t>
  </si>
  <si>
    <t>褶海鞘属</t>
  </si>
  <si>
    <t>双角褶海鞘</t>
  </si>
  <si>
    <t xml:space="preserve">Fritillaria bicornis  </t>
  </si>
  <si>
    <t>北方褶海鞘</t>
  </si>
  <si>
    <t xml:space="preserve">Fritillaria borealis  </t>
  </si>
  <si>
    <t>北方褶海鞘中型亚种</t>
  </si>
  <si>
    <t xml:space="preserve">Fritillaria borealis intermedia  </t>
  </si>
  <si>
    <t>Friboi</t>
  </si>
  <si>
    <t>北方褶海鞘海藻亚种</t>
  </si>
  <si>
    <t xml:space="preserve">Fritillaria borealis sargassi  </t>
  </si>
  <si>
    <t>Fribos</t>
  </si>
  <si>
    <t>北方褶海鞘正型亚种</t>
  </si>
  <si>
    <t xml:space="preserve">Fritillaria borealis typica  </t>
  </si>
  <si>
    <t>fribot</t>
  </si>
  <si>
    <t>蚁褶海鞘</t>
  </si>
  <si>
    <t xml:space="preserve">Fritillaria formica  </t>
  </si>
  <si>
    <t>yhq</t>
  </si>
  <si>
    <t xml:space="preserve">Fritillaria formica digitata  </t>
  </si>
  <si>
    <t>Frifod</t>
  </si>
  <si>
    <t>Lohmann et Bückmann, 1926</t>
  </si>
  <si>
    <t>Fritillaria formica tuberculata</t>
  </si>
  <si>
    <t>Frifot</t>
  </si>
  <si>
    <t>隐褶海鞘</t>
  </si>
  <si>
    <t xml:space="preserve">Fritillaria fraudax  </t>
  </si>
  <si>
    <t>单胃褶海鞘</t>
  </si>
  <si>
    <t xml:space="preserve">Fritillaria haplostoma  </t>
  </si>
  <si>
    <t>Fol, 1872 emend. Fol, 1874</t>
  </si>
  <si>
    <t>巨褶海鞘</t>
  </si>
  <si>
    <t xml:space="preserve">Fritillaria megachile  </t>
  </si>
  <si>
    <t>透明褶海鞘</t>
  </si>
  <si>
    <t xml:space="preserve">Fritillaria pellucida </t>
  </si>
  <si>
    <t xml:space="preserve">Fritillaria pellucida omani   </t>
  </si>
  <si>
    <t>Fripeo</t>
  </si>
  <si>
    <t>Fenaux, 1967</t>
  </si>
  <si>
    <t>透明褶海鞘正型亚种</t>
  </si>
  <si>
    <t xml:space="preserve">Fritillaria pellucida typica   </t>
  </si>
  <si>
    <t>Fripet</t>
  </si>
  <si>
    <t>Bush, 1851</t>
  </si>
  <si>
    <t>软褶海鞘</t>
  </si>
  <si>
    <t xml:space="preserve">Fritillaria tenella  </t>
  </si>
  <si>
    <t>美丽褶海鞘</t>
  </si>
  <si>
    <t xml:space="preserve">Fritillaria venusta  </t>
  </si>
  <si>
    <t>多产住筒虫</t>
  </si>
  <si>
    <t xml:space="preserve">Tectillaria fertilis   </t>
  </si>
  <si>
    <t>(Lohmann, 1896)</t>
  </si>
  <si>
    <t xml:space="preserve">Dolioletta gegenbauri   </t>
  </si>
  <si>
    <t>(Uljanin, 1884)</t>
  </si>
  <si>
    <t>Quoy et Gamard, 1834</t>
  </si>
  <si>
    <t xml:space="preserve">Doliolum denticulatum ehrenbergi  </t>
  </si>
  <si>
    <t>Doldee</t>
  </si>
  <si>
    <t xml:space="preserve">Doliolum nationalis </t>
  </si>
  <si>
    <t xml:space="preserve">Dolioloides rarum </t>
  </si>
  <si>
    <t xml:space="preserve">Doliolina mulleri krohni   </t>
  </si>
  <si>
    <t xml:space="preserve">Doliolina obscura   </t>
  </si>
  <si>
    <t xml:space="preserve">Doliolina separata   </t>
  </si>
  <si>
    <t>htc</t>
  </si>
  <si>
    <t xml:space="preserve">Pyrosoma atlanticum </t>
  </si>
  <si>
    <t>Péron, 1804</t>
  </si>
  <si>
    <t xml:space="preserve">Cyclosalpa affinis   </t>
  </si>
  <si>
    <t>(Chamisso, 1819)</t>
  </si>
  <si>
    <t xml:space="preserve">Cyclosalpa bakeri </t>
  </si>
  <si>
    <t>Ritter, 1905</t>
  </si>
  <si>
    <t xml:space="preserve">Cyclosalpa floridana  </t>
  </si>
  <si>
    <t>(Apstein, 1894)</t>
  </si>
  <si>
    <t xml:space="preserve">Cyclosalpa pinnata   </t>
  </si>
  <si>
    <t xml:space="preserve">Cyclosalpa pinnata f.quadriluminis </t>
  </si>
  <si>
    <t>Cycpiq</t>
  </si>
  <si>
    <t>Berner, 1955</t>
  </si>
  <si>
    <t xml:space="preserve">Cyclosalpa pinnata polae </t>
  </si>
  <si>
    <t>Cycpip</t>
  </si>
  <si>
    <t>(Sigl, 1912)</t>
  </si>
  <si>
    <t xml:space="preserve">Cyclosalpa pinnata sewilli </t>
  </si>
  <si>
    <t>Cycpis</t>
  </si>
  <si>
    <t>Metcalf, 1927</t>
  </si>
  <si>
    <t>Helicosalpa sp.</t>
  </si>
  <si>
    <t>Helsp</t>
  </si>
  <si>
    <t xml:space="preserve">Helicosalpa virgula </t>
  </si>
  <si>
    <t>Brooksia sp.</t>
  </si>
  <si>
    <t>Brosp</t>
  </si>
  <si>
    <t xml:space="preserve">Brooksia rostrata </t>
  </si>
  <si>
    <t>(Traustedt, 1893)</t>
  </si>
  <si>
    <t>Ritteriella sp.</t>
  </si>
  <si>
    <t>Ritsp</t>
  </si>
  <si>
    <t>Metcalf, 1918</t>
  </si>
  <si>
    <t xml:space="preserve">Ritteriella picteti  </t>
  </si>
  <si>
    <t>(Apstein, 1904)</t>
  </si>
  <si>
    <t xml:space="preserve">Ritteriella amboinensis  </t>
  </si>
  <si>
    <t xml:space="preserve">Metcalfina hexagona  </t>
  </si>
  <si>
    <t>(Quoy et Gaimaid, 1824)</t>
  </si>
  <si>
    <t>Soestia sp.</t>
  </si>
  <si>
    <t>Soesp</t>
  </si>
  <si>
    <t xml:space="preserve">Iasis zonaria </t>
  </si>
  <si>
    <t>(Pallas, 1774)</t>
  </si>
  <si>
    <t>Thetys vagina Tilesius</t>
  </si>
  <si>
    <t>Tilesius, 1802</t>
  </si>
  <si>
    <t>萨利纽鳃樽属</t>
  </si>
  <si>
    <t>Thalia sp.</t>
  </si>
  <si>
    <t>sln</t>
  </si>
  <si>
    <t>双尾萨利纽鳃樽</t>
  </si>
  <si>
    <t xml:space="preserve">Thalia democratica </t>
  </si>
  <si>
    <t>(Forskal, 1775)</t>
  </si>
  <si>
    <t>双尾萨利纽鳃樽多刺亚种</t>
  </si>
  <si>
    <t xml:space="preserve">Thalia democratica echinata  </t>
  </si>
  <si>
    <t>Thadee</t>
  </si>
  <si>
    <t>Tokioka, 1937</t>
  </si>
  <si>
    <t>双尾萨利纽鳃樽东方亚种</t>
  </si>
  <si>
    <t xml:space="preserve">Thalia democratica orientalis  </t>
  </si>
  <si>
    <t>Thadeo</t>
  </si>
  <si>
    <t>Pegea sp.</t>
  </si>
  <si>
    <t>Pegsp.</t>
  </si>
  <si>
    <t xml:space="preserve">Pegea confoederata   </t>
  </si>
  <si>
    <t xml:space="preserve">Traustedtia multitentaculata  </t>
  </si>
  <si>
    <t>(Quoy et Gaimaid, 1834)</t>
  </si>
  <si>
    <t xml:space="preserve">Weelia cylindrica  </t>
  </si>
  <si>
    <t>(Cuvier, 1804)</t>
  </si>
  <si>
    <t>梭形纽鳃樽</t>
  </si>
  <si>
    <t xml:space="preserve">Salpa fusiformis  </t>
  </si>
  <si>
    <t>Cuvier, 1804</t>
  </si>
  <si>
    <t>梭形纽鳃樽多刺亚种</t>
  </si>
  <si>
    <t xml:space="preserve">Salpa fusiformis aspera   </t>
  </si>
  <si>
    <t>Salfua</t>
  </si>
  <si>
    <t xml:space="preserve">Salpa maxima  </t>
  </si>
  <si>
    <t xml:space="preserve">Salpa maxima tuberculata </t>
  </si>
  <si>
    <t>Salmat</t>
  </si>
  <si>
    <t xml:space="preserve">Aplidium depressum </t>
  </si>
  <si>
    <t>Ihlea sp.</t>
  </si>
  <si>
    <t>Ihlsp</t>
  </si>
  <si>
    <t xml:space="preserve">Ihlea punctata   </t>
  </si>
  <si>
    <t>Thalia mullitentaculata</t>
  </si>
  <si>
    <t>thamu</t>
  </si>
  <si>
    <t>细长纽鳃樽</t>
  </si>
  <si>
    <t>Cyclosalpa virgula</t>
  </si>
  <si>
    <t>Cycvi</t>
  </si>
  <si>
    <t xml:space="preserve">Oikopleura intermedia  </t>
  </si>
  <si>
    <t xml:space="preserve">Oikopleura cornutogastra   </t>
  </si>
  <si>
    <t>(Aida, 1907)</t>
  </si>
  <si>
    <t>水螅水母幼体</t>
  </si>
  <si>
    <t>Hydroidomedusae larvae</t>
  </si>
  <si>
    <t>钵水母蝶状幼虫</t>
  </si>
  <si>
    <t>Ephyra larvae (Scyphomedusae)</t>
  </si>
  <si>
    <t>ephla</t>
  </si>
  <si>
    <t>扁虫类牟勒氏幼虫</t>
  </si>
  <si>
    <t>Muller's larvae (Turbellaria)</t>
  </si>
  <si>
    <t>Mulla</t>
  </si>
  <si>
    <t>扁虫类幼体</t>
  </si>
  <si>
    <t>Turbellaria larvae</t>
  </si>
  <si>
    <t>Pilidum larvae (Nemertea)</t>
  </si>
  <si>
    <t>nzy</t>
  </si>
  <si>
    <t>pilln</t>
  </si>
  <si>
    <t>线虫类幼体</t>
  </si>
  <si>
    <t>Nematoda larvae</t>
  </si>
  <si>
    <t>Nemla</t>
  </si>
  <si>
    <t>多毛类担轮幼虫</t>
  </si>
  <si>
    <t>Trochophora larvae (Polychaeta)</t>
  </si>
  <si>
    <t>多毛类后担轮幼虫</t>
  </si>
  <si>
    <t>Metatrochophora larvae (Polychaeta)</t>
  </si>
  <si>
    <t>metla</t>
  </si>
  <si>
    <t>Polla</t>
  </si>
  <si>
    <t>软体动物担轮幼虫</t>
  </si>
  <si>
    <t>Trochophora larvae (Mollusca)</t>
  </si>
  <si>
    <t>Trolm</t>
  </si>
  <si>
    <t>双壳纲幼体</t>
  </si>
  <si>
    <t>Bivalvia larvae</t>
  </si>
  <si>
    <t>Bivla</t>
  </si>
  <si>
    <t>腹足纲幼体</t>
  </si>
  <si>
    <t>Gastropoda larvae</t>
  </si>
  <si>
    <t>Gasla</t>
  </si>
  <si>
    <t>头足纲幼体</t>
  </si>
  <si>
    <t>肢口类三叶幼虫</t>
  </si>
  <si>
    <t>Trilobite larvae (Merostomata)</t>
  </si>
  <si>
    <t>syy</t>
  </si>
  <si>
    <t>Trila</t>
  </si>
  <si>
    <t>桡足类无节幼体</t>
  </si>
  <si>
    <t>Nauplius larvae (Copepoda)</t>
  </si>
  <si>
    <t>naula</t>
  </si>
  <si>
    <t>Nauplius larvae (Cirripedia)</t>
  </si>
  <si>
    <t>naulac</t>
  </si>
  <si>
    <t>蔓足类腺介幼虫</t>
  </si>
  <si>
    <t>Mysidacea larvae</t>
  </si>
  <si>
    <t>等足类幼体</t>
  </si>
  <si>
    <t>Isopoda larvae</t>
  </si>
  <si>
    <t>Isola</t>
  </si>
  <si>
    <t>rl</t>
  </si>
  <si>
    <t>Euphausiacea larvae</t>
  </si>
  <si>
    <t>Decapoda larvae</t>
  </si>
  <si>
    <t>细螯虾幼体</t>
  </si>
  <si>
    <t>Leptochela larva</t>
  </si>
  <si>
    <t>Lepla</t>
  </si>
  <si>
    <t>Zoea larvae (Macrura)</t>
  </si>
  <si>
    <t>zolam</t>
  </si>
  <si>
    <t>Phyllosoma larvae</t>
  </si>
  <si>
    <t>Zoea larvae (Anomura)</t>
  </si>
  <si>
    <t>Zoelaa</t>
  </si>
  <si>
    <t>Zoea larvae (Porcellana)</t>
  </si>
  <si>
    <t>Zoelap</t>
  </si>
  <si>
    <t>Anmura larvae</t>
  </si>
  <si>
    <t>anmla</t>
  </si>
  <si>
    <t>Zoea larvae (Brachyura)</t>
  </si>
  <si>
    <t>Zoela</t>
  </si>
  <si>
    <t>Megalopa larvae (Brachyura)</t>
  </si>
  <si>
    <t>dyy</t>
  </si>
  <si>
    <t>Megla</t>
  </si>
  <si>
    <t>ylq</t>
  </si>
  <si>
    <t xml:space="preserve">Actinotrocha larvae </t>
  </si>
  <si>
    <t>Sagla</t>
  </si>
  <si>
    <t>海星纲羽腕幼虫</t>
  </si>
  <si>
    <t>Bipla</t>
  </si>
  <si>
    <t>海星纲幼体</t>
  </si>
  <si>
    <t>蛇尾纲幼体</t>
  </si>
  <si>
    <t>Ophiuroidea larvae</t>
  </si>
  <si>
    <t>swy</t>
  </si>
  <si>
    <t>Ophlav</t>
  </si>
  <si>
    <t>海百合纲樽形幼虫</t>
  </si>
  <si>
    <t>Doliolaria larvae</t>
  </si>
  <si>
    <t>Dolla</t>
  </si>
  <si>
    <t>Echinodermata larvae</t>
  </si>
  <si>
    <t>echlav</t>
  </si>
  <si>
    <t>柱头幼虫</t>
  </si>
  <si>
    <t>Tornaria larvae</t>
  </si>
  <si>
    <t>zty</t>
  </si>
  <si>
    <t>Torla</t>
  </si>
  <si>
    <t>蝌蚪幼虫</t>
  </si>
  <si>
    <t>Tadpole larvae</t>
  </si>
  <si>
    <t>kdy</t>
  </si>
  <si>
    <t>Tadla</t>
  </si>
  <si>
    <t>文昌鱼幼体</t>
  </si>
  <si>
    <t>Amphioxus larvae</t>
  </si>
  <si>
    <t>wcy</t>
  </si>
  <si>
    <t>Amphla</t>
  </si>
  <si>
    <t>Fiseg</t>
  </si>
  <si>
    <t>仔鱼</t>
  </si>
  <si>
    <t>Fisla</t>
  </si>
  <si>
    <t>有尾类幼体</t>
  </si>
  <si>
    <t>Appendicularia larvae</t>
  </si>
  <si>
    <t>appla</t>
  </si>
  <si>
    <t>腔肠动物幼体</t>
  </si>
  <si>
    <t>Coelenterata larvae</t>
  </si>
  <si>
    <t>qcd</t>
  </si>
  <si>
    <t>coela</t>
  </si>
  <si>
    <t>蟹幼体</t>
  </si>
  <si>
    <t>Crab larvae</t>
  </si>
  <si>
    <t>crala</t>
  </si>
  <si>
    <t>Chaetognatha larvae</t>
  </si>
  <si>
    <t>mey</t>
  </si>
  <si>
    <t>Chala</t>
  </si>
  <si>
    <t>Copepoda larvae</t>
  </si>
  <si>
    <t>copla</t>
  </si>
  <si>
    <t>帚虫类幼虫</t>
  </si>
  <si>
    <t>Phoronida larvae</t>
  </si>
  <si>
    <t>Phola</t>
  </si>
  <si>
    <t>软体类幼体</t>
  </si>
  <si>
    <t>Mallusca larvae</t>
  </si>
  <si>
    <t>rtl</t>
  </si>
  <si>
    <t>malla</t>
  </si>
  <si>
    <t>磷虾类原溞状幼体</t>
  </si>
  <si>
    <t>Euphausiacea calyptopis larvae</t>
  </si>
  <si>
    <t>lxl</t>
  </si>
  <si>
    <t>eupca</t>
  </si>
  <si>
    <t>磷虾类节叉幼体</t>
  </si>
  <si>
    <t>Euphausiacea furcilia larvae</t>
  </si>
  <si>
    <t>eupfur</t>
  </si>
  <si>
    <t>软体动物幼体</t>
  </si>
  <si>
    <t>Mollusca larvae</t>
  </si>
  <si>
    <t>molla</t>
  </si>
  <si>
    <t>异尾下目幼体</t>
  </si>
  <si>
    <t>Amomura larvae</t>
  </si>
  <si>
    <t>ywx</t>
  </si>
  <si>
    <t>amola</t>
  </si>
  <si>
    <t>海葵幼体</t>
  </si>
  <si>
    <t>Cerianthus larvae</t>
  </si>
  <si>
    <t>cerla</t>
  </si>
  <si>
    <t>哲水蚤目桡足幼体</t>
  </si>
  <si>
    <t>Calanoida copepodite</t>
  </si>
  <si>
    <t>calco</t>
  </si>
  <si>
    <t>柱螯磷虾幼体</t>
  </si>
  <si>
    <t>Stylocheiron larvae</t>
  </si>
  <si>
    <t>styla</t>
  </si>
  <si>
    <t>磁蟹幼体</t>
  </si>
  <si>
    <t>Porcellana larvae</t>
  </si>
  <si>
    <t>porla</t>
  </si>
  <si>
    <t>帽状幼虫</t>
  </si>
  <si>
    <t xml:space="preserve">Pilidum larvae </t>
  </si>
  <si>
    <t>红拟抱球虫</t>
  </si>
  <si>
    <t>Globigerina rubra</t>
  </si>
  <si>
    <t>hnbqc</t>
  </si>
  <si>
    <t>gloru</t>
  </si>
  <si>
    <t>线美螅水母</t>
  </si>
  <si>
    <t>Clytia linearis</t>
  </si>
  <si>
    <t>xmxsm</t>
  </si>
  <si>
    <t>Clyli</t>
  </si>
  <si>
    <t>厦门似杯水母</t>
  </si>
  <si>
    <t>Phialella xiamenensis</t>
  </si>
  <si>
    <t>xmsb</t>
  </si>
  <si>
    <t>phixi</t>
  </si>
  <si>
    <t>厦门和平水母</t>
  </si>
  <si>
    <t>Eirene xiamenensis</t>
  </si>
  <si>
    <t>xmhp</t>
  </si>
  <si>
    <t>eirxi</t>
  </si>
  <si>
    <t>yqczz</t>
  </si>
  <si>
    <t>subsub</t>
  </si>
  <si>
    <t>东方盐棍螅水母</t>
  </si>
  <si>
    <t>Halocoryne orientalis</t>
  </si>
  <si>
    <t>dfygx</t>
  </si>
  <si>
    <t>halori</t>
  </si>
  <si>
    <t>无疣和平水母</t>
  </si>
  <si>
    <t>Eirene averuciformis</t>
  </si>
  <si>
    <t>wyhp</t>
  </si>
  <si>
    <t>eirav</t>
  </si>
  <si>
    <t>Euphysora apiciloculifera</t>
  </si>
  <si>
    <t>dsznsm</t>
  </si>
  <si>
    <t>eupapi</t>
  </si>
  <si>
    <t>sxsm</t>
  </si>
  <si>
    <t>hydla</t>
  </si>
  <si>
    <t>tbdyj</t>
  </si>
  <si>
    <t>fargi</t>
  </si>
  <si>
    <t>jszsz</t>
  </si>
  <si>
    <t>trico</t>
  </si>
  <si>
    <t>scmmsz</t>
  </si>
  <si>
    <t>gxym</t>
  </si>
  <si>
    <t>gammsp</t>
  </si>
  <si>
    <t>Zoea larvae</t>
  </si>
  <si>
    <t>cxyt</t>
  </si>
  <si>
    <t>zola</t>
  </si>
  <si>
    <t>幼体类</t>
  </si>
  <si>
    <t>东山介螅水母</t>
  </si>
  <si>
    <t>Hydractinia dongshanensis</t>
  </si>
  <si>
    <t>dsjxsm</t>
  </si>
  <si>
    <t>hyddo</t>
  </si>
  <si>
    <t>芽介螅水母</t>
  </si>
  <si>
    <t>Hydractinia minuta</t>
  </si>
  <si>
    <t>yjxsm</t>
  </si>
  <si>
    <t>hydmiu</t>
  </si>
  <si>
    <t>Monia macrocopa</t>
  </si>
  <si>
    <t>dclfs</t>
  </si>
  <si>
    <t>monma</t>
  </si>
  <si>
    <t>小节溞</t>
  </si>
  <si>
    <t>Daphnia cristata</t>
  </si>
  <si>
    <t>xjsao</t>
  </si>
  <si>
    <t>dapcr</t>
  </si>
  <si>
    <t>Monia sp.</t>
  </si>
  <si>
    <t>lfs</t>
  </si>
  <si>
    <t>monsp</t>
  </si>
  <si>
    <t>网纹溞</t>
  </si>
  <si>
    <t>Ceriodaphnia sp.</t>
  </si>
  <si>
    <t>wws</t>
  </si>
  <si>
    <t>cersp.</t>
  </si>
  <si>
    <t>绿色和平水母</t>
  </si>
  <si>
    <t>Eirene viridula</t>
  </si>
  <si>
    <t>lshpsm</t>
  </si>
  <si>
    <t>eirvi</t>
  </si>
  <si>
    <t>介螅水母</t>
  </si>
  <si>
    <t>jxsm</t>
  </si>
  <si>
    <t>hydsp.</t>
  </si>
  <si>
    <t>锥形和平水母</t>
  </si>
  <si>
    <t>Eirene conica</t>
  </si>
  <si>
    <t>zxhpsm</t>
  </si>
  <si>
    <t>eirco</t>
  </si>
  <si>
    <t>橙黄高手水母</t>
  </si>
  <si>
    <t>Bougainvillia aurantiaca</t>
  </si>
  <si>
    <t>chgssm</t>
  </si>
  <si>
    <t>bouau</t>
  </si>
  <si>
    <t>长柄高手水母</t>
  </si>
  <si>
    <t>Bougainvillia longistyla</t>
  </si>
  <si>
    <t>cbgssm</t>
  </si>
  <si>
    <t>boulo</t>
  </si>
  <si>
    <t>neycdysz</t>
  </si>
  <si>
    <t>farro</t>
  </si>
  <si>
    <t>等桨水蚤</t>
  </si>
  <si>
    <t>Copilia mediterranea</t>
  </si>
  <si>
    <t>djsz</t>
  </si>
  <si>
    <t>copme</t>
  </si>
  <si>
    <t>隆背羽刺大眼水蚤</t>
  </si>
  <si>
    <t>Farranula carinata</t>
  </si>
  <si>
    <t>lbycdysz</t>
  </si>
  <si>
    <t>farca</t>
  </si>
  <si>
    <t>羽刺大眼水蚤</t>
  </si>
  <si>
    <t>Farranula sp.</t>
  </si>
  <si>
    <t>ycdysz</t>
  </si>
  <si>
    <t>farsp</t>
  </si>
  <si>
    <t>长腹剑水蚤幼体</t>
  </si>
  <si>
    <t>Oithona larvae</t>
  </si>
  <si>
    <t>cfjszyt</t>
  </si>
  <si>
    <t>oitla</t>
  </si>
  <si>
    <t>大眼剑水蚤幼体</t>
  </si>
  <si>
    <t>Corycaeus larvae</t>
  </si>
  <si>
    <t>dyjszyt</t>
  </si>
  <si>
    <t>corlar</t>
  </si>
  <si>
    <t>平头水蚤幼体</t>
  </si>
  <si>
    <t>Candacia larvae</t>
  </si>
  <si>
    <t>ptszyt</t>
  </si>
  <si>
    <t>canla</t>
  </si>
  <si>
    <t>门足[虫戎]</t>
  </si>
  <si>
    <t>thyrsp.</t>
  </si>
  <si>
    <t>隆剑水蚤幼体</t>
  </si>
  <si>
    <t>Oncaea larvae</t>
  </si>
  <si>
    <t>ljszyt</t>
  </si>
  <si>
    <t>oncla</t>
  </si>
  <si>
    <t>加州真哲水蚤</t>
  </si>
  <si>
    <t>Eucalanus californicus</t>
  </si>
  <si>
    <t>jzzzsz</t>
  </si>
  <si>
    <t>eucca</t>
  </si>
  <si>
    <t>基齿哲水蚤幼体</t>
  </si>
  <si>
    <t>Clausocalanus larvae</t>
  </si>
  <si>
    <t>jczszyt</t>
  </si>
  <si>
    <t>clalar</t>
  </si>
  <si>
    <t>真哲水蚤幼体</t>
  </si>
  <si>
    <t>Subeucalanus larvae</t>
  </si>
  <si>
    <t>zzszyt</t>
  </si>
  <si>
    <t>subla</t>
  </si>
  <si>
    <t>乳点水蚤幼体</t>
  </si>
  <si>
    <t>Pleuromamma larvae</t>
  </si>
  <si>
    <t>rdszyt</t>
  </si>
  <si>
    <t>pleula</t>
  </si>
  <si>
    <t>羽刺大眼水蚤幼体</t>
  </si>
  <si>
    <t>Farranula larvae</t>
  </si>
  <si>
    <t>ycdyszyt</t>
  </si>
  <si>
    <t>farla</t>
  </si>
  <si>
    <t>两棘平头水蚤</t>
  </si>
  <si>
    <t>Candacia bispinosa</t>
  </si>
  <si>
    <t>ljptsz</t>
  </si>
  <si>
    <t>canbis</t>
  </si>
  <si>
    <t>Harpacticoida spp</t>
  </si>
  <si>
    <t>mszm</t>
  </si>
  <si>
    <t>harspp</t>
  </si>
  <si>
    <t>伊格抱球虫</t>
  </si>
  <si>
    <t>Globigerina eggeri</t>
  </si>
  <si>
    <t>ygbqc</t>
  </si>
  <si>
    <t>gloeg</t>
  </si>
  <si>
    <t>cszsz</t>
  </si>
  <si>
    <t>tride</t>
  </si>
  <si>
    <t>线长腹剑水蚤</t>
  </si>
  <si>
    <t>Oithona linearis</t>
  </si>
  <si>
    <t>xcfjsz</t>
  </si>
  <si>
    <t>oitli</t>
  </si>
  <si>
    <t>四刺乳点水蚤</t>
  </si>
  <si>
    <t>Pleuromamma quadrungulata</t>
  </si>
  <si>
    <t>scrdsz</t>
  </si>
  <si>
    <t>plequ</t>
  </si>
  <si>
    <t>小角水蚤</t>
  </si>
  <si>
    <t>xjsz</t>
  </si>
  <si>
    <t>pontsp.</t>
  </si>
  <si>
    <t>斑点厚水蚤</t>
  </si>
  <si>
    <t>Pachos punctatun</t>
  </si>
  <si>
    <t>bdhsz</t>
  </si>
  <si>
    <t>pacpun</t>
  </si>
  <si>
    <t>丽哲水蚤幼体</t>
  </si>
  <si>
    <t>Calocalanus larvae</t>
  </si>
  <si>
    <t>lzszyt</t>
  </si>
  <si>
    <t>callar</t>
  </si>
  <si>
    <t>盾[虫戎]属</t>
  </si>
  <si>
    <t>thyrosp</t>
  </si>
  <si>
    <t>三刺基齿哲水蚤</t>
  </si>
  <si>
    <t>Clausocalanus jobei</t>
  </si>
  <si>
    <t>scjczsz</t>
  </si>
  <si>
    <t>clajo</t>
  </si>
  <si>
    <t>czcsz</t>
  </si>
  <si>
    <t>eucri</t>
  </si>
  <si>
    <t>伯氏鹰嘴水蚤</t>
  </si>
  <si>
    <t>Aetideus bradyi</t>
  </si>
  <si>
    <t>bsyzsz</t>
  </si>
  <si>
    <t>aetbr</t>
  </si>
  <si>
    <t>蓝基齿哲水蚤</t>
  </si>
  <si>
    <t>Clausocalanus lividus</t>
  </si>
  <si>
    <t>ljczsz</t>
  </si>
  <si>
    <t>clali</t>
  </si>
  <si>
    <t>jzycdysz</t>
  </si>
  <si>
    <t>farco</t>
  </si>
  <si>
    <t>多全羽水蚤</t>
  </si>
  <si>
    <t>Haloptilus setuliger</t>
  </si>
  <si>
    <t>dqysz</t>
  </si>
  <si>
    <t>halset</t>
  </si>
  <si>
    <t>名基齿哲水蚤</t>
  </si>
  <si>
    <t>Clausocalanus ingens</t>
  </si>
  <si>
    <t>mjczsz</t>
  </si>
  <si>
    <t>clain</t>
  </si>
  <si>
    <t>鱼虱属</t>
  </si>
  <si>
    <t>Caligus sp.</t>
  </si>
  <si>
    <t>ysshu</t>
  </si>
  <si>
    <t>calisp</t>
  </si>
  <si>
    <t>顶胃穴水母</t>
  </si>
  <si>
    <t>Sminthea apicigastrica</t>
  </si>
  <si>
    <t>dwxsm</t>
  </si>
  <si>
    <t>smiap</t>
  </si>
  <si>
    <t>阿尔单肢水母</t>
  </si>
  <si>
    <t>Nubiella alvarinoae</t>
  </si>
  <si>
    <t>aedzsm</t>
  </si>
  <si>
    <t>nubal</t>
  </si>
  <si>
    <t>活泼泥溞</t>
  </si>
  <si>
    <t>Ilyocryptus agilis</t>
  </si>
  <si>
    <t>hpns</t>
  </si>
  <si>
    <t>ilyag</t>
  </si>
  <si>
    <t>简美螅水母</t>
  </si>
  <si>
    <t>Clytia simplex</t>
  </si>
  <si>
    <t>jmxsm</t>
  </si>
  <si>
    <t>clysi</t>
  </si>
  <si>
    <t>鳞茎高手水母</t>
  </si>
  <si>
    <t>Bougainvillia muscus</t>
  </si>
  <si>
    <t>ljgssm</t>
  </si>
  <si>
    <t>boumu</t>
  </si>
  <si>
    <t>fcszs</t>
  </si>
  <si>
    <t>acasp1</t>
  </si>
  <si>
    <t>僧帽溞</t>
  </si>
  <si>
    <t>Daphnia cucullata</t>
  </si>
  <si>
    <t>senms</t>
  </si>
  <si>
    <t>dapcu</t>
  </si>
  <si>
    <t>zaozs</t>
  </si>
  <si>
    <t>dappu</t>
  </si>
  <si>
    <t>右突新镖水蚤</t>
  </si>
  <si>
    <t>Neodiaptomus schmackeri</t>
  </si>
  <si>
    <t>tytxbsz</t>
  </si>
  <si>
    <t>neosc</t>
  </si>
  <si>
    <t>Labidocera rotunde</t>
  </si>
  <si>
    <t>ycjsz</t>
  </si>
  <si>
    <t>邦氏真哲水蚤</t>
  </si>
  <si>
    <t>Eucalanus bungii</t>
  </si>
  <si>
    <t>bszzsz</t>
  </si>
  <si>
    <t>eucbu</t>
  </si>
  <si>
    <t>间腺单肢水母</t>
  </si>
  <si>
    <t>nubiella intergona</t>
  </si>
  <si>
    <t>jxdzsm</t>
  </si>
  <si>
    <t>nubin</t>
  </si>
  <si>
    <t>Xu Huang &amp; Lin</t>
  </si>
  <si>
    <t>苏氏侧丝水母</t>
  </si>
  <si>
    <t>Helgicirrha schulzei</t>
  </si>
  <si>
    <t>sscssm</t>
  </si>
  <si>
    <t>helsc</t>
  </si>
  <si>
    <r>
      <t>裸腺水母</t>
    </r>
    <r>
      <rPr>
        <sz val="10"/>
        <rFont val="Times New Roman"/>
        <family val="1"/>
      </rPr>
      <t>sp</t>
    </r>
  </si>
  <si>
    <r>
      <t>Uchida</t>
    </r>
    <r>
      <rPr>
        <sz val="10"/>
        <rFont val="宋体"/>
        <family val="2"/>
        <charset val="134"/>
      </rPr>
      <t>，</t>
    </r>
    <r>
      <rPr>
        <sz val="10"/>
        <rFont val="Times New Roman"/>
        <family val="1"/>
      </rPr>
      <t xml:space="preserve"> 1947</t>
    </r>
  </si>
  <si>
    <r>
      <t>（</t>
    </r>
    <r>
      <rPr>
        <sz val="10"/>
        <color indexed="8"/>
        <rFont val="Times New Roman"/>
        <family val="1"/>
      </rPr>
      <t>Xu, Huang and Chen, 1991</t>
    </r>
    <r>
      <rPr>
        <sz val="10"/>
        <color indexed="8"/>
        <rFont val="宋体"/>
        <family val="2"/>
        <charset val="134"/>
      </rPr>
      <t>）</t>
    </r>
  </si>
  <si>
    <r>
      <t>Haeckel</t>
    </r>
    <r>
      <rPr>
        <sz val="10"/>
        <rFont val="宋体"/>
        <family val="2"/>
        <charset val="134"/>
      </rPr>
      <t>，</t>
    </r>
    <r>
      <rPr>
        <sz val="10"/>
        <rFont val="Times New Roman"/>
        <family val="1"/>
      </rPr>
      <t>1888</t>
    </r>
  </si>
  <si>
    <r>
      <t>[</t>
    </r>
    <r>
      <rPr>
        <sz val="10"/>
        <rFont val="宋体"/>
        <family val="2"/>
        <charset val="134"/>
      </rPr>
      <t>虫虎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螺属</t>
    </r>
  </si>
  <si>
    <r>
      <t>泡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螺</t>
    </r>
  </si>
  <si>
    <r>
      <t>胖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螺</t>
    </r>
  </si>
  <si>
    <r>
      <t>大口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螺</t>
    </r>
  </si>
  <si>
    <r>
      <t>马蹄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螺</t>
    </r>
  </si>
  <si>
    <r>
      <t>Sars</t>
    </r>
    <r>
      <rPr>
        <sz val="10"/>
        <color indexed="8"/>
        <rFont val="宋体"/>
        <family val="2"/>
        <charset val="134"/>
      </rPr>
      <t>，</t>
    </r>
    <r>
      <rPr>
        <sz val="10"/>
        <color indexed="8"/>
        <rFont val="Times New Roman"/>
        <family val="1"/>
      </rPr>
      <t xml:space="preserve"> 1907</t>
    </r>
  </si>
  <si>
    <r>
      <t>(Claus</t>
    </r>
    <r>
      <rPr>
        <sz val="10"/>
        <rFont val="宋体"/>
        <family val="2"/>
        <charset val="134"/>
      </rPr>
      <t>，</t>
    </r>
    <r>
      <rPr>
        <sz val="10"/>
        <rFont val="Times New Roman"/>
        <family val="1"/>
      </rPr>
      <t xml:space="preserve"> 1863)</t>
    </r>
  </si>
  <si>
    <r>
      <t>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</si>
  <si>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北方锥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</si>
  <si>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粗角锥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</si>
  <si>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弯指锥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</si>
  <si>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不确锥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</si>
  <si>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宽额锥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</si>
  <si>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边缘锥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</si>
  <si>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侏儒锥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</si>
  <si>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相似锥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</si>
  <si>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刺锥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</si>
  <si>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亚缘锥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</si>
  <si>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涂氏锥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</si>
  <si>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荆刺锥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</si>
  <si>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小矛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</si>
  <si>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中间小矛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</si>
  <si>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太平洋小矛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</si>
  <si>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帕氏小矛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</si>
  <si>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沙氏小矛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</si>
  <si>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锯齿小矛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</si>
  <si>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</si>
  <si>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三叉路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</si>
  <si>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武装路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</si>
  <si>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澳州路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</si>
  <si>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春氏路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</si>
  <si>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刀足路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</si>
  <si>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隆背路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</si>
  <si>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长腕路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</si>
  <si>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亲近路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</si>
  <si>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犁足路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</si>
  <si>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思氏路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</si>
  <si>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近慎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</si>
  <si>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厚足近慎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</si>
  <si>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优细近慎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</si>
  <si>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乳短脚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</si>
  <si>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蛮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</si>
  <si>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孟加拉蛮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</si>
  <si>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苦足蛮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</si>
  <si>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宽阔蛮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</si>
  <si>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大眼蛮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</si>
  <si>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裂颏蛮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</si>
  <si>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苏氏蛮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</si>
  <si>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法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</si>
  <si>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细足法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</si>
  <si>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拟慎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</si>
  <si>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刺拟慎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</si>
  <si>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南极略长脚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</si>
  <si>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马氏近泉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</si>
  <si>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地中海近泉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</si>
  <si>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水母近泉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</si>
  <si>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近泉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</si>
  <si>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小法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</si>
  <si>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黄褐小法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</si>
  <si>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长足似泉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</si>
  <si>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巴西似泉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</si>
  <si>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吕宋小泉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</si>
  <si>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细头小泉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</si>
  <si>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思氏小泉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</si>
  <si>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斯氏小泉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</si>
  <si>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佛氏小泉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</si>
  <si>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大指爪泉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</si>
  <si>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宽泉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</si>
  <si>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蜂型宽泉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</si>
  <si>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拟长脚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</si>
  <si>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拟长脚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</si>
  <si>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日本拟长脚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</si>
  <si>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</si>
  <si>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大西洋慎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</si>
  <si>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牛头慎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</si>
  <si>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颈带慎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</si>
  <si>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曲足慎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</si>
  <si>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太平洋慎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</si>
  <si>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定居慎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</si>
  <si>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独居慎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</si>
  <si>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刀巧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</si>
  <si>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小慎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}</t>
    </r>
    <r>
      <rPr>
        <sz val="10"/>
        <color indexed="8"/>
        <rFont val="宋体"/>
        <family val="2"/>
        <charset val="134"/>
      </rPr>
      <t>属</t>
    </r>
  </si>
  <si>
    <r>
      <t>长形小慎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</si>
  <si>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喜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</si>
  <si>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半月喜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</si>
  <si>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布氏骨节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</si>
  <si>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海神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</si>
  <si>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深层海神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</si>
  <si>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短密海神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</si>
  <si>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拉氏海神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</si>
  <si>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大足原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</si>
  <si>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近法拟狼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</si>
  <si>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三宝拟狼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</si>
  <si>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海精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</si>
  <si>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大头海精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</si>
  <si>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真海精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</si>
  <si>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武装真海精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</si>
  <si>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中间真海精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</si>
  <si>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宽腕真海精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</si>
  <si>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斑点真海精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</si>
  <si>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微小真海精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</si>
  <si>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近狼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</si>
  <si>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优细近狼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</si>
  <si>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近海精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</si>
  <si>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甘氏近海精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</si>
  <si>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小饼近海精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</si>
  <si>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长形近海精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</si>
  <si>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极小近海精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</si>
  <si>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再海精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</si>
  <si>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阮氏再海精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</si>
  <si>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</si>
  <si>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贝岛狼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</si>
  <si>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牛丽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</si>
  <si>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拟波氏狼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</si>
  <si>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鼻丽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</si>
  <si>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蚤狼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</si>
  <si>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维氏狼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</si>
  <si>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甲状短腿狼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</si>
  <si>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圆头短腿狼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</si>
  <si>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贪婪短腿狼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</si>
  <si>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伪狼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</si>
  <si>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厚足伪狼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</si>
  <si>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枝形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</si>
  <si>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额枝形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</si>
  <si>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喙形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</si>
  <si>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梦氏喙形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</si>
  <si>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尖头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</si>
  <si>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克氏尖头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</si>
  <si>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宽喙尖头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</si>
  <si>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长脚尖头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</si>
  <si>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渔夫尖头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</si>
  <si>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透明箭口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</si>
  <si>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舌头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</si>
  <si>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舌头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</si>
  <si>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盔头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</si>
  <si>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硬化盔头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</si>
  <si>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窄头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</si>
  <si>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小喙窄头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</si>
  <si>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棒体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</si>
  <si>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武装棒体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</si>
  <si>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短尾棒体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</si>
  <si>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小棒体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</si>
  <si>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怀氏棒体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</si>
  <si>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扁鼻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</si>
  <si>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触角扁鼻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</si>
  <si>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司氏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</si>
  <si>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挑战司氏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</si>
  <si>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岷岛司氏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</si>
  <si>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小猪司氏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</si>
  <si>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私氏司氏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</si>
  <si>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小涂氏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</si>
  <si>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细尖小涂氏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</si>
  <si>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宽腿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</si>
  <si>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武装宽腿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</si>
  <si>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卵形宽腿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</si>
  <si>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小锯宽腿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</si>
  <si>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双刺双门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</si>
  <si>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贫毛双门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</si>
  <si>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墙双门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</si>
  <si>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雕刻双门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</si>
  <si>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拟双门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</si>
  <si>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半忱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属</t>
    </r>
  </si>
  <si>
    <r>
      <t>具壳半毛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</si>
  <si>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小手半忱</t>
    </r>
    <r>
      <rPr>
        <sz val="10"/>
        <rFont val="Times New Roman"/>
        <family val="1"/>
      </rP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</si>
  <si>
    <r>
      <t>近忱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</si>
  <si>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斑点近忱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</si>
  <si>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极小近忱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</si>
  <si>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前山拟毛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</si>
  <si>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刺近忱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</si>
  <si>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四门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</si>
  <si>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阿海四门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</si>
  <si>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钳形四门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</si>
  <si>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门足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</si>
  <si>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爱氏门足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</si>
  <si>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球形门足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</si>
  <si>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似忱门足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</si>
  <si>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裂腿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  <r>
      <rPr>
        <sz val="10"/>
        <color indexed="8"/>
        <rFont val="宋体"/>
        <family val="2"/>
        <charset val="134"/>
      </rPr>
      <t>属</t>
    </r>
  </si>
  <si>
    <r>
      <t>装饰裂腿</t>
    </r>
    <r>
      <rPr>
        <sz val="10"/>
        <color indexed="8"/>
        <rFont val="Times New Roman"/>
        <family val="1"/>
      </rPr>
      <t>[</t>
    </r>
    <r>
      <rPr>
        <sz val="10"/>
        <color indexed="8"/>
        <rFont val="宋体"/>
        <family val="2"/>
        <charset val="134"/>
      </rPr>
      <t>虫戎</t>
    </r>
    <r>
      <rPr>
        <sz val="10"/>
        <color indexed="8"/>
        <rFont val="Times New Roman"/>
        <family val="1"/>
      </rPr>
      <t>]</t>
    </r>
  </si>
  <si>
    <r>
      <t>[</t>
    </r>
    <r>
      <rPr>
        <sz val="10"/>
        <rFont val="宋体"/>
        <family val="2"/>
        <charset val="134"/>
      </rPr>
      <t>虫戎</t>
    </r>
    <r>
      <rPr>
        <sz val="10"/>
        <rFont val="Times New Roman"/>
        <family val="1"/>
      </rPr>
      <t>]</t>
    </r>
    <r>
      <rPr>
        <sz val="10"/>
        <rFont val="宋体"/>
        <family val="2"/>
        <charset val="134"/>
      </rPr>
      <t>卵</t>
    </r>
  </si>
  <si>
    <t>HJ-PR-119033</t>
  </si>
  <si>
    <t>检测记录单388</t>
  </si>
  <si>
    <t>2019-08-06</t>
  </si>
  <si>
    <t>2019-10-29</t>
  </si>
  <si>
    <t>A2N44ZQ068</t>
  </si>
  <si>
    <t>珠江口</t>
  </si>
  <si>
    <t>中国海监303</t>
  </si>
  <si>
    <t>B0229</t>
  </si>
  <si>
    <t>浅水Ⅰ型浮游生物网</t>
  </si>
  <si>
    <t>A2N44ZQ069</t>
  </si>
  <si>
    <t>B0340</t>
  </si>
  <si>
    <t>A2N44ZQ091</t>
  </si>
  <si>
    <t>B0111</t>
  </si>
  <si>
    <t>A2N44ZQ070</t>
  </si>
  <si>
    <t>B0138</t>
  </si>
  <si>
    <t>A2N44ZQ071</t>
  </si>
  <si>
    <t>B0038</t>
  </si>
  <si>
    <t>2019-08-07</t>
  </si>
  <si>
    <t>A2N44ZQ072</t>
  </si>
  <si>
    <t>B0026</t>
  </si>
  <si>
    <t>A2N44ZQ073</t>
  </si>
  <si>
    <t>B0049</t>
  </si>
  <si>
    <t>A2N44ZQ076</t>
  </si>
  <si>
    <t>B0104</t>
  </si>
  <si>
    <t>A2N44ZQ074</t>
  </si>
  <si>
    <t>B0031</t>
  </si>
  <si>
    <t>A2N44ZQ085</t>
  </si>
  <si>
    <t>B0065</t>
  </si>
  <si>
    <t>2019-08-08</t>
  </si>
  <si>
    <t>A2N44ZQ082</t>
  </si>
  <si>
    <t>B0025</t>
  </si>
  <si>
    <t>大型浮游生物网</t>
  </si>
  <si>
    <t>2019-08-09</t>
  </si>
  <si>
    <t>A2N44ZQ081</t>
  </si>
  <si>
    <t>B0095</t>
  </si>
  <si>
    <t>A2N44ZQ083</t>
  </si>
  <si>
    <t>B0074</t>
  </si>
  <si>
    <t>2019-08-10</t>
  </si>
  <si>
    <t>A2N44ZQ084</t>
  </si>
  <si>
    <t>B0119</t>
  </si>
  <si>
    <t>A2N44ZQ080</t>
  </si>
  <si>
    <t>B0222</t>
  </si>
  <si>
    <t>A2N44ZQ077</t>
  </si>
  <si>
    <t>B0071</t>
  </si>
  <si>
    <t>2019-08-11</t>
  </si>
  <si>
    <t>A2N44ZQ075</t>
  </si>
  <si>
    <t>B0029</t>
  </si>
  <si>
    <t>A2N44ZQ087</t>
  </si>
  <si>
    <t>B0152</t>
  </si>
  <si>
    <t>A2N44ZQ088</t>
  </si>
  <si>
    <t>B0030</t>
  </si>
  <si>
    <t>A2N44ZQ089</t>
  </si>
  <si>
    <t>B0066</t>
  </si>
  <si>
    <t>A2N44ZQ090</t>
  </si>
  <si>
    <t>B0033</t>
  </si>
  <si>
    <t>2019-08-12</t>
  </si>
  <si>
    <t>A2N44ZQ078</t>
  </si>
  <si>
    <t>B0309</t>
  </si>
  <si>
    <t>A2N44ZQ079</t>
  </si>
  <si>
    <t>B0497</t>
  </si>
  <si>
    <t>A2N44ZQ086</t>
  </si>
  <si>
    <t>B0010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</si>
</sst>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_(&quot;¥&quot;* #,##0_);_(&quot;¥&quot;* \(#,##0\);_(&quot;¥&quot;* &quot;-&quot;_);_(@_)"/>
    <numFmt numFmtId="177" formatCode="_(* #,##0_);_(* \(#,##0\);_(* &quot;-&quot;_);_(@_)"/>
    <numFmt numFmtId="178" formatCode="_(&quot;¥&quot;* #,##0.00_);_(&quot;¥&quot;* \(#,##0.00\);_(&quot;¥&quot;* &quot;-&quot;??_);_(@_)"/>
    <numFmt numFmtId="179" formatCode="_(* #,##0.00_);_(* \(#,##0.00\);_(* &quot;-&quot;??_);_(@_)"/>
    <numFmt numFmtId="180" formatCode="0.00_);[Red]\(0.00\)"/>
    <numFmt numFmtId="181" formatCode="0.0_ ;[Red]\-0.0\ "/>
    <numFmt numFmtId="182" formatCode="yyyy\-mm\-dd"/>
    <numFmt numFmtId="183" formatCode="0.00_ "/>
    <numFmt numFmtId="184" formatCode="0.0"/>
  </numFmts>
  <fonts count="38">
    <font>
      <sz val="11"/>
      <color theme="1"/>
      <name val="宋体"/>
      <family val="2"/>
      <charset val="134"/>
      <scheme val="minor"/>
    </font>
    <font>
      <sz val="10"/>
      <color theme="1"/>
      <name val="Arial"/>
      <family val="2"/>
    </font>
    <font>
      <sz val="11"/>
      <color theme="1"/>
      <name val="Times New Roman"/>
      <family val="1"/>
    </font>
    <font>
      <sz val="11"/>
      <color theme="1"/>
      <name val="宋体"/>
      <family val="3"/>
      <charset val="134"/>
    </font>
    <font>
      <sz val="10"/>
      <name val="Arial"/>
      <family val="2"/>
    </font>
    <font>
      <i/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9"/>
      <name val="宋体"/>
      <family val="2"/>
      <charset val="134"/>
      <scheme val="minor"/>
    </font>
    <font>
      <b/>
      <sz val="11"/>
      <color theme="0"/>
      <name val="宋体"/>
      <family val="3"/>
      <charset val="134"/>
    </font>
    <font>
      <b/>
      <sz val="11"/>
      <color theme="0"/>
      <name val="Times New Roman"/>
      <family val="1"/>
    </font>
    <font>
      <sz val="48"/>
      <color theme="0"/>
      <name val="华文行楷"/>
      <family val="3"/>
      <charset val="134"/>
    </font>
    <font>
      <sz val="11"/>
      <color theme="1"/>
      <name val="华文行楷"/>
      <family val="3"/>
      <charset val="134"/>
    </font>
    <font>
      <sz val="11"/>
      <color theme="0"/>
      <name val="华文行楷"/>
      <family val="3"/>
      <charset val="134"/>
    </font>
    <font>
      <b/>
      <sz val="11"/>
      <color theme="1"/>
      <name val="宋体"/>
      <family val="3"/>
      <charset val="134"/>
    </font>
    <font>
      <sz val="11"/>
      <color rgb="FFFF0000"/>
      <name val="Times New Roman"/>
      <family val="1"/>
    </font>
    <font>
      <sz val="11"/>
      <color rgb="FFFF0000"/>
      <name val="宋体"/>
      <family val="3"/>
      <charset val="134"/>
    </font>
    <font>
      <b/>
      <sz val="11"/>
      <color theme="0"/>
      <name val="宋体"/>
      <family val="3"/>
      <charset val="134"/>
      <scheme val="major"/>
    </font>
    <font>
      <sz val="11"/>
      <name val="宋体"/>
      <family val="2"/>
      <charset val="134"/>
    </font>
    <font>
      <b/>
      <sz val="11"/>
      <color theme="0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vertAlign val="superscript"/>
      <sz val="11"/>
      <color theme="1"/>
      <name val="宋体"/>
      <family val="3"/>
      <charset val="134"/>
      <scheme val="minor"/>
    </font>
    <font>
      <vertAlign val="superscript"/>
      <sz val="11"/>
      <name val="宋体"/>
      <family val="3"/>
      <charset val="134"/>
      <scheme val="minor"/>
    </font>
    <font>
      <b/>
      <sz val="14"/>
      <color rgb="FF002060"/>
      <name val="宋体"/>
      <family val="3"/>
      <charset val="134"/>
      <scheme val="minor"/>
    </font>
    <font>
      <sz val="11"/>
      <name val="Times New Roman"/>
      <family val="1"/>
    </font>
    <font>
      <b/>
      <sz val="11"/>
      <color rgb="FFFF0000"/>
      <name val="宋体"/>
      <family val="3"/>
      <charset val="134"/>
      <scheme val="minor"/>
    </font>
    <font>
      <vertAlign val="superscript"/>
      <sz val="11"/>
      <name val="Times New Roman"/>
      <family val="1"/>
    </font>
    <font>
      <sz val="12"/>
      <name val="宋体"/>
      <family val="2"/>
      <charset val="134"/>
    </font>
    <font>
      <sz val="10"/>
      <color indexed="8"/>
      <name val="宋体"/>
      <family val="2"/>
      <charset val="134"/>
    </font>
    <font>
      <sz val="10"/>
      <color indexed="8"/>
      <name val="Times New Roman"/>
      <family val="1"/>
    </font>
    <font>
      <sz val="10"/>
      <name val="Times New Roman"/>
      <family val="1"/>
    </font>
    <font>
      <sz val="11"/>
      <color indexed="8"/>
      <name val="宋体"/>
      <family val="2"/>
      <charset val="134"/>
    </font>
    <font>
      <sz val="10"/>
      <name val="宋体"/>
      <family val="2"/>
      <charset val="134"/>
    </font>
    <font>
      <sz val="10"/>
      <color indexed="10"/>
      <name val="Times New Roman"/>
      <family val="1"/>
    </font>
    <font>
      <sz val="12"/>
      <color indexed="8"/>
      <name val="宋体"/>
      <family val="2"/>
      <charset val="134"/>
    </font>
    <font>
      <sz val="9"/>
      <color indexed="8"/>
      <name val="宋体"/>
      <family val="2"/>
      <charset val="134"/>
    </font>
    <font>
      <sz val="9"/>
      <color indexed="8"/>
      <name val="Times New Roman"/>
      <family val="1"/>
    </font>
    <font>
      <i/>
      <sz val="11"/>
      <color rgb="FF000000"/>
      <name val="Times New Roman"/>
      <family val="1"/>
    </font>
    <font>
      <sz val="11"/>
      <color rgb="FF000000"/>
      <name val="Times New Roman"/>
      <family val="1"/>
    </font>
  </fonts>
  <fills count="13">
    <fill>
      <patternFill/>
    </fill>
    <fill>
      <patternFill patternType="gray125"/>
    </fill>
    <fill>
      <patternFill patternType="solid">
        <fgColor rgb="FF689CDA"/>
        <bgColor indexed="64"/>
      </patternFill>
    </fill>
    <fill>
      <patternFill patternType="solid">
        <fgColor theme="3" tint="0.39998"/>
        <bgColor indexed="64"/>
      </patternFill>
    </fill>
    <fill>
      <patternFill patternType="solid">
        <fgColor rgb="FFF5F6F9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6" tint="0.5999"/>
        <bgColor indexed="64"/>
      </patternFill>
    </fill>
    <fill>
      <patternFill patternType="solid">
        <fgColor theme="6" tint="0.59993"/>
        <bgColor indexed="64"/>
      </patternFill>
    </fill>
    <fill>
      <patternFill patternType="solid">
        <fgColor theme="9" tint="0.79992"/>
        <bgColor indexed="64"/>
      </patternFill>
    </fill>
    <fill>
      <patternFill patternType="solid">
        <fgColor theme="0" tint="-0.04992"/>
        <bgColor indexed="64"/>
      </patternFill>
    </fill>
    <fill>
      <patternFill patternType="solid">
        <fgColor theme="3" tint="0.79992"/>
        <bgColor indexed="64"/>
      </patternFill>
    </fill>
    <fill>
      <patternFill patternType="solid">
        <fgColor theme="3" tint="0.59993"/>
        <bgColor indexed="64"/>
      </patternFill>
    </fill>
    <fill>
      <patternFill patternType="solid">
        <fgColor theme="8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/>
      <right/>
      <top/>
      <bottom style="medium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/>
    </border>
    <border>
      <left style="thin">
        <color auto="1"/>
      </left>
      <right style="thin">
        <color auto="1"/>
      </right>
      <top/>
      <bottom/>
    </border>
    <border>
      <left style="thin">
        <color auto="1"/>
      </left>
      <right style="thin">
        <color auto="1"/>
      </right>
      <top/>
      <bottom style="thin">
        <color auto="1"/>
      </bottom>
    </border>
    <border>
      <left style="thin">
        <color auto="1"/>
      </left>
      <right/>
      <top style="thin">
        <color auto="1"/>
      </top>
      <bottom style="thin">
        <color auto="1"/>
      </bottom>
    </border>
    <border>
      <left/>
      <right style="thin">
        <color auto="1"/>
      </right>
      <top style="thin">
        <color auto="1"/>
      </top>
      <bottom style="thin">
        <color auto="1"/>
      </bottom>
    </border>
    <border>
      <left/>
      <right style="medium">
        <color auto="1"/>
      </right>
      <top/>
      <bottom/>
    </border>
    <border>
      <left style="thin">
        <color auto="1"/>
      </left>
      <right style="medium">
        <color auto="1"/>
      </right>
      <top/>
      <bottom style="thin">
        <color auto="1"/>
      </bottom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</border>
    <border>
      <left style="thin">
        <color indexed="22"/>
      </left>
      <right style="thin">
        <color indexed="22"/>
      </right>
      <top style="thin">
        <color indexed="22"/>
      </top>
      <bottom/>
    </border>
    <border>
      <left/>
      <right/>
      <top style="thin">
        <color auto="1"/>
      </top>
      <bottom/>
    </border>
  </borders>
  <cellStyleXfs count="23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178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0" fontId="4" fillId="0" borderId="0">
      <alignment/>
      <protection/>
    </xf>
    <xf numFmtId="0" fontId="26" fillId="0" borderId="0">
      <alignment vertical="center"/>
      <protection/>
    </xf>
    <xf numFmtId="0" fontId="33" fillId="0" borderId="0">
      <alignment/>
      <protection/>
    </xf>
  </cellStyleXfs>
  <cellXfs count="109">
    <xf numFmtId="0" fontId="0" fillId="0" borderId="0" xfId="0"/>
    <xf numFmtId="49" fontId="8" fillId="2" borderId="1" xfId="20" applyNumberFormat="1" applyFont="1" applyFill="1" applyBorder="1" applyAlignment="1" applyProtection="1">
      <alignment horizontal="left" vertical="center"/>
      <protection locked="0"/>
    </xf>
    <xf numFmtId="49" fontId="16" fillId="2" borderId="2" xfId="0" applyNumberFormat="1" applyFont="1" applyFill="1" applyBorder="1" applyAlignment="1" applyProtection="1">
      <alignment horizontal="left" vertical="center"/>
      <protection locked="0"/>
    </xf>
    <xf numFmtId="49" fontId="10" fillId="3" borderId="0" xfId="0" applyNumberFormat="1" applyFont="1" applyFill="1" applyBorder="1" applyAlignment="1" applyProtection="1">
      <alignment horizontal="center"/>
      <protection/>
    </xf>
    <xf numFmtId="49" fontId="9" fillId="2" borderId="2" xfId="0" applyNumberFormat="1" applyFont="1" applyFill="1" applyBorder="1" applyAlignment="1" applyProtection="1">
      <alignment horizontal="left" vertical="center"/>
      <protection locked="0"/>
    </xf>
    <xf numFmtId="49" fontId="2" fillId="4" borderId="0" xfId="0" applyNumberFormat="1" applyFont="1" applyFill="1" applyBorder="1" applyAlignment="1" applyProtection="1">
      <alignment horizontal="center"/>
      <protection/>
    </xf>
    <xf numFmtId="49" fontId="2" fillId="4" borderId="0" xfId="0" applyNumberFormat="1" applyFont="1" applyFill="1" applyBorder="1" applyProtection="1">
      <protection/>
    </xf>
    <xf numFmtId="49" fontId="2" fillId="4" borderId="0" xfId="0" applyNumberFormat="1" applyFont="1" applyFill="1" applyBorder="1" applyAlignment="1" applyProtection="1">
      <alignment vertical="center"/>
      <protection/>
    </xf>
    <xf numFmtId="49" fontId="2" fillId="5" borderId="2" xfId="0" applyNumberFormat="1" applyFont="1" applyFill="1" applyBorder="1" applyAlignment="1" applyProtection="1">
      <alignment horizontal="center" vertical="center"/>
      <protection locked="0"/>
    </xf>
    <xf numFmtId="49" fontId="6" fillId="4" borderId="0" xfId="0" applyNumberFormat="1" applyFont="1" applyFill="1" applyBorder="1" applyAlignment="1" applyProtection="1">
      <alignment vertical="center"/>
      <protection/>
    </xf>
    <xf numFmtId="49" fontId="3" fillId="6" borderId="2" xfId="0" applyNumberFormat="1" applyFont="1" applyFill="1" applyBorder="1" applyAlignment="1" applyProtection="1">
      <alignment horizontal="center" vertical="center" wrapText="1"/>
      <protection locked="0"/>
    </xf>
    <xf numFmtId="49" fontId="2" fillId="6" borderId="2" xfId="0" applyNumberFormat="1" applyFont="1" applyFill="1" applyBorder="1" applyAlignment="1" applyProtection="1">
      <alignment horizontal="center" vertical="center"/>
      <protection locked="0"/>
    </xf>
    <xf numFmtId="49" fontId="2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0" fontId="9" fillId="3" borderId="0" xfId="0" applyNumberFormat="1" applyFont="1" applyFill="1" applyBorder="1" applyAlignment="1" applyProtection="1">
      <alignment horizontal="left" vertical="center"/>
      <protection locked="0"/>
    </xf>
    <xf numFmtId="49" fontId="2" fillId="3" borderId="0" xfId="0" applyNumberFormat="1" applyFont="1" applyFill="1" applyBorder="1" applyProtection="1">
      <protection/>
    </xf>
    <xf numFmtId="0" fontId="2" fillId="3" borderId="0" xfId="0" applyFont="1" applyFill="1" applyBorder="1" applyAlignment="1" applyProtection="1">
      <alignment horizontal="center" vertical="center"/>
      <protection locked="0"/>
    </xf>
    <xf numFmtId="49" fontId="2" fillId="4" borderId="0" xfId="0" applyNumberFormat="1" applyFont="1" applyFill="1" applyBorder="1" applyProtection="1">
      <protection/>
    </xf>
    <xf numFmtId="0" fontId="2" fillId="3" borderId="0" xfId="0" applyNumberFormat="1" applyFont="1" applyFill="1" applyBorder="1" applyAlignment="1" applyProtection="1">
      <alignment horizontal="center" vertical="center"/>
      <protection locked="0"/>
    </xf>
    <xf numFmtId="49" fontId="10" fillId="3" borderId="0" xfId="0" applyNumberFormat="1" applyFont="1" applyFill="1" applyBorder="1" applyProtection="1">
      <protection/>
    </xf>
    <xf numFmtId="49" fontId="2" fillId="4" borderId="0" xfId="0" applyNumberFormat="1" applyFont="1" applyFill="1" applyBorder="1" applyAlignment="1" applyProtection="1">
      <alignment vertical="center"/>
      <protection/>
    </xf>
    <xf numFmtId="0" fontId="2" fillId="3" borderId="0" xfId="0" applyNumberFormat="1" applyFont="1" applyFill="1" applyBorder="1" applyAlignment="1" applyProtection="1" quotePrefix="1">
      <alignment horizontal="center" vertical="center"/>
      <protection locked="0"/>
    </xf>
    <xf numFmtId="49" fontId="11" fillId="3" borderId="0" xfId="0" applyNumberFormat="1" applyFont="1" applyFill="1" applyBorder="1" applyProtection="1">
      <protection/>
    </xf>
    <xf numFmtId="181" fontId="2" fillId="3" borderId="0" xfId="0" applyNumberFormat="1" applyFont="1" applyFill="1" applyBorder="1" applyAlignment="1" applyProtection="1">
      <alignment horizontal="center" vertical="center"/>
      <protection locked="0"/>
    </xf>
    <xf numFmtId="49" fontId="12" fillId="3" borderId="0" xfId="0" applyNumberFormat="1" applyFont="1" applyFill="1" applyBorder="1" applyProtection="1">
      <protection/>
    </xf>
    <xf numFmtId="0" fontId="2" fillId="4" borderId="0" xfId="0" applyFont="1" applyFill="1" applyBorder="1" applyAlignment="1" applyProtection="1">
      <alignment horizontal="center" vertical="center"/>
      <protection locked="0"/>
    </xf>
    <xf numFmtId="49" fontId="6" fillId="4" borderId="3" xfId="0" applyNumberFormat="1" applyFont="1" applyFill="1" applyBorder="1" applyAlignment="1" applyProtection="1">
      <alignment/>
      <protection/>
    </xf>
    <xf numFmtId="49" fontId="2" fillId="4" borderId="3" xfId="0" applyNumberFormat="1" applyFont="1" applyFill="1" applyBorder="1" applyProtection="1">
      <protection/>
    </xf>
    <xf numFmtId="49" fontId="2" fillId="5" borderId="0" xfId="0" applyNumberFormat="1" applyFont="1" applyFill="1" applyBorder="1" applyProtection="1">
      <protection/>
    </xf>
    <xf numFmtId="49" fontId="14" fillId="4" borderId="0" xfId="0" applyNumberFormat="1" applyFont="1" applyFill="1" applyBorder="1" applyAlignment="1" applyProtection="1">
      <alignment vertical="center"/>
      <protection/>
    </xf>
    <xf numFmtId="49" fontId="2" fillId="7" borderId="0" xfId="0" applyNumberFormat="1" applyFont="1" applyFill="1" applyBorder="1" applyProtection="1">
      <protection/>
    </xf>
    <xf numFmtId="49" fontId="2" fillId="8" borderId="0" xfId="0" applyNumberFormat="1" applyFont="1" applyFill="1" applyBorder="1" applyProtection="1">
      <protection/>
    </xf>
    <xf numFmtId="49" fontId="17" fillId="4" borderId="4" xfId="0" applyNumberFormat="1" applyFont="1" applyFill="1" applyBorder="1" applyAlignment="1" applyProtection="1">
      <alignment horizontal="center" vertical="center"/>
      <protection locked="0"/>
    </xf>
    <xf numFmtId="49" fontId="2" fillId="5" borderId="2" xfId="0" applyNumberFormat="1" applyFont="1" applyFill="1" applyBorder="1" applyAlignment="1" applyProtection="1">
      <alignment horizontal="center" vertical="center"/>
      <protection locked="0"/>
    </xf>
    <xf numFmtId="49" fontId="5" fillId="5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horizontal="center"/>
    </xf>
    <xf numFmtId="0" fontId="19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0" fillId="5" borderId="2" xfId="0" applyNumberFormat="1" applyFont="1" applyFill="1" applyBorder="1" applyAlignment="1" applyProtection="1">
      <alignment horizontal="center" vertical="center"/>
      <protection locked="0"/>
    </xf>
    <xf numFmtId="49" fontId="0" fillId="5" borderId="2" xfId="0" applyNumberFormat="1" applyFont="1" applyFill="1" applyBorder="1" applyAlignment="1" applyProtection="1">
      <alignment horizontal="center" vertical="center"/>
      <protection locked="0"/>
    </xf>
    <xf numFmtId="14" fontId="0" fillId="5" borderId="2" xfId="0" applyNumberFormat="1" applyFont="1" applyFill="1" applyBorder="1" applyAlignment="1" applyProtection="1">
      <alignment horizontal="center" vertical="center"/>
      <protection locked="0"/>
    </xf>
    <xf numFmtId="49" fontId="0" fillId="5" borderId="2" xfId="0" applyNumberFormat="1" applyFont="1" applyFill="1" applyBorder="1" applyAlignment="1" applyProtection="1">
      <alignment horizontal="center"/>
      <protection locked="0"/>
    </xf>
    <xf numFmtId="14" fontId="0" fillId="5" borderId="2" xfId="0" applyNumberFormat="1" applyFont="1" applyFill="1" applyBorder="1" applyAlignment="1" applyProtection="1">
      <alignment horizontal="center"/>
      <protection locked="0"/>
    </xf>
    <xf numFmtId="0" fontId="0" fillId="5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 vertical="center"/>
    </xf>
    <xf numFmtId="49" fontId="0" fillId="4" borderId="0" xfId="0" applyNumberFormat="1" applyFont="1" applyFill="1" applyBorder="1" applyAlignment="1" applyProtection="1">
      <alignment horizontal="left"/>
      <protection/>
    </xf>
    <xf numFmtId="49" fontId="0" fillId="4" borderId="0" xfId="0" applyNumberFormat="1" applyFont="1" applyFill="1" applyBorder="1" applyAlignment="1" applyProtection="1">
      <alignment horizontal="center"/>
      <protection/>
    </xf>
    <xf numFmtId="0" fontId="0" fillId="6" borderId="2" xfId="0" applyNumberFormat="1" applyFont="1" applyFill="1" applyBorder="1" applyAlignment="1" applyProtection="1">
      <alignment horizontal="center" vertical="center"/>
      <protection locked="0"/>
    </xf>
    <xf numFmtId="180" fontId="0" fillId="6" borderId="2" xfId="0" applyNumberFormat="1" applyFont="1" applyFill="1" applyBorder="1" applyAlignment="1" applyProtection="1">
      <alignment horizontal="center" vertical="center"/>
      <protection locked="0"/>
    </xf>
    <xf numFmtId="49" fontId="22" fillId="5" borderId="2" xfId="0" applyNumberFormat="1" applyFont="1" applyFill="1" applyBorder="1" applyAlignment="1" applyProtection="1">
      <alignment horizontal="center" vertical="center" wrapText="1"/>
      <protection locked="0"/>
    </xf>
    <xf numFmtId="49" fontId="0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6" borderId="2" xfId="0" applyNumberFormat="1" applyFont="1" applyFill="1" applyBorder="1" applyAlignment="1" applyProtection="1">
      <alignment horizontal="center"/>
      <protection locked="0"/>
    </xf>
    <xf numFmtId="180" fontId="0" fillId="6" borderId="2" xfId="0" applyNumberFormat="1" applyFont="1" applyFill="1" applyBorder="1" applyAlignment="1" applyProtection="1">
      <alignment horizontal="center"/>
      <protection locked="0"/>
    </xf>
    <xf numFmtId="49" fontId="17" fillId="9" borderId="4" xfId="0" applyNumberFormat="1" applyFont="1" applyFill="1" applyBorder="1" applyAlignment="1" applyProtection="1">
      <alignment horizontal="center" vertical="center"/>
      <protection locked="0"/>
    </xf>
    <xf numFmtId="0" fontId="0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2" fillId="10" borderId="2" xfId="0" applyNumberFormat="1" applyFont="1" applyFill="1" applyBorder="1" applyAlignment="1" applyProtection="1">
      <alignment horizontal="center" vertical="center"/>
      <protection locked="0"/>
    </xf>
    <xf numFmtId="0" fontId="5" fillId="10" borderId="2" xfId="0" applyNumberFormat="1" applyFont="1" applyFill="1" applyBorder="1" applyAlignment="1" applyProtection="1">
      <alignment horizontal="center" vertical="center"/>
      <protection locked="0"/>
    </xf>
    <xf numFmtId="49" fontId="2" fillId="10" borderId="2" xfId="0" applyNumberFormat="1" applyFont="1" applyFill="1" applyBorder="1" applyAlignment="1" applyProtection="1">
      <alignment horizontal="center"/>
      <protection locked="0"/>
    </xf>
    <xf numFmtId="49" fontId="5" fillId="10" borderId="2" xfId="0" applyNumberFormat="1" applyFont="1" applyFill="1" applyBorder="1" applyAlignment="1" applyProtection="1">
      <alignment horizontal="center"/>
      <protection locked="0"/>
    </xf>
    <xf numFmtId="49" fontId="18" fillId="2" borderId="1" xfId="20" applyNumberFormat="1" applyFont="1" applyFill="1" applyBorder="1" applyAlignment="1" applyProtection="1">
      <alignment vertical="center"/>
      <protection locked="0"/>
    </xf>
    <xf numFmtId="180" fontId="0" fillId="5" borderId="2" xfId="0" applyNumberFormat="1" applyFont="1" applyFill="1" applyBorder="1" applyAlignment="1" applyProtection="1">
      <alignment horizontal="center" vertical="center"/>
      <protection locked="0"/>
    </xf>
    <xf numFmtId="180" fontId="0" fillId="5" borderId="2" xfId="0" applyNumberFormat="1" applyFont="1" applyFill="1" applyBorder="1" applyAlignment="1" applyProtection="1">
      <alignment horizontal="center"/>
      <protection locked="0"/>
    </xf>
    <xf numFmtId="182" fontId="0" fillId="11" borderId="2" xfId="0" applyNumberFormat="1" applyFont="1" applyFill="1" applyBorder="1" applyAlignment="1" applyProtection="1">
      <alignment horizontal="center" vertical="center"/>
      <protection locked="0"/>
    </xf>
    <xf numFmtId="182" fontId="0" fillId="11" borderId="2" xfId="0" applyNumberFormat="1" applyFont="1" applyFill="1" applyBorder="1" applyAlignment="1" applyProtection="1">
      <alignment horizontal="center"/>
      <protection locked="0"/>
    </xf>
    <xf numFmtId="0" fontId="19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8" fillId="2" borderId="0" xfId="20" applyNumberFormat="1" applyFont="1" applyFill="1" applyBorder="1" applyAlignment="1" applyProtection="1">
      <alignment vertical="center"/>
      <protection locked="0"/>
    </xf>
    <xf numFmtId="49" fontId="18" fillId="3" borderId="0" xfId="20" applyNumberFormat="1" applyFont="1" applyFill="1" applyBorder="1" applyAlignment="1" applyProtection="1">
      <alignment vertical="center"/>
      <protection locked="0"/>
    </xf>
    <xf numFmtId="0" fontId="18" fillId="2" borderId="0" xfId="20" applyNumberFormat="1" applyFont="1" applyFill="1" applyBorder="1" applyAlignment="1" applyProtection="1">
      <alignment vertical="center"/>
      <protection locked="0"/>
    </xf>
    <xf numFmtId="0" fontId="0" fillId="5" borderId="2" xfId="0" applyFont="1" applyFill="1" applyBorder="1" applyAlignment="1">
      <alignment horizontal="center"/>
    </xf>
    <xf numFmtId="0" fontId="19" fillId="4" borderId="6" xfId="0" applyNumberFormat="1" applyFont="1" applyFill="1" applyBorder="1" applyAlignment="1" applyProtection="1">
      <alignment horizontal="center" vertical="center" wrapText="1"/>
      <protection locked="0"/>
    </xf>
    <xf numFmtId="180" fontId="0" fillId="5" borderId="7" xfId="0" applyNumberFormat="1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 vertical="center"/>
    </xf>
    <xf numFmtId="0" fontId="0" fillId="12" borderId="0" xfId="0" applyFont="1" applyFill="1" applyBorder="1" applyAlignment="1">
      <alignment horizontal="center" vertical="center"/>
    </xf>
    <xf numFmtId="183" fontId="2" fillId="7" borderId="2" xfId="0" applyNumberFormat="1" applyFont="1" applyFill="1" applyBorder="1" applyAlignment="1" applyProtection="1">
      <alignment horizontal="center" vertical="center"/>
      <protection locked="0"/>
    </xf>
    <xf numFmtId="183" fontId="0" fillId="5" borderId="2" xfId="0" applyNumberFormat="1" applyFont="1" applyFill="1" applyBorder="1" applyAlignment="1">
      <alignment horizontal="center" vertical="center"/>
    </xf>
    <xf numFmtId="183" fontId="18" fillId="12" borderId="0" xfId="0" applyNumberFormat="1" applyFont="1" applyFill="1" applyBorder="1" applyAlignment="1">
      <alignment horizontal="center" vertical="center"/>
    </xf>
    <xf numFmtId="183" fontId="0" fillId="12" borderId="0" xfId="0" applyNumberFormat="1" applyFont="1" applyFill="1" applyBorder="1" applyAlignment="1">
      <alignment horizontal="center" vertical="center"/>
    </xf>
    <xf numFmtId="183" fontId="0" fillId="5" borderId="8" xfId="0" applyNumberFormat="1" applyFont="1" applyFill="1" applyBorder="1" applyAlignment="1">
      <alignment horizontal="center" vertical="center"/>
    </xf>
    <xf numFmtId="180" fontId="18" fillId="3" borderId="9" xfId="20" applyNumberFormat="1" applyFont="1" applyFill="1" applyBorder="1" applyAlignment="1" applyProtection="1">
      <alignment vertical="center"/>
      <protection locked="0"/>
    </xf>
    <xf numFmtId="180" fontId="19" fillId="4" borderId="10" xfId="0" applyNumberFormat="1" applyFont="1" applyFill="1" applyBorder="1" applyAlignment="1" applyProtection="1">
      <alignment horizontal="center" vertical="center" wrapText="1"/>
      <protection locked="0"/>
    </xf>
    <xf numFmtId="180" fontId="0" fillId="5" borderId="11" xfId="0" applyNumberFormat="1" applyFont="1" applyFill="1" applyBorder="1" applyAlignment="1">
      <alignment horizontal="center"/>
    </xf>
    <xf numFmtId="183" fontId="19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17" fillId="4" borderId="6" xfId="0" applyNumberFormat="1" applyFont="1" applyFill="1" applyBorder="1" applyAlignment="1" applyProtection="1">
      <alignment horizontal="center" vertical="center" wrapText="1"/>
      <protection locked="0"/>
    </xf>
    <xf numFmtId="0" fontId="27" fillId="0" borderId="12" xfId="21" applyFont="1" applyFill="1" applyBorder="1" applyAlignment="1" applyProtection="1">
      <alignment wrapText="1"/>
      <protection locked="0"/>
    </xf>
    <xf numFmtId="0" fontId="28" fillId="0" borderId="12" xfId="21" applyFont="1" applyFill="1" applyBorder="1" applyAlignment="1" applyProtection="1">
      <alignment wrapText="1"/>
      <protection locked="0"/>
    </xf>
    <xf numFmtId="0" fontId="28" fillId="0" borderId="12" xfId="21" applyFont="1" applyFill="1" applyBorder="1" applyAlignment="1" applyProtection="1">
      <alignment horizontal="right" wrapText="1"/>
      <protection locked="0"/>
    </xf>
    <xf numFmtId="0" fontId="29" fillId="0" borderId="0" xfId="0" applyFont="1" applyFill="1" applyBorder="1" applyProtection="1">
      <protection locked="0"/>
    </xf>
    <xf numFmtId="0" fontId="30" fillId="0" borderId="2" xfId="0" applyFont="1" applyBorder="1" applyProtection="1">
      <protection locked="0"/>
    </xf>
    <xf numFmtId="0" fontId="31" fillId="0" borderId="12" xfId="21" applyFont="1" applyFill="1" applyBorder="1" applyAlignment="1" applyProtection="1">
      <alignment wrapText="1"/>
      <protection locked="0"/>
    </xf>
    <xf numFmtId="0" fontId="29" fillId="0" borderId="12" xfId="21" applyFont="1" applyFill="1" applyBorder="1" applyAlignment="1" applyProtection="1">
      <alignment wrapText="1"/>
      <protection locked="0"/>
    </xf>
    <xf numFmtId="0" fontId="29" fillId="0" borderId="12" xfId="21" applyFont="1" applyFill="1" applyBorder="1" applyAlignment="1" applyProtection="1">
      <alignment horizontal="right" wrapText="1"/>
      <protection locked="0"/>
    </xf>
    <xf numFmtId="0" fontId="32" fillId="0" borderId="12" xfId="21" applyFont="1" applyFill="1" applyBorder="1" applyAlignment="1" applyProtection="1">
      <alignment wrapText="1"/>
      <protection locked="0"/>
    </xf>
    <xf numFmtId="0" fontId="31" fillId="0" borderId="13" xfId="21" applyFont="1" applyFill="1" applyBorder="1" applyAlignment="1" applyProtection="1">
      <alignment wrapText="1"/>
      <protection locked="0"/>
    </xf>
    <xf numFmtId="0" fontId="29" fillId="0" borderId="13" xfId="21" applyFont="1" applyFill="1" applyBorder="1" applyAlignment="1" applyProtection="1">
      <alignment wrapText="1"/>
      <protection locked="0"/>
    </xf>
    <xf numFmtId="0" fontId="29" fillId="0" borderId="13" xfId="21" applyFont="1" applyFill="1" applyBorder="1" applyAlignment="1" applyProtection="1">
      <alignment horizontal="right" wrapText="1"/>
      <protection locked="0"/>
    </xf>
    <xf numFmtId="0" fontId="27" fillId="0" borderId="14" xfId="0" applyFont="1" applyBorder="1" applyProtection="1">
      <protection locked="0"/>
    </xf>
    <xf numFmtId="0" fontId="28" fillId="0" borderId="14" xfId="0" applyFont="1" applyBorder="1" applyProtection="1">
      <protection locked="0"/>
    </xf>
    <xf numFmtId="0" fontId="34" fillId="0" borderId="14" xfId="22" applyFont="1" applyFill="1" applyBorder="1" applyAlignment="1" applyProtection="1">
      <alignment vertical="center" wrapText="1"/>
      <protection locked="0"/>
    </xf>
    <xf numFmtId="0" fontId="28" fillId="0" borderId="0" xfId="0" applyFont="1" applyProtection="1">
      <protection locked="0"/>
    </xf>
    <xf numFmtId="0" fontId="27" fillId="0" borderId="0" xfId="0" applyFont="1" applyProtection="1">
      <protection locked="0"/>
    </xf>
    <xf numFmtId="0" fontId="34" fillId="0" borderId="2" xfId="22" applyFont="1" applyFill="1" applyBorder="1" applyAlignment="1" applyProtection="1">
      <alignment vertical="center" wrapText="1"/>
      <protection locked="0"/>
    </xf>
    <xf numFmtId="0" fontId="28" fillId="0" borderId="2" xfId="0" applyFont="1" applyBorder="1" applyProtection="1">
      <protection locked="0"/>
    </xf>
    <xf numFmtId="0" fontId="35" fillId="0" borderId="2" xfId="22" applyFont="1" applyFill="1" applyBorder="1" applyAlignment="1" applyProtection="1">
      <alignment vertical="center" wrapText="1"/>
      <protection locked="0"/>
    </xf>
    <xf numFmtId="14" fontId="0" fillId="5" borderId="2" xfId="0" applyNumberFormat="1" applyFont="1" applyFill="1" applyBorder="1" applyAlignment="1" applyProtection="1">
      <alignment horizontal="center" vertical="center" wrapText="1"/>
      <protection locked="0"/>
    </xf>
    <xf numFmtId="182" fontId="0" fillId="11" borderId="2" xfId="0" applyNumberFormat="1" applyFont="1" applyFill="1" applyBorder="1" applyAlignment="1" applyProtection="1">
      <alignment horizontal="center" vertical="center" wrapText="1"/>
      <protection locked="0"/>
    </xf>
    <xf numFmtId="184" fontId="0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2" xfId="0" applyNumberFormat="1" applyFont="1" applyFill="1" applyBorder="1" applyAlignment="1" applyProtection="1">
      <alignment horizontal="center" vertical="center"/>
      <protection locked="0"/>
    </xf>
    <xf numFmtId="0" fontId="36" fillId="10" borderId="2" xfId="0" applyNumberFormat="1" applyFont="1" applyFill="1" applyBorder="1" applyAlignment="1" applyProtection="1">
      <alignment horizontal="center" vertical="center"/>
      <protection locked="0"/>
    </xf>
  </cellXfs>
  <cellStyles count="9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常规 2" xfId="20"/>
    <cellStyle name="常规_Sheet1" xfId="21"/>
    <cellStyle name="常规_Sheet2" xfId="22"/>
  </cellStyles>
  <dxfs count="7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worksheet" Target="worksheets/sheet3.xml" /><Relationship Id="rId1" Type="http://schemas.openxmlformats.org/officeDocument/2006/relationships/theme" Target="theme/theme1.xml" /><Relationship Id="rId2" Type="http://schemas.microsoft.com/office/2006/relationships/vbaProject" Target="vbaProject.bin" /><Relationship Id="rId8" Type="http://schemas.openxmlformats.org/officeDocument/2006/relationships/sharedStrings" Target="sharedStrings.xml" /><Relationship Id="rId4" Type="http://schemas.openxmlformats.org/officeDocument/2006/relationships/worksheet" Target="worksheets/sheet2.xml" /><Relationship Id="rId6" Type="http://schemas.openxmlformats.org/officeDocument/2006/relationships/worksheet" Target="worksheets/sheet4.xml" /><Relationship Id="rId3" Type="http://schemas.openxmlformats.org/officeDocument/2006/relationships/worksheet" Target="worksheets/sheet1.xml" /><Relationship Id="rId7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3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988"/>
  <sheetViews>
    <sheetView showGridLines="0" workbookViewId="0" topLeftCell="A1">
      <selection pane="topLeft" activeCell="J17" sqref="J17"/>
    </sheetView>
  </sheetViews>
  <sheetFormatPr defaultColWidth="9" defaultRowHeight="20.1" customHeight="1"/>
  <cols>
    <col min="1" max="1" width="17" style="7" customWidth="1"/>
    <col min="2" max="2" width="31.5" style="7" customWidth="1"/>
    <col min="3" max="5" width="5.125" style="7" customWidth="1"/>
    <col min="6" max="10" width="5.125" style="5" customWidth="1"/>
    <col min="11" max="13" width="5.125" style="6" customWidth="1"/>
    <col min="14" max="14" width="5.625" style="6" customWidth="1"/>
    <col min="15" max="16384" width="9" style="6"/>
  </cols>
  <sheetData>
    <row r="1" spans="1:15" ht="23.25" customHeight="1">
      <c r="A1" s="4" t="s">
        <v>21</v>
      </c>
      <c r="B1" s="4"/>
      <c r="C1" s="9"/>
      <c r="D1" s="14"/>
      <c r="E1" s="15"/>
      <c r="F1" s="15"/>
      <c r="G1" s="15"/>
      <c r="H1" s="15"/>
      <c r="I1" s="15"/>
      <c r="J1" s="15"/>
      <c r="K1" s="15"/>
      <c r="L1" s="15"/>
      <c r="M1" s="15"/>
      <c r="N1" s="16"/>
      <c r="O1" s="17"/>
    </row>
    <row r="2" spans="1:15" ht="22.5" customHeight="1">
      <c r="A2" s="13" t="s">
        <v>7</v>
      </c>
      <c r="B2" s="10" t="s">
        <v>10233</v>
      </c>
      <c r="D2" s="18"/>
      <c r="E2" s="15"/>
      <c r="F2" s="3" t="s">
        <v>13</v>
      </c>
      <c r="G2" s="3"/>
      <c r="H2" s="3"/>
      <c r="I2" s="19"/>
      <c r="J2" s="3" t="s">
        <v>14</v>
      </c>
      <c r="K2" s="3"/>
      <c r="L2" s="3"/>
      <c r="M2" s="15"/>
      <c r="N2" s="16"/>
      <c r="O2" s="17"/>
    </row>
    <row r="3" spans="1:15" ht="22.5" customHeight="1">
      <c r="A3" s="13" t="s">
        <v>6</v>
      </c>
      <c r="B3" s="10" t="s">
        <v>10232</v>
      </c>
      <c r="D3" s="18"/>
      <c r="E3" s="15"/>
      <c r="F3" s="3"/>
      <c r="G3" s="3"/>
      <c r="H3" s="3"/>
      <c r="I3" s="19"/>
      <c r="J3" s="3"/>
      <c r="K3" s="3"/>
      <c r="L3" s="3"/>
      <c r="M3" s="15"/>
      <c r="N3" s="16"/>
      <c r="O3" s="17"/>
    </row>
    <row r="4" spans="1:15" s="7" customFormat="1" ht="22.5" customHeight="1">
      <c r="A4" s="13" t="s">
        <v>5</v>
      </c>
      <c r="B4" s="10" t="s">
        <v>12</v>
      </c>
      <c r="D4" s="18"/>
      <c r="E4" s="15"/>
      <c r="F4" s="3"/>
      <c r="G4" s="3"/>
      <c r="H4" s="3"/>
      <c r="I4" s="19"/>
      <c r="J4" s="3"/>
      <c r="K4" s="3"/>
      <c r="L4" s="3"/>
      <c r="M4" s="15"/>
      <c r="N4" s="16"/>
      <c r="O4" s="20"/>
    </row>
    <row r="5" spans="1:15" s="7" customFormat="1" ht="22.5" customHeight="1">
      <c r="A5" s="13" t="s">
        <v>4</v>
      </c>
      <c r="B5" s="8"/>
      <c r="D5" s="21"/>
      <c r="E5" s="15"/>
      <c r="F5" s="19"/>
      <c r="G5" s="19"/>
      <c r="H5" s="19"/>
      <c r="I5" s="19"/>
      <c r="J5" s="19"/>
      <c r="K5" s="22"/>
      <c r="L5" s="22"/>
      <c r="M5" s="15"/>
      <c r="N5" s="16"/>
      <c r="O5" s="20"/>
    </row>
    <row r="6" spans="1:15" s="7" customFormat="1" ht="22.5" customHeight="1">
      <c r="A6" s="13" t="s">
        <v>3</v>
      </c>
      <c r="B6" s="8"/>
      <c r="D6" s="18"/>
      <c r="E6" s="15"/>
      <c r="F6" s="3" t="s">
        <v>15</v>
      </c>
      <c r="G6" s="3"/>
      <c r="H6" s="3"/>
      <c r="I6" s="19"/>
      <c r="J6" s="3" t="s">
        <v>16</v>
      </c>
      <c r="K6" s="3"/>
      <c r="L6" s="3"/>
      <c r="M6" s="15"/>
      <c r="N6" s="16"/>
      <c r="O6" s="20"/>
    </row>
    <row r="7" spans="1:15" s="7" customFormat="1" ht="60" customHeight="1">
      <c r="A7" s="13" t="s">
        <v>5347</v>
      </c>
      <c r="B7" s="8"/>
      <c r="D7" s="18"/>
      <c r="E7" s="15"/>
      <c r="F7" s="3"/>
      <c r="G7" s="3"/>
      <c r="H7" s="3"/>
      <c r="I7" s="19"/>
      <c r="J7" s="3"/>
      <c r="K7" s="3"/>
      <c r="L7" s="3"/>
      <c r="M7" s="15"/>
      <c r="N7" s="16"/>
      <c r="O7" s="20"/>
    </row>
    <row r="8" spans="1:15" ht="24.6" customHeight="1">
      <c r="A8" s="2" t="s">
        <v>10</v>
      </c>
      <c r="B8" s="2"/>
      <c r="D8" s="23"/>
      <c r="E8" s="15"/>
      <c r="F8" s="3"/>
      <c r="G8" s="3"/>
      <c r="H8" s="3"/>
      <c r="I8" s="24"/>
      <c r="J8" s="3"/>
      <c r="K8" s="3"/>
      <c r="L8" s="3"/>
      <c r="M8" s="15"/>
      <c r="N8" s="16"/>
      <c r="O8" s="17"/>
    </row>
    <row r="9" spans="1:15" ht="21.75" customHeight="1">
      <c r="A9" s="12" t="s">
        <v>0</v>
      </c>
      <c r="B9" s="11"/>
      <c r="D9" s="23"/>
      <c r="E9" s="15"/>
      <c r="F9" s="3"/>
      <c r="G9" s="3"/>
      <c r="H9" s="3"/>
      <c r="I9" s="19"/>
      <c r="J9" s="3"/>
      <c r="K9" s="3"/>
      <c r="L9" s="3"/>
      <c r="M9" s="15"/>
      <c r="N9" s="16"/>
      <c r="O9" s="17"/>
    </row>
    <row r="10" spans="1:15" ht="21.75" customHeight="1">
      <c r="A10" s="12" t="s">
        <v>1</v>
      </c>
      <c r="B10" s="11"/>
      <c r="D10" s="16"/>
      <c r="E10" s="15"/>
      <c r="F10" s="15"/>
      <c r="G10" s="15"/>
      <c r="H10" s="15"/>
      <c r="I10" s="15"/>
      <c r="J10" s="15"/>
      <c r="K10" s="15"/>
      <c r="L10" s="15"/>
      <c r="M10" s="15"/>
      <c r="N10" s="16"/>
      <c r="O10" s="17"/>
    </row>
    <row r="11" spans="1:15" ht="21.75" customHeight="1">
      <c r="A11" s="12" t="s">
        <v>2</v>
      </c>
      <c r="B11" s="11"/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6"/>
      <c r="O11" s="17"/>
    </row>
    <row r="12" spans="4:15" ht="20.1" customHeight="1" thickBot="1">
      <c r="D12" s="25"/>
      <c r="E12" s="25"/>
      <c r="F12" s="26" t="s">
        <v>17</v>
      </c>
      <c r="G12" s="27"/>
      <c r="H12" s="25"/>
      <c r="I12" s="25"/>
      <c r="J12" s="25"/>
      <c r="K12" s="25"/>
      <c r="L12" s="25"/>
      <c r="M12" s="25"/>
      <c r="N12" s="25"/>
      <c r="O12" s="20"/>
    </row>
    <row r="13" spans="4:15" ht="20.1" customHeight="1">
      <c r="D13" s="25"/>
      <c r="E13" s="25"/>
      <c r="F13" s="28"/>
      <c r="G13" s="29" t="s">
        <v>18</v>
      </c>
      <c r="H13" s="25"/>
      <c r="I13" s="25"/>
      <c r="J13" s="25"/>
      <c r="K13" s="25"/>
      <c r="L13" s="25"/>
      <c r="M13" s="25"/>
      <c r="N13" s="25"/>
      <c r="O13" s="20"/>
    </row>
    <row r="14" spans="4:15" ht="20.1" customHeight="1">
      <c r="D14" s="25"/>
      <c r="E14" s="25"/>
      <c r="F14" s="30"/>
      <c r="G14" s="29" t="s">
        <v>19</v>
      </c>
      <c r="H14" s="17"/>
      <c r="I14" s="17"/>
      <c r="J14" s="17"/>
      <c r="K14" s="17"/>
      <c r="L14" s="17"/>
      <c r="M14" s="17"/>
      <c r="N14" s="25"/>
      <c r="O14" s="17"/>
    </row>
    <row r="15" spans="4:15" ht="20.1" customHeight="1">
      <c r="D15" s="25"/>
      <c r="E15" s="25"/>
      <c r="F15" s="31"/>
      <c r="G15" s="29" t="s">
        <v>20</v>
      </c>
      <c r="H15" s="17"/>
      <c r="I15" s="17"/>
      <c r="J15" s="17"/>
      <c r="K15" s="17"/>
      <c r="L15" s="17"/>
      <c r="M15" s="17"/>
      <c r="N15" s="25"/>
      <c r="O15" s="17"/>
    </row>
    <row r="16" spans="6:18" s="7" customFormat="1" ht="20.1" customHeight="1">
      <c r="F16" s="5"/>
      <c r="G16" s="5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</row>
    <row r="17" spans="6:18" s="7" customFormat="1" ht="20.1" customHeight="1">
      <c r="F17" s="5"/>
      <c r="G17" s="5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</row>
    <row r="18" spans="8:10" ht="20.1" customHeight="1">
      <c r="H18" s="6"/>
      <c r="I18" s="6"/>
      <c r="J18" s="6"/>
    </row>
    <row r="19" spans="8:10" ht="20.1" customHeight="1">
      <c r="H19" s="6"/>
      <c r="I19" s="6"/>
      <c r="J19" s="6"/>
    </row>
    <row r="20" spans="8:10" ht="20.1" customHeight="1">
      <c r="H20" s="6"/>
      <c r="I20" s="6"/>
      <c r="J20" s="6"/>
    </row>
    <row r="21" spans="6:10" ht="20.1" customHeight="1">
      <c r="F21" s="6"/>
      <c r="G21" s="6"/>
      <c r="H21" s="6"/>
      <c r="I21" s="6"/>
      <c r="J21" s="6"/>
    </row>
    <row r="22" spans="6:10" ht="20.1" customHeight="1">
      <c r="F22" s="6"/>
      <c r="G22" s="6"/>
      <c r="H22" s="6"/>
      <c r="I22" s="6"/>
      <c r="J22" s="6"/>
    </row>
    <row r="23" spans="6:10" ht="20.1" customHeight="1">
      <c r="F23" s="6"/>
      <c r="G23" s="6"/>
      <c r="H23" s="6"/>
      <c r="I23" s="6"/>
      <c r="J23" s="6"/>
    </row>
    <row r="24" spans="6:10" ht="20.1" customHeight="1">
      <c r="F24" s="6"/>
      <c r="G24" s="6"/>
      <c r="H24" s="6"/>
      <c r="I24" s="6"/>
      <c r="J24" s="6"/>
    </row>
    <row r="25" spans="6:10" ht="20.1" customHeight="1">
      <c r="F25" s="6"/>
      <c r="G25" s="6"/>
      <c r="H25" s="6"/>
      <c r="I25" s="6"/>
      <c r="J25" s="6"/>
    </row>
    <row r="26" spans="6:10" ht="20.1" customHeight="1">
      <c r="F26" s="6"/>
      <c r="G26" s="6"/>
      <c r="H26" s="6"/>
      <c r="I26" s="6"/>
      <c r="J26" s="6"/>
    </row>
    <row r="27" spans="6:10" ht="20.1" customHeight="1">
      <c r="F27" s="6"/>
      <c r="G27" s="6"/>
      <c r="H27" s="6"/>
      <c r="I27" s="6"/>
      <c r="J27" s="6"/>
    </row>
    <row r="28" spans="6:10" ht="20.1" customHeight="1">
      <c r="F28" s="6"/>
      <c r="G28" s="6"/>
      <c r="H28" s="6"/>
      <c r="I28" s="6"/>
      <c r="J28" s="6"/>
    </row>
    <row r="29" spans="6:10" ht="20.1" customHeight="1">
      <c r="F29" s="6"/>
      <c r="G29" s="6"/>
      <c r="H29" s="6"/>
      <c r="I29" s="6"/>
      <c r="J29" s="6"/>
    </row>
    <row r="30" spans="6:10" ht="20.1" customHeight="1">
      <c r="F30" s="6"/>
      <c r="G30" s="6"/>
      <c r="H30" s="6"/>
      <c r="I30" s="6"/>
      <c r="J30" s="6"/>
    </row>
    <row r="31" spans="6:10" ht="20.1" customHeight="1">
      <c r="F31" s="6"/>
      <c r="G31" s="6"/>
      <c r="H31" s="6"/>
      <c r="I31" s="6"/>
      <c r="J31" s="6"/>
    </row>
    <row r="32" spans="6:10" ht="20.1" customHeight="1">
      <c r="F32" s="6"/>
      <c r="G32" s="6"/>
      <c r="H32" s="6"/>
      <c r="I32" s="6"/>
      <c r="J32" s="6"/>
    </row>
    <row r="33" spans="6:10" ht="20.1" customHeight="1">
      <c r="F33" s="6"/>
      <c r="G33" s="6"/>
      <c r="H33" s="6"/>
      <c r="I33" s="6"/>
      <c r="J33" s="6"/>
    </row>
    <row r="34" spans="6:10" ht="20.1" customHeight="1">
      <c r="F34" s="6"/>
      <c r="G34" s="6"/>
      <c r="H34" s="6"/>
      <c r="I34" s="6"/>
      <c r="J34" s="6"/>
    </row>
    <row r="35" spans="6:10" ht="20.1" customHeight="1">
      <c r="F35" s="6"/>
      <c r="G35" s="6"/>
      <c r="H35" s="6"/>
      <c r="I35" s="6"/>
      <c r="J35" s="6"/>
    </row>
    <row r="36" spans="6:10" ht="20.1" customHeight="1">
      <c r="F36" s="6"/>
      <c r="G36" s="6"/>
      <c r="H36" s="6"/>
      <c r="I36" s="6"/>
      <c r="J36" s="6"/>
    </row>
    <row r="37" spans="6:10" ht="20.1" customHeight="1">
      <c r="F37" s="6"/>
      <c r="G37" s="6"/>
      <c r="H37" s="6"/>
      <c r="I37" s="6"/>
      <c r="J37" s="6"/>
    </row>
    <row r="38" spans="6:10" ht="20.1" customHeight="1">
      <c r="F38" s="6"/>
      <c r="G38" s="6"/>
      <c r="H38" s="6"/>
      <c r="I38" s="6"/>
      <c r="J38" s="6"/>
    </row>
    <row r="39" spans="6:10" ht="20.1" customHeight="1">
      <c r="F39" s="6"/>
      <c r="G39" s="6"/>
      <c r="H39" s="6"/>
      <c r="I39" s="6"/>
      <c r="J39" s="6"/>
    </row>
    <row r="40" spans="6:10" ht="20.1" customHeight="1">
      <c r="F40" s="6"/>
      <c r="G40" s="6"/>
      <c r="H40" s="6"/>
      <c r="I40" s="6"/>
      <c r="J40" s="6"/>
    </row>
    <row r="41" spans="6:10" ht="20.1" customHeight="1">
      <c r="F41" s="6"/>
      <c r="G41" s="6"/>
      <c r="H41" s="6"/>
      <c r="I41" s="6"/>
      <c r="J41" s="6"/>
    </row>
    <row r="42" spans="6:10" ht="20.1" customHeight="1">
      <c r="F42" s="6"/>
      <c r="G42" s="6"/>
      <c r="H42" s="6"/>
      <c r="I42" s="6"/>
      <c r="J42" s="6"/>
    </row>
    <row r="43" spans="6:10" ht="20.1" customHeight="1">
      <c r="F43" s="6"/>
      <c r="G43" s="6"/>
      <c r="H43" s="6"/>
      <c r="I43" s="6"/>
      <c r="J43" s="6"/>
    </row>
    <row r="44" spans="6:10" ht="20.1" customHeight="1">
      <c r="F44" s="6"/>
      <c r="G44" s="6"/>
      <c r="H44" s="6"/>
      <c r="I44" s="6"/>
      <c r="J44" s="6"/>
    </row>
    <row r="45" spans="6:10" ht="20.1" customHeight="1">
      <c r="F45" s="6"/>
      <c r="G45" s="6"/>
      <c r="H45" s="6"/>
      <c r="I45" s="6"/>
      <c r="J45" s="6"/>
    </row>
    <row r="46" spans="6:10" ht="20.1" customHeight="1">
      <c r="F46" s="6"/>
      <c r="G46" s="6"/>
      <c r="H46" s="6"/>
      <c r="I46" s="6"/>
      <c r="J46" s="6"/>
    </row>
    <row r="47" spans="6:10" ht="20.1" customHeight="1">
      <c r="F47" s="6"/>
      <c r="G47" s="6"/>
      <c r="H47" s="6"/>
      <c r="I47" s="6"/>
      <c r="J47" s="6"/>
    </row>
    <row r="48" spans="6:10" ht="20.1" customHeight="1">
      <c r="F48" s="6"/>
      <c r="G48" s="6"/>
      <c r="H48" s="6"/>
      <c r="I48" s="6"/>
      <c r="J48" s="6"/>
    </row>
    <row r="49" spans="6:10" ht="20.1" customHeight="1">
      <c r="F49" s="6"/>
      <c r="G49" s="6"/>
      <c r="H49" s="6"/>
      <c r="I49" s="6"/>
      <c r="J49" s="6"/>
    </row>
    <row r="50" spans="6:10" ht="20.1" customHeight="1">
      <c r="F50" s="6"/>
      <c r="G50" s="6"/>
      <c r="H50" s="6"/>
      <c r="I50" s="6"/>
      <c r="J50" s="6"/>
    </row>
    <row r="51" spans="6:10" ht="20.1" customHeight="1">
      <c r="F51" s="6"/>
      <c r="G51" s="6"/>
      <c r="H51" s="6"/>
      <c r="I51" s="6"/>
      <c r="J51" s="6"/>
    </row>
    <row r="52" spans="6:10" ht="20.1" customHeight="1">
      <c r="F52" s="6"/>
      <c r="G52" s="6"/>
      <c r="H52" s="6"/>
      <c r="I52" s="6"/>
      <c r="J52" s="6"/>
    </row>
    <row r="53" spans="6:10" ht="20.1" customHeight="1">
      <c r="F53" s="6"/>
      <c r="G53" s="6"/>
      <c r="H53" s="6"/>
      <c r="I53" s="6"/>
      <c r="J53" s="6"/>
    </row>
    <row r="54" spans="6:10" ht="20.1" customHeight="1">
      <c r="F54" s="6"/>
      <c r="G54" s="6"/>
      <c r="H54" s="6"/>
      <c r="I54" s="6"/>
      <c r="J54" s="6"/>
    </row>
    <row r="55" spans="6:10" ht="20.1" customHeight="1">
      <c r="F55" s="6"/>
      <c r="G55" s="6"/>
      <c r="H55" s="6"/>
      <c r="I55" s="6"/>
      <c r="J55" s="6"/>
    </row>
    <row r="56" spans="6:10" ht="20.1" customHeight="1">
      <c r="F56" s="6"/>
      <c r="G56" s="6"/>
      <c r="H56" s="6"/>
      <c r="I56" s="6"/>
      <c r="J56" s="6"/>
    </row>
    <row r="57" spans="6:10" ht="20.1" customHeight="1">
      <c r="F57" s="6"/>
      <c r="G57" s="6"/>
      <c r="H57" s="6"/>
      <c r="I57" s="6"/>
      <c r="J57" s="6"/>
    </row>
    <row r="58" spans="6:10" ht="20.1" customHeight="1">
      <c r="F58" s="6"/>
      <c r="G58" s="6"/>
      <c r="H58" s="6"/>
      <c r="I58" s="6"/>
      <c r="J58" s="6"/>
    </row>
    <row r="59" spans="6:10" ht="20.1" customHeight="1">
      <c r="F59" s="6"/>
      <c r="G59" s="6"/>
      <c r="H59" s="6"/>
      <c r="I59" s="6"/>
      <c r="J59" s="6"/>
    </row>
    <row r="60" spans="6:10" ht="20.1" customHeight="1">
      <c r="F60" s="6"/>
      <c r="G60" s="6"/>
      <c r="H60" s="6"/>
      <c r="I60" s="6"/>
      <c r="J60" s="6"/>
    </row>
    <row r="61" spans="6:10" ht="20.1" customHeight="1">
      <c r="F61" s="6"/>
      <c r="G61" s="6"/>
      <c r="H61" s="6"/>
      <c r="I61" s="6"/>
      <c r="J61" s="6"/>
    </row>
    <row r="62" spans="6:10" ht="20.1" customHeight="1">
      <c r="F62" s="6"/>
      <c r="G62" s="6"/>
      <c r="H62" s="6"/>
      <c r="I62" s="6"/>
      <c r="J62" s="6"/>
    </row>
    <row r="63" spans="6:10" ht="20.1" customHeight="1">
      <c r="F63" s="6"/>
      <c r="G63" s="6"/>
      <c r="H63" s="6"/>
      <c r="I63" s="6"/>
      <c r="J63" s="6"/>
    </row>
    <row r="64" spans="6:10" ht="20.1" customHeight="1">
      <c r="F64" s="6"/>
      <c r="G64" s="6"/>
      <c r="H64" s="6"/>
      <c r="I64" s="6"/>
      <c r="J64" s="6"/>
    </row>
    <row r="65" spans="6:10" ht="20.1" customHeight="1">
      <c r="F65" s="6"/>
      <c r="G65" s="6"/>
      <c r="H65" s="6"/>
      <c r="I65" s="6"/>
      <c r="J65" s="6"/>
    </row>
    <row r="66" spans="6:10" ht="20.1" customHeight="1">
      <c r="F66" s="6"/>
      <c r="G66" s="6"/>
      <c r="H66" s="6"/>
      <c r="I66" s="6"/>
      <c r="J66" s="6"/>
    </row>
    <row r="67" spans="6:10" ht="20.1" customHeight="1">
      <c r="F67" s="6"/>
      <c r="G67" s="6"/>
      <c r="H67" s="6"/>
      <c r="I67" s="6"/>
      <c r="J67" s="6"/>
    </row>
    <row r="68" spans="6:10" ht="20.1" customHeight="1">
      <c r="F68" s="6"/>
      <c r="G68" s="6"/>
      <c r="H68" s="6"/>
      <c r="I68" s="6"/>
      <c r="J68" s="6"/>
    </row>
    <row r="69" spans="6:10" ht="20.1" customHeight="1">
      <c r="F69" s="6"/>
      <c r="G69" s="6"/>
      <c r="H69" s="6"/>
      <c r="I69" s="6"/>
      <c r="J69" s="6"/>
    </row>
    <row r="70" spans="6:10" ht="20.1" customHeight="1">
      <c r="F70" s="6"/>
      <c r="G70" s="6"/>
      <c r="H70" s="6"/>
      <c r="I70" s="6"/>
      <c r="J70" s="6"/>
    </row>
    <row r="71" spans="6:10" ht="20.1" customHeight="1">
      <c r="F71" s="6"/>
      <c r="G71" s="6"/>
      <c r="H71" s="6"/>
      <c r="I71" s="6"/>
      <c r="J71" s="6"/>
    </row>
    <row r="72" spans="6:10" ht="20.1" customHeight="1">
      <c r="F72" s="6"/>
      <c r="G72" s="6"/>
      <c r="H72" s="6"/>
      <c r="I72" s="6"/>
      <c r="J72" s="6"/>
    </row>
    <row r="73" spans="6:10" ht="20.1" customHeight="1">
      <c r="F73" s="6"/>
      <c r="G73" s="6"/>
      <c r="H73" s="6"/>
      <c r="I73" s="6"/>
      <c r="J73" s="6"/>
    </row>
    <row r="74" spans="6:10" ht="20.1" customHeight="1">
      <c r="F74" s="6"/>
      <c r="G74" s="6"/>
      <c r="H74" s="6"/>
      <c r="I74" s="6"/>
      <c r="J74" s="6"/>
    </row>
    <row r="75" spans="6:10" ht="20.1" customHeight="1">
      <c r="F75" s="6"/>
      <c r="G75" s="6"/>
      <c r="H75" s="6"/>
      <c r="I75" s="6"/>
      <c r="J75" s="6"/>
    </row>
    <row r="76" spans="6:10" ht="20.1" customHeight="1">
      <c r="F76" s="6"/>
      <c r="G76" s="6"/>
      <c r="H76" s="6"/>
      <c r="I76" s="6"/>
      <c r="J76" s="6"/>
    </row>
    <row r="77" spans="6:10" ht="20.1" customHeight="1">
      <c r="F77" s="6"/>
      <c r="G77" s="6"/>
      <c r="H77" s="6"/>
      <c r="I77" s="6"/>
      <c r="J77" s="6"/>
    </row>
    <row r="78" spans="6:10" ht="20.1" customHeight="1">
      <c r="F78" s="6"/>
      <c r="G78" s="6"/>
      <c r="H78" s="6"/>
      <c r="I78" s="6"/>
      <c r="J78" s="6"/>
    </row>
    <row r="79" spans="6:10" ht="20.1" customHeight="1">
      <c r="F79" s="6"/>
      <c r="G79" s="6"/>
      <c r="H79" s="6"/>
      <c r="I79" s="6"/>
      <c r="J79" s="6"/>
    </row>
    <row r="80" spans="6:10" ht="20.1" customHeight="1">
      <c r="F80" s="6"/>
      <c r="G80" s="6"/>
      <c r="H80" s="6"/>
      <c r="I80" s="6"/>
      <c r="J80" s="6"/>
    </row>
    <row r="81" spans="6:10" ht="20.1" customHeight="1">
      <c r="F81" s="6"/>
      <c r="G81" s="6"/>
      <c r="H81" s="6"/>
      <c r="I81" s="6"/>
      <c r="J81" s="6"/>
    </row>
    <row r="82" spans="6:10" ht="20.1" customHeight="1">
      <c r="F82" s="6"/>
      <c r="G82" s="6"/>
      <c r="H82" s="6"/>
      <c r="I82" s="6"/>
      <c r="J82" s="6"/>
    </row>
    <row r="83" spans="6:10" ht="20.1" customHeight="1">
      <c r="F83" s="6"/>
      <c r="G83" s="6"/>
      <c r="H83" s="6"/>
      <c r="I83" s="6"/>
      <c r="J83" s="6"/>
    </row>
    <row r="84" spans="6:10" ht="20.1" customHeight="1">
      <c r="F84" s="6"/>
      <c r="G84" s="6"/>
      <c r="H84" s="6"/>
      <c r="I84" s="6"/>
      <c r="J84" s="6"/>
    </row>
    <row r="85" spans="6:10" ht="20.1" customHeight="1">
      <c r="F85" s="6"/>
      <c r="G85" s="6"/>
      <c r="H85" s="6"/>
      <c r="I85" s="6"/>
      <c r="J85" s="6"/>
    </row>
    <row r="86" spans="6:10" ht="20.1" customHeight="1">
      <c r="F86" s="6"/>
      <c r="G86" s="6"/>
      <c r="H86" s="6"/>
      <c r="I86" s="6"/>
      <c r="J86" s="6"/>
    </row>
    <row r="87" spans="6:10" ht="20.1" customHeight="1">
      <c r="F87" s="6"/>
      <c r="G87" s="6"/>
      <c r="H87" s="6"/>
      <c r="I87" s="6"/>
      <c r="J87" s="6"/>
    </row>
    <row r="88" spans="6:10" ht="20.1" customHeight="1">
      <c r="F88" s="6"/>
      <c r="G88" s="6"/>
      <c r="H88" s="6"/>
      <c r="I88" s="6"/>
      <c r="J88" s="6"/>
    </row>
    <row r="89" spans="6:10" ht="20.1" customHeight="1">
      <c r="F89" s="6"/>
      <c r="G89" s="6"/>
      <c r="H89" s="6"/>
      <c r="I89" s="6"/>
      <c r="J89" s="6"/>
    </row>
    <row r="90" spans="6:10" ht="20.1" customHeight="1">
      <c r="F90" s="6"/>
      <c r="G90" s="6"/>
      <c r="H90" s="6"/>
      <c r="I90" s="6"/>
      <c r="J90" s="6"/>
    </row>
    <row r="91" spans="6:10" ht="20.1" customHeight="1">
      <c r="F91" s="6"/>
      <c r="G91" s="6"/>
      <c r="H91" s="6"/>
      <c r="I91" s="6"/>
      <c r="J91" s="6"/>
    </row>
    <row r="92" spans="6:10" ht="20.1" customHeight="1">
      <c r="F92" s="6"/>
      <c r="G92" s="6"/>
      <c r="H92" s="6"/>
      <c r="I92" s="6"/>
      <c r="J92" s="6"/>
    </row>
    <row r="93" spans="6:10" ht="20.1" customHeight="1">
      <c r="F93" s="6"/>
      <c r="G93" s="6"/>
      <c r="H93" s="6"/>
      <c r="I93" s="6"/>
      <c r="J93" s="6"/>
    </row>
    <row r="94" spans="6:10" ht="20.1" customHeight="1">
      <c r="F94" s="6"/>
      <c r="G94" s="6"/>
      <c r="H94" s="6"/>
      <c r="I94" s="6"/>
      <c r="J94" s="6"/>
    </row>
    <row r="95" spans="6:10" ht="20.1" customHeight="1">
      <c r="F95" s="6"/>
      <c r="G95" s="6"/>
      <c r="H95" s="6"/>
      <c r="I95" s="6"/>
      <c r="J95" s="6"/>
    </row>
    <row r="96" spans="6:10" ht="20.1" customHeight="1">
      <c r="F96" s="6"/>
      <c r="G96" s="6"/>
      <c r="H96" s="6"/>
      <c r="I96" s="6"/>
      <c r="J96" s="6"/>
    </row>
    <row r="97" spans="6:10" ht="20.1" customHeight="1">
      <c r="F97" s="6"/>
      <c r="G97" s="6"/>
      <c r="H97" s="6"/>
      <c r="I97" s="6"/>
      <c r="J97" s="6"/>
    </row>
    <row r="98" spans="6:10" ht="20.1" customHeight="1">
      <c r="F98" s="6"/>
      <c r="G98" s="6"/>
      <c r="H98" s="6"/>
      <c r="I98" s="6"/>
      <c r="J98" s="6"/>
    </row>
    <row r="99" spans="6:10" ht="20.1" customHeight="1">
      <c r="F99" s="6"/>
      <c r="G99" s="6"/>
      <c r="H99" s="6"/>
      <c r="I99" s="6"/>
      <c r="J99" s="6"/>
    </row>
    <row r="100" spans="6:10" ht="20.1" customHeight="1">
      <c r="F100" s="6"/>
      <c r="G100" s="6"/>
      <c r="H100" s="6"/>
      <c r="I100" s="6"/>
      <c r="J100" s="6"/>
    </row>
    <row r="101" spans="6:10" ht="20.1" customHeight="1">
      <c r="F101" s="6"/>
      <c r="G101" s="6"/>
      <c r="H101" s="6"/>
      <c r="I101" s="6"/>
      <c r="J101" s="6"/>
    </row>
    <row r="102" spans="6:10" ht="20.1" customHeight="1">
      <c r="F102" s="6"/>
      <c r="G102" s="6"/>
      <c r="H102" s="6"/>
      <c r="I102" s="6"/>
      <c r="J102" s="6"/>
    </row>
    <row r="103" spans="6:10" ht="20.1" customHeight="1">
      <c r="F103" s="6"/>
      <c r="G103" s="6"/>
      <c r="H103" s="6"/>
      <c r="I103" s="6"/>
      <c r="J103" s="6"/>
    </row>
    <row r="104" spans="6:10" ht="20.1" customHeight="1">
      <c r="F104" s="6"/>
      <c r="G104" s="6"/>
      <c r="H104" s="6"/>
      <c r="I104" s="6"/>
      <c r="J104" s="6"/>
    </row>
    <row r="105" spans="6:10" ht="20.1" customHeight="1">
      <c r="F105" s="6"/>
      <c r="G105" s="6"/>
      <c r="H105" s="6"/>
      <c r="I105" s="6"/>
      <c r="J105" s="6"/>
    </row>
    <row r="106" spans="6:10" ht="20.1" customHeight="1">
      <c r="F106" s="6"/>
      <c r="G106" s="6"/>
      <c r="H106" s="6"/>
      <c r="I106" s="6"/>
      <c r="J106" s="6"/>
    </row>
    <row r="107" spans="6:10" ht="20.1" customHeight="1">
      <c r="F107" s="6"/>
      <c r="G107" s="6"/>
      <c r="H107" s="6"/>
      <c r="I107" s="6"/>
      <c r="J107" s="6"/>
    </row>
    <row r="108" spans="6:10" ht="20.1" customHeight="1">
      <c r="F108" s="6"/>
      <c r="G108" s="6"/>
      <c r="H108" s="6"/>
      <c r="I108" s="6"/>
      <c r="J108" s="6"/>
    </row>
    <row r="109" spans="6:10" ht="20.1" customHeight="1">
      <c r="F109" s="6"/>
      <c r="G109" s="6"/>
      <c r="H109" s="6"/>
      <c r="I109" s="6"/>
      <c r="J109" s="6"/>
    </row>
    <row r="110" spans="6:10" ht="20.1" customHeight="1">
      <c r="F110" s="6"/>
      <c r="G110" s="6"/>
      <c r="H110" s="6"/>
      <c r="I110" s="6"/>
      <c r="J110" s="6"/>
    </row>
    <row r="111" spans="6:10" ht="20.1" customHeight="1">
      <c r="F111" s="6"/>
      <c r="G111" s="6"/>
      <c r="H111" s="6"/>
      <c r="I111" s="6"/>
      <c r="J111" s="6"/>
    </row>
    <row r="112" spans="6:10" ht="20.1" customHeight="1">
      <c r="F112" s="6"/>
      <c r="G112" s="6"/>
      <c r="H112" s="6"/>
      <c r="I112" s="6"/>
      <c r="J112" s="6"/>
    </row>
    <row r="113" spans="6:10" ht="20.1" customHeight="1">
      <c r="F113" s="6"/>
      <c r="G113" s="6"/>
      <c r="H113" s="6"/>
      <c r="I113" s="6"/>
      <c r="J113" s="6"/>
    </row>
    <row r="114" spans="6:10" ht="20.1" customHeight="1">
      <c r="F114" s="6"/>
      <c r="G114" s="6"/>
      <c r="H114" s="6"/>
      <c r="I114" s="6"/>
      <c r="J114" s="6"/>
    </row>
    <row r="115" spans="6:10" ht="20.1" customHeight="1">
      <c r="F115" s="6"/>
      <c r="G115" s="6"/>
      <c r="H115" s="6"/>
      <c r="I115" s="6"/>
      <c r="J115" s="6"/>
    </row>
    <row r="116" spans="6:10" ht="20.1" customHeight="1">
      <c r="F116" s="6"/>
      <c r="G116" s="6"/>
      <c r="H116" s="6"/>
      <c r="I116" s="6"/>
      <c r="J116" s="6"/>
    </row>
    <row r="117" spans="6:10" ht="20.1" customHeight="1">
      <c r="F117" s="6"/>
      <c r="G117" s="6"/>
      <c r="H117" s="6"/>
      <c r="I117" s="6"/>
      <c r="J117" s="6"/>
    </row>
    <row r="118" spans="6:10" ht="20.1" customHeight="1">
      <c r="F118" s="6"/>
      <c r="G118" s="6"/>
      <c r="H118" s="6"/>
      <c r="I118" s="6"/>
      <c r="J118" s="6"/>
    </row>
    <row r="119" spans="6:10" ht="20.1" customHeight="1">
      <c r="F119" s="6"/>
      <c r="G119" s="6"/>
      <c r="H119" s="6"/>
      <c r="I119" s="6"/>
      <c r="J119" s="6"/>
    </row>
    <row r="120" spans="6:10" ht="20.1" customHeight="1">
      <c r="F120" s="6"/>
      <c r="G120" s="6"/>
      <c r="H120" s="6"/>
      <c r="I120" s="6"/>
      <c r="J120" s="6"/>
    </row>
    <row r="121" spans="6:10" ht="20.1" customHeight="1">
      <c r="F121" s="6"/>
      <c r="G121" s="6"/>
      <c r="H121" s="6"/>
      <c r="I121" s="6"/>
      <c r="J121" s="6"/>
    </row>
    <row r="122" spans="6:10" ht="20.1" customHeight="1">
      <c r="F122" s="6"/>
      <c r="G122" s="6"/>
      <c r="H122" s="6"/>
      <c r="I122" s="6"/>
      <c r="J122" s="6"/>
    </row>
    <row r="123" spans="6:10" ht="20.1" customHeight="1">
      <c r="F123" s="6"/>
      <c r="G123" s="6"/>
      <c r="H123" s="6"/>
      <c r="I123" s="6"/>
      <c r="J123" s="6"/>
    </row>
    <row r="124" spans="6:10" ht="20.1" customHeight="1">
      <c r="F124" s="6"/>
      <c r="G124" s="6"/>
      <c r="H124" s="6"/>
      <c r="I124" s="6"/>
      <c r="J124" s="6"/>
    </row>
    <row r="125" spans="6:10" ht="20.1" customHeight="1">
      <c r="F125" s="6"/>
      <c r="G125" s="6"/>
      <c r="H125" s="6"/>
      <c r="I125" s="6"/>
      <c r="J125" s="6"/>
    </row>
    <row r="126" spans="6:10" ht="20.1" customHeight="1">
      <c r="F126" s="6"/>
      <c r="G126" s="6"/>
      <c r="H126" s="6"/>
      <c r="I126" s="6"/>
      <c r="J126" s="6"/>
    </row>
    <row r="127" spans="6:10" ht="20.1" customHeight="1">
      <c r="F127" s="6"/>
      <c r="G127" s="6"/>
      <c r="H127" s="6"/>
      <c r="I127" s="6"/>
      <c r="J127" s="6"/>
    </row>
    <row r="128" spans="6:10" ht="20.1" customHeight="1">
      <c r="F128" s="6"/>
      <c r="G128" s="6"/>
      <c r="H128" s="6"/>
      <c r="I128" s="6"/>
      <c r="J128" s="6"/>
    </row>
    <row r="129" spans="6:10" ht="20.1" customHeight="1">
      <c r="F129" s="6"/>
      <c r="G129" s="6"/>
      <c r="H129" s="6"/>
      <c r="I129" s="6"/>
      <c r="J129" s="6"/>
    </row>
    <row r="130" spans="6:10" ht="20.1" customHeight="1">
      <c r="F130" s="6"/>
      <c r="G130" s="6"/>
      <c r="H130" s="6"/>
      <c r="I130" s="6"/>
      <c r="J130" s="6"/>
    </row>
    <row r="131" spans="6:10" ht="20.1" customHeight="1">
      <c r="F131" s="6"/>
      <c r="G131" s="6"/>
      <c r="H131" s="6"/>
      <c r="I131" s="6"/>
      <c r="J131" s="6"/>
    </row>
    <row r="132" spans="6:10" ht="20.1" customHeight="1">
      <c r="F132" s="6"/>
      <c r="G132" s="6"/>
      <c r="H132" s="6"/>
      <c r="I132" s="6"/>
      <c r="J132" s="6"/>
    </row>
    <row r="133" spans="6:10" ht="20.1" customHeight="1">
      <c r="F133" s="6"/>
      <c r="G133" s="6"/>
      <c r="H133" s="6"/>
      <c r="I133" s="6"/>
      <c r="J133" s="6"/>
    </row>
    <row r="134" spans="6:10" ht="20.1" customHeight="1">
      <c r="F134" s="6"/>
      <c r="G134" s="6"/>
      <c r="H134" s="6"/>
      <c r="I134" s="6"/>
      <c r="J134" s="6"/>
    </row>
    <row r="135" spans="6:10" ht="20.1" customHeight="1">
      <c r="F135" s="6"/>
      <c r="G135" s="6"/>
      <c r="H135" s="6"/>
      <c r="I135" s="6"/>
      <c r="J135" s="6"/>
    </row>
    <row r="136" spans="6:10" ht="20.1" customHeight="1">
      <c r="F136" s="6"/>
      <c r="G136" s="6"/>
      <c r="H136" s="6"/>
      <c r="I136" s="6"/>
      <c r="J136" s="6"/>
    </row>
    <row r="137" spans="6:10" ht="20.1" customHeight="1">
      <c r="F137" s="6"/>
      <c r="G137" s="6"/>
      <c r="H137" s="6"/>
      <c r="I137" s="6"/>
      <c r="J137" s="6"/>
    </row>
    <row r="138" spans="6:10" ht="20.1" customHeight="1">
      <c r="F138" s="6"/>
      <c r="G138" s="6"/>
      <c r="H138" s="6"/>
      <c r="I138" s="6"/>
      <c r="J138" s="6"/>
    </row>
    <row r="139" spans="6:10" ht="20.1" customHeight="1">
      <c r="F139" s="6"/>
      <c r="G139" s="6"/>
      <c r="H139" s="6"/>
      <c r="I139" s="6"/>
      <c r="J139" s="6"/>
    </row>
    <row r="140" spans="6:10" ht="20.1" customHeight="1">
      <c r="F140" s="6"/>
      <c r="G140" s="6"/>
      <c r="H140" s="6"/>
      <c r="I140" s="6"/>
      <c r="J140" s="6"/>
    </row>
    <row r="141" spans="6:10" ht="20.1" customHeight="1">
      <c r="F141" s="6"/>
      <c r="G141" s="6"/>
      <c r="H141" s="6"/>
      <c r="I141" s="6"/>
      <c r="J141" s="6"/>
    </row>
    <row r="142" spans="6:10" ht="20.1" customHeight="1">
      <c r="F142" s="6"/>
      <c r="G142" s="6"/>
      <c r="H142" s="6"/>
      <c r="I142" s="6"/>
      <c r="J142" s="6"/>
    </row>
    <row r="143" spans="6:10" ht="20.1" customHeight="1">
      <c r="F143" s="6"/>
      <c r="G143" s="6"/>
      <c r="H143" s="6"/>
      <c r="I143" s="6"/>
      <c r="J143" s="6"/>
    </row>
    <row r="144" spans="6:10" ht="20.1" customHeight="1">
      <c r="F144" s="6"/>
      <c r="G144" s="6"/>
      <c r="H144" s="6"/>
      <c r="I144" s="6"/>
      <c r="J144" s="6"/>
    </row>
    <row r="145" spans="6:10" ht="20.1" customHeight="1">
      <c r="F145" s="6"/>
      <c r="G145" s="6"/>
      <c r="H145" s="6"/>
      <c r="I145" s="6"/>
      <c r="J145" s="6"/>
    </row>
    <row r="146" spans="6:10" ht="20.1" customHeight="1">
      <c r="F146" s="6"/>
      <c r="G146" s="6"/>
      <c r="H146" s="6"/>
      <c r="I146" s="6"/>
      <c r="J146" s="6"/>
    </row>
    <row r="147" spans="6:10" ht="20.1" customHeight="1">
      <c r="F147" s="6"/>
      <c r="G147" s="6"/>
      <c r="H147" s="6"/>
      <c r="I147" s="6"/>
      <c r="J147" s="6"/>
    </row>
    <row r="148" spans="6:10" ht="20.1" customHeight="1">
      <c r="F148" s="6"/>
      <c r="G148" s="6"/>
      <c r="H148" s="6"/>
      <c r="I148" s="6"/>
      <c r="J148" s="6"/>
    </row>
    <row r="149" spans="6:10" ht="20.1" customHeight="1">
      <c r="F149" s="6"/>
      <c r="G149" s="6"/>
      <c r="H149" s="6"/>
      <c r="I149" s="6"/>
      <c r="J149" s="6"/>
    </row>
    <row r="150" spans="6:10" ht="20.1" customHeight="1">
      <c r="F150" s="6"/>
      <c r="G150" s="6"/>
      <c r="H150" s="6"/>
      <c r="I150" s="6"/>
      <c r="J150" s="6"/>
    </row>
    <row r="151" spans="6:10" ht="20.1" customHeight="1">
      <c r="F151" s="6"/>
      <c r="G151" s="6"/>
      <c r="H151" s="6"/>
      <c r="I151" s="6"/>
      <c r="J151" s="6"/>
    </row>
    <row r="152" spans="6:10" ht="20.1" customHeight="1">
      <c r="F152" s="6"/>
      <c r="G152" s="6"/>
      <c r="H152" s="6"/>
      <c r="I152" s="6"/>
      <c r="J152" s="6"/>
    </row>
    <row r="153" spans="6:10" ht="20.1" customHeight="1">
      <c r="F153" s="6"/>
      <c r="G153" s="6"/>
      <c r="H153" s="6"/>
      <c r="I153" s="6"/>
      <c r="J153" s="6"/>
    </row>
    <row r="154" spans="6:10" ht="20.1" customHeight="1">
      <c r="F154" s="6"/>
      <c r="G154" s="6"/>
      <c r="H154" s="6"/>
      <c r="I154" s="6"/>
      <c r="J154" s="6"/>
    </row>
    <row r="155" spans="6:10" ht="20.1" customHeight="1">
      <c r="F155" s="6"/>
      <c r="G155" s="6"/>
      <c r="H155" s="6"/>
      <c r="I155" s="6"/>
      <c r="J155" s="6"/>
    </row>
    <row r="156" spans="6:10" ht="20.1" customHeight="1">
      <c r="F156" s="6"/>
      <c r="G156" s="6"/>
      <c r="H156" s="6"/>
      <c r="I156" s="6"/>
      <c r="J156" s="6"/>
    </row>
    <row r="157" spans="6:10" ht="20.1" customHeight="1">
      <c r="F157" s="6"/>
      <c r="G157" s="6"/>
      <c r="H157" s="6"/>
      <c r="I157" s="6"/>
      <c r="J157" s="6"/>
    </row>
    <row r="158" spans="6:10" ht="20.1" customHeight="1">
      <c r="F158" s="6"/>
      <c r="G158" s="6"/>
      <c r="H158" s="6"/>
      <c r="I158" s="6"/>
      <c r="J158" s="6"/>
    </row>
    <row r="159" spans="6:10" ht="20.1" customHeight="1">
      <c r="F159" s="6"/>
      <c r="G159" s="6"/>
      <c r="H159" s="6"/>
      <c r="I159" s="6"/>
      <c r="J159" s="6"/>
    </row>
    <row r="160" spans="6:10" ht="20.1" customHeight="1">
      <c r="F160" s="6"/>
      <c r="G160" s="6"/>
      <c r="H160" s="6"/>
      <c r="I160" s="6"/>
      <c r="J160" s="6"/>
    </row>
    <row r="161" spans="6:10" ht="20.1" customHeight="1">
      <c r="F161" s="6"/>
      <c r="G161" s="6"/>
      <c r="H161" s="6"/>
      <c r="I161" s="6"/>
      <c r="J161" s="6"/>
    </row>
    <row r="162" spans="6:10" ht="20.1" customHeight="1">
      <c r="F162" s="6"/>
      <c r="G162" s="6"/>
      <c r="H162" s="6"/>
      <c r="I162" s="6"/>
      <c r="J162" s="6"/>
    </row>
    <row r="163" spans="6:10" ht="20.1" customHeight="1">
      <c r="F163" s="6"/>
      <c r="G163" s="6"/>
      <c r="H163" s="6"/>
      <c r="I163" s="6"/>
      <c r="J163" s="6"/>
    </row>
    <row r="164" spans="6:10" ht="20.1" customHeight="1">
      <c r="F164" s="6"/>
      <c r="G164" s="6"/>
      <c r="H164" s="6"/>
      <c r="I164" s="6"/>
      <c r="J164" s="6"/>
    </row>
    <row r="165" spans="6:10" ht="20.1" customHeight="1">
      <c r="F165" s="6"/>
      <c r="G165" s="6"/>
      <c r="H165" s="6"/>
      <c r="I165" s="6"/>
      <c r="J165" s="6"/>
    </row>
    <row r="166" spans="6:10" ht="20.1" customHeight="1">
      <c r="F166" s="6"/>
      <c r="G166" s="6"/>
      <c r="H166" s="6"/>
      <c r="I166" s="6"/>
      <c r="J166" s="6"/>
    </row>
    <row r="167" spans="6:10" ht="20.1" customHeight="1">
      <c r="F167" s="6"/>
      <c r="G167" s="6"/>
      <c r="H167" s="6"/>
      <c r="I167" s="6"/>
      <c r="J167" s="6"/>
    </row>
    <row r="168" spans="6:10" ht="20.1" customHeight="1">
      <c r="F168" s="6"/>
      <c r="G168" s="6"/>
      <c r="H168" s="6"/>
      <c r="I168" s="6"/>
      <c r="J168" s="6"/>
    </row>
    <row r="169" spans="6:10" ht="20.1" customHeight="1">
      <c r="F169" s="6"/>
      <c r="G169" s="6"/>
      <c r="H169" s="6"/>
      <c r="I169" s="6"/>
      <c r="J169" s="6"/>
    </row>
    <row r="170" spans="6:10" ht="20.1" customHeight="1">
      <c r="F170" s="6"/>
      <c r="G170" s="6"/>
      <c r="H170" s="6"/>
      <c r="I170" s="6"/>
      <c r="J170" s="6"/>
    </row>
    <row r="171" spans="6:10" ht="20.1" customHeight="1">
      <c r="F171" s="6"/>
      <c r="G171" s="6"/>
      <c r="H171" s="6"/>
      <c r="I171" s="6"/>
      <c r="J171" s="6"/>
    </row>
    <row r="172" spans="6:10" ht="20.1" customHeight="1">
      <c r="F172" s="6"/>
      <c r="G172" s="6"/>
      <c r="H172" s="6"/>
      <c r="I172" s="6"/>
      <c r="J172" s="6"/>
    </row>
    <row r="173" spans="6:10" ht="20.1" customHeight="1">
      <c r="F173" s="6"/>
      <c r="G173" s="6"/>
      <c r="H173" s="6"/>
      <c r="I173" s="6"/>
      <c r="J173" s="6"/>
    </row>
    <row r="174" spans="6:10" ht="20.1" customHeight="1">
      <c r="F174" s="6"/>
      <c r="G174" s="6"/>
      <c r="H174" s="6"/>
      <c r="I174" s="6"/>
      <c r="J174" s="6"/>
    </row>
    <row r="175" spans="6:10" ht="20.1" customHeight="1">
      <c r="F175" s="6"/>
      <c r="G175" s="6"/>
      <c r="H175" s="6"/>
      <c r="I175" s="6"/>
      <c r="J175" s="6"/>
    </row>
    <row r="176" spans="6:10" ht="20.1" customHeight="1">
      <c r="F176" s="6"/>
      <c r="G176" s="6"/>
      <c r="H176" s="6"/>
      <c r="I176" s="6"/>
      <c r="J176" s="6"/>
    </row>
    <row r="177" spans="6:10" ht="20.1" customHeight="1">
      <c r="F177" s="6"/>
      <c r="G177" s="6"/>
      <c r="H177" s="6"/>
      <c r="I177" s="6"/>
      <c r="J177" s="6"/>
    </row>
    <row r="178" spans="6:10" ht="20.1" customHeight="1">
      <c r="F178" s="6"/>
      <c r="G178" s="6"/>
      <c r="H178" s="6"/>
      <c r="I178" s="6"/>
      <c r="J178" s="6"/>
    </row>
    <row r="179" spans="6:10" ht="20.1" customHeight="1">
      <c r="F179" s="6"/>
      <c r="G179" s="6"/>
      <c r="H179" s="6"/>
      <c r="I179" s="6"/>
      <c r="J179" s="6"/>
    </row>
    <row r="180" spans="6:10" ht="20.1" customHeight="1">
      <c r="F180" s="6"/>
      <c r="G180" s="6"/>
      <c r="H180" s="6"/>
      <c r="I180" s="6"/>
      <c r="J180" s="6"/>
    </row>
    <row r="181" spans="6:10" ht="20.1" customHeight="1">
      <c r="F181" s="6"/>
      <c r="G181" s="6"/>
      <c r="H181" s="6"/>
      <c r="I181" s="6"/>
      <c r="J181" s="6"/>
    </row>
    <row r="182" spans="6:10" ht="20.1" customHeight="1">
      <c r="F182" s="6"/>
      <c r="G182" s="6"/>
      <c r="H182" s="6"/>
      <c r="I182" s="6"/>
      <c r="J182" s="6"/>
    </row>
    <row r="183" spans="6:10" ht="20.1" customHeight="1">
      <c r="F183" s="6"/>
      <c r="G183" s="6"/>
      <c r="H183" s="6"/>
      <c r="I183" s="6"/>
      <c r="J183" s="6"/>
    </row>
    <row r="184" spans="6:10" ht="20.1" customHeight="1">
      <c r="F184" s="6"/>
      <c r="G184" s="6"/>
      <c r="H184" s="6"/>
      <c r="I184" s="6"/>
      <c r="J184" s="6"/>
    </row>
    <row r="185" spans="6:10" ht="20.1" customHeight="1">
      <c r="F185" s="6"/>
      <c r="G185" s="6"/>
      <c r="H185" s="6"/>
      <c r="I185" s="6"/>
      <c r="J185" s="6"/>
    </row>
    <row r="186" spans="6:10" ht="20.1" customHeight="1">
      <c r="F186" s="6"/>
      <c r="G186" s="6"/>
      <c r="H186" s="6"/>
      <c r="I186" s="6"/>
      <c r="J186" s="6"/>
    </row>
    <row r="187" spans="6:10" ht="20.1" customHeight="1">
      <c r="F187" s="6"/>
      <c r="G187" s="6"/>
      <c r="H187" s="6"/>
      <c r="I187" s="6"/>
      <c r="J187" s="6"/>
    </row>
    <row r="188" spans="6:10" ht="20.1" customHeight="1">
      <c r="F188" s="6"/>
      <c r="G188" s="6"/>
      <c r="H188" s="6"/>
      <c r="I188" s="6"/>
      <c r="J188" s="6"/>
    </row>
    <row r="189" spans="6:10" ht="20.1" customHeight="1">
      <c r="F189" s="6"/>
      <c r="G189" s="6"/>
      <c r="H189" s="6"/>
      <c r="I189" s="6"/>
      <c r="J189" s="6"/>
    </row>
    <row r="190" spans="6:10" ht="20.1" customHeight="1">
      <c r="F190" s="6"/>
      <c r="G190" s="6"/>
      <c r="H190" s="6"/>
      <c r="I190" s="6"/>
      <c r="J190" s="6"/>
    </row>
    <row r="191" spans="6:10" ht="20.1" customHeight="1">
      <c r="F191" s="6"/>
      <c r="G191" s="6"/>
      <c r="H191" s="6"/>
      <c r="I191" s="6"/>
      <c r="J191" s="6"/>
    </row>
    <row r="192" spans="6:10" ht="20.1" customHeight="1">
      <c r="F192" s="6"/>
      <c r="G192" s="6"/>
      <c r="H192" s="6"/>
      <c r="I192" s="6"/>
      <c r="J192" s="6"/>
    </row>
    <row r="193" spans="6:10" ht="20.1" customHeight="1">
      <c r="F193" s="6"/>
      <c r="G193" s="6"/>
      <c r="H193" s="6"/>
      <c r="I193" s="6"/>
      <c r="J193" s="6"/>
    </row>
    <row r="194" spans="6:10" ht="20.1" customHeight="1">
      <c r="F194" s="6"/>
      <c r="G194" s="6"/>
      <c r="H194" s="6"/>
      <c r="I194" s="6"/>
      <c r="J194" s="6"/>
    </row>
    <row r="195" spans="6:10" ht="20.1" customHeight="1">
      <c r="F195" s="6"/>
      <c r="G195" s="6"/>
      <c r="H195" s="6"/>
      <c r="I195" s="6"/>
      <c r="J195" s="6"/>
    </row>
    <row r="196" spans="6:10" ht="20.1" customHeight="1">
      <c r="F196" s="6"/>
      <c r="G196" s="6"/>
      <c r="H196" s="6"/>
      <c r="I196" s="6"/>
      <c r="J196" s="6"/>
    </row>
    <row r="197" spans="6:10" ht="20.1" customHeight="1">
      <c r="F197" s="6"/>
      <c r="G197" s="6"/>
      <c r="H197" s="6"/>
      <c r="I197" s="6"/>
      <c r="J197" s="6"/>
    </row>
    <row r="198" spans="6:10" ht="20.1" customHeight="1">
      <c r="F198" s="6"/>
      <c r="G198" s="6"/>
      <c r="H198" s="6"/>
      <c r="I198" s="6"/>
      <c r="J198" s="6"/>
    </row>
    <row r="199" spans="6:10" ht="20.1" customHeight="1">
      <c r="F199" s="6"/>
      <c r="G199" s="6"/>
      <c r="H199" s="6"/>
      <c r="I199" s="6"/>
      <c r="J199" s="6"/>
    </row>
    <row r="200" spans="6:10" ht="20.1" customHeight="1">
      <c r="F200" s="6"/>
      <c r="G200" s="6"/>
      <c r="H200" s="6"/>
      <c r="I200" s="6"/>
      <c r="J200" s="6"/>
    </row>
    <row r="201" spans="6:10" ht="20.1" customHeight="1">
      <c r="F201" s="6"/>
      <c r="G201" s="6"/>
      <c r="H201" s="6"/>
      <c r="I201" s="6"/>
      <c r="J201" s="6"/>
    </row>
    <row r="202" spans="6:10" ht="20.1" customHeight="1">
      <c r="F202" s="6"/>
      <c r="G202" s="6"/>
      <c r="H202" s="6"/>
      <c r="I202" s="6"/>
      <c r="J202" s="6"/>
    </row>
    <row r="203" spans="6:10" ht="20.1" customHeight="1">
      <c r="F203" s="6"/>
      <c r="G203" s="6"/>
      <c r="H203" s="6"/>
      <c r="I203" s="6"/>
      <c r="J203" s="6"/>
    </row>
    <row r="204" spans="6:10" ht="20.1" customHeight="1">
      <c r="F204" s="6"/>
      <c r="G204" s="6"/>
      <c r="H204" s="6"/>
      <c r="I204" s="6"/>
      <c r="J204" s="6"/>
    </row>
    <row r="205" spans="6:10" ht="20.1" customHeight="1">
      <c r="F205" s="6"/>
      <c r="G205" s="6"/>
      <c r="H205" s="6"/>
      <c r="I205" s="6"/>
      <c r="J205" s="6"/>
    </row>
    <row r="206" spans="6:10" ht="20.1" customHeight="1">
      <c r="F206" s="6"/>
      <c r="G206" s="6"/>
      <c r="H206" s="6"/>
      <c r="I206" s="6"/>
      <c r="J206" s="6"/>
    </row>
    <row r="207" spans="6:10" ht="20.1" customHeight="1">
      <c r="F207" s="6"/>
      <c r="G207" s="6"/>
      <c r="H207" s="6"/>
      <c r="I207" s="6"/>
      <c r="J207" s="6"/>
    </row>
    <row r="208" spans="6:10" ht="20.1" customHeight="1">
      <c r="F208" s="6"/>
      <c r="G208" s="6"/>
      <c r="H208" s="6"/>
      <c r="I208" s="6"/>
      <c r="J208" s="6"/>
    </row>
    <row r="209" spans="6:10" ht="20.1" customHeight="1">
      <c r="F209" s="6"/>
      <c r="G209" s="6"/>
      <c r="H209" s="6"/>
      <c r="I209" s="6"/>
      <c r="J209" s="6"/>
    </row>
    <row r="210" spans="6:10" ht="20.1" customHeight="1">
      <c r="F210" s="6"/>
      <c r="G210" s="6"/>
      <c r="H210" s="6"/>
      <c r="I210" s="6"/>
      <c r="J210" s="6"/>
    </row>
    <row r="211" spans="6:10" ht="20.1" customHeight="1">
      <c r="F211" s="6"/>
      <c r="G211" s="6"/>
      <c r="H211" s="6"/>
      <c r="I211" s="6"/>
      <c r="J211" s="6"/>
    </row>
    <row r="212" spans="6:10" ht="20.1" customHeight="1">
      <c r="F212" s="6"/>
      <c r="G212" s="6"/>
      <c r="H212" s="6"/>
      <c r="I212" s="6"/>
      <c r="J212" s="6"/>
    </row>
    <row r="213" spans="6:10" ht="20.1" customHeight="1">
      <c r="F213" s="6"/>
      <c r="G213" s="6"/>
      <c r="H213" s="6"/>
      <c r="I213" s="6"/>
      <c r="J213" s="6"/>
    </row>
    <row r="214" spans="6:10" ht="20.1" customHeight="1">
      <c r="F214" s="6"/>
      <c r="G214" s="6"/>
      <c r="H214" s="6"/>
      <c r="I214" s="6"/>
      <c r="J214" s="6"/>
    </row>
    <row r="215" spans="6:10" ht="20.1" customHeight="1">
      <c r="F215" s="6"/>
      <c r="G215" s="6"/>
      <c r="H215" s="6"/>
      <c r="I215" s="6"/>
      <c r="J215" s="6"/>
    </row>
    <row r="216" spans="6:10" ht="20.1" customHeight="1">
      <c r="F216" s="6"/>
      <c r="G216" s="6"/>
      <c r="H216" s="6"/>
      <c r="I216" s="6"/>
      <c r="J216" s="6"/>
    </row>
    <row r="217" spans="6:10" ht="20.1" customHeight="1">
      <c r="F217" s="6"/>
      <c r="G217" s="6"/>
      <c r="H217" s="6"/>
      <c r="I217" s="6"/>
      <c r="J217" s="6"/>
    </row>
    <row r="218" spans="6:10" ht="20.1" customHeight="1">
      <c r="F218" s="6"/>
      <c r="G218" s="6"/>
      <c r="H218" s="6"/>
      <c r="I218" s="6"/>
      <c r="J218" s="6"/>
    </row>
    <row r="219" spans="6:10" ht="20.1" customHeight="1">
      <c r="F219" s="6"/>
      <c r="G219" s="6"/>
      <c r="H219" s="6"/>
      <c r="I219" s="6"/>
      <c r="J219" s="6"/>
    </row>
    <row r="220" spans="6:10" ht="20.1" customHeight="1">
      <c r="F220" s="6"/>
      <c r="G220" s="6"/>
      <c r="H220" s="6"/>
      <c r="I220" s="6"/>
      <c r="J220" s="6"/>
    </row>
    <row r="221" spans="6:10" ht="20.1" customHeight="1">
      <c r="F221" s="6"/>
      <c r="G221" s="6"/>
      <c r="H221" s="6"/>
      <c r="I221" s="6"/>
      <c r="J221" s="6"/>
    </row>
    <row r="222" spans="6:10" ht="20.1" customHeight="1">
      <c r="F222" s="6"/>
      <c r="G222" s="6"/>
      <c r="H222" s="6"/>
      <c r="I222" s="6"/>
      <c r="J222" s="6"/>
    </row>
    <row r="223" spans="6:10" ht="20.1" customHeight="1">
      <c r="F223" s="6"/>
      <c r="G223" s="6"/>
      <c r="H223" s="6"/>
      <c r="I223" s="6"/>
      <c r="J223" s="6"/>
    </row>
    <row r="224" spans="6:10" ht="20.1" customHeight="1">
      <c r="F224" s="6"/>
      <c r="G224" s="6"/>
      <c r="H224" s="6"/>
      <c r="I224" s="6"/>
      <c r="J224" s="6"/>
    </row>
    <row r="225" spans="6:10" ht="20.1" customHeight="1">
      <c r="F225" s="6"/>
      <c r="G225" s="6"/>
      <c r="H225" s="6"/>
      <c r="I225" s="6"/>
      <c r="J225" s="6"/>
    </row>
    <row r="226" spans="6:10" ht="20.1" customHeight="1">
      <c r="F226" s="6"/>
      <c r="G226" s="6"/>
      <c r="H226" s="6"/>
      <c r="I226" s="6"/>
      <c r="J226" s="6"/>
    </row>
    <row r="227" spans="6:10" ht="20.1" customHeight="1">
      <c r="F227" s="6"/>
      <c r="G227" s="6"/>
      <c r="H227" s="6"/>
      <c r="I227" s="6"/>
      <c r="J227" s="6"/>
    </row>
    <row r="228" spans="6:10" ht="20.1" customHeight="1">
      <c r="F228" s="6"/>
      <c r="G228" s="6"/>
      <c r="H228" s="6"/>
      <c r="I228" s="6"/>
      <c r="J228" s="6"/>
    </row>
    <row r="229" spans="6:10" ht="20.1" customHeight="1">
      <c r="F229" s="6"/>
      <c r="G229" s="6"/>
      <c r="H229" s="6"/>
      <c r="I229" s="6"/>
      <c r="J229" s="6"/>
    </row>
    <row r="230" spans="6:10" ht="20.1" customHeight="1">
      <c r="F230" s="6"/>
      <c r="G230" s="6"/>
      <c r="H230" s="6"/>
      <c r="I230" s="6"/>
      <c r="J230" s="6"/>
    </row>
    <row r="231" spans="6:10" ht="20.1" customHeight="1">
      <c r="F231" s="6"/>
      <c r="G231" s="6"/>
      <c r="H231" s="6"/>
      <c r="I231" s="6"/>
      <c r="J231" s="6"/>
    </row>
    <row r="232" spans="6:10" ht="20.1" customHeight="1">
      <c r="F232" s="6"/>
      <c r="G232" s="6"/>
      <c r="H232" s="6"/>
      <c r="I232" s="6"/>
      <c r="J232" s="6"/>
    </row>
    <row r="233" spans="6:10" ht="20.1" customHeight="1">
      <c r="F233" s="6"/>
      <c r="G233" s="6"/>
      <c r="H233" s="6"/>
      <c r="I233" s="6"/>
      <c r="J233" s="6"/>
    </row>
    <row r="234" spans="6:10" ht="20.1" customHeight="1">
      <c r="F234" s="6"/>
      <c r="G234" s="6"/>
      <c r="H234" s="6"/>
      <c r="I234" s="6"/>
      <c r="J234" s="6"/>
    </row>
    <row r="235" spans="6:10" ht="20.1" customHeight="1">
      <c r="F235" s="6"/>
      <c r="G235" s="6"/>
      <c r="H235" s="6"/>
      <c r="I235" s="6"/>
      <c r="J235" s="6"/>
    </row>
    <row r="236" spans="6:10" ht="20.1" customHeight="1">
      <c r="F236" s="6"/>
      <c r="G236" s="6"/>
      <c r="H236" s="6"/>
      <c r="I236" s="6"/>
      <c r="J236" s="6"/>
    </row>
    <row r="237" spans="6:10" ht="20.1" customHeight="1">
      <c r="F237" s="6"/>
      <c r="G237" s="6"/>
      <c r="H237" s="6"/>
      <c r="I237" s="6"/>
      <c r="J237" s="6"/>
    </row>
    <row r="238" spans="6:10" ht="20.1" customHeight="1">
      <c r="F238" s="6"/>
      <c r="G238" s="6"/>
      <c r="H238" s="6"/>
      <c r="I238" s="6"/>
      <c r="J238" s="6"/>
    </row>
    <row r="239" spans="6:10" ht="20.1" customHeight="1">
      <c r="F239" s="6"/>
      <c r="G239" s="6"/>
      <c r="H239" s="6"/>
      <c r="I239" s="6"/>
      <c r="J239" s="6"/>
    </row>
    <row r="240" spans="6:10" ht="20.1" customHeight="1">
      <c r="F240" s="6"/>
      <c r="G240" s="6"/>
      <c r="H240" s="6"/>
      <c r="I240" s="6"/>
      <c r="J240" s="6"/>
    </row>
    <row r="241" spans="6:10" ht="20.1" customHeight="1">
      <c r="F241" s="6"/>
      <c r="G241" s="6"/>
      <c r="H241" s="6"/>
      <c r="I241" s="6"/>
      <c r="J241" s="6"/>
    </row>
    <row r="242" spans="6:10" ht="20.1" customHeight="1">
      <c r="F242" s="6"/>
      <c r="G242" s="6"/>
      <c r="H242" s="6"/>
      <c r="I242" s="6"/>
      <c r="J242" s="6"/>
    </row>
    <row r="243" spans="6:10" ht="20.1" customHeight="1">
      <c r="F243" s="6"/>
      <c r="G243" s="6"/>
      <c r="H243" s="6"/>
      <c r="I243" s="6"/>
      <c r="J243" s="6"/>
    </row>
    <row r="244" spans="6:10" ht="20.1" customHeight="1">
      <c r="F244" s="6"/>
      <c r="G244" s="6"/>
      <c r="H244" s="6"/>
      <c r="I244" s="6"/>
      <c r="J244" s="6"/>
    </row>
    <row r="245" spans="6:10" ht="20.1" customHeight="1">
      <c r="F245" s="6"/>
      <c r="G245" s="6"/>
      <c r="H245" s="6"/>
      <c r="I245" s="6"/>
      <c r="J245" s="6"/>
    </row>
    <row r="246" spans="6:10" ht="20.1" customHeight="1">
      <c r="F246" s="6"/>
      <c r="G246" s="6"/>
      <c r="H246" s="6"/>
      <c r="I246" s="6"/>
      <c r="J246" s="6"/>
    </row>
    <row r="247" spans="6:10" ht="20.1" customHeight="1">
      <c r="F247" s="6"/>
      <c r="G247" s="6"/>
      <c r="H247" s="6"/>
      <c r="I247" s="6"/>
      <c r="J247" s="6"/>
    </row>
    <row r="248" spans="6:10" ht="20.1" customHeight="1">
      <c r="F248" s="6"/>
      <c r="G248" s="6"/>
      <c r="H248" s="6"/>
      <c r="I248" s="6"/>
      <c r="J248" s="6"/>
    </row>
    <row r="249" spans="6:10" ht="20.1" customHeight="1">
      <c r="F249" s="6"/>
      <c r="G249" s="6"/>
      <c r="H249" s="6"/>
      <c r="I249" s="6"/>
      <c r="J249" s="6"/>
    </row>
    <row r="250" spans="6:10" ht="20.1" customHeight="1">
      <c r="F250" s="6"/>
      <c r="G250" s="6"/>
      <c r="H250" s="6"/>
      <c r="I250" s="6"/>
      <c r="J250" s="6"/>
    </row>
    <row r="251" spans="6:10" ht="20.1" customHeight="1">
      <c r="F251" s="6"/>
      <c r="G251" s="6"/>
      <c r="H251" s="6"/>
      <c r="I251" s="6"/>
      <c r="J251" s="6"/>
    </row>
    <row r="252" spans="6:10" ht="20.1" customHeight="1">
      <c r="F252" s="6"/>
      <c r="G252" s="6"/>
      <c r="H252" s="6"/>
      <c r="I252" s="6"/>
      <c r="J252" s="6"/>
    </row>
    <row r="253" spans="6:10" ht="20.1" customHeight="1">
      <c r="F253" s="6"/>
      <c r="G253" s="6"/>
      <c r="H253" s="6"/>
      <c r="I253" s="6"/>
      <c r="J253" s="6"/>
    </row>
    <row r="254" spans="6:10" ht="20.1" customHeight="1">
      <c r="F254" s="6"/>
      <c r="G254" s="6"/>
      <c r="H254" s="6"/>
      <c r="I254" s="6"/>
      <c r="J254" s="6"/>
    </row>
    <row r="255" spans="6:10" ht="20.1" customHeight="1">
      <c r="F255" s="6"/>
      <c r="G255" s="6"/>
      <c r="H255" s="6"/>
      <c r="I255" s="6"/>
      <c r="J255" s="6"/>
    </row>
    <row r="256" spans="6:10" ht="20.1" customHeight="1">
      <c r="F256" s="6"/>
      <c r="G256" s="6"/>
      <c r="H256" s="6"/>
      <c r="I256" s="6"/>
      <c r="J256" s="6"/>
    </row>
    <row r="257" spans="6:10" ht="20.1" customHeight="1">
      <c r="F257" s="6"/>
      <c r="G257" s="6"/>
      <c r="H257" s="6"/>
      <c r="I257" s="6"/>
      <c r="J257" s="6"/>
    </row>
    <row r="258" spans="6:10" ht="20.1" customHeight="1">
      <c r="F258" s="6"/>
      <c r="G258" s="6"/>
      <c r="H258" s="6"/>
      <c r="I258" s="6"/>
      <c r="J258" s="6"/>
    </row>
    <row r="259" spans="6:10" ht="20.1" customHeight="1">
      <c r="F259" s="6"/>
      <c r="G259" s="6"/>
      <c r="H259" s="6"/>
      <c r="I259" s="6"/>
      <c r="J259" s="6"/>
    </row>
    <row r="260" spans="6:10" ht="20.1" customHeight="1">
      <c r="F260" s="6"/>
      <c r="G260" s="6"/>
      <c r="H260" s="6"/>
      <c r="I260" s="6"/>
      <c r="J260" s="6"/>
    </row>
    <row r="261" spans="6:10" ht="20.1" customHeight="1">
      <c r="F261" s="6"/>
      <c r="G261" s="6"/>
      <c r="H261" s="6"/>
      <c r="I261" s="6"/>
      <c r="J261" s="6"/>
    </row>
    <row r="262" spans="6:10" ht="20.1" customHeight="1">
      <c r="F262" s="6"/>
      <c r="G262" s="6"/>
      <c r="H262" s="6"/>
      <c r="I262" s="6"/>
      <c r="J262" s="6"/>
    </row>
    <row r="263" spans="6:10" ht="20.1" customHeight="1">
      <c r="F263" s="6"/>
      <c r="G263" s="6"/>
      <c r="H263" s="6"/>
      <c r="I263" s="6"/>
      <c r="J263" s="6"/>
    </row>
    <row r="264" spans="6:10" ht="20.1" customHeight="1">
      <c r="F264" s="6"/>
      <c r="G264" s="6"/>
      <c r="H264" s="6"/>
      <c r="I264" s="6"/>
      <c r="J264" s="6"/>
    </row>
    <row r="265" spans="6:10" ht="20.1" customHeight="1">
      <c r="F265" s="6"/>
      <c r="G265" s="6"/>
      <c r="H265" s="6"/>
      <c r="I265" s="6"/>
      <c r="J265" s="6"/>
    </row>
    <row r="266" spans="6:10" ht="20.1" customHeight="1">
      <c r="F266" s="6"/>
      <c r="G266" s="6"/>
      <c r="H266" s="6"/>
      <c r="I266" s="6"/>
      <c r="J266" s="6"/>
    </row>
    <row r="267" spans="6:10" ht="20.1" customHeight="1">
      <c r="F267" s="6"/>
      <c r="G267" s="6"/>
      <c r="H267" s="6"/>
      <c r="I267" s="6"/>
      <c r="J267" s="6"/>
    </row>
    <row r="268" spans="6:10" ht="20.1" customHeight="1">
      <c r="F268" s="6"/>
      <c r="G268" s="6"/>
      <c r="H268" s="6"/>
      <c r="I268" s="6"/>
      <c r="J268" s="6"/>
    </row>
    <row r="269" spans="6:10" ht="20.1" customHeight="1">
      <c r="F269" s="6"/>
      <c r="G269" s="6"/>
      <c r="H269" s="6"/>
      <c r="I269" s="6"/>
      <c r="J269" s="6"/>
    </row>
    <row r="270" spans="6:10" ht="20.1" customHeight="1">
      <c r="F270" s="6"/>
      <c r="G270" s="6"/>
      <c r="H270" s="6"/>
      <c r="I270" s="6"/>
      <c r="J270" s="6"/>
    </row>
    <row r="271" spans="6:10" ht="20.1" customHeight="1">
      <c r="F271" s="6"/>
      <c r="G271" s="6"/>
      <c r="H271" s="6"/>
      <c r="I271" s="6"/>
      <c r="J271" s="6"/>
    </row>
    <row r="272" spans="6:10" ht="20.1" customHeight="1">
      <c r="F272" s="6"/>
      <c r="G272" s="6"/>
      <c r="H272" s="6"/>
      <c r="I272" s="6"/>
      <c r="J272" s="6"/>
    </row>
    <row r="273" spans="6:10" ht="20.1" customHeight="1">
      <c r="F273" s="6"/>
      <c r="G273" s="6"/>
      <c r="H273" s="6"/>
      <c r="I273" s="6"/>
      <c r="J273" s="6"/>
    </row>
    <row r="274" spans="6:10" ht="20.1" customHeight="1">
      <c r="F274" s="6"/>
      <c r="G274" s="6"/>
      <c r="H274" s="6"/>
      <c r="I274" s="6"/>
      <c r="J274" s="6"/>
    </row>
    <row r="275" spans="6:10" ht="20.1" customHeight="1">
      <c r="F275" s="6"/>
      <c r="G275" s="6"/>
      <c r="H275" s="6"/>
      <c r="I275" s="6"/>
      <c r="J275" s="6"/>
    </row>
    <row r="276" spans="6:10" ht="20.1" customHeight="1">
      <c r="F276" s="6"/>
      <c r="G276" s="6"/>
      <c r="H276" s="6"/>
      <c r="I276" s="6"/>
      <c r="J276" s="6"/>
    </row>
    <row r="277" spans="6:10" ht="20.1" customHeight="1">
      <c r="F277" s="6"/>
      <c r="G277" s="6"/>
      <c r="H277" s="6"/>
      <c r="I277" s="6"/>
      <c r="J277" s="6"/>
    </row>
    <row r="278" spans="6:10" ht="20.1" customHeight="1">
      <c r="F278" s="6"/>
      <c r="G278" s="6"/>
      <c r="H278" s="6"/>
      <c r="I278" s="6"/>
      <c r="J278" s="6"/>
    </row>
    <row r="279" spans="6:10" ht="20.1" customHeight="1">
      <c r="F279" s="6"/>
      <c r="G279" s="6"/>
      <c r="H279" s="6"/>
      <c r="I279" s="6"/>
      <c r="J279" s="6"/>
    </row>
    <row r="280" spans="6:10" ht="20.1" customHeight="1">
      <c r="F280" s="6"/>
      <c r="G280" s="6"/>
      <c r="H280" s="6"/>
      <c r="I280" s="6"/>
      <c r="J280" s="6"/>
    </row>
    <row r="281" spans="6:10" ht="20.1" customHeight="1">
      <c r="F281" s="6"/>
      <c r="G281" s="6"/>
      <c r="H281" s="6"/>
      <c r="I281" s="6"/>
      <c r="J281" s="6"/>
    </row>
    <row r="282" spans="6:10" ht="20.1" customHeight="1">
      <c r="F282" s="6"/>
      <c r="G282" s="6"/>
      <c r="H282" s="6"/>
      <c r="I282" s="6"/>
      <c r="J282" s="6"/>
    </row>
    <row r="283" spans="6:10" ht="20.1" customHeight="1">
      <c r="F283" s="6"/>
      <c r="G283" s="6"/>
      <c r="H283" s="6"/>
      <c r="I283" s="6"/>
      <c r="J283" s="6"/>
    </row>
    <row r="284" spans="6:10" ht="20.1" customHeight="1">
      <c r="F284" s="6"/>
      <c r="G284" s="6"/>
      <c r="H284" s="6"/>
      <c r="I284" s="6"/>
      <c r="J284" s="6"/>
    </row>
    <row r="285" spans="6:10" ht="20.1" customHeight="1">
      <c r="F285" s="6"/>
      <c r="G285" s="6"/>
      <c r="H285" s="6"/>
      <c r="I285" s="6"/>
      <c r="J285" s="6"/>
    </row>
    <row r="286" spans="6:10" ht="20.1" customHeight="1">
      <c r="F286" s="6"/>
      <c r="G286" s="6"/>
      <c r="H286" s="6"/>
      <c r="I286" s="6"/>
      <c r="J286" s="6"/>
    </row>
    <row r="287" spans="6:10" ht="20.1" customHeight="1">
      <c r="F287" s="6"/>
      <c r="G287" s="6"/>
      <c r="H287" s="6"/>
      <c r="I287" s="6"/>
      <c r="J287" s="6"/>
    </row>
    <row r="288" spans="6:10" ht="20.1" customHeight="1">
      <c r="F288" s="6"/>
      <c r="G288" s="6"/>
      <c r="H288" s="6"/>
      <c r="I288" s="6"/>
      <c r="J288" s="6"/>
    </row>
    <row r="289" spans="6:10" ht="20.1" customHeight="1">
      <c r="F289" s="6"/>
      <c r="G289" s="6"/>
      <c r="H289" s="6"/>
      <c r="I289" s="6"/>
      <c r="J289" s="6"/>
    </row>
    <row r="290" spans="6:10" ht="20.1" customHeight="1">
      <c r="F290" s="6"/>
      <c r="G290" s="6"/>
      <c r="H290" s="6"/>
      <c r="I290" s="6"/>
      <c r="J290" s="6"/>
    </row>
    <row r="291" spans="6:10" ht="20.1" customHeight="1">
      <c r="F291" s="6"/>
      <c r="G291" s="6"/>
      <c r="H291" s="6"/>
      <c r="I291" s="6"/>
      <c r="J291" s="6"/>
    </row>
    <row r="292" spans="6:10" ht="20.1" customHeight="1">
      <c r="F292" s="6"/>
      <c r="G292" s="6"/>
      <c r="H292" s="6"/>
      <c r="I292" s="6"/>
      <c r="J292" s="6"/>
    </row>
    <row r="293" spans="6:10" ht="20.1" customHeight="1">
      <c r="F293" s="6"/>
      <c r="G293" s="6"/>
      <c r="H293" s="6"/>
      <c r="I293" s="6"/>
      <c r="J293" s="6"/>
    </row>
    <row r="294" spans="6:10" ht="20.1" customHeight="1">
      <c r="F294" s="6"/>
      <c r="G294" s="6"/>
      <c r="H294" s="6"/>
      <c r="I294" s="6"/>
      <c r="J294" s="6"/>
    </row>
    <row r="295" spans="6:10" ht="20.1" customHeight="1">
      <c r="F295" s="6"/>
      <c r="G295" s="6"/>
      <c r="H295" s="6"/>
      <c r="I295" s="6"/>
      <c r="J295" s="6"/>
    </row>
    <row r="296" spans="6:10" ht="20.1" customHeight="1">
      <c r="F296" s="6"/>
      <c r="G296" s="6"/>
      <c r="H296" s="6"/>
      <c r="I296" s="6"/>
      <c r="J296" s="6"/>
    </row>
    <row r="297" spans="6:10" ht="20.1" customHeight="1">
      <c r="F297" s="6"/>
      <c r="G297" s="6"/>
      <c r="H297" s="6"/>
      <c r="I297" s="6"/>
      <c r="J297" s="6"/>
    </row>
    <row r="298" spans="6:10" ht="20.1" customHeight="1">
      <c r="F298" s="6"/>
      <c r="G298" s="6"/>
      <c r="H298" s="6"/>
      <c r="I298" s="6"/>
      <c r="J298" s="6"/>
    </row>
    <row r="299" spans="6:10" ht="20.1" customHeight="1">
      <c r="F299" s="6"/>
      <c r="G299" s="6"/>
      <c r="H299" s="6"/>
      <c r="I299" s="6"/>
      <c r="J299" s="6"/>
    </row>
    <row r="300" spans="6:10" ht="20.1" customHeight="1">
      <c r="F300" s="6"/>
      <c r="G300" s="6"/>
      <c r="H300" s="6"/>
      <c r="I300" s="6"/>
      <c r="J300" s="6"/>
    </row>
    <row r="301" spans="6:10" ht="20.1" customHeight="1">
      <c r="F301" s="6"/>
      <c r="G301" s="6"/>
      <c r="H301" s="6"/>
      <c r="I301" s="6"/>
      <c r="J301" s="6"/>
    </row>
    <row r="302" spans="6:10" ht="20.1" customHeight="1">
      <c r="F302" s="6"/>
      <c r="G302" s="6"/>
      <c r="H302" s="6"/>
      <c r="I302" s="6"/>
      <c r="J302" s="6"/>
    </row>
    <row r="303" spans="6:10" ht="20.1" customHeight="1">
      <c r="F303" s="6"/>
      <c r="G303" s="6"/>
      <c r="H303" s="6"/>
      <c r="I303" s="6"/>
      <c r="J303" s="6"/>
    </row>
    <row r="304" spans="6:10" ht="20.1" customHeight="1">
      <c r="F304" s="6"/>
      <c r="G304" s="6"/>
      <c r="H304" s="6"/>
      <c r="I304" s="6"/>
      <c r="J304" s="6"/>
    </row>
    <row r="305" spans="6:10" ht="20.1" customHeight="1">
      <c r="F305" s="6"/>
      <c r="G305" s="6"/>
      <c r="H305" s="6"/>
      <c r="I305" s="6"/>
      <c r="J305" s="6"/>
    </row>
    <row r="306" spans="6:10" ht="20.1" customHeight="1">
      <c r="F306" s="6"/>
      <c r="G306" s="6"/>
      <c r="H306" s="6"/>
      <c r="I306" s="6"/>
      <c r="J306" s="6"/>
    </row>
    <row r="307" spans="6:10" ht="20.1" customHeight="1">
      <c r="F307" s="6"/>
      <c r="G307" s="6"/>
      <c r="H307" s="6"/>
      <c r="I307" s="6"/>
      <c r="J307" s="6"/>
    </row>
    <row r="308" spans="6:10" ht="20.1" customHeight="1">
      <c r="F308" s="6"/>
      <c r="G308" s="6"/>
      <c r="H308" s="6"/>
      <c r="I308" s="6"/>
      <c r="J308" s="6"/>
    </row>
    <row r="309" spans="6:10" ht="20.1" customHeight="1">
      <c r="F309" s="6"/>
      <c r="G309" s="6"/>
      <c r="H309" s="6"/>
      <c r="I309" s="6"/>
      <c r="J309" s="6"/>
    </row>
    <row r="310" spans="6:10" ht="20.1" customHeight="1">
      <c r="F310" s="6"/>
      <c r="G310" s="6"/>
      <c r="H310" s="6"/>
      <c r="I310" s="6"/>
      <c r="J310" s="6"/>
    </row>
    <row r="311" spans="6:10" ht="20.1" customHeight="1">
      <c r="F311" s="6"/>
      <c r="G311" s="6"/>
      <c r="H311" s="6"/>
      <c r="I311" s="6"/>
      <c r="J311" s="6"/>
    </row>
    <row r="312" spans="6:10" ht="20.1" customHeight="1">
      <c r="F312" s="6"/>
      <c r="G312" s="6"/>
      <c r="H312" s="6"/>
      <c r="I312" s="6"/>
      <c r="J312" s="6"/>
    </row>
    <row r="313" spans="6:10" ht="20.1" customHeight="1">
      <c r="F313" s="6"/>
      <c r="G313" s="6"/>
      <c r="H313" s="6"/>
      <c r="I313" s="6"/>
      <c r="J313" s="6"/>
    </row>
    <row r="314" spans="6:10" ht="20.1" customHeight="1">
      <c r="F314" s="6"/>
      <c r="G314" s="6"/>
      <c r="H314" s="6"/>
      <c r="I314" s="6"/>
      <c r="J314" s="6"/>
    </row>
    <row r="315" spans="6:10" ht="20.1" customHeight="1">
      <c r="F315" s="6"/>
      <c r="G315" s="6"/>
      <c r="H315" s="6"/>
      <c r="I315" s="6"/>
      <c r="J315" s="6"/>
    </row>
    <row r="316" spans="6:10" ht="20.1" customHeight="1">
      <c r="F316" s="6"/>
      <c r="G316" s="6"/>
      <c r="H316" s="6"/>
      <c r="I316" s="6"/>
      <c r="J316" s="6"/>
    </row>
    <row r="317" spans="6:10" ht="20.1" customHeight="1">
      <c r="F317" s="6"/>
      <c r="G317" s="6"/>
      <c r="H317" s="6"/>
      <c r="I317" s="6"/>
      <c r="J317" s="6"/>
    </row>
    <row r="318" spans="6:10" ht="20.1" customHeight="1">
      <c r="F318" s="6"/>
      <c r="G318" s="6"/>
      <c r="H318" s="6"/>
      <c r="I318" s="6"/>
      <c r="J318" s="6"/>
    </row>
    <row r="319" spans="6:10" ht="20.1" customHeight="1">
      <c r="F319" s="6"/>
      <c r="G319" s="6"/>
      <c r="H319" s="6"/>
      <c r="I319" s="6"/>
      <c r="J319" s="6"/>
    </row>
    <row r="320" spans="6:10" ht="20.1" customHeight="1">
      <c r="F320" s="6"/>
      <c r="G320" s="6"/>
      <c r="H320" s="6"/>
      <c r="I320" s="6"/>
      <c r="J320" s="6"/>
    </row>
    <row r="321" spans="6:10" ht="20.1" customHeight="1">
      <c r="F321" s="6"/>
      <c r="G321" s="6"/>
      <c r="H321" s="6"/>
      <c r="I321" s="6"/>
      <c r="J321" s="6"/>
    </row>
    <row r="322" spans="6:10" ht="20.1" customHeight="1">
      <c r="F322" s="6"/>
      <c r="G322" s="6"/>
      <c r="H322" s="6"/>
      <c r="I322" s="6"/>
      <c r="J322" s="6"/>
    </row>
    <row r="323" spans="6:10" ht="20.1" customHeight="1">
      <c r="F323" s="6"/>
      <c r="G323" s="6"/>
      <c r="H323" s="6"/>
      <c r="I323" s="6"/>
      <c r="J323" s="6"/>
    </row>
    <row r="324" spans="6:10" ht="20.1" customHeight="1">
      <c r="F324" s="6"/>
      <c r="G324" s="6"/>
      <c r="H324" s="6"/>
      <c r="I324" s="6"/>
      <c r="J324" s="6"/>
    </row>
    <row r="325" spans="6:10" ht="20.1" customHeight="1">
      <c r="F325" s="6"/>
      <c r="G325" s="6"/>
      <c r="H325" s="6"/>
      <c r="I325" s="6"/>
      <c r="J325" s="6"/>
    </row>
    <row r="326" spans="6:10" ht="20.1" customHeight="1">
      <c r="F326" s="6"/>
      <c r="G326" s="6"/>
      <c r="H326" s="6"/>
      <c r="I326" s="6"/>
      <c r="J326" s="6"/>
    </row>
    <row r="327" spans="6:10" ht="20.1" customHeight="1">
      <c r="F327" s="6"/>
      <c r="G327" s="6"/>
      <c r="H327" s="6"/>
      <c r="I327" s="6"/>
      <c r="J327" s="6"/>
    </row>
    <row r="328" spans="6:10" ht="20.1" customHeight="1">
      <c r="F328" s="6"/>
      <c r="G328" s="6"/>
      <c r="H328" s="6"/>
      <c r="I328" s="6"/>
      <c r="J328" s="6"/>
    </row>
    <row r="329" spans="6:10" ht="20.1" customHeight="1">
      <c r="F329" s="6"/>
      <c r="G329" s="6"/>
      <c r="H329" s="6"/>
      <c r="I329" s="6"/>
      <c r="J329" s="6"/>
    </row>
    <row r="330" spans="6:10" ht="20.1" customHeight="1">
      <c r="F330" s="6"/>
      <c r="G330" s="6"/>
      <c r="H330" s="6"/>
      <c r="I330" s="6"/>
      <c r="J330" s="6"/>
    </row>
    <row r="331" spans="6:10" ht="20.1" customHeight="1">
      <c r="F331" s="6"/>
      <c r="G331" s="6"/>
      <c r="H331" s="6"/>
      <c r="I331" s="6"/>
      <c r="J331" s="6"/>
    </row>
    <row r="332" spans="6:10" ht="20.1" customHeight="1">
      <c r="F332" s="6"/>
      <c r="G332" s="6"/>
      <c r="H332" s="6"/>
      <c r="I332" s="6"/>
      <c r="J332" s="6"/>
    </row>
    <row r="333" spans="6:10" ht="20.1" customHeight="1">
      <c r="F333" s="6"/>
      <c r="G333" s="6"/>
      <c r="H333" s="6"/>
      <c r="I333" s="6"/>
      <c r="J333" s="6"/>
    </row>
    <row r="334" spans="6:10" ht="20.1" customHeight="1">
      <c r="F334" s="6"/>
      <c r="G334" s="6"/>
      <c r="H334" s="6"/>
      <c r="I334" s="6"/>
      <c r="J334" s="6"/>
    </row>
    <row r="335" spans="6:10" ht="20.1" customHeight="1">
      <c r="F335" s="6"/>
      <c r="G335" s="6"/>
      <c r="H335" s="6"/>
      <c r="I335" s="6"/>
      <c r="J335" s="6"/>
    </row>
    <row r="336" spans="6:10" ht="20.1" customHeight="1">
      <c r="F336" s="6"/>
      <c r="G336" s="6"/>
      <c r="H336" s="6"/>
      <c r="I336" s="6"/>
      <c r="J336" s="6"/>
    </row>
    <row r="337" spans="6:10" ht="20.1" customHeight="1">
      <c r="F337" s="6"/>
      <c r="G337" s="6"/>
      <c r="H337" s="6"/>
      <c r="I337" s="6"/>
      <c r="J337" s="6"/>
    </row>
    <row r="338" spans="6:10" ht="20.1" customHeight="1">
      <c r="F338" s="6"/>
      <c r="G338" s="6"/>
      <c r="H338" s="6"/>
      <c r="I338" s="6"/>
      <c r="J338" s="6"/>
    </row>
    <row r="339" spans="6:10" ht="20.1" customHeight="1">
      <c r="F339" s="6"/>
      <c r="G339" s="6"/>
      <c r="H339" s="6"/>
      <c r="I339" s="6"/>
      <c r="J339" s="6"/>
    </row>
    <row r="340" spans="6:10" ht="20.1" customHeight="1">
      <c r="F340" s="6"/>
      <c r="G340" s="6"/>
      <c r="H340" s="6"/>
      <c r="I340" s="6"/>
      <c r="J340" s="6"/>
    </row>
    <row r="341" spans="6:10" ht="20.1" customHeight="1">
      <c r="F341" s="6"/>
      <c r="G341" s="6"/>
      <c r="H341" s="6"/>
      <c r="I341" s="6"/>
      <c r="J341" s="6"/>
    </row>
    <row r="342" spans="6:10" ht="20.1" customHeight="1">
      <c r="F342" s="6"/>
      <c r="G342" s="6"/>
      <c r="H342" s="6"/>
      <c r="I342" s="6"/>
      <c r="J342" s="6"/>
    </row>
    <row r="343" spans="6:10" ht="20.1" customHeight="1">
      <c r="F343" s="6"/>
      <c r="G343" s="6"/>
      <c r="H343" s="6"/>
      <c r="I343" s="6"/>
      <c r="J343" s="6"/>
    </row>
    <row r="344" spans="6:10" ht="20.1" customHeight="1">
      <c r="F344" s="6"/>
      <c r="G344" s="6"/>
      <c r="H344" s="6"/>
      <c r="I344" s="6"/>
      <c r="J344" s="6"/>
    </row>
    <row r="345" spans="6:10" ht="20.1" customHeight="1">
      <c r="F345" s="6"/>
      <c r="G345" s="6"/>
      <c r="H345" s="6"/>
      <c r="I345" s="6"/>
      <c r="J345" s="6"/>
    </row>
    <row r="346" spans="6:10" ht="20.1" customHeight="1">
      <c r="F346" s="6"/>
      <c r="G346" s="6"/>
      <c r="H346" s="6"/>
      <c r="I346" s="6"/>
      <c r="J346" s="6"/>
    </row>
    <row r="347" spans="6:10" ht="20.1" customHeight="1">
      <c r="F347" s="6"/>
      <c r="G347" s="6"/>
      <c r="H347" s="6"/>
      <c r="I347" s="6"/>
      <c r="J347" s="6"/>
    </row>
    <row r="348" spans="6:10" ht="20.1" customHeight="1">
      <c r="F348" s="6"/>
      <c r="G348" s="6"/>
      <c r="H348" s="6"/>
      <c r="I348" s="6"/>
      <c r="J348" s="6"/>
    </row>
    <row r="349" spans="6:10" ht="20.1" customHeight="1">
      <c r="F349" s="6"/>
      <c r="G349" s="6"/>
      <c r="H349" s="6"/>
      <c r="I349" s="6"/>
      <c r="J349" s="6"/>
    </row>
    <row r="350" spans="6:10" ht="20.1" customHeight="1">
      <c r="F350" s="6"/>
      <c r="G350" s="6"/>
      <c r="H350" s="6"/>
      <c r="I350" s="6"/>
      <c r="J350" s="6"/>
    </row>
    <row r="351" spans="6:10" ht="20.1" customHeight="1">
      <c r="F351" s="6"/>
      <c r="G351" s="6"/>
      <c r="H351" s="6"/>
      <c r="I351" s="6"/>
      <c r="J351" s="6"/>
    </row>
    <row r="352" spans="6:10" ht="20.1" customHeight="1">
      <c r="F352" s="6"/>
      <c r="G352" s="6"/>
      <c r="H352" s="6"/>
      <c r="I352" s="6"/>
      <c r="J352" s="6"/>
    </row>
    <row r="353" spans="6:10" ht="20.1" customHeight="1">
      <c r="F353" s="6"/>
      <c r="G353" s="6"/>
      <c r="H353" s="6"/>
      <c r="I353" s="6"/>
      <c r="J353" s="6"/>
    </row>
    <row r="354" spans="6:10" ht="20.1" customHeight="1">
      <c r="F354" s="6"/>
      <c r="G354" s="6"/>
      <c r="H354" s="6"/>
      <c r="I354" s="6"/>
      <c r="J354" s="6"/>
    </row>
    <row r="355" spans="6:10" ht="20.1" customHeight="1">
      <c r="F355" s="6"/>
      <c r="G355" s="6"/>
      <c r="H355" s="6"/>
      <c r="I355" s="6"/>
      <c r="J355" s="6"/>
    </row>
    <row r="356" spans="6:10" ht="20.1" customHeight="1">
      <c r="F356" s="6"/>
      <c r="G356" s="6"/>
      <c r="H356" s="6"/>
      <c r="I356" s="6"/>
      <c r="J356" s="6"/>
    </row>
    <row r="357" spans="6:10" ht="20.1" customHeight="1">
      <c r="F357" s="6"/>
      <c r="G357" s="6"/>
      <c r="H357" s="6"/>
      <c r="I357" s="6"/>
      <c r="J357" s="6"/>
    </row>
    <row r="358" spans="6:10" ht="20.1" customHeight="1">
      <c r="F358" s="6"/>
      <c r="G358" s="6"/>
      <c r="H358" s="6"/>
      <c r="I358" s="6"/>
      <c r="J358" s="6"/>
    </row>
    <row r="359" spans="6:10" ht="20.1" customHeight="1">
      <c r="F359" s="6"/>
      <c r="G359" s="6"/>
      <c r="H359" s="6"/>
      <c r="I359" s="6"/>
      <c r="J359" s="6"/>
    </row>
    <row r="360" spans="6:10" ht="20.1" customHeight="1">
      <c r="F360" s="6"/>
      <c r="G360" s="6"/>
      <c r="H360" s="6"/>
      <c r="I360" s="6"/>
      <c r="J360" s="6"/>
    </row>
    <row r="361" spans="6:10" ht="20.1" customHeight="1">
      <c r="F361" s="6"/>
      <c r="G361" s="6"/>
      <c r="H361" s="6"/>
      <c r="I361" s="6"/>
      <c r="J361" s="6"/>
    </row>
    <row r="362" spans="6:10" ht="20.1" customHeight="1">
      <c r="F362" s="6"/>
      <c r="G362" s="6"/>
      <c r="H362" s="6"/>
      <c r="I362" s="6"/>
      <c r="J362" s="6"/>
    </row>
    <row r="363" spans="6:10" ht="20.1" customHeight="1">
      <c r="F363" s="6"/>
      <c r="G363" s="6"/>
      <c r="H363" s="6"/>
      <c r="I363" s="6"/>
      <c r="J363" s="6"/>
    </row>
    <row r="364" spans="6:10" ht="20.1" customHeight="1">
      <c r="F364" s="6"/>
      <c r="G364" s="6"/>
      <c r="H364" s="6"/>
      <c r="I364" s="6"/>
      <c r="J364" s="6"/>
    </row>
    <row r="365" spans="6:10" ht="20.1" customHeight="1">
      <c r="F365" s="6"/>
      <c r="G365" s="6"/>
      <c r="H365" s="6"/>
      <c r="I365" s="6"/>
      <c r="J365" s="6"/>
    </row>
    <row r="366" spans="6:10" ht="20.1" customHeight="1">
      <c r="F366" s="6"/>
      <c r="G366" s="6"/>
      <c r="H366" s="6"/>
      <c r="I366" s="6"/>
      <c r="J366" s="6"/>
    </row>
    <row r="367" spans="6:10" ht="20.1" customHeight="1">
      <c r="F367" s="6"/>
      <c r="G367" s="6"/>
      <c r="H367" s="6"/>
      <c r="I367" s="6"/>
      <c r="J367" s="6"/>
    </row>
    <row r="368" spans="6:10" ht="20.1" customHeight="1">
      <c r="F368" s="6"/>
      <c r="G368" s="6"/>
      <c r="H368" s="6"/>
      <c r="I368" s="6"/>
      <c r="J368" s="6"/>
    </row>
    <row r="369" spans="6:10" ht="20.1" customHeight="1">
      <c r="F369" s="6"/>
      <c r="G369" s="6"/>
      <c r="H369" s="6"/>
      <c r="I369" s="6"/>
      <c r="J369" s="6"/>
    </row>
    <row r="370" spans="6:10" ht="20.1" customHeight="1">
      <c r="F370" s="6"/>
      <c r="G370" s="6"/>
      <c r="H370" s="6"/>
      <c r="I370" s="6"/>
      <c r="J370" s="6"/>
    </row>
    <row r="371" spans="6:10" ht="20.1" customHeight="1">
      <c r="F371" s="6"/>
      <c r="G371" s="6"/>
      <c r="H371" s="6"/>
      <c r="I371" s="6"/>
      <c r="J371" s="6"/>
    </row>
    <row r="372" spans="6:10" ht="20.1" customHeight="1">
      <c r="F372" s="6"/>
      <c r="G372" s="6"/>
      <c r="H372" s="6"/>
      <c r="I372" s="6"/>
      <c r="J372" s="6"/>
    </row>
    <row r="373" spans="6:10" ht="20.1" customHeight="1">
      <c r="F373" s="6"/>
      <c r="G373" s="6"/>
      <c r="H373" s="6"/>
      <c r="I373" s="6"/>
      <c r="J373" s="6"/>
    </row>
    <row r="374" spans="6:10" ht="20.1" customHeight="1">
      <c r="F374" s="6"/>
      <c r="G374" s="6"/>
      <c r="H374" s="6"/>
      <c r="I374" s="6"/>
      <c r="J374" s="6"/>
    </row>
    <row r="375" spans="6:10" ht="20.1" customHeight="1">
      <c r="F375" s="6"/>
      <c r="G375" s="6"/>
      <c r="H375" s="6"/>
      <c r="I375" s="6"/>
      <c r="J375" s="6"/>
    </row>
    <row r="376" spans="6:10" ht="20.1" customHeight="1">
      <c r="F376" s="6"/>
      <c r="G376" s="6"/>
      <c r="H376" s="6"/>
      <c r="I376" s="6"/>
      <c r="J376" s="6"/>
    </row>
    <row r="377" spans="6:10" ht="20.1" customHeight="1">
      <c r="F377" s="6"/>
      <c r="G377" s="6"/>
      <c r="H377" s="6"/>
      <c r="I377" s="6"/>
      <c r="J377" s="6"/>
    </row>
    <row r="378" spans="6:10" ht="20.1" customHeight="1">
      <c r="F378" s="6"/>
      <c r="G378" s="6"/>
      <c r="H378" s="6"/>
      <c r="I378" s="6"/>
      <c r="J378" s="6"/>
    </row>
    <row r="379" spans="6:10" ht="20.1" customHeight="1">
      <c r="F379" s="6"/>
      <c r="G379" s="6"/>
      <c r="H379" s="6"/>
      <c r="I379" s="6"/>
      <c r="J379" s="6"/>
    </row>
    <row r="380" spans="6:10" ht="20.1" customHeight="1">
      <c r="F380" s="6"/>
      <c r="G380" s="6"/>
      <c r="H380" s="6"/>
      <c r="I380" s="6"/>
      <c r="J380" s="6"/>
    </row>
    <row r="381" spans="6:10" ht="20.1" customHeight="1">
      <c r="F381" s="6"/>
      <c r="G381" s="6"/>
      <c r="H381" s="6"/>
      <c r="I381" s="6"/>
      <c r="J381" s="6"/>
    </row>
    <row r="382" spans="6:10" ht="20.1" customHeight="1">
      <c r="F382" s="6"/>
      <c r="G382" s="6"/>
      <c r="H382" s="6"/>
      <c r="I382" s="6"/>
      <c r="J382" s="6"/>
    </row>
    <row r="383" spans="6:10" ht="20.1" customHeight="1">
      <c r="F383" s="6"/>
      <c r="G383" s="6"/>
      <c r="H383" s="6"/>
      <c r="I383" s="6"/>
      <c r="J383" s="6"/>
    </row>
    <row r="384" spans="6:10" ht="20.1" customHeight="1">
      <c r="F384" s="6"/>
      <c r="G384" s="6"/>
      <c r="H384" s="6"/>
      <c r="I384" s="6"/>
      <c r="J384" s="6"/>
    </row>
    <row r="385" spans="6:10" ht="20.1" customHeight="1">
      <c r="F385" s="6"/>
      <c r="G385" s="6"/>
      <c r="H385" s="6"/>
      <c r="I385" s="6"/>
      <c r="J385" s="6"/>
    </row>
    <row r="386" spans="6:10" ht="20.1" customHeight="1">
      <c r="F386" s="6"/>
      <c r="G386" s="6"/>
      <c r="H386" s="6"/>
      <c r="I386" s="6"/>
      <c r="J386" s="6"/>
    </row>
    <row r="387" spans="6:10" ht="20.1" customHeight="1">
      <c r="F387" s="6"/>
      <c r="G387" s="6"/>
      <c r="H387" s="6"/>
      <c r="I387" s="6"/>
      <c r="J387" s="6"/>
    </row>
    <row r="388" spans="6:10" ht="20.1" customHeight="1">
      <c r="F388" s="6"/>
      <c r="G388" s="6"/>
      <c r="H388" s="6"/>
      <c r="I388" s="6"/>
      <c r="J388" s="6"/>
    </row>
    <row r="389" spans="6:10" ht="20.1" customHeight="1">
      <c r="F389" s="6"/>
      <c r="G389" s="6"/>
      <c r="H389" s="6"/>
      <c r="I389" s="6"/>
      <c r="J389" s="6"/>
    </row>
    <row r="390" spans="6:10" ht="20.1" customHeight="1">
      <c r="F390" s="6"/>
      <c r="G390" s="6"/>
      <c r="H390" s="6"/>
      <c r="I390" s="6"/>
      <c r="J390" s="6"/>
    </row>
    <row r="391" spans="6:10" ht="20.1" customHeight="1">
      <c r="F391" s="6"/>
      <c r="G391" s="6"/>
      <c r="H391" s="6"/>
      <c r="I391" s="6"/>
      <c r="J391" s="6"/>
    </row>
    <row r="392" spans="6:10" ht="20.1" customHeight="1">
      <c r="F392" s="6"/>
      <c r="G392" s="6"/>
      <c r="H392" s="6"/>
      <c r="I392" s="6"/>
      <c r="J392" s="6"/>
    </row>
    <row r="393" spans="6:10" ht="20.1" customHeight="1">
      <c r="F393" s="6"/>
      <c r="G393" s="6"/>
      <c r="H393" s="6"/>
      <c r="I393" s="6"/>
      <c r="J393" s="6"/>
    </row>
    <row r="394" spans="6:10" ht="20.1" customHeight="1">
      <c r="F394" s="6"/>
      <c r="G394" s="6"/>
      <c r="H394" s="6"/>
      <c r="I394" s="6"/>
      <c r="J394" s="6"/>
    </row>
    <row r="395" spans="6:10" ht="20.1" customHeight="1">
      <c r="F395" s="6"/>
      <c r="G395" s="6"/>
      <c r="H395" s="6"/>
      <c r="I395" s="6"/>
      <c r="J395" s="6"/>
    </row>
    <row r="396" spans="6:10" ht="20.1" customHeight="1">
      <c r="F396" s="6"/>
      <c r="G396" s="6"/>
      <c r="H396" s="6"/>
      <c r="I396" s="6"/>
      <c r="J396" s="6"/>
    </row>
    <row r="397" spans="6:10" ht="20.1" customHeight="1">
      <c r="F397" s="6"/>
      <c r="G397" s="6"/>
      <c r="H397" s="6"/>
      <c r="I397" s="6"/>
      <c r="J397" s="6"/>
    </row>
    <row r="398" spans="6:10" ht="20.1" customHeight="1">
      <c r="F398" s="6"/>
      <c r="G398" s="6"/>
      <c r="H398" s="6"/>
      <c r="I398" s="6"/>
      <c r="J398" s="6"/>
    </row>
    <row r="399" spans="6:10" ht="20.1" customHeight="1">
      <c r="F399" s="6"/>
      <c r="G399" s="6"/>
      <c r="H399" s="6"/>
      <c r="I399" s="6"/>
      <c r="J399" s="6"/>
    </row>
    <row r="400" spans="6:10" ht="20.1" customHeight="1">
      <c r="F400" s="6"/>
      <c r="G400" s="6"/>
      <c r="H400" s="6"/>
      <c r="I400" s="6"/>
      <c r="J400" s="6"/>
    </row>
    <row r="401" spans="6:10" ht="20.1" customHeight="1">
      <c r="F401" s="6"/>
      <c r="G401" s="6"/>
      <c r="H401" s="6"/>
      <c r="I401" s="6"/>
      <c r="J401" s="6"/>
    </row>
    <row r="402" spans="6:10" ht="20.1" customHeight="1">
      <c r="F402" s="6"/>
      <c r="G402" s="6"/>
      <c r="H402" s="6"/>
      <c r="I402" s="6"/>
      <c r="J402" s="6"/>
    </row>
    <row r="403" spans="6:10" ht="20.1" customHeight="1">
      <c r="F403" s="6"/>
      <c r="G403" s="6"/>
      <c r="H403" s="6"/>
      <c r="I403" s="6"/>
      <c r="J403" s="6"/>
    </row>
    <row r="404" spans="6:10" ht="20.1" customHeight="1">
      <c r="F404" s="6"/>
      <c r="G404" s="6"/>
      <c r="H404" s="6"/>
      <c r="I404" s="6"/>
      <c r="J404" s="6"/>
    </row>
    <row r="405" spans="6:10" ht="20.1" customHeight="1">
      <c r="F405" s="6"/>
      <c r="G405" s="6"/>
      <c r="H405" s="6"/>
      <c r="I405" s="6"/>
      <c r="J405" s="6"/>
    </row>
    <row r="406" spans="6:10" ht="20.1" customHeight="1">
      <c r="F406" s="6"/>
      <c r="G406" s="6"/>
      <c r="H406" s="6"/>
      <c r="I406" s="6"/>
      <c r="J406" s="6"/>
    </row>
    <row r="407" spans="6:10" ht="20.1" customHeight="1">
      <c r="F407" s="6"/>
      <c r="G407" s="6"/>
      <c r="H407" s="6"/>
      <c r="I407" s="6"/>
      <c r="J407" s="6"/>
    </row>
    <row r="408" spans="6:10" ht="20.1" customHeight="1">
      <c r="F408" s="6"/>
      <c r="G408" s="6"/>
      <c r="H408" s="6"/>
      <c r="I408" s="6"/>
      <c r="J408" s="6"/>
    </row>
    <row r="409" spans="6:10" ht="20.1" customHeight="1">
      <c r="F409" s="6"/>
      <c r="G409" s="6"/>
      <c r="H409" s="6"/>
      <c r="I409" s="6"/>
      <c r="J409" s="6"/>
    </row>
    <row r="410" spans="6:10" ht="20.1" customHeight="1">
      <c r="F410" s="6"/>
      <c r="G410" s="6"/>
      <c r="H410" s="6"/>
      <c r="I410" s="6"/>
      <c r="J410" s="6"/>
    </row>
    <row r="411" spans="6:10" ht="20.1" customHeight="1">
      <c r="F411" s="6"/>
      <c r="G411" s="6"/>
      <c r="H411" s="6"/>
      <c r="I411" s="6"/>
      <c r="J411" s="6"/>
    </row>
    <row r="412" spans="6:10" ht="20.1" customHeight="1">
      <c r="F412" s="6"/>
      <c r="G412" s="6"/>
      <c r="H412" s="6"/>
      <c r="I412" s="6"/>
      <c r="J412" s="6"/>
    </row>
    <row r="413" spans="6:10" ht="20.1" customHeight="1">
      <c r="F413" s="6"/>
      <c r="G413" s="6"/>
      <c r="H413" s="6"/>
      <c r="I413" s="6"/>
      <c r="J413" s="6"/>
    </row>
    <row r="414" spans="6:10" ht="20.1" customHeight="1">
      <c r="F414" s="6"/>
      <c r="G414" s="6"/>
      <c r="H414" s="6"/>
      <c r="I414" s="6"/>
      <c r="J414" s="6"/>
    </row>
    <row r="415" spans="6:10" ht="20.1" customHeight="1">
      <c r="F415" s="6"/>
      <c r="G415" s="6"/>
      <c r="H415" s="6"/>
      <c r="I415" s="6"/>
      <c r="J415" s="6"/>
    </row>
    <row r="416" spans="6:10" ht="20.1" customHeight="1">
      <c r="F416" s="6"/>
      <c r="G416" s="6"/>
      <c r="H416" s="6"/>
      <c r="I416" s="6"/>
      <c r="J416" s="6"/>
    </row>
    <row r="417" spans="6:10" ht="20.1" customHeight="1">
      <c r="F417" s="6"/>
      <c r="G417" s="6"/>
      <c r="H417" s="6"/>
      <c r="I417" s="6"/>
      <c r="J417" s="6"/>
    </row>
    <row r="418" spans="6:10" ht="20.1" customHeight="1">
      <c r="F418" s="6"/>
      <c r="G418" s="6"/>
      <c r="H418" s="6"/>
      <c r="I418" s="6"/>
      <c r="J418" s="6"/>
    </row>
    <row r="419" spans="6:10" ht="20.1" customHeight="1">
      <c r="F419" s="6"/>
      <c r="G419" s="6"/>
      <c r="H419" s="6"/>
      <c r="I419" s="6"/>
      <c r="J419" s="6"/>
    </row>
    <row r="420" spans="6:10" ht="20.1" customHeight="1">
      <c r="F420" s="6"/>
      <c r="G420" s="6"/>
      <c r="H420" s="6"/>
      <c r="I420" s="6"/>
      <c r="J420" s="6"/>
    </row>
    <row r="421" spans="6:10" ht="20.1" customHeight="1">
      <c r="F421" s="6"/>
      <c r="G421" s="6"/>
      <c r="H421" s="6"/>
      <c r="I421" s="6"/>
      <c r="J421" s="6"/>
    </row>
    <row r="422" spans="6:10" ht="20.1" customHeight="1">
      <c r="F422" s="6"/>
      <c r="G422" s="6"/>
      <c r="H422" s="6"/>
      <c r="I422" s="6"/>
      <c r="J422" s="6"/>
    </row>
    <row r="423" spans="6:10" ht="20.1" customHeight="1">
      <c r="F423" s="6"/>
      <c r="G423" s="6"/>
      <c r="H423" s="6"/>
      <c r="I423" s="6"/>
      <c r="J423" s="6"/>
    </row>
    <row r="424" spans="6:10" ht="20.1" customHeight="1">
      <c r="F424" s="6"/>
      <c r="G424" s="6"/>
      <c r="H424" s="6"/>
      <c r="I424" s="6"/>
      <c r="J424" s="6"/>
    </row>
    <row r="425" spans="6:10" ht="20.1" customHeight="1">
      <c r="F425" s="6"/>
      <c r="G425" s="6"/>
      <c r="H425" s="6"/>
      <c r="I425" s="6"/>
      <c r="J425" s="6"/>
    </row>
    <row r="426" spans="6:10" ht="20.1" customHeight="1">
      <c r="F426" s="6"/>
      <c r="G426" s="6"/>
      <c r="H426" s="6"/>
      <c r="I426" s="6"/>
      <c r="J426" s="6"/>
    </row>
    <row r="427" spans="6:10" ht="20.1" customHeight="1">
      <c r="F427" s="6"/>
      <c r="G427" s="6"/>
      <c r="H427" s="6"/>
      <c r="I427" s="6"/>
      <c r="J427" s="6"/>
    </row>
    <row r="428" spans="6:10" ht="20.1" customHeight="1">
      <c r="F428" s="6"/>
      <c r="G428" s="6"/>
      <c r="H428" s="6"/>
      <c r="I428" s="6"/>
      <c r="J428" s="6"/>
    </row>
    <row r="429" spans="6:10" ht="20.1" customHeight="1">
      <c r="F429" s="6"/>
      <c r="G429" s="6"/>
      <c r="H429" s="6"/>
      <c r="I429" s="6"/>
      <c r="J429" s="6"/>
    </row>
    <row r="430" spans="6:10" ht="20.1" customHeight="1">
      <c r="F430" s="6"/>
      <c r="G430" s="6"/>
      <c r="H430" s="6"/>
      <c r="I430" s="6"/>
      <c r="J430" s="6"/>
    </row>
    <row r="431" spans="6:10" ht="20.1" customHeight="1">
      <c r="F431" s="6"/>
      <c r="G431" s="6"/>
      <c r="H431" s="6"/>
      <c r="I431" s="6"/>
      <c r="J431" s="6"/>
    </row>
    <row r="432" spans="6:10" ht="20.1" customHeight="1">
      <c r="F432" s="6"/>
      <c r="G432" s="6"/>
      <c r="H432" s="6"/>
      <c r="I432" s="6"/>
      <c r="J432" s="6"/>
    </row>
    <row r="433" spans="6:10" ht="20.1" customHeight="1">
      <c r="F433" s="6"/>
      <c r="G433" s="6"/>
      <c r="H433" s="6"/>
      <c r="I433" s="6"/>
      <c r="J433" s="6"/>
    </row>
    <row r="434" spans="6:10" ht="20.1" customHeight="1">
      <c r="F434" s="6"/>
      <c r="G434" s="6"/>
      <c r="H434" s="6"/>
      <c r="I434" s="6"/>
      <c r="J434" s="6"/>
    </row>
    <row r="435" spans="6:10" ht="20.1" customHeight="1">
      <c r="F435" s="6"/>
      <c r="G435" s="6"/>
      <c r="H435" s="6"/>
      <c r="I435" s="6"/>
      <c r="J435" s="6"/>
    </row>
    <row r="436" spans="6:10" ht="20.1" customHeight="1">
      <c r="F436" s="6"/>
      <c r="G436" s="6"/>
      <c r="H436" s="6"/>
      <c r="I436" s="6"/>
      <c r="J436" s="6"/>
    </row>
    <row r="437" spans="6:10" ht="20.1" customHeight="1">
      <c r="F437" s="6"/>
      <c r="G437" s="6"/>
      <c r="H437" s="6"/>
      <c r="I437" s="6"/>
      <c r="J437" s="6"/>
    </row>
    <row r="438" spans="6:10" ht="20.1" customHeight="1">
      <c r="F438" s="6"/>
      <c r="G438" s="6"/>
      <c r="H438" s="6"/>
      <c r="I438" s="6"/>
      <c r="J438" s="6"/>
    </row>
    <row r="439" spans="6:10" ht="20.1" customHeight="1">
      <c r="F439" s="6"/>
      <c r="G439" s="6"/>
      <c r="H439" s="6"/>
      <c r="I439" s="6"/>
      <c r="J439" s="6"/>
    </row>
    <row r="440" spans="6:10" ht="20.1" customHeight="1">
      <c r="F440" s="6"/>
      <c r="G440" s="6"/>
      <c r="H440" s="6"/>
      <c r="I440" s="6"/>
      <c r="J440" s="6"/>
    </row>
    <row r="441" spans="6:10" ht="20.1" customHeight="1">
      <c r="F441" s="6"/>
      <c r="G441" s="6"/>
      <c r="H441" s="6"/>
      <c r="I441" s="6"/>
      <c r="J441" s="6"/>
    </row>
    <row r="442" spans="6:10" ht="20.1" customHeight="1">
      <c r="F442" s="6"/>
      <c r="G442" s="6"/>
      <c r="H442" s="6"/>
      <c r="I442" s="6"/>
      <c r="J442" s="6"/>
    </row>
    <row r="443" spans="6:10" ht="20.1" customHeight="1">
      <c r="F443" s="6"/>
      <c r="G443" s="6"/>
      <c r="H443" s="6"/>
      <c r="I443" s="6"/>
      <c r="J443" s="6"/>
    </row>
    <row r="444" spans="6:10" ht="20.1" customHeight="1">
      <c r="F444" s="6"/>
      <c r="G444" s="6"/>
      <c r="H444" s="6"/>
      <c r="I444" s="6"/>
      <c r="J444" s="6"/>
    </row>
    <row r="445" spans="6:10" ht="20.1" customHeight="1">
      <c r="F445" s="6"/>
      <c r="G445" s="6"/>
      <c r="H445" s="6"/>
      <c r="I445" s="6"/>
      <c r="J445" s="6"/>
    </row>
    <row r="446" spans="6:10" ht="20.1" customHeight="1">
      <c r="F446" s="6"/>
      <c r="G446" s="6"/>
      <c r="H446" s="6"/>
      <c r="I446" s="6"/>
      <c r="J446" s="6"/>
    </row>
    <row r="447" spans="6:10" ht="20.1" customHeight="1">
      <c r="F447" s="6"/>
      <c r="G447" s="6"/>
      <c r="H447" s="6"/>
      <c r="I447" s="6"/>
      <c r="J447" s="6"/>
    </row>
    <row r="448" spans="6:10" ht="20.1" customHeight="1">
      <c r="F448" s="6"/>
      <c r="G448" s="6"/>
      <c r="H448" s="6"/>
      <c r="I448" s="6"/>
      <c r="J448" s="6"/>
    </row>
    <row r="449" spans="6:10" ht="20.1" customHeight="1">
      <c r="F449" s="6"/>
      <c r="G449" s="6"/>
      <c r="H449" s="6"/>
      <c r="I449" s="6"/>
      <c r="J449" s="6"/>
    </row>
    <row r="450" spans="6:10" ht="20.1" customHeight="1">
      <c r="F450" s="6"/>
      <c r="G450" s="6"/>
      <c r="H450" s="6"/>
      <c r="I450" s="6"/>
      <c r="J450" s="6"/>
    </row>
    <row r="451" spans="6:10" ht="20.1" customHeight="1">
      <c r="F451" s="6"/>
      <c r="G451" s="6"/>
      <c r="H451" s="6"/>
      <c r="I451" s="6"/>
      <c r="J451" s="6"/>
    </row>
    <row r="452" spans="6:10" ht="20.1" customHeight="1">
      <c r="F452" s="6"/>
      <c r="G452" s="6"/>
      <c r="H452" s="6"/>
      <c r="I452" s="6"/>
      <c r="J452" s="6"/>
    </row>
    <row r="453" spans="6:10" ht="20.1" customHeight="1">
      <c r="F453" s="6"/>
      <c r="G453" s="6"/>
      <c r="H453" s="6"/>
      <c r="I453" s="6"/>
      <c r="J453" s="6"/>
    </row>
    <row r="454" spans="6:10" ht="20.1" customHeight="1">
      <c r="F454" s="6"/>
      <c r="G454" s="6"/>
      <c r="H454" s="6"/>
      <c r="I454" s="6"/>
      <c r="J454" s="6"/>
    </row>
    <row r="455" spans="6:10" ht="20.1" customHeight="1">
      <c r="F455" s="6"/>
      <c r="G455" s="6"/>
      <c r="H455" s="6"/>
      <c r="I455" s="6"/>
      <c r="J455" s="6"/>
    </row>
    <row r="456" spans="6:10" ht="20.1" customHeight="1">
      <c r="F456" s="6"/>
      <c r="G456" s="6"/>
      <c r="H456" s="6"/>
      <c r="I456" s="6"/>
      <c r="J456" s="6"/>
    </row>
    <row r="457" spans="6:10" ht="20.1" customHeight="1">
      <c r="F457" s="6"/>
      <c r="G457" s="6"/>
      <c r="H457" s="6"/>
      <c r="I457" s="6"/>
      <c r="J457" s="6"/>
    </row>
    <row r="458" spans="6:10" ht="20.1" customHeight="1">
      <c r="F458" s="6"/>
      <c r="G458" s="6"/>
      <c r="H458" s="6"/>
      <c r="I458" s="6"/>
      <c r="J458" s="6"/>
    </row>
    <row r="459" spans="6:10" ht="20.1" customHeight="1">
      <c r="F459" s="6"/>
      <c r="G459" s="6"/>
      <c r="H459" s="6"/>
      <c r="I459" s="6"/>
      <c r="J459" s="6"/>
    </row>
    <row r="460" spans="6:10" ht="20.1" customHeight="1">
      <c r="F460" s="6"/>
      <c r="G460" s="6"/>
      <c r="H460" s="6"/>
      <c r="I460" s="6"/>
      <c r="J460" s="6"/>
    </row>
    <row r="461" spans="6:10" ht="20.1" customHeight="1">
      <c r="F461" s="6"/>
      <c r="G461" s="6"/>
      <c r="H461" s="6"/>
      <c r="I461" s="6"/>
      <c r="J461" s="6"/>
    </row>
    <row r="462" spans="6:10" ht="20.1" customHeight="1">
      <c r="F462" s="6"/>
      <c r="G462" s="6"/>
      <c r="H462" s="6"/>
      <c r="I462" s="6"/>
      <c r="J462" s="6"/>
    </row>
    <row r="463" spans="6:10" ht="20.1" customHeight="1">
      <c r="F463" s="6"/>
      <c r="G463" s="6"/>
      <c r="H463" s="6"/>
      <c r="I463" s="6"/>
      <c r="J463" s="6"/>
    </row>
    <row r="464" spans="6:10" ht="20.1" customHeight="1">
      <c r="F464" s="6"/>
      <c r="G464" s="6"/>
      <c r="H464" s="6"/>
      <c r="I464" s="6"/>
      <c r="J464" s="6"/>
    </row>
    <row r="465" spans="6:10" ht="20.1" customHeight="1">
      <c r="F465" s="6"/>
      <c r="G465" s="6"/>
      <c r="H465" s="6"/>
      <c r="I465" s="6"/>
      <c r="J465" s="6"/>
    </row>
    <row r="466" spans="6:10" ht="20.1" customHeight="1">
      <c r="F466" s="6"/>
      <c r="G466" s="6"/>
      <c r="H466" s="6"/>
      <c r="I466" s="6"/>
      <c r="J466" s="6"/>
    </row>
    <row r="467" spans="6:10" ht="20.1" customHeight="1">
      <c r="F467" s="6"/>
      <c r="G467" s="6"/>
      <c r="H467" s="6"/>
      <c r="I467" s="6"/>
      <c r="J467" s="6"/>
    </row>
    <row r="468" spans="6:10" ht="20.1" customHeight="1">
      <c r="F468" s="6"/>
      <c r="G468" s="6"/>
      <c r="H468" s="6"/>
      <c r="I468" s="6"/>
      <c r="J468" s="6"/>
    </row>
    <row r="469" spans="6:10" ht="20.1" customHeight="1">
      <c r="F469" s="6"/>
      <c r="G469" s="6"/>
      <c r="H469" s="6"/>
      <c r="I469" s="6"/>
      <c r="J469" s="6"/>
    </row>
    <row r="470" spans="6:10" ht="20.1" customHeight="1">
      <c r="F470" s="6"/>
      <c r="G470" s="6"/>
      <c r="H470" s="6"/>
      <c r="I470" s="6"/>
      <c r="J470" s="6"/>
    </row>
    <row r="471" spans="6:10" ht="20.1" customHeight="1">
      <c r="F471" s="6"/>
      <c r="G471" s="6"/>
      <c r="H471" s="6"/>
      <c r="I471" s="6"/>
      <c r="J471" s="6"/>
    </row>
    <row r="472" spans="6:10" ht="20.1" customHeight="1">
      <c r="F472" s="6"/>
      <c r="G472" s="6"/>
      <c r="H472" s="6"/>
      <c r="I472" s="6"/>
      <c r="J472" s="6"/>
    </row>
    <row r="473" spans="6:10" ht="20.1" customHeight="1">
      <c r="F473" s="6"/>
      <c r="G473" s="6"/>
      <c r="H473" s="6"/>
      <c r="I473" s="6"/>
      <c r="J473" s="6"/>
    </row>
    <row r="474" spans="6:10" ht="20.1" customHeight="1">
      <c r="F474" s="6"/>
      <c r="G474" s="6"/>
      <c r="H474" s="6"/>
      <c r="I474" s="6"/>
      <c r="J474" s="6"/>
    </row>
    <row r="475" spans="6:10" ht="20.1" customHeight="1">
      <c r="F475" s="6"/>
      <c r="G475" s="6"/>
      <c r="H475" s="6"/>
      <c r="I475" s="6"/>
      <c r="J475" s="6"/>
    </row>
    <row r="476" spans="6:10" ht="20.1" customHeight="1">
      <c r="F476" s="6"/>
      <c r="G476" s="6"/>
      <c r="H476" s="6"/>
      <c r="I476" s="6"/>
      <c r="J476" s="6"/>
    </row>
    <row r="477" spans="6:10" ht="20.1" customHeight="1">
      <c r="F477" s="6"/>
      <c r="G477" s="6"/>
      <c r="H477" s="6"/>
      <c r="I477" s="6"/>
      <c r="J477" s="6"/>
    </row>
    <row r="478" spans="6:10" ht="20.1" customHeight="1">
      <c r="F478" s="6"/>
      <c r="G478" s="6"/>
      <c r="H478" s="6"/>
      <c r="I478" s="6"/>
      <c r="J478" s="6"/>
    </row>
    <row r="479" spans="6:10" ht="20.1" customHeight="1">
      <c r="F479" s="6"/>
      <c r="G479" s="6"/>
      <c r="H479" s="6"/>
      <c r="I479" s="6"/>
      <c r="J479" s="6"/>
    </row>
    <row r="480" spans="6:10" ht="20.1" customHeight="1">
      <c r="F480" s="6"/>
      <c r="G480" s="6"/>
      <c r="H480" s="6"/>
      <c r="I480" s="6"/>
      <c r="J480" s="6"/>
    </row>
    <row r="481" spans="6:10" ht="20.1" customHeight="1">
      <c r="F481" s="6"/>
      <c r="G481" s="6"/>
      <c r="H481" s="6"/>
      <c r="I481" s="6"/>
      <c r="J481" s="6"/>
    </row>
    <row r="482" spans="6:10" ht="20.1" customHeight="1">
      <c r="F482" s="6"/>
      <c r="G482" s="6"/>
      <c r="H482" s="6"/>
      <c r="I482" s="6"/>
      <c r="J482" s="6"/>
    </row>
    <row r="483" spans="6:10" ht="20.1" customHeight="1">
      <c r="F483" s="6"/>
      <c r="G483" s="6"/>
      <c r="H483" s="6"/>
      <c r="I483" s="6"/>
      <c r="J483" s="6"/>
    </row>
    <row r="484" spans="6:10" ht="20.1" customHeight="1">
      <c r="F484" s="6"/>
      <c r="G484" s="6"/>
      <c r="H484" s="6"/>
      <c r="I484" s="6"/>
      <c r="J484" s="6"/>
    </row>
    <row r="485" spans="6:10" ht="20.1" customHeight="1">
      <c r="F485" s="6"/>
      <c r="G485" s="6"/>
      <c r="H485" s="6"/>
      <c r="I485" s="6"/>
      <c r="J485" s="6"/>
    </row>
    <row r="486" spans="6:10" ht="20.1" customHeight="1">
      <c r="F486" s="6"/>
      <c r="G486" s="6"/>
      <c r="H486" s="6"/>
      <c r="I486" s="6"/>
      <c r="J486" s="6"/>
    </row>
    <row r="487" spans="6:10" ht="20.1" customHeight="1">
      <c r="F487" s="6"/>
      <c r="G487" s="6"/>
      <c r="H487" s="6"/>
      <c r="I487" s="6"/>
      <c r="J487" s="6"/>
    </row>
    <row r="488" spans="6:10" ht="20.1" customHeight="1">
      <c r="F488" s="6"/>
      <c r="G488" s="6"/>
      <c r="H488" s="6"/>
      <c r="I488" s="6"/>
      <c r="J488" s="6"/>
    </row>
    <row r="489" spans="6:10" ht="20.1" customHeight="1">
      <c r="F489" s="6"/>
      <c r="G489" s="6"/>
      <c r="H489" s="6"/>
      <c r="I489" s="6"/>
      <c r="J489" s="6"/>
    </row>
    <row r="490" spans="6:10" ht="20.1" customHeight="1">
      <c r="F490" s="6"/>
      <c r="G490" s="6"/>
      <c r="H490" s="6"/>
      <c r="I490" s="6"/>
      <c r="J490" s="6"/>
    </row>
    <row r="491" spans="6:10" ht="20.1" customHeight="1">
      <c r="F491" s="6"/>
      <c r="G491" s="6"/>
      <c r="H491" s="6"/>
      <c r="I491" s="6"/>
      <c r="J491" s="6"/>
    </row>
    <row r="492" spans="6:10" ht="20.1" customHeight="1">
      <c r="F492" s="6"/>
      <c r="G492" s="6"/>
      <c r="H492" s="6"/>
      <c r="I492" s="6"/>
      <c r="J492" s="6"/>
    </row>
    <row r="493" spans="6:10" ht="20.1" customHeight="1">
      <c r="F493" s="6"/>
      <c r="G493" s="6"/>
      <c r="H493" s="6"/>
      <c r="I493" s="6"/>
      <c r="J493" s="6"/>
    </row>
    <row r="494" spans="6:10" ht="20.1" customHeight="1">
      <c r="F494" s="6"/>
      <c r="G494" s="6"/>
      <c r="H494" s="6"/>
      <c r="I494" s="6"/>
      <c r="J494" s="6"/>
    </row>
    <row r="495" spans="6:10" ht="20.1" customHeight="1">
      <c r="F495" s="6"/>
      <c r="G495" s="6"/>
      <c r="H495" s="6"/>
      <c r="I495" s="6"/>
      <c r="J495" s="6"/>
    </row>
    <row r="496" spans="6:10" ht="20.1" customHeight="1">
      <c r="F496" s="6"/>
      <c r="G496" s="6"/>
      <c r="H496" s="6"/>
      <c r="I496" s="6"/>
      <c r="J496" s="6"/>
    </row>
    <row r="497" spans="6:10" ht="20.1" customHeight="1">
      <c r="F497" s="6"/>
      <c r="G497" s="6"/>
      <c r="H497" s="6"/>
      <c r="I497" s="6"/>
      <c r="J497" s="6"/>
    </row>
    <row r="498" spans="6:10" ht="20.1" customHeight="1">
      <c r="F498" s="6"/>
      <c r="G498" s="6"/>
      <c r="H498" s="6"/>
      <c r="I498" s="6"/>
      <c r="J498" s="6"/>
    </row>
    <row r="499" spans="6:10" ht="20.1" customHeight="1">
      <c r="F499" s="6"/>
      <c r="G499" s="6"/>
      <c r="H499" s="6"/>
      <c r="I499" s="6"/>
      <c r="J499" s="6"/>
    </row>
    <row r="500" spans="6:10" ht="20.1" customHeight="1">
      <c r="F500" s="6"/>
      <c r="G500" s="6"/>
      <c r="H500" s="6"/>
      <c r="I500" s="6"/>
      <c r="J500" s="6"/>
    </row>
    <row r="501" spans="6:10" ht="20.1" customHeight="1">
      <c r="F501" s="6"/>
      <c r="G501" s="6"/>
      <c r="H501" s="6"/>
      <c r="I501" s="6"/>
      <c r="J501" s="6"/>
    </row>
    <row r="502" spans="6:10" ht="20.1" customHeight="1">
      <c r="F502" s="6"/>
      <c r="G502" s="6"/>
      <c r="H502" s="6"/>
      <c r="I502" s="6"/>
      <c r="J502" s="6"/>
    </row>
    <row r="503" spans="6:10" ht="20.1" customHeight="1">
      <c r="F503" s="6"/>
      <c r="G503" s="6"/>
      <c r="H503" s="6"/>
      <c r="I503" s="6"/>
      <c r="J503" s="6"/>
    </row>
    <row r="504" spans="6:10" ht="20.1" customHeight="1">
      <c r="F504" s="6"/>
      <c r="G504" s="6"/>
      <c r="H504" s="6"/>
      <c r="I504" s="6"/>
      <c r="J504" s="6"/>
    </row>
    <row r="505" spans="6:10" ht="20.1" customHeight="1">
      <c r="F505" s="6"/>
      <c r="G505" s="6"/>
      <c r="H505" s="6"/>
      <c r="I505" s="6"/>
      <c r="J505" s="6"/>
    </row>
    <row r="506" spans="6:10" ht="20.1" customHeight="1">
      <c r="F506" s="6"/>
      <c r="G506" s="6"/>
      <c r="H506" s="6"/>
      <c r="I506" s="6"/>
      <c r="J506" s="6"/>
    </row>
    <row r="507" spans="6:10" ht="20.1" customHeight="1">
      <c r="F507" s="6"/>
      <c r="G507" s="6"/>
      <c r="H507" s="6"/>
      <c r="I507" s="6"/>
      <c r="J507" s="6"/>
    </row>
    <row r="508" spans="6:10" ht="20.1" customHeight="1">
      <c r="F508" s="6"/>
      <c r="G508" s="6"/>
      <c r="H508" s="6"/>
      <c r="I508" s="6"/>
      <c r="J508" s="6"/>
    </row>
    <row r="509" spans="6:10" ht="20.1" customHeight="1">
      <c r="F509" s="6"/>
      <c r="G509" s="6"/>
      <c r="H509" s="6"/>
      <c r="I509" s="6"/>
      <c r="J509" s="6"/>
    </row>
    <row r="510" spans="6:10" ht="20.1" customHeight="1">
      <c r="F510" s="6"/>
      <c r="G510" s="6"/>
      <c r="H510" s="6"/>
      <c r="I510" s="6"/>
      <c r="J510" s="6"/>
    </row>
    <row r="511" spans="6:10" ht="20.1" customHeight="1">
      <c r="F511" s="6"/>
      <c r="G511" s="6"/>
      <c r="H511" s="6"/>
      <c r="I511" s="6"/>
      <c r="J511" s="6"/>
    </row>
    <row r="512" spans="6:10" ht="20.1" customHeight="1">
      <c r="F512" s="6"/>
      <c r="G512" s="6"/>
      <c r="H512" s="6"/>
      <c r="I512" s="6"/>
      <c r="J512" s="6"/>
    </row>
    <row r="513" spans="6:10" ht="20.1" customHeight="1">
      <c r="F513" s="6"/>
      <c r="G513" s="6"/>
      <c r="H513" s="6"/>
      <c r="I513" s="6"/>
      <c r="J513" s="6"/>
    </row>
    <row r="514" spans="6:10" ht="20.1" customHeight="1">
      <c r="F514" s="6"/>
      <c r="G514" s="6"/>
      <c r="H514" s="6"/>
      <c r="I514" s="6"/>
      <c r="J514" s="6"/>
    </row>
    <row r="515" spans="6:10" ht="20.1" customHeight="1">
      <c r="F515" s="6"/>
      <c r="G515" s="6"/>
      <c r="H515" s="6"/>
      <c r="I515" s="6"/>
      <c r="J515" s="6"/>
    </row>
    <row r="516" spans="6:10" ht="20.1" customHeight="1">
      <c r="F516" s="6"/>
      <c r="G516" s="6"/>
      <c r="H516" s="6"/>
      <c r="I516" s="6"/>
      <c r="J516" s="6"/>
    </row>
    <row r="517" spans="6:10" ht="20.1" customHeight="1">
      <c r="F517" s="6"/>
      <c r="G517" s="6"/>
      <c r="H517" s="6"/>
      <c r="I517" s="6"/>
      <c r="J517" s="6"/>
    </row>
    <row r="518" spans="6:10" ht="20.1" customHeight="1">
      <c r="F518" s="6"/>
      <c r="G518" s="6"/>
      <c r="H518" s="6"/>
      <c r="I518" s="6"/>
      <c r="J518" s="6"/>
    </row>
    <row r="519" spans="6:10" ht="20.1" customHeight="1">
      <c r="F519" s="6"/>
      <c r="G519" s="6"/>
      <c r="H519" s="6"/>
      <c r="I519" s="6"/>
      <c r="J519" s="6"/>
    </row>
    <row r="520" spans="6:10" ht="20.1" customHeight="1">
      <c r="F520" s="6"/>
      <c r="G520" s="6"/>
      <c r="H520" s="6"/>
      <c r="I520" s="6"/>
      <c r="J520" s="6"/>
    </row>
    <row r="521" spans="6:10" ht="20.1" customHeight="1">
      <c r="F521" s="6"/>
      <c r="G521" s="6"/>
      <c r="H521" s="6"/>
      <c r="I521" s="6"/>
      <c r="J521" s="6"/>
    </row>
    <row r="522" spans="6:10" ht="20.1" customHeight="1">
      <c r="F522" s="6"/>
      <c r="G522" s="6"/>
      <c r="H522" s="6"/>
      <c r="I522" s="6"/>
      <c r="J522" s="6"/>
    </row>
    <row r="523" spans="6:10" ht="20.1" customHeight="1">
      <c r="F523" s="6"/>
      <c r="G523" s="6"/>
      <c r="H523" s="6"/>
      <c r="I523" s="6"/>
      <c r="J523" s="6"/>
    </row>
    <row r="524" spans="6:10" ht="20.1" customHeight="1">
      <c r="F524" s="6"/>
      <c r="G524" s="6"/>
      <c r="H524" s="6"/>
      <c r="I524" s="6"/>
      <c r="J524" s="6"/>
    </row>
    <row r="525" spans="6:10" ht="20.1" customHeight="1">
      <c r="F525" s="6"/>
      <c r="G525" s="6"/>
      <c r="H525" s="6"/>
      <c r="I525" s="6"/>
      <c r="J525" s="6"/>
    </row>
    <row r="526" spans="6:10" ht="20.1" customHeight="1">
      <c r="F526" s="6"/>
      <c r="G526" s="6"/>
      <c r="H526" s="6"/>
      <c r="I526" s="6"/>
      <c r="J526" s="6"/>
    </row>
    <row r="527" spans="6:10" ht="20.1" customHeight="1">
      <c r="F527" s="6"/>
      <c r="G527" s="6"/>
      <c r="H527" s="6"/>
      <c r="I527" s="6"/>
      <c r="J527" s="6"/>
    </row>
    <row r="528" spans="6:10" ht="20.1" customHeight="1">
      <c r="F528" s="6"/>
      <c r="G528" s="6"/>
      <c r="H528" s="6"/>
      <c r="I528" s="6"/>
      <c r="J528" s="6"/>
    </row>
    <row r="529" spans="6:10" ht="20.1" customHeight="1">
      <c r="F529" s="6"/>
      <c r="G529" s="6"/>
      <c r="H529" s="6"/>
      <c r="I529" s="6"/>
      <c r="J529" s="6"/>
    </row>
    <row r="530" spans="6:10" ht="20.1" customHeight="1">
      <c r="F530" s="6"/>
      <c r="G530" s="6"/>
      <c r="H530" s="6"/>
      <c r="I530" s="6"/>
      <c r="J530" s="6"/>
    </row>
    <row r="531" spans="6:10" ht="20.1" customHeight="1">
      <c r="F531" s="6"/>
      <c r="G531" s="6"/>
      <c r="H531" s="6"/>
      <c r="I531" s="6"/>
      <c r="J531" s="6"/>
    </row>
    <row r="532" spans="6:10" ht="20.1" customHeight="1">
      <c r="F532" s="6"/>
      <c r="G532" s="6"/>
      <c r="H532" s="6"/>
      <c r="I532" s="6"/>
      <c r="J532" s="6"/>
    </row>
    <row r="533" spans="6:10" ht="20.1" customHeight="1">
      <c r="F533" s="6"/>
      <c r="G533" s="6"/>
      <c r="H533" s="6"/>
      <c r="I533" s="6"/>
      <c r="J533" s="6"/>
    </row>
    <row r="534" spans="6:10" ht="20.1" customHeight="1">
      <c r="F534" s="6"/>
      <c r="G534" s="6"/>
      <c r="H534" s="6"/>
      <c r="I534" s="6"/>
      <c r="J534" s="6"/>
    </row>
    <row r="535" spans="6:10" ht="20.1" customHeight="1">
      <c r="F535" s="6"/>
      <c r="G535" s="6"/>
      <c r="H535" s="6"/>
      <c r="I535" s="6"/>
      <c r="J535" s="6"/>
    </row>
    <row r="536" spans="6:10" ht="20.1" customHeight="1">
      <c r="F536" s="6"/>
      <c r="G536" s="6"/>
      <c r="H536" s="6"/>
      <c r="I536" s="6"/>
      <c r="J536" s="6"/>
    </row>
    <row r="537" spans="6:10" ht="20.1" customHeight="1">
      <c r="F537" s="6"/>
      <c r="G537" s="6"/>
      <c r="H537" s="6"/>
      <c r="I537" s="6"/>
      <c r="J537" s="6"/>
    </row>
    <row r="538" spans="6:10" ht="20.1" customHeight="1">
      <c r="F538" s="6"/>
      <c r="G538" s="6"/>
      <c r="H538" s="6"/>
      <c r="I538" s="6"/>
      <c r="J538" s="6"/>
    </row>
    <row r="539" spans="6:10" ht="20.1" customHeight="1">
      <c r="F539" s="6"/>
      <c r="G539" s="6"/>
      <c r="H539" s="6"/>
      <c r="I539" s="6"/>
      <c r="J539" s="6"/>
    </row>
    <row r="540" spans="6:10" ht="20.1" customHeight="1">
      <c r="F540" s="6"/>
      <c r="G540" s="6"/>
      <c r="H540" s="6"/>
      <c r="I540" s="6"/>
      <c r="J540" s="6"/>
    </row>
    <row r="541" spans="6:10" ht="20.1" customHeight="1">
      <c r="F541" s="6"/>
      <c r="G541" s="6"/>
      <c r="H541" s="6"/>
      <c r="I541" s="6"/>
      <c r="J541" s="6"/>
    </row>
    <row r="542" spans="6:10" ht="20.1" customHeight="1">
      <c r="F542" s="6"/>
      <c r="G542" s="6"/>
      <c r="H542" s="6"/>
      <c r="I542" s="6"/>
      <c r="J542" s="6"/>
    </row>
    <row r="543" spans="6:10" ht="20.1" customHeight="1">
      <c r="F543" s="6"/>
      <c r="G543" s="6"/>
      <c r="H543" s="6"/>
      <c r="I543" s="6"/>
      <c r="J543" s="6"/>
    </row>
    <row r="544" spans="6:10" ht="20.1" customHeight="1">
      <c r="F544" s="6"/>
      <c r="G544" s="6"/>
      <c r="H544" s="6"/>
      <c r="I544" s="6"/>
      <c r="J544" s="6"/>
    </row>
    <row r="545" spans="6:10" ht="20.1" customHeight="1">
      <c r="F545" s="6"/>
      <c r="G545" s="6"/>
      <c r="H545" s="6"/>
      <c r="I545" s="6"/>
      <c r="J545" s="6"/>
    </row>
    <row r="546" spans="6:10" ht="20.1" customHeight="1">
      <c r="F546" s="6"/>
      <c r="G546" s="6"/>
      <c r="H546" s="6"/>
      <c r="I546" s="6"/>
      <c r="J546" s="6"/>
    </row>
    <row r="547" spans="6:10" ht="20.1" customHeight="1">
      <c r="F547" s="6"/>
      <c r="G547" s="6"/>
      <c r="H547" s="6"/>
      <c r="I547" s="6"/>
      <c r="J547" s="6"/>
    </row>
    <row r="548" spans="6:10" ht="20.1" customHeight="1">
      <c r="F548" s="6"/>
      <c r="G548" s="6"/>
      <c r="H548" s="6"/>
      <c r="I548" s="6"/>
      <c r="J548" s="6"/>
    </row>
    <row r="549" spans="6:10" ht="20.1" customHeight="1">
      <c r="F549" s="6"/>
      <c r="G549" s="6"/>
      <c r="H549" s="6"/>
      <c r="I549" s="6"/>
      <c r="J549" s="6"/>
    </row>
    <row r="550" spans="6:10" ht="20.1" customHeight="1">
      <c r="F550" s="6"/>
      <c r="G550" s="6"/>
      <c r="H550" s="6"/>
      <c r="I550" s="6"/>
      <c r="J550" s="6"/>
    </row>
    <row r="551" spans="6:10" ht="20.1" customHeight="1">
      <c r="F551" s="6"/>
      <c r="G551" s="6"/>
      <c r="H551" s="6"/>
      <c r="I551" s="6"/>
      <c r="J551" s="6"/>
    </row>
    <row r="552" spans="6:10" ht="20.1" customHeight="1">
      <c r="F552" s="6"/>
      <c r="G552" s="6"/>
      <c r="H552" s="6"/>
      <c r="I552" s="6"/>
      <c r="J552" s="6"/>
    </row>
    <row r="553" spans="6:10" ht="20.1" customHeight="1">
      <c r="F553" s="6"/>
      <c r="G553" s="6"/>
      <c r="H553" s="6"/>
      <c r="I553" s="6"/>
      <c r="J553" s="6"/>
    </row>
    <row r="554" spans="6:10" ht="20.1" customHeight="1">
      <c r="F554" s="6"/>
      <c r="G554" s="6"/>
      <c r="H554" s="6"/>
      <c r="I554" s="6"/>
      <c r="J554" s="6"/>
    </row>
    <row r="555" spans="6:10" ht="20.1" customHeight="1">
      <c r="F555" s="6"/>
      <c r="G555" s="6"/>
      <c r="H555" s="6"/>
      <c r="I555" s="6"/>
      <c r="J555" s="6"/>
    </row>
    <row r="556" spans="6:10" ht="20.1" customHeight="1">
      <c r="F556" s="6"/>
      <c r="G556" s="6"/>
      <c r="H556" s="6"/>
      <c r="I556" s="6"/>
      <c r="J556" s="6"/>
    </row>
    <row r="557" spans="6:10" ht="20.1" customHeight="1">
      <c r="F557" s="6"/>
      <c r="G557" s="6"/>
      <c r="H557" s="6"/>
      <c r="I557" s="6"/>
      <c r="J557" s="6"/>
    </row>
    <row r="558" spans="6:10" ht="20.1" customHeight="1">
      <c r="F558" s="6"/>
      <c r="G558" s="6"/>
      <c r="H558" s="6"/>
      <c r="I558" s="6"/>
      <c r="J558" s="6"/>
    </row>
    <row r="559" spans="6:10" ht="20.1" customHeight="1">
      <c r="F559" s="6"/>
      <c r="G559" s="6"/>
      <c r="H559" s="6"/>
      <c r="I559" s="6"/>
      <c r="J559" s="6"/>
    </row>
    <row r="560" spans="6:10" ht="20.1" customHeight="1">
      <c r="F560" s="6"/>
      <c r="G560" s="6"/>
      <c r="H560" s="6"/>
      <c r="I560" s="6"/>
      <c r="J560" s="6"/>
    </row>
    <row r="561" spans="6:10" ht="20.1" customHeight="1">
      <c r="F561" s="6"/>
      <c r="G561" s="6"/>
      <c r="H561" s="6"/>
      <c r="I561" s="6"/>
      <c r="J561" s="6"/>
    </row>
    <row r="562" spans="6:10" ht="20.1" customHeight="1">
      <c r="F562" s="6"/>
      <c r="G562" s="6"/>
      <c r="H562" s="6"/>
      <c r="I562" s="6"/>
      <c r="J562" s="6"/>
    </row>
    <row r="563" spans="6:10" ht="20.1" customHeight="1">
      <c r="F563" s="6"/>
      <c r="G563" s="6"/>
      <c r="H563" s="6"/>
      <c r="I563" s="6"/>
      <c r="J563" s="6"/>
    </row>
    <row r="564" spans="6:10" ht="20.1" customHeight="1">
      <c r="F564" s="6"/>
      <c r="G564" s="6"/>
      <c r="H564" s="6"/>
      <c r="I564" s="6"/>
      <c r="J564" s="6"/>
    </row>
    <row r="565" spans="6:10" ht="20.1" customHeight="1">
      <c r="F565" s="6"/>
      <c r="G565" s="6"/>
      <c r="H565" s="6"/>
      <c r="I565" s="6"/>
      <c r="J565" s="6"/>
    </row>
    <row r="566" spans="6:10" ht="20.1" customHeight="1">
      <c r="F566" s="6"/>
      <c r="G566" s="6"/>
      <c r="H566" s="6"/>
      <c r="I566" s="6"/>
      <c r="J566" s="6"/>
    </row>
    <row r="567" spans="6:10" ht="20.1" customHeight="1">
      <c r="F567" s="6"/>
      <c r="G567" s="6"/>
      <c r="H567" s="6"/>
      <c r="I567" s="6"/>
      <c r="J567" s="6"/>
    </row>
    <row r="568" spans="6:10" ht="20.1" customHeight="1">
      <c r="F568" s="6"/>
      <c r="G568" s="6"/>
      <c r="H568" s="6"/>
      <c r="I568" s="6"/>
      <c r="J568" s="6"/>
    </row>
    <row r="569" spans="6:10" ht="20.1" customHeight="1">
      <c r="F569" s="6"/>
      <c r="G569" s="6"/>
      <c r="H569" s="6"/>
      <c r="I569" s="6"/>
      <c r="J569" s="6"/>
    </row>
    <row r="570" spans="6:10" ht="20.1" customHeight="1">
      <c r="F570" s="6"/>
      <c r="G570" s="6"/>
      <c r="H570" s="6"/>
      <c r="I570" s="6"/>
      <c r="J570" s="6"/>
    </row>
    <row r="571" spans="6:10" ht="20.1" customHeight="1">
      <c r="F571" s="6"/>
      <c r="G571" s="6"/>
      <c r="H571" s="6"/>
      <c r="I571" s="6"/>
      <c r="J571" s="6"/>
    </row>
    <row r="572" spans="6:10" ht="20.1" customHeight="1">
      <c r="F572" s="6"/>
      <c r="G572" s="6"/>
      <c r="H572" s="6"/>
      <c r="I572" s="6"/>
      <c r="J572" s="6"/>
    </row>
    <row r="573" spans="6:10" ht="20.1" customHeight="1">
      <c r="F573" s="6"/>
      <c r="G573" s="6"/>
      <c r="H573" s="6"/>
      <c r="I573" s="6"/>
      <c r="J573" s="6"/>
    </row>
    <row r="574" spans="6:10" ht="20.1" customHeight="1">
      <c r="F574" s="6"/>
      <c r="G574" s="6"/>
      <c r="H574" s="6"/>
      <c r="I574" s="6"/>
      <c r="J574" s="6"/>
    </row>
    <row r="575" spans="6:10" ht="20.1" customHeight="1">
      <c r="F575" s="6"/>
      <c r="G575" s="6"/>
      <c r="H575" s="6"/>
      <c r="I575" s="6"/>
      <c r="J575" s="6"/>
    </row>
    <row r="576" spans="6:10" ht="20.1" customHeight="1">
      <c r="F576" s="6"/>
      <c r="G576" s="6"/>
      <c r="H576" s="6"/>
      <c r="I576" s="6"/>
      <c r="J576" s="6"/>
    </row>
    <row r="577" spans="6:10" ht="20.1" customHeight="1">
      <c r="F577" s="6"/>
      <c r="G577" s="6"/>
      <c r="H577" s="6"/>
      <c r="I577" s="6"/>
      <c r="J577" s="6"/>
    </row>
    <row r="578" spans="6:10" ht="20.1" customHeight="1">
      <c r="F578" s="6"/>
      <c r="G578" s="6"/>
      <c r="H578" s="6"/>
      <c r="I578" s="6"/>
      <c r="J578" s="6"/>
    </row>
    <row r="579" spans="6:10" ht="20.1" customHeight="1">
      <c r="F579" s="6"/>
      <c r="G579" s="6"/>
      <c r="H579" s="6"/>
      <c r="I579" s="6"/>
      <c r="J579" s="6"/>
    </row>
    <row r="580" spans="6:10" ht="20.1" customHeight="1">
      <c r="F580" s="6"/>
      <c r="G580" s="6"/>
      <c r="H580" s="6"/>
      <c r="I580" s="6"/>
      <c r="J580" s="6"/>
    </row>
    <row r="581" spans="6:10" ht="20.1" customHeight="1">
      <c r="F581" s="6"/>
      <c r="G581" s="6"/>
      <c r="H581" s="6"/>
      <c r="I581" s="6"/>
      <c r="J581" s="6"/>
    </row>
    <row r="582" spans="6:10" ht="20.1" customHeight="1">
      <c r="F582" s="6"/>
      <c r="G582" s="6"/>
      <c r="H582" s="6"/>
      <c r="I582" s="6"/>
      <c r="J582" s="6"/>
    </row>
    <row r="583" spans="6:10" ht="20.1" customHeight="1">
      <c r="F583" s="6"/>
      <c r="G583" s="6"/>
      <c r="H583" s="6"/>
      <c r="I583" s="6"/>
      <c r="J583" s="6"/>
    </row>
    <row r="584" spans="6:10" ht="20.1" customHeight="1">
      <c r="F584" s="6"/>
      <c r="G584" s="6"/>
      <c r="H584" s="6"/>
      <c r="I584" s="6"/>
      <c r="J584" s="6"/>
    </row>
    <row r="585" spans="6:10" ht="20.1" customHeight="1">
      <c r="F585" s="6"/>
      <c r="G585" s="6"/>
      <c r="H585" s="6"/>
      <c r="I585" s="6"/>
      <c r="J585" s="6"/>
    </row>
    <row r="586" spans="6:10" ht="20.1" customHeight="1">
      <c r="F586" s="6"/>
      <c r="G586" s="6"/>
      <c r="H586" s="6"/>
      <c r="I586" s="6"/>
      <c r="J586" s="6"/>
    </row>
    <row r="587" spans="6:10" ht="20.1" customHeight="1">
      <c r="F587" s="6"/>
      <c r="G587" s="6"/>
      <c r="H587" s="6"/>
      <c r="I587" s="6"/>
      <c r="J587" s="6"/>
    </row>
    <row r="588" spans="6:10" ht="20.1" customHeight="1">
      <c r="F588" s="6"/>
      <c r="G588" s="6"/>
      <c r="H588" s="6"/>
      <c r="I588" s="6"/>
      <c r="J588" s="6"/>
    </row>
    <row r="589" spans="6:10" ht="20.1" customHeight="1">
      <c r="F589" s="6"/>
      <c r="G589" s="6"/>
      <c r="H589" s="6"/>
      <c r="I589" s="6"/>
      <c r="J589" s="6"/>
    </row>
    <row r="590" spans="6:10" ht="20.1" customHeight="1">
      <c r="F590" s="6"/>
      <c r="G590" s="6"/>
      <c r="H590" s="6"/>
      <c r="I590" s="6"/>
      <c r="J590" s="6"/>
    </row>
    <row r="591" spans="6:10" ht="20.1" customHeight="1">
      <c r="F591" s="6"/>
      <c r="G591" s="6"/>
      <c r="H591" s="6"/>
      <c r="I591" s="6"/>
      <c r="J591" s="6"/>
    </row>
    <row r="592" spans="6:10" ht="20.1" customHeight="1">
      <c r="F592" s="6"/>
      <c r="G592" s="6"/>
      <c r="H592" s="6"/>
      <c r="I592" s="6"/>
      <c r="J592" s="6"/>
    </row>
    <row r="593" spans="6:10" ht="20.1" customHeight="1">
      <c r="F593" s="6"/>
      <c r="G593" s="6"/>
      <c r="H593" s="6"/>
      <c r="I593" s="6"/>
      <c r="J593" s="6"/>
    </row>
    <row r="594" spans="6:10" ht="20.1" customHeight="1">
      <c r="F594" s="6"/>
      <c r="G594" s="6"/>
      <c r="H594" s="6"/>
      <c r="I594" s="6"/>
      <c r="J594" s="6"/>
    </row>
    <row r="595" spans="6:10" ht="20.1" customHeight="1">
      <c r="F595" s="6"/>
      <c r="G595" s="6"/>
      <c r="H595" s="6"/>
      <c r="I595" s="6"/>
      <c r="J595" s="6"/>
    </row>
    <row r="596" spans="6:10" ht="20.1" customHeight="1">
      <c r="F596" s="6"/>
      <c r="G596" s="6"/>
      <c r="H596" s="6"/>
      <c r="I596" s="6"/>
      <c r="J596" s="6"/>
    </row>
    <row r="597" spans="6:10" ht="20.1" customHeight="1">
      <c r="F597" s="6"/>
      <c r="G597" s="6"/>
      <c r="H597" s="6"/>
      <c r="I597" s="6"/>
      <c r="J597" s="6"/>
    </row>
    <row r="598" spans="6:10" ht="20.1" customHeight="1">
      <c r="F598" s="6"/>
      <c r="G598" s="6"/>
      <c r="H598" s="6"/>
      <c r="I598" s="6"/>
      <c r="J598" s="6"/>
    </row>
    <row r="599" spans="6:10" ht="20.1" customHeight="1">
      <c r="F599" s="6"/>
      <c r="G599" s="6"/>
      <c r="H599" s="6"/>
      <c r="I599" s="6"/>
      <c r="J599" s="6"/>
    </row>
    <row r="600" spans="6:10" ht="20.1" customHeight="1">
      <c r="F600" s="6"/>
      <c r="G600" s="6"/>
      <c r="H600" s="6"/>
      <c r="I600" s="6"/>
      <c r="J600" s="6"/>
    </row>
    <row r="601" spans="6:10" ht="20.1" customHeight="1">
      <c r="F601" s="6"/>
      <c r="G601" s="6"/>
      <c r="H601" s="6"/>
      <c r="I601" s="6"/>
      <c r="J601" s="6"/>
    </row>
    <row r="602" spans="6:10" ht="20.1" customHeight="1">
      <c r="F602" s="6"/>
      <c r="G602" s="6"/>
      <c r="H602" s="6"/>
      <c r="I602" s="6"/>
      <c r="J602" s="6"/>
    </row>
    <row r="603" spans="6:10" ht="20.1" customHeight="1">
      <c r="F603" s="6"/>
      <c r="G603" s="6"/>
      <c r="H603" s="6"/>
      <c r="I603" s="6"/>
      <c r="J603" s="6"/>
    </row>
    <row r="604" spans="6:10" ht="20.1" customHeight="1">
      <c r="F604" s="6"/>
      <c r="G604" s="6"/>
      <c r="H604" s="6"/>
      <c r="I604" s="6"/>
      <c r="J604" s="6"/>
    </row>
    <row r="605" spans="6:10" ht="20.1" customHeight="1">
      <c r="F605" s="6"/>
      <c r="G605" s="6"/>
      <c r="H605" s="6"/>
      <c r="I605" s="6"/>
      <c r="J605" s="6"/>
    </row>
    <row r="606" spans="6:10" ht="20.1" customHeight="1">
      <c r="F606" s="6"/>
      <c r="G606" s="6"/>
      <c r="H606" s="6"/>
      <c r="I606" s="6"/>
      <c r="J606" s="6"/>
    </row>
    <row r="607" spans="6:10" ht="20.1" customHeight="1">
      <c r="F607" s="6"/>
      <c r="G607" s="6"/>
      <c r="H607" s="6"/>
      <c r="I607" s="6"/>
      <c r="J607" s="6"/>
    </row>
    <row r="608" spans="6:10" ht="20.1" customHeight="1">
      <c r="F608" s="6"/>
      <c r="G608" s="6"/>
      <c r="H608" s="6"/>
      <c r="I608" s="6"/>
      <c r="J608" s="6"/>
    </row>
    <row r="609" spans="6:10" ht="20.1" customHeight="1">
      <c r="F609" s="6"/>
      <c r="G609" s="6"/>
      <c r="H609" s="6"/>
      <c r="I609" s="6"/>
      <c r="J609" s="6"/>
    </row>
    <row r="610" spans="6:10" ht="20.1" customHeight="1">
      <c r="F610" s="6"/>
      <c r="G610" s="6"/>
      <c r="H610" s="6"/>
      <c r="I610" s="6"/>
      <c r="J610" s="6"/>
    </row>
    <row r="611" spans="6:10" ht="20.1" customHeight="1">
      <c r="F611" s="6"/>
      <c r="G611" s="6"/>
      <c r="H611" s="6"/>
      <c r="I611" s="6"/>
      <c r="J611" s="6"/>
    </row>
    <row r="612" spans="6:10" ht="20.1" customHeight="1">
      <c r="F612" s="6"/>
      <c r="G612" s="6"/>
      <c r="H612" s="6"/>
      <c r="I612" s="6"/>
      <c r="J612" s="6"/>
    </row>
    <row r="613" spans="6:10" ht="20.1" customHeight="1">
      <c r="F613" s="6"/>
      <c r="G613" s="6"/>
      <c r="H613" s="6"/>
      <c r="I613" s="6"/>
      <c r="J613" s="6"/>
    </row>
    <row r="614" spans="6:10" ht="20.1" customHeight="1">
      <c r="F614" s="6"/>
      <c r="G614" s="6"/>
      <c r="H614" s="6"/>
      <c r="I614" s="6"/>
      <c r="J614" s="6"/>
    </row>
    <row r="615" spans="6:10" ht="20.1" customHeight="1">
      <c r="F615" s="6"/>
      <c r="G615" s="6"/>
      <c r="H615" s="6"/>
      <c r="I615" s="6"/>
      <c r="J615" s="6"/>
    </row>
    <row r="616" spans="6:10" ht="20.1" customHeight="1">
      <c r="F616" s="6"/>
      <c r="G616" s="6"/>
      <c r="H616" s="6"/>
      <c r="I616" s="6"/>
      <c r="J616" s="6"/>
    </row>
    <row r="617" spans="6:10" ht="20.1" customHeight="1">
      <c r="F617" s="6"/>
      <c r="G617" s="6"/>
      <c r="H617" s="6"/>
      <c r="I617" s="6"/>
      <c r="J617" s="6"/>
    </row>
    <row r="618" spans="6:10" ht="20.1" customHeight="1">
      <c r="F618" s="6"/>
      <c r="G618" s="6"/>
      <c r="H618" s="6"/>
      <c r="I618" s="6"/>
      <c r="J618" s="6"/>
    </row>
    <row r="619" spans="6:10" ht="20.1" customHeight="1">
      <c r="F619" s="6"/>
      <c r="G619" s="6"/>
      <c r="H619" s="6"/>
      <c r="I619" s="6"/>
      <c r="J619" s="6"/>
    </row>
    <row r="620" spans="6:10" ht="20.1" customHeight="1">
      <c r="F620" s="6"/>
      <c r="G620" s="6"/>
      <c r="H620" s="6"/>
      <c r="I620" s="6"/>
      <c r="J620" s="6"/>
    </row>
    <row r="621" spans="6:10" ht="20.1" customHeight="1">
      <c r="F621" s="6"/>
      <c r="G621" s="6"/>
      <c r="H621" s="6"/>
      <c r="I621" s="6"/>
      <c r="J621" s="6"/>
    </row>
    <row r="622" spans="6:10" ht="20.1" customHeight="1">
      <c r="F622" s="6"/>
      <c r="G622" s="6"/>
      <c r="H622" s="6"/>
      <c r="I622" s="6"/>
      <c r="J622" s="6"/>
    </row>
    <row r="623" spans="6:10" ht="20.1" customHeight="1">
      <c r="F623" s="6"/>
      <c r="G623" s="6"/>
      <c r="H623" s="6"/>
      <c r="I623" s="6"/>
      <c r="J623" s="6"/>
    </row>
    <row r="624" spans="6:10" ht="20.1" customHeight="1">
      <c r="F624" s="6"/>
      <c r="G624" s="6"/>
      <c r="H624" s="6"/>
      <c r="I624" s="6"/>
      <c r="J624" s="6"/>
    </row>
    <row r="625" spans="6:10" ht="20.1" customHeight="1">
      <c r="F625" s="6"/>
      <c r="G625" s="6"/>
      <c r="H625" s="6"/>
      <c r="I625" s="6"/>
      <c r="J625" s="6"/>
    </row>
    <row r="626" spans="6:10" ht="20.1" customHeight="1">
      <c r="F626" s="6"/>
      <c r="G626" s="6"/>
      <c r="H626" s="6"/>
      <c r="I626" s="6"/>
      <c r="J626" s="6"/>
    </row>
    <row r="627" spans="6:10" ht="20.1" customHeight="1">
      <c r="F627" s="6"/>
      <c r="G627" s="6"/>
      <c r="H627" s="6"/>
      <c r="I627" s="6"/>
      <c r="J627" s="6"/>
    </row>
    <row r="628" spans="6:10" ht="20.1" customHeight="1">
      <c r="F628" s="6"/>
      <c r="G628" s="6"/>
      <c r="H628" s="6"/>
      <c r="I628" s="6"/>
      <c r="J628" s="6"/>
    </row>
    <row r="629" spans="6:10" ht="20.1" customHeight="1">
      <c r="F629" s="6"/>
      <c r="G629" s="6"/>
      <c r="H629" s="6"/>
      <c r="I629" s="6"/>
      <c r="J629" s="6"/>
    </row>
    <row r="630" spans="6:10" ht="20.1" customHeight="1">
      <c r="F630" s="6"/>
      <c r="G630" s="6"/>
      <c r="H630" s="6"/>
      <c r="I630" s="6"/>
      <c r="J630" s="6"/>
    </row>
    <row r="631" spans="6:10" ht="20.1" customHeight="1">
      <c r="F631" s="6"/>
      <c r="G631" s="6"/>
      <c r="H631" s="6"/>
      <c r="I631" s="6"/>
      <c r="J631" s="6"/>
    </row>
    <row r="632" spans="6:10" ht="20.1" customHeight="1">
      <c r="F632" s="6"/>
      <c r="G632" s="6"/>
      <c r="H632" s="6"/>
      <c r="I632" s="6"/>
      <c r="J632" s="6"/>
    </row>
    <row r="633" spans="6:10" ht="20.1" customHeight="1">
      <c r="F633" s="6"/>
      <c r="G633" s="6"/>
      <c r="H633" s="6"/>
      <c r="I633" s="6"/>
      <c r="J633" s="6"/>
    </row>
    <row r="634" spans="6:10" ht="20.1" customHeight="1">
      <c r="F634" s="6"/>
      <c r="G634" s="6"/>
      <c r="H634" s="6"/>
      <c r="I634" s="6"/>
      <c r="J634" s="6"/>
    </row>
    <row r="635" spans="6:10" ht="20.1" customHeight="1">
      <c r="F635" s="6"/>
      <c r="G635" s="6"/>
      <c r="H635" s="6"/>
      <c r="I635" s="6"/>
      <c r="J635" s="6"/>
    </row>
    <row r="636" spans="6:10" ht="20.1" customHeight="1">
      <c r="F636" s="6"/>
      <c r="G636" s="6"/>
      <c r="H636" s="6"/>
      <c r="I636" s="6"/>
      <c r="J636" s="6"/>
    </row>
    <row r="637" spans="6:10" ht="20.1" customHeight="1">
      <c r="F637" s="6"/>
      <c r="G637" s="6"/>
      <c r="H637" s="6"/>
      <c r="I637" s="6"/>
      <c r="J637" s="6"/>
    </row>
    <row r="638" spans="6:10" ht="20.1" customHeight="1">
      <c r="F638" s="6"/>
      <c r="G638" s="6"/>
      <c r="H638" s="6"/>
      <c r="I638" s="6"/>
      <c r="J638" s="6"/>
    </row>
    <row r="639" spans="6:10" ht="20.1" customHeight="1">
      <c r="F639" s="6"/>
      <c r="G639" s="6"/>
      <c r="H639" s="6"/>
      <c r="I639" s="6"/>
      <c r="J639" s="6"/>
    </row>
    <row r="640" spans="6:10" ht="20.1" customHeight="1">
      <c r="F640" s="6"/>
      <c r="G640" s="6"/>
      <c r="H640" s="6"/>
      <c r="I640" s="6"/>
      <c r="J640" s="6"/>
    </row>
    <row r="641" spans="6:10" ht="20.1" customHeight="1">
      <c r="F641" s="6"/>
      <c r="G641" s="6"/>
      <c r="H641" s="6"/>
      <c r="I641" s="6"/>
      <c r="J641" s="6"/>
    </row>
    <row r="642" spans="6:10" ht="20.1" customHeight="1">
      <c r="F642" s="6"/>
      <c r="G642" s="6"/>
      <c r="H642" s="6"/>
      <c r="I642" s="6"/>
      <c r="J642" s="6"/>
    </row>
    <row r="643" spans="6:10" ht="20.1" customHeight="1">
      <c r="F643" s="6"/>
      <c r="G643" s="6"/>
      <c r="H643" s="6"/>
      <c r="I643" s="6"/>
      <c r="J643" s="6"/>
    </row>
    <row r="644" spans="6:10" ht="20.1" customHeight="1">
      <c r="F644" s="6"/>
      <c r="G644" s="6"/>
      <c r="H644" s="6"/>
      <c r="I644" s="6"/>
      <c r="J644" s="6"/>
    </row>
    <row r="645" spans="6:10" ht="20.1" customHeight="1">
      <c r="F645" s="6"/>
      <c r="G645" s="6"/>
      <c r="H645" s="6"/>
      <c r="I645" s="6"/>
      <c r="J645" s="6"/>
    </row>
    <row r="646" spans="6:10" ht="20.1" customHeight="1">
      <c r="F646" s="6"/>
      <c r="G646" s="6"/>
      <c r="H646" s="6"/>
      <c r="I646" s="6"/>
      <c r="J646" s="6"/>
    </row>
    <row r="647" spans="6:10" ht="20.1" customHeight="1">
      <c r="F647" s="6"/>
      <c r="G647" s="6"/>
      <c r="H647" s="6"/>
      <c r="I647" s="6"/>
      <c r="J647" s="6"/>
    </row>
    <row r="648" spans="6:10" ht="20.1" customHeight="1">
      <c r="F648" s="6"/>
      <c r="G648" s="6"/>
      <c r="H648" s="6"/>
      <c r="I648" s="6"/>
      <c r="J648" s="6"/>
    </row>
    <row r="649" spans="6:10" ht="20.1" customHeight="1">
      <c r="F649" s="6"/>
      <c r="G649" s="6"/>
      <c r="H649" s="6"/>
      <c r="I649" s="6"/>
      <c r="J649" s="6"/>
    </row>
    <row r="650" spans="6:10" ht="20.1" customHeight="1">
      <c r="F650" s="6"/>
      <c r="G650" s="6"/>
      <c r="H650" s="6"/>
      <c r="I650" s="6"/>
      <c r="J650" s="6"/>
    </row>
    <row r="651" spans="6:10" ht="20.1" customHeight="1">
      <c r="F651" s="6"/>
      <c r="G651" s="6"/>
      <c r="H651" s="6"/>
      <c r="I651" s="6"/>
      <c r="J651" s="6"/>
    </row>
    <row r="652" spans="6:10" ht="20.1" customHeight="1">
      <c r="F652" s="6"/>
      <c r="G652" s="6"/>
      <c r="H652" s="6"/>
      <c r="I652" s="6"/>
      <c r="J652" s="6"/>
    </row>
    <row r="653" spans="6:10" ht="20.1" customHeight="1">
      <c r="F653" s="6"/>
      <c r="G653" s="6"/>
      <c r="H653" s="6"/>
      <c r="I653" s="6"/>
      <c r="J653" s="6"/>
    </row>
    <row r="654" spans="6:10" ht="20.1" customHeight="1">
      <c r="F654" s="6"/>
      <c r="G654" s="6"/>
      <c r="H654" s="6"/>
      <c r="I654" s="6"/>
      <c r="J654" s="6"/>
    </row>
    <row r="655" spans="6:10" ht="20.1" customHeight="1">
      <c r="F655" s="6"/>
      <c r="G655" s="6"/>
      <c r="H655" s="6"/>
      <c r="I655" s="6"/>
      <c r="J655" s="6"/>
    </row>
    <row r="656" spans="6:10" ht="20.1" customHeight="1">
      <c r="F656" s="6"/>
      <c r="G656" s="6"/>
      <c r="H656" s="6"/>
      <c r="I656" s="6"/>
      <c r="J656" s="6"/>
    </row>
    <row r="657" spans="6:10" ht="20.1" customHeight="1">
      <c r="F657" s="6"/>
      <c r="G657" s="6"/>
      <c r="H657" s="6"/>
      <c r="I657" s="6"/>
      <c r="J657" s="6"/>
    </row>
    <row r="658" spans="6:10" ht="20.1" customHeight="1">
      <c r="F658" s="6"/>
      <c r="G658" s="6"/>
      <c r="H658" s="6"/>
      <c r="I658" s="6"/>
      <c r="J658" s="6"/>
    </row>
    <row r="659" spans="6:10" ht="20.1" customHeight="1">
      <c r="F659" s="6"/>
      <c r="G659" s="6"/>
      <c r="H659" s="6"/>
      <c r="I659" s="6"/>
      <c r="J659" s="6"/>
    </row>
    <row r="660" spans="6:10" ht="20.1" customHeight="1">
      <c r="F660" s="6"/>
      <c r="G660" s="6"/>
      <c r="H660" s="6"/>
      <c r="I660" s="6"/>
      <c r="J660" s="6"/>
    </row>
    <row r="661" spans="6:10" ht="20.1" customHeight="1">
      <c r="F661" s="6"/>
      <c r="G661" s="6"/>
      <c r="H661" s="6"/>
      <c r="I661" s="6"/>
      <c r="J661" s="6"/>
    </row>
    <row r="662" spans="6:10" ht="20.1" customHeight="1">
      <c r="F662" s="6"/>
      <c r="G662" s="6"/>
      <c r="H662" s="6"/>
      <c r="I662" s="6"/>
      <c r="J662" s="6"/>
    </row>
    <row r="663" spans="6:10" ht="20.1" customHeight="1">
      <c r="F663" s="6"/>
      <c r="G663" s="6"/>
      <c r="H663" s="6"/>
      <c r="I663" s="6"/>
      <c r="J663" s="6"/>
    </row>
    <row r="664" spans="6:10" ht="20.1" customHeight="1">
      <c r="F664" s="6"/>
      <c r="G664" s="6"/>
      <c r="H664" s="6"/>
      <c r="I664" s="6"/>
      <c r="J664" s="6"/>
    </row>
    <row r="665" spans="6:10" ht="20.1" customHeight="1">
      <c r="F665" s="6"/>
      <c r="G665" s="6"/>
      <c r="H665" s="6"/>
      <c r="I665" s="6"/>
      <c r="J665" s="6"/>
    </row>
    <row r="666" spans="6:10" ht="20.1" customHeight="1">
      <c r="F666" s="6"/>
      <c r="G666" s="6"/>
      <c r="H666" s="6"/>
      <c r="I666" s="6"/>
      <c r="J666" s="6"/>
    </row>
    <row r="667" spans="6:10" ht="20.1" customHeight="1">
      <c r="F667" s="6"/>
      <c r="G667" s="6"/>
      <c r="H667" s="6"/>
      <c r="I667" s="6"/>
      <c r="J667" s="6"/>
    </row>
    <row r="668" spans="6:10" ht="20.1" customHeight="1">
      <c r="F668" s="6"/>
      <c r="G668" s="6"/>
      <c r="H668" s="6"/>
      <c r="I668" s="6"/>
      <c r="J668" s="6"/>
    </row>
    <row r="669" spans="6:10" ht="20.1" customHeight="1">
      <c r="F669" s="6"/>
      <c r="G669" s="6"/>
      <c r="H669" s="6"/>
      <c r="I669" s="6"/>
      <c r="J669" s="6"/>
    </row>
    <row r="670" spans="6:10" ht="20.1" customHeight="1">
      <c r="F670" s="6"/>
      <c r="G670" s="6"/>
      <c r="H670" s="6"/>
      <c r="I670" s="6"/>
      <c r="J670" s="6"/>
    </row>
    <row r="671" spans="6:10" ht="20.1" customHeight="1">
      <c r="F671" s="6"/>
      <c r="G671" s="6"/>
      <c r="H671" s="6"/>
      <c r="I671" s="6"/>
      <c r="J671" s="6"/>
    </row>
    <row r="672" spans="6:10" ht="20.1" customHeight="1">
      <c r="F672" s="6"/>
      <c r="G672" s="6"/>
      <c r="H672" s="6"/>
      <c r="I672" s="6"/>
      <c r="J672" s="6"/>
    </row>
    <row r="673" spans="6:10" ht="20.1" customHeight="1">
      <c r="F673" s="6"/>
      <c r="G673" s="6"/>
      <c r="H673" s="6"/>
      <c r="I673" s="6"/>
      <c r="J673" s="6"/>
    </row>
    <row r="674" spans="6:10" ht="20.1" customHeight="1">
      <c r="F674" s="6"/>
      <c r="G674" s="6"/>
      <c r="H674" s="6"/>
      <c r="I674" s="6"/>
      <c r="J674" s="6"/>
    </row>
    <row r="675" spans="6:10" ht="20.1" customHeight="1">
      <c r="F675" s="6"/>
      <c r="G675" s="6"/>
      <c r="H675" s="6"/>
      <c r="I675" s="6"/>
      <c r="J675" s="6"/>
    </row>
    <row r="676" spans="6:10" ht="20.1" customHeight="1">
      <c r="F676" s="6"/>
      <c r="G676" s="6"/>
      <c r="H676" s="6"/>
      <c r="I676" s="6"/>
      <c r="J676" s="6"/>
    </row>
    <row r="677" spans="6:10" ht="20.1" customHeight="1">
      <c r="F677" s="6"/>
      <c r="G677" s="6"/>
      <c r="H677" s="6"/>
      <c r="I677" s="6"/>
      <c r="J677" s="6"/>
    </row>
    <row r="678" spans="6:10" ht="20.1" customHeight="1">
      <c r="F678" s="6"/>
      <c r="G678" s="6"/>
      <c r="H678" s="6"/>
      <c r="I678" s="6"/>
      <c r="J678" s="6"/>
    </row>
    <row r="679" spans="6:10" ht="20.1" customHeight="1">
      <c r="F679" s="6"/>
      <c r="G679" s="6"/>
      <c r="H679" s="6"/>
      <c r="I679" s="6"/>
      <c r="J679" s="6"/>
    </row>
    <row r="680" spans="6:10" ht="20.1" customHeight="1">
      <c r="F680" s="6"/>
      <c r="G680" s="6"/>
      <c r="H680" s="6"/>
      <c r="I680" s="6"/>
      <c r="J680" s="6"/>
    </row>
    <row r="681" spans="6:10" ht="20.1" customHeight="1">
      <c r="F681" s="6"/>
      <c r="G681" s="6"/>
      <c r="H681" s="6"/>
      <c r="I681" s="6"/>
      <c r="J681" s="6"/>
    </row>
    <row r="682" spans="6:10" ht="20.1" customHeight="1">
      <c r="F682" s="6"/>
      <c r="G682" s="6"/>
      <c r="H682" s="6"/>
      <c r="I682" s="6"/>
      <c r="J682" s="6"/>
    </row>
    <row r="683" spans="6:10" ht="20.1" customHeight="1">
      <c r="F683" s="6"/>
      <c r="G683" s="6"/>
      <c r="H683" s="6"/>
      <c r="I683" s="6"/>
      <c r="J683" s="6"/>
    </row>
    <row r="684" spans="6:10" ht="20.1" customHeight="1">
      <c r="F684" s="6"/>
      <c r="G684" s="6"/>
      <c r="H684" s="6"/>
      <c r="I684" s="6"/>
      <c r="J684" s="6"/>
    </row>
    <row r="685" spans="6:10" ht="20.1" customHeight="1">
      <c r="F685" s="6"/>
      <c r="G685" s="6"/>
      <c r="H685" s="6"/>
      <c r="I685" s="6"/>
      <c r="J685" s="6"/>
    </row>
    <row r="686" spans="6:10" ht="20.1" customHeight="1">
      <c r="F686" s="6"/>
      <c r="G686" s="6"/>
      <c r="H686" s="6"/>
      <c r="I686" s="6"/>
      <c r="J686" s="6"/>
    </row>
    <row r="687" spans="6:10" ht="20.1" customHeight="1">
      <c r="F687" s="6"/>
      <c r="G687" s="6"/>
      <c r="H687" s="6"/>
      <c r="I687" s="6"/>
      <c r="J687" s="6"/>
    </row>
    <row r="688" spans="6:10" ht="20.1" customHeight="1">
      <c r="F688" s="6"/>
      <c r="G688" s="6"/>
      <c r="H688" s="6"/>
      <c r="I688" s="6"/>
      <c r="J688" s="6"/>
    </row>
    <row r="689" spans="6:10" ht="20.1" customHeight="1">
      <c r="F689" s="6"/>
      <c r="G689" s="6"/>
      <c r="H689" s="6"/>
      <c r="I689" s="6"/>
      <c r="J689" s="6"/>
    </row>
    <row r="690" spans="6:10" ht="20.1" customHeight="1">
      <c r="F690" s="6"/>
      <c r="G690" s="6"/>
      <c r="H690" s="6"/>
      <c r="I690" s="6"/>
      <c r="J690" s="6"/>
    </row>
    <row r="691" spans="6:10" ht="20.1" customHeight="1">
      <c r="F691" s="6"/>
      <c r="G691" s="6"/>
      <c r="H691" s="6"/>
      <c r="I691" s="6"/>
      <c r="J691" s="6"/>
    </row>
    <row r="692" spans="6:10" ht="20.1" customHeight="1">
      <c r="F692" s="6"/>
      <c r="G692" s="6"/>
      <c r="H692" s="6"/>
      <c r="I692" s="6"/>
      <c r="J692" s="6"/>
    </row>
    <row r="693" spans="6:10" ht="20.1" customHeight="1">
      <c r="F693" s="6"/>
      <c r="G693" s="6"/>
      <c r="H693" s="6"/>
      <c r="I693" s="6"/>
      <c r="J693" s="6"/>
    </row>
    <row r="694" spans="6:10" ht="20.1" customHeight="1">
      <c r="F694" s="6"/>
      <c r="G694" s="6"/>
      <c r="H694" s="6"/>
      <c r="I694" s="6"/>
      <c r="J694" s="6"/>
    </row>
    <row r="695" spans="6:10" ht="20.1" customHeight="1">
      <c r="F695" s="6"/>
      <c r="G695" s="6"/>
      <c r="H695" s="6"/>
      <c r="I695" s="6"/>
      <c r="J695" s="6"/>
    </row>
    <row r="696" spans="6:10" ht="20.1" customHeight="1">
      <c r="F696" s="6"/>
      <c r="G696" s="6"/>
      <c r="H696" s="6"/>
      <c r="I696" s="6"/>
      <c r="J696" s="6"/>
    </row>
    <row r="697" spans="6:10" ht="20.1" customHeight="1">
      <c r="F697" s="6"/>
      <c r="G697" s="6"/>
      <c r="H697" s="6"/>
      <c r="I697" s="6"/>
      <c r="J697" s="6"/>
    </row>
    <row r="698" spans="6:10" ht="20.1" customHeight="1">
      <c r="F698" s="6"/>
      <c r="G698" s="6"/>
      <c r="H698" s="6"/>
      <c r="I698" s="6"/>
      <c r="J698" s="6"/>
    </row>
    <row r="699" spans="6:10" ht="20.1" customHeight="1">
      <c r="F699" s="6"/>
      <c r="G699" s="6"/>
      <c r="H699" s="6"/>
      <c r="I699" s="6"/>
      <c r="J699" s="6"/>
    </row>
    <row r="700" spans="6:10" ht="20.1" customHeight="1">
      <c r="F700" s="6"/>
      <c r="G700" s="6"/>
      <c r="H700" s="6"/>
      <c r="I700" s="6"/>
      <c r="J700" s="6"/>
    </row>
    <row r="701" spans="6:10" ht="20.1" customHeight="1">
      <c r="F701" s="6"/>
      <c r="G701" s="6"/>
      <c r="H701" s="6"/>
      <c r="I701" s="6"/>
      <c r="J701" s="6"/>
    </row>
    <row r="702" spans="6:10" ht="20.1" customHeight="1">
      <c r="F702" s="6"/>
      <c r="G702" s="6"/>
      <c r="H702" s="6"/>
      <c r="I702" s="6"/>
      <c r="J702" s="6"/>
    </row>
    <row r="703" spans="6:10" ht="20.1" customHeight="1">
      <c r="F703" s="6"/>
      <c r="G703" s="6"/>
      <c r="H703" s="6"/>
      <c r="I703" s="6"/>
      <c r="J703" s="6"/>
    </row>
    <row r="704" spans="6:10" ht="20.1" customHeight="1">
      <c r="F704" s="6"/>
      <c r="G704" s="6"/>
      <c r="H704" s="6"/>
      <c r="I704" s="6"/>
      <c r="J704" s="6"/>
    </row>
    <row r="705" spans="6:10" ht="20.1" customHeight="1">
      <c r="F705" s="6"/>
      <c r="G705" s="6"/>
      <c r="H705" s="6"/>
      <c r="I705" s="6"/>
      <c r="J705" s="6"/>
    </row>
    <row r="706" spans="6:10" ht="20.1" customHeight="1">
      <c r="F706" s="6"/>
      <c r="G706" s="6"/>
      <c r="H706" s="6"/>
      <c r="I706" s="6"/>
      <c r="J706" s="6"/>
    </row>
    <row r="707" spans="6:10" ht="20.1" customHeight="1">
      <c r="F707" s="6"/>
      <c r="G707" s="6"/>
      <c r="H707" s="6"/>
      <c r="I707" s="6"/>
      <c r="J707" s="6"/>
    </row>
    <row r="708" spans="6:10" ht="20.1" customHeight="1">
      <c r="F708" s="6"/>
      <c r="G708" s="6"/>
      <c r="H708" s="6"/>
      <c r="I708" s="6"/>
      <c r="J708" s="6"/>
    </row>
    <row r="709" spans="6:10" ht="20.1" customHeight="1">
      <c r="F709" s="6"/>
      <c r="G709" s="6"/>
      <c r="H709" s="6"/>
      <c r="I709" s="6"/>
      <c r="J709" s="6"/>
    </row>
    <row r="710" spans="6:10" ht="20.1" customHeight="1">
      <c r="F710" s="6"/>
      <c r="G710" s="6"/>
      <c r="H710" s="6"/>
      <c r="I710" s="6"/>
      <c r="J710" s="6"/>
    </row>
    <row r="711" spans="6:10" ht="20.1" customHeight="1">
      <c r="F711" s="6"/>
      <c r="G711" s="6"/>
      <c r="H711" s="6"/>
      <c r="I711" s="6"/>
      <c r="J711" s="6"/>
    </row>
    <row r="712" spans="6:10" ht="20.1" customHeight="1">
      <c r="F712" s="6"/>
      <c r="G712" s="6"/>
      <c r="H712" s="6"/>
      <c r="I712" s="6"/>
      <c r="J712" s="6"/>
    </row>
    <row r="713" spans="6:10" ht="20.1" customHeight="1">
      <c r="F713" s="6"/>
      <c r="G713" s="6"/>
      <c r="H713" s="6"/>
      <c r="I713" s="6"/>
      <c r="J713" s="6"/>
    </row>
    <row r="714" spans="6:10" ht="20.1" customHeight="1">
      <c r="F714" s="6"/>
      <c r="G714" s="6"/>
      <c r="H714" s="6"/>
      <c r="I714" s="6"/>
      <c r="J714" s="6"/>
    </row>
    <row r="715" spans="6:10" ht="20.1" customHeight="1">
      <c r="F715" s="6"/>
      <c r="G715" s="6"/>
      <c r="H715" s="6"/>
      <c r="I715" s="6"/>
      <c r="J715" s="6"/>
    </row>
    <row r="716" spans="6:10" ht="20.1" customHeight="1">
      <c r="F716" s="6"/>
      <c r="G716" s="6"/>
      <c r="H716" s="6"/>
      <c r="I716" s="6"/>
      <c r="J716" s="6"/>
    </row>
    <row r="717" spans="6:10" ht="20.1" customHeight="1">
      <c r="F717" s="6"/>
      <c r="G717" s="6"/>
      <c r="H717" s="6"/>
      <c r="I717" s="6"/>
      <c r="J717" s="6"/>
    </row>
    <row r="718" spans="6:10" ht="20.1" customHeight="1">
      <c r="F718" s="6"/>
      <c r="G718" s="6"/>
      <c r="H718" s="6"/>
      <c r="I718" s="6"/>
      <c r="J718" s="6"/>
    </row>
    <row r="719" spans="6:10" ht="20.1" customHeight="1">
      <c r="F719" s="6"/>
      <c r="G719" s="6"/>
      <c r="H719" s="6"/>
      <c r="I719" s="6"/>
      <c r="J719" s="6"/>
    </row>
    <row r="720" spans="6:10" ht="20.1" customHeight="1">
      <c r="F720" s="6"/>
      <c r="G720" s="6"/>
      <c r="H720" s="6"/>
      <c r="I720" s="6"/>
      <c r="J720" s="6"/>
    </row>
    <row r="721" spans="6:10" ht="20.1" customHeight="1">
      <c r="F721" s="6"/>
      <c r="G721" s="6"/>
      <c r="H721" s="6"/>
      <c r="I721" s="6"/>
      <c r="J721" s="6"/>
    </row>
    <row r="722" spans="6:10" ht="20.1" customHeight="1">
      <c r="F722" s="6"/>
      <c r="G722" s="6"/>
      <c r="H722" s="6"/>
      <c r="I722" s="6"/>
      <c r="J722" s="6"/>
    </row>
    <row r="723" spans="6:10" ht="20.1" customHeight="1">
      <c r="F723" s="6"/>
      <c r="G723" s="6"/>
      <c r="H723" s="6"/>
      <c r="I723" s="6"/>
      <c r="J723" s="6"/>
    </row>
    <row r="724" spans="6:10" ht="20.1" customHeight="1">
      <c r="F724" s="6"/>
      <c r="G724" s="6"/>
      <c r="H724" s="6"/>
      <c r="I724" s="6"/>
      <c r="J724" s="6"/>
    </row>
    <row r="725" spans="6:10" ht="20.1" customHeight="1">
      <c r="F725" s="6"/>
      <c r="G725" s="6"/>
      <c r="H725" s="6"/>
      <c r="I725" s="6"/>
      <c r="J725" s="6"/>
    </row>
    <row r="726" spans="6:10" ht="20.1" customHeight="1">
      <c r="F726" s="6"/>
      <c r="G726" s="6"/>
      <c r="H726" s="6"/>
      <c r="I726" s="6"/>
      <c r="J726" s="6"/>
    </row>
    <row r="727" spans="6:10" ht="20.1" customHeight="1">
      <c r="F727" s="6"/>
      <c r="G727" s="6"/>
      <c r="H727" s="6"/>
      <c r="I727" s="6"/>
      <c r="J727" s="6"/>
    </row>
    <row r="728" spans="6:10" ht="20.1" customHeight="1">
      <c r="F728" s="6"/>
      <c r="G728" s="6"/>
      <c r="H728" s="6"/>
      <c r="I728" s="6"/>
      <c r="J728" s="6"/>
    </row>
    <row r="729" spans="6:10" ht="20.1" customHeight="1">
      <c r="F729" s="6"/>
      <c r="G729" s="6"/>
      <c r="H729" s="6"/>
      <c r="I729" s="6"/>
      <c r="J729" s="6"/>
    </row>
    <row r="730" spans="6:10" ht="20.1" customHeight="1">
      <c r="F730" s="6"/>
      <c r="G730" s="6"/>
      <c r="H730" s="6"/>
      <c r="I730" s="6"/>
      <c r="J730" s="6"/>
    </row>
    <row r="731" spans="6:10" ht="20.1" customHeight="1">
      <c r="F731" s="6"/>
      <c r="G731" s="6"/>
      <c r="H731" s="6"/>
      <c r="I731" s="6"/>
      <c r="J731" s="6"/>
    </row>
    <row r="732" spans="6:10" ht="20.1" customHeight="1">
      <c r="F732" s="6"/>
      <c r="G732" s="6"/>
      <c r="H732" s="6"/>
      <c r="I732" s="6"/>
      <c r="J732" s="6"/>
    </row>
    <row r="733" spans="6:10" ht="20.1" customHeight="1">
      <c r="F733" s="6"/>
      <c r="G733" s="6"/>
      <c r="H733" s="6"/>
      <c r="I733" s="6"/>
      <c r="J733" s="6"/>
    </row>
    <row r="734" spans="6:10" ht="20.1" customHeight="1">
      <c r="F734" s="6"/>
      <c r="G734" s="6"/>
      <c r="H734" s="6"/>
      <c r="I734" s="6"/>
      <c r="J734" s="6"/>
    </row>
    <row r="735" spans="6:10" ht="20.1" customHeight="1">
      <c r="F735" s="6"/>
      <c r="G735" s="6"/>
      <c r="H735" s="6"/>
      <c r="I735" s="6"/>
      <c r="J735" s="6"/>
    </row>
    <row r="736" spans="6:10" ht="20.1" customHeight="1">
      <c r="F736" s="6"/>
      <c r="G736" s="6"/>
      <c r="H736" s="6"/>
      <c r="I736" s="6"/>
      <c r="J736" s="6"/>
    </row>
    <row r="737" spans="6:10" ht="20.1" customHeight="1">
      <c r="F737" s="6"/>
      <c r="G737" s="6"/>
      <c r="H737" s="6"/>
      <c r="I737" s="6"/>
      <c r="J737" s="6"/>
    </row>
    <row r="738" spans="6:10" ht="20.1" customHeight="1">
      <c r="F738" s="6"/>
      <c r="G738" s="6"/>
      <c r="H738" s="6"/>
      <c r="I738" s="6"/>
      <c r="J738" s="6"/>
    </row>
    <row r="739" spans="6:10" ht="20.1" customHeight="1">
      <c r="F739" s="6"/>
      <c r="G739" s="6"/>
      <c r="H739" s="6"/>
      <c r="I739" s="6"/>
      <c r="J739" s="6"/>
    </row>
    <row r="740" spans="6:10" ht="20.1" customHeight="1">
      <c r="F740" s="6"/>
      <c r="G740" s="6"/>
      <c r="H740" s="6"/>
      <c r="I740" s="6"/>
      <c r="J740" s="6"/>
    </row>
    <row r="741" spans="6:10" ht="20.1" customHeight="1">
      <c r="F741" s="6"/>
      <c r="G741" s="6"/>
      <c r="H741" s="6"/>
      <c r="I741" s="6"/>
      <c r="J741" s="6"/>
    </row>
    <row r="742" spans="6:10" ht="20.1" customHeight="1">
      <c r="F742" s="6"/>
      <c r="G742" s="6"/>
      <c r="H742" s="6"/>
      <c r="I742" s="6"/>
      <c r="J742" s="6"/>
    </row>
    <row r="743" spans="6:10" ht="20.1" customHeight="1">
      <c r="F743" s="6"/>
      <c r="G743" s="6"/>
      <c r="H743" s="6"/>
      <c r="I743" s="6"/>
      <c r="J743" s="6"/>
    </row>
    <row r="744" spans="6:10" ht="20.1" customHeight="1">
      <c r="F744" s="6"/>
      <c r="G744" s="6"/>
      <c r="H744" s="6"/>
      <c r="I744" s="6"/>
      <c r="J744" s="6"/>
    </row>
    <row r="745" spans="6:10" ht="20.1" customHeight="1">
      <c r="F745" s="6"/>
      <c r="G745" s="6"/>
      <c r="H745" s="6"/>
      <c r="I745" s="6"/>
      <c r="J745" s="6"/>
    </row>
    <row r="746" spans="6:10" ht="20.1" customHeight="1">
      <c r="F746" s="6"/>
      <c r="G746" s="6"/>
      <c r="H746" s="6"/>
      <c r="I746" s="6"/>
      <c r="J746" s="6"/>
    </row>
    <row r="747" spans="6:10" ht="20.1" customHeight="1">
      <c r="F747" s="6"/>
      <c r="G747" s="6"/>
      <c r="H747" s="6"/>
      <c r="I747" s="6"/>
      <c r="J747" s="6"/>
    </row>
    <row r="748" spans="6:10" ht="20.1" customHeight="1">
      <c r="F748" s="6"/>
      <c r="G748" s="6"/>
      <c r="H748" s="6"/>
      <c r="I748" s="6"/>
      <c r="J748" s="6"/>
    </row>
    <row r="749" spans="6:10" ht="20.1" customHeight="1">
      <c r="F749" s="6"/>
      <c r="G749" s="6"/>
      <c r="H749" s="6"/>
      <c r="I749" s="6"/>
      <c r="J749" s="6"/>
    </row>
    <row r="750" spans="6:10" ht="20.1" customHeight="1">
      <c r="F750" s="6"/>
      <c r="G750" s="6"/>
      <c r="H750" s="6"/>
      <c r="I750" s="6"/>
      <c r="J750" s="6"/>
    </row>
    <row r="751" spans="6:10" ht="20.1" customHeight="1">
      <c r="F751" s="6"/>
      <c r="G751" s="6"/>
      <c r="H751" s="6"/>
      <c r="I751" s="6"/>
      <c r="J751" s="6"/>
    </row>
    <row r="752" spans="6:10" ht="20.1" customHeight="1">
      <c r="F752" s="6"/>
      <c r="G752" s="6"/>
      <c r="H752" s="6"/>
      <c r="I752" s="6"/>
      <c r="J752" s="6"/>
    </row>
    <row r="753" spans="6:10" ht="20.1" customHeight="1">
      <c r="F753" s="6"/>
      <c r="G753" s="6"/>
      <c r="H753" s="6"/>
      <c r="I753" s="6"/>
      <c r="J753" s="6"/>
    </row>
    <row r="754" spans="6:10" ht="20.1" customHeight="1">
      <c r="F754" s="6"/>
      <c r="G754" s="6"/>
      <c r="H754" s="6"/>
      <c r="I754" s="6"/>
      <c r="J754" s="6"/>
    </row>
    <row r="755" spans="6:10" ht="20.1" customHeight="1">
      <c r="F755" s="6"/>
      <c r="G755" s="6"/>
      <c r="H755" s="6"/>
      <c r="I755" s="6"/>
      <c r="J755" s="6"/>
    </row>
    <row r="756" spans="6:10" ht="20.1" customHeight="1">
      <c r="F756" s="6"/>
      <c r="G756" s="6"/>
      <c r="H756" s="6"/>
      <c r="I756" s="6"/>
      <c r="J756" s="6"/>
    </row>
    <row r="757" spans="6:10" ht="20.1" customHeight="1">
      <c r="F757" s="6"/>
      <c r="G757" s="6"/>
      <c r="H757" s="6"/>
      <c r="I757" s="6"/>
      <c r="J757" s="6"/>
    </row>
    <row r="758" spans="6:10" ht="20.1" customHeight="1">
      <c r="F758" s="6"/>
      <c r="G758" s="6"/>
      <c r="H758" s="6"/>
      <c r="I758" s="6"/>
      <c r="J758" s="6"/>
    </row>
    <row r="759" spans="6:10" ht="20.1" customHeight="1">
      <c r="F759" s="6"/>
      <c r="G759" s="6"/>
      <c r="H759" s="6"/>
      <c r="I759" s="6"/>
      <c r="J759" s="6"/>
    </row>
    <row r="760" spans="6:10" ht="20.1" customHeight="1">
      <c r="F760" s="6"/>
      <c r="G760" s="6"/>
      <c r="H760" s="6"/>
      <c r="I760" s="6"/>
      <c r="J760" s="6"/>
    </row>
    <row r="761" spans="6:10" ht="20.1" customHeight="1">
      <c r="F761" s="6"/>
      <c r="G761" s="6"/>
      <c r="H761" s="6"/>
      <c r="I761" s="6"/>
      <c r="J761" s="6"/>
    </row>
    <row r="762" spans="6:10" ht="20.1" customHeight="1">
      <c r="F762" s="6"/>
      <c r="G762" s="6"/>
      <c r="H762" s="6"/>
      <c r="I762" s="6"/>
      <c r="J762" s="6"/>
    </row>
    <row r="763" spans="6:10" ht="20.1" customHeight="1">
      <c r="F763" s="6"/>
      <c r="G763" s="6"/>
      <c r="H763" s="6"/>
      <c r="I763" s="6"/>
      <c r="J763" s="6"/>
    </row>
    <row r="764" spans="6:10" ht="20.1" customHeight="1">
      <c r="F764" s="6"/>
      <c r="G764" s="6"/>
      <c r="H764" s="6"/>
      <c r="I764" s="6"/>
      <c r="J764" s="6"/>
    </row>
    <row r="765" spans="6:10" ht="20.1" customHeight="1">
      <c r="F765" s="6"/>
      <c r="G765" s="6"/>
      <c r="H765" s="6"/>
      <c r="I765" s="6"/>
      <c r="J765" s="6"/>
    </row>
    <row r="766" spans="6:10" ht="20.1" customHeight="1">
      <c r="F766" s="6"/>
      <c r="G766" s="6"/>
      <c r="H766" s="6"/>
      <c r="I766" s="6"/>
      <c r="J766" s="6"/>
    </row>
    <row r="767" spans="6:10" ht="20.1" customHeight="1">
      <c r="F767" s="6"/>
      <c r="G767" s="6"/>
      <c r="H767" s="6"/>
      <c r="I767" s="6"/>
      <c r="J767" s="6"/>
    </row>
    <row r="768" spans="6:10" ht="20.1" customHeight="1">
      <c r="F768" s="6"/>
      <c r="G768" s="6"/>
      <c r="H768" s="6"/>
      <c r="I768" s="6"/>
      <c r="J768" s="6"/>
    </row>
    <row r="769" spans="6:10" ht="20.1" customHeight="1">
      <c r="F769" s="6"/>
      <c r="G769" s="6"/>
      <c r="H769" s="6"/>
      <c r="I769" s="6"/>
      <c r="J769" s="6"/>
    </row>
    <row r="770" spans="6:10" ht="20.1" customHeight="1">
      <c r="F770" s="6"/>
      <c r="G770" s="6"/>
      <c r="H770" s="6"/>
      <c r="I770" s="6"/>
      <c r="J770" s="6"/>
    </row>
    <row r="771" spans="6:10" ht="20.1" customHeight="1">
      <c r="F771" s="6"/>
      <c r="G771" s="6"/>
      <c r="H771" s="6"/>
      <c r="I771" s="6"/>
      <c r="J771" s="6"/>
    </row>
    <row r="772" spans="6:10" ht="20.1" customHeight="1">
      <c r="F772" s="6"/>
      <c r="G772" s="6"/>
      <c r="H772" s="6"/>
      <c r="I772" s="6"/>
      <c r="J772" s="6"/>
    </row>
    <row r="773" spans="6:10" ht="20.1" customHeight="1">
      <c r="F773" s="6"/>
      <c r="G773" s="6"/>
      <c r="H773" s="6"/>
      <c r="I773" s="6"/>
      <c r="J773" s="6"/>
    </row>
    <row r="774" spans="6:10" ht="20.1" customHeight="1">
      <c r="F774" s="6"/>
      <c r="G774" s="6"/>
      <c r="H774" s="6"/>
      <c r="I774" s="6"/>
      <c r="J774" s="6"/>
    </row>
    <row r="775" spans="6:10" ht="20.1" customHeight="1">
      <c r="F775" s="6"/>
      <c r="G775" s="6"/>
      <c r="H775" s="6"/>
      <c r="I775" s="6"/>
      <c r="J775" s="6"/>
    </row>
    <row r="776" spans="6:10" ht="20.1" customHeight="1">
      <c r="F776" s="6"/>
      <c r="G776" s="6"/>
      <c r="H776" s="6"/>
      <c r="I776" s="6"/>
      <c r="J776" s="6"/>
    </row>
    <row r="777" spans="6:10" ht="20.1" customHeight="1">
      <c r="F777" s="6"/>
      <c r="G777" s="6"/>
      <c r="H777" s="6"/>
      <c r="I777" s="6"/>
      <c r="J777" s="6"/>
    </row>
    <row r="778" spans="6:10" ht="20.1" customHeight="1">
      <c r="F778" s="6"/>
      <c r="G778" s="6"/>
      <c r="H778" s="6"/>
      <c r="I778" s="6"/>
      <c r="J778" s="6"/>
    </row>
    <row r="779" spans="6:10" ht="20.1" customHeight="1">
      <c r="F779" s="6"/>
      <c r="G779" s="6"/>
      <c r="H779" s="6"/>
      <c r="I779" s="6"/>
      <c r="J779" s="6"/>
    </row>
    <row r="780" spans="6:10" ht="20.1" customHeight="1">
      <c r="F780" s="6"/>
      <c r="G780" s="6"/>
      <c r="H780" s="6"/>
      <c r="I780" s="6"/>
      <c r="J780" s="6"/>
    </row>
    <row r="781" spans="6:10" ht="20.1" customHeight="1">
      <c r="F781" s="6"/>
      <c r="G781" s="6"/>
      <c r="H781" s="6"/>
      <c r="I781" s="6"/>
      <c r="J781" s="6"/>
    </row>
    <row r="782" spans="6:10" ht="20.1" customHeight="1">
      <c r="F782" s="6"/>
      <c r="G782" s="6"/>
      <c r="H782" s="6"/>
      <c r="I782" s="6"/>
      <c r="J782" s="6"/>
    </row>
    <row r="783" spans="6:10" ht="20.1" customHeight="1">
      <c r="F783" s="6"/>
      <c r="G783" s="6"/>
      <c r="H783" s="6"/>
      <c r="I783" s="6"/>
      <c r="J783" s="6"/>
    </row>
    <row r="784" spans="6:10" ht="20.1" customHeight="1">
      <c r="F784" s="6"/>
      <c r="G784" s="6"/>
      <c r="H784" s="6"/>
      <c r="I784" s="6"/>
      <c r="J784" s="6"/>
    </row>
    <row r="785" spans="6:10" ht="20.1" customHeight="1">
      <c r="F785" s="6"/>
      <c r="G785" s="6"/>
      <c r="H785" s="6"/>
      <c r="I785" s="6"/>
      <c r="J785" s="6"/>
    </row>
    <row r="786" spans="6:10" ht="20.1" customHeight="1">
      <c r="F786" s="6"/>
      <c r="G786" s="6"/>
      <c r="H786" s="6"/>
      <c r="I786" s="6"/>
      <c r="J786" s="6"/>
    </row>
    <row r="787" spans="6:10" ht="20.1" customHeight="1">
      <c r="F787" s="6"/>
      <c r="G787" s="6"/>
      <c r="H787" s="6"/>
      <c r="I787" s="6"/>
      <c r="J787" s="6"/>
    </row>
    <row r="788" spans="6:10" ht="20.1" customHeight="1">
      <c r="F788" s="6"/>
      <c r="G788" s="6"/>
      <c r="H788" s="6"/>
      <c r="I788" s="6"/>
      <c r="J788" s="6"/>
    </row>
    <row r="789" spans="6:10" ht="20.1" customHeight="1">
      <c r="F789" s="6"/>
      <c r="G789" s="6"/>
      <c r="H789" s="6"/>
      <c r="I789" s="6"/>
      <c r="J789" s="6"/>
    </row>
    <row r="790" spans="6:10" ht="20.1" customHeight="1">
      <c r="F790" s="6"/>
      <c r="G790" s="6"/>
      <c r="H790" s="6"/>
      <c r="I790" s="6"/>
      <c r="J790" s="6"/>
    </row>
    <row r="791" spans="6:10" ht="20.1" customHeight="1">
      <c r="F791" s="6"/>
      <c r="G791" s="6"/>
      <c r="H791" s="6"/>
      <c r="I791" s="6"/>
      <c r="J791" s="6"/>
    </row>
    <row r="792" spans="6:10" ht="20.1" customHeight="1">
      <c r="F792" s="6"/>
      <c r="G792" s="6"/>
      <c r="H792" s="6"/>
      <c r="I792" s="6"/>
      <c r="J792" s="6"/>
    </row>
    <row r="793" spans="6:10" ht="20.1" customHeight="1">
      <c r="F793" s="6"/>
      <c r="G793" s="6"/>
      <c r="H793" s="6"/>
      <c r="I793" s="6"/>
      <c r="J793" s="6"/>
    </row>
    <row r="794" spans="6:10" ht="20.1" customHeight="1">
      <c r="F794" s="6"/>
      <c r="G794" s="6"/>
      <c r="H794" s="6"/>
      <c r="I794" s="6"/>
      <c r="J794" s="6"/>
    </row>
    <row r="795" spans="6:10" ht="20.1" customHeight="1">
      <c r="F795" s="6"/>
      <c r="G795" s="6"/>
      <c r="H795" s="6"/>
      <c r="I795" s="6"/>
      <c r="J795" s="6"/>
    </row>
    <row r="796" spans="6:10" ht="20.1" customHeight="1">
      <c r="F796" s="6"/>
      <c r="G796" s="6"/>
      <c r="H796" s="6"/>
      <c r="I796" s="6"/>
      <c r="J796" s="6"/>
    </row>
    <row r="797" spans="6:10" ht="20.1" customHeight="1">
      <c r="F797" s="6"/>
      <c r="G797" s="6"/>
      <c r="H797" s="6"/>
      <c r="I797" s="6"/>
      <c r="J797" s="6"/>
    </row>
    <row r="798" spans="6:10" ht="20.1" customHeight="1">
      <c r="F798" s="6"/>
      <c r="G798" s="6"/>
      <c r="H798" s="6"/>
      <c r="I798" s="6"/>
      <c r="J798" s="6"/>
    </row>
    <row r="799" spans="6:10" ht="20.1" customHeight="1">
      <c r="F799" s="6"/>
      <c r="G799" s="6"/>
      <c r="H799" s="6"/>
      <c r="I799" s="6"/>
      <c r="J799" s="6"/>
    </row>
    <row r="800" spans="6:10" ht="20.1" customHeight="1">
      <c r="F800" s="6"/>
      <c r="G800" s="6"/>
      <c r="H800" s="6"/>
      <c r="I800" s="6"/>
      <c r="J800" s="6"/>
    </row>
    <row r="801" spans="6:10" ht="20.1" customHeight="1">
      <c r="F801" s="6"/>
      <c r="G801" s="6"/>
      <c r="H801" s="6"/>
      <c r="I801" s="6"/>
      <c r="J801" s="6"/>
    </row>
    <row r="802" spans="6:10" ht="20.1" customHeight="1">
      <c r="F802" s="6"/>
      <c r="G802" s="6"/>
      <c r="H802" s="6"/>
      <c r="I802" s="6"/>
      <c r="J802" s="6"/>
    </row>
    <row r="803" spans="6:10" ht="20.1" customHeight="1">
      <c r="F803" s="6"/>
      <c r="G803" s="6"/>
      <c r="H803" s="6"/>
      <c r="I803" s="6"/>
      <c r="J803" s="6"/>
    </row>
    <row r="804" spans="6:10" ht="20.1" customHeight="1">
      <c r="F804" s="6"/>
      <c r="G804" s="6"/>
      <c r="H804" s="6"/>
      <c r="I804" s="6"/>
      <c r="J804" s="6"/>
    </row>
    <row r="805" spans="6:10" ht="20.1" customHeight="1">
      <c r="F805" s="6"/>
      <c r="G805" s="6"/>
      <c r="H805" s="6"/>
      <c r="I805" s="6"/>
      <c r="J805" s="6"/>
    </row>
    <row r="806" spans="6:10" ht="20.1" customHeight="1">
      <c r="F806" s="6"/>
      <c r="G806" s="6"/>
      <c r="H806" s="6"/>
      <c r="I806" s="6"/>
      <c r="J806" s="6"/>
    </row>
    <row r="807" spans="6:10" ht="20.1" customHeight="1">
      <c r="F807" s="6"/>
      <c r="G807" s="6"/>
      <c r="H807" s="6"/>
      <c r="I807" s="6"/>
      <c r="J807" s="6"/>
    </row>
    <row r="808" spans="6:10" ht="20.1" customHeight="1">
      <c r="F808" s="6"/>
      <c r="G808" s="6"/>
      <c r="H808" s="6"/>
      <c r="I808" s="6"/>
      <c r="J808" s="6"/>
    </row>
    <row r="809" spans="6:10" ht="20.1" customHeight="1">
      <c r="F809" s="6"/>
      <c r="G809" s="6"/>
      <c r="H809" s="6"/>
      <c r="I809" s="6"/>
      <c r="J809" s="6"/>
    </row>
    <row r="810" spans="6:10" ht="20.1" customHeight="1">
      <c r="F810" s="6"/>
      <c r="G810" s="6"/>
      <c r="H810" s="6"/>
      <c r="I810" s="6"/>
      <c r="J810" s="6"/>
    </row>
    <row r="811" spans="6:10" ht="20.1" customHeight="1">
      <c r="F811" s="6"/>
      <c r="G811" s="6"/>
      <c r="H811" s="6"/>
      <c r="I811" s="6"/>
      <c r="J811" s="6"/>
    </row>
    <row r="812" spans="6:10" ht="20.1" customHeight="1">
      <c r="F812" s="6"/>
      <c r="G812" s="6"/>
      <c r="H812" s="6"/>
      <c r="I812" s="6"/>
      <c r="J812" s="6"/>
    </row>
    <row r="813" spans="6:10" ht="20.1" customHeight="1">
      <c r="F813" s="6"/>
      <c r="G813" s="6"/>
      <c r="H813" s="6"/>
      <c r="I813" s="6"/>
      <c r="J813" s="6"/>
    </row>
    <row r="814" spans="6:10" ht="20.1" customHeight="1">
      <c r="F814" s="6"/>
      <c r="G814" s="6"/>
      <c r="H814" s="6"/>
      <c r="I814" s="6"/>
      <c r="J814" s="6"/>
    </row>
    <row r="815" spans="6:10" ht="20.1" customHeight="1">
      <c r="F815" s="6"/>
      <c r="G815" s="6"/>
      <c r="H815" s="6"/>
      <c r="I815" s="6"/>
      <c r="J815" s="6"/>
    </row>
    <row r="816" spans="6:10" ht="20.1" customHeight="1">
      <c r="F816" s="6"/>
      <c r="G816" s="6"/>
      <c r="H816" s="6"/>
      <c r="I816" s="6"/>
      <c r="J816" s="6"/>
    </row>
    <row r="817" spans="6:10" ht="20.1" customHeight="1">
      <c r="F817" s="6"/>
      <c r="G817" s="6"/>
      <c r="H817" s="6"/>
      <c r="I817" s="6"/>
      <c r="J817" s="6"/>
    </row>
    <row r="818" spans="6:10" ht="20.1" customHeight="1">
      <c r="F818" s="6"/>
      <c r="G818" s="6"/>
      <c r="H818" s="6"/>
      <c r="I818" s="6"/>
      <c r="J818" s="6"/>
    </row>
    <row r="819" spans="6:10" ht="20.1" customHeight="1">
      <c r="F819" s="6"/>
      <c r="G819" s="6"/>
      <c r="H819" s="6"/>
      <c r="I819" s="6"/>
      <c r="J819" s="6"/>
    </row>
    <row r="820" spans="6:10" ht="20.1" customHeight="1">
      <c r="F820" s="6"/>
      <c r="G820" s="6"/>
      <c r="H820" s="6"/>
      <c r="I820" s="6"/>
      <c r="J820" s="6"/>
    </row>
    <row r="821" spans="6:10" ht="20.1" customHeight="1">
      <c r="F821" s="6"/>
      <c r="G821" s="6"/>
      <c r="H821" s="6"/>
      <c r="I821" s="6"/>
      <c r="J821" s="6"/>
    </row>
    <row r="822" spans="6:10" ht="20.1" customHeight="1">
      <c r="F822" s="6"/>
      <c r="G822" s="6"/>
      <c r="H822" s="6"/>
      <c r="I822" s="6"/>
      <c r="J822" s="6"/>
    </row>
    <row r="823" spans="6:10" ht="20.1" customHeight="1">
      <c r="F823" s="6"/>
      <c r="G823" s="6"/>
      <c r="H823" s="6"/>
      <c r="I823" s="6"/>
      <c r="J823" s="6"/>
    </row>
    <row r="824" spans="6:10" ht="20.1" customHeight="1">
      <c r="F824" s="6"/>
      <c r="G824" s="6"/>
      <c r="H824" s="6"/>
      <c r="I824" s="6"/>
      <c r="J824" s="6"/>
    </row>
    <row r="825" spans="6:10" ht="20.1" customHeight="1">
      <c r="F825" s="6"/>
      <c r="G825" s="6"/>
      <c r="H825" s="6"/>
      <c r="I825" s="6"/>
      <c r="J825" s="6"/>
    </row>
    <row r="826" spans="6:10" ht="20.1" customHeight="1">
      <c r="F826" s="6"/>
      <c r="G826" s="6"/>
      <c r="H826" s="6"/>
      <c r="I826" s="6"/>
      <c r="J826" s="6"/>
    </row>
    <row r="827" spans="6:10" ht="20.1" customHeight="1">
      <c r="F827" s="6"/>
      <c r="G827" s="6"/>
      <c r="H827" s="6"/>
      <c r="I827" s="6"/>
      <c r="J827" s="6"/>
    </row>
    <row r="828" spans="6:10" ht="20.1" customHeight="1">
      <c r="F828" s="6"/>
      <c r="G828" s="6"/>
      <c r="H828" s="6"/>
      <c r="I828" s="6"/>
      <c r="J828" s="6"/>
    </row>
    <row r="829" spans="6:10" ht="20.1" customHeight="1">
      <c r="F829" s="6"/>
      <c r="G829" s="6"/>
      <c r="H829" s="6"/>
      <c r="I829" s="6"/>
      <c r="J829" s="6"/>
    </row>
    <row r="830" spans="6:10" ht="20.1" customHeight="1">
      <c r="F830" s="6"/>
      <c r="G830" s="6"/>
      <c r="H830" s="6"/>
      <c r="I830" s="6"/>
      <c r="J830" s="6"/>
    </row>
    <row r="831" spans="6:10" ht="20.1" customHeight="1">
      <c r="F831" s="6"/>
      <c r="G831" s="6"/>
      <c r="H831" s="6"/>
      <c r="I831" s="6"/>
      <c r="J831" s="6"/>
    </row>
    <row r="832" spans="6:10" ht="20.1" customHeight="1">
      <c r="F832" s="6"/>
      <c r="G832" s="6"/>
      <c r="H832" s="6"/>
      <c r="I832" s="6"/>
      <c r="J832" s="6"/>
    </row>
    <row r="833" spans="6:10" ht="20.1" customHeight="1">
      <c r="F833" s="6"/>
      <c r="G833" s="6"/>
      <c r="H833" s="6"/>
      <c r="I833" s="6"/>
      <c r="J833" s="6"/>
    </row>
    <row r="834" spans="6:10" ht="20.1" customHeight="1">
      <c r="F834" s="6"/>
      <c r="G834" s="6"/>
      <c r="H834" s="6"/>
      <c r="I834" s="6"/>
      <c r="J834" s="6"/>
    </row>
    <row r="835" spans="6:10" ht="20.1" customHeight="1">
      <c r="F835" s="6"/>
      <c r="G835" s="6"/>
      <c r="H835" s="6"/>
      <c r="I835" s="6"/>
      <c r="J835" s="6"/>
    </row>
    <row r="836" spans="6:10" ht="20.1" customHeight="1">
      <c r="F836" s="6"/>
      <c r="G836" s="6"/>
      <c r="H836" s="6"/>
      <c r="I836" s="6"/>
      <c r="J836" s="6"/>
    </row>
    <row r="837" spans="6:10" ht="20.1" customHeight="1">
      <c r="F837" s="6"/>
      <c r="G837" s="6"/>
      <c r="H837" s="6"/>
      <c r="I837" s="6"/>
      <c r="J837" s="6"/>
    </row>
    <row r="838" spans="6:10" ht="20.1" customHeight="1">
      <c r="F838" s="6"/>
      <c r="G838" s="6"/>
      <c r="H838" s="6"/>
      <c r="I838" s="6"/>
      <c r="J838" s="6"/>
    </row>
    <row r="839" spans="6:10" ht="20.1" customHeight="1">
      <c r="F839" s="6"/>
      <c r="G839" s="6"/>
      <c r="H839" s="6"/>
      <c r="I839" s="6"/>
      <c r="J839" s="6"/>
    </row>
    <row r="840" spans="6:10" ht="20.1" customHeight="1">
      <c r="F840" s="6"/>
      <c r="G840" s="6"/>
      <c r="H840" s="6"/>
      <c r="I840" s="6"/>
      <c r="J840" s="6"/>
    </row>
    <row r="841" spans="6:10" ht="20.1" customHeight="1">
      <c r="F841" s="6"/>
      <c r="G841" s="6"/>
      <c r="H841" s="6"/>
      <c r="I841" s="6"/>
      <c r="J841" s="6"/>
    </row>
    <row r="842" spans="6:10" ht="20.1" customHeight="1">
      <c r="F842" s="6"/>
      <c r="G842" s="6"/>
      <c r="H842" s="6"/>
      <c r="I842" s="6"/>
      <c r="J842" s="6"/>
    </row>
    <row r="843" spans="6:10" ht="20.1" customHeight="1">
      <c r="F843" s="6"/>
      <c r="G843" s="6"/>
      <c r="H843" s="6"/>
      <c r="I843" s="6"/>
      <c r="J843" s="6"/>
    </row>
    <row r="844" spans="6:10" ht="20.1" customHeight="1">
      <c r="F844" s="6"/>
      <c r="G844" s="6"/>
      <c r="H844" s="6"/>
      <c r="I844" s="6"/>
      <c r="J844" s="6"/>
    </row>
    <row r="845" spans="6:10" ht="20.1" customHeight="1">
      <c r="F845" s="6"/>
      <c r="G845" s="6"/>
      <c r="H845" s="6"/>
      <c r="I845" s="6"/>
      <c r="J845" s="6"/>
    </row>
    <row r="846" spans="6:10" ht="20.1" customHeight="1">
      <c r="F846" s="6"/>
      <c r="G846" s="6"/>
      <c r="H846" s="6"/>
      <c r="I846" s="6"/>
      <c r="J846" s="6"/>
    </row>
    <row r="847" spans="6:10" ht="20.1" customHeight="1">
      <c r="F847" s="6"/>
      <c r="G847" s="6"/>
      <c r="H847" s="6"/>
      <c r="I847" s="6"/>
      <c r="J847" s="6"/>
    </row>
    <row r="848" spans="6:10" ht="20.1" customHeight="1">
      <c r="F848" s="6"/>
      <c r="G848" s="6"/>
      <c r="H848" s="6"/>
      <c r="I848" s="6"/>
      <c r="J848" s="6"/>
    </row>
    <row r="849" spans="6:10" ht="20.1" customHeight="1">
      <c r="F849" s="6"/>
      <c r="G849" s="6"/>
      <c r="H849" s="6"/>
      <c r="I849" s="6"/>
      <c r="J849" s="6"/>
    </row>
    <row r="850" spans="6:10" ht="20.1" customHeight="1">
      <c r="F850" s="6"/>
      <c r="G850" s="6"/>
      <c r="H850" s="6"/>
      <c r="I850" s="6"/>
      <c r="J850" s="6"/>
    </row>
    <row r="851" spans="6:10" ht="20.1" customHeight="1">
      <c r="F851" s="6"/>
      <c r="G851" s="6"/>
      <c r="H851" s="6"/>
      <c r="I851" s="6"/>
      <c r="J851" s="6"/>
    </row>
    <row r="852" spans="6:10" ht="20.1" customHeight="1">
      <c r="F852" s="6"/>
      <c r="G852" s="6"/>
      <c r="H852" s="6"/>
      <c r="I852" s="6"/>
      <c r="J852" s="6"/>
    </row>
    <row r="853" spans="6:10" ht="20.1" customHeight="1">
      <c r="F853" s="6"/>
      <c r="G853" s="6"/>
      <c r="H853" s="6"/>
      <c r="I853" s="6"/>
      <c r="J853" s="6"/>
    </row>
    <row r="854" spans="6:10" ht="20.1" customHeight="1">
      <c r="F854" s="6"/>
      <c r="G854" s="6"/>
      <c r="H854" s="6"/>
      <c r="I854" s="6"/>
      <c r="J854" s="6"/>
    </row>
    <row r="855" spans="6:10" ht="20.1" customHeight="1">
      <c r="F855" s="6"/>
      <c r="G855" s="6"/>
      <c r="H855" s="6"/>
      <c r="I855" s="6"/>
      <c r="J855" s="6"/>
    </row>
    <row r="856" spans="6:10" ht="20.1" customHeight="1">
      <c r="F856" s="6"/>
      <c r="G856" s="6"/>
      <c r="H856" s="6"/>
      <c r="I856" s="6"/>
      <c r="J856" s="6"/>
    </row>
    <row r="857" spans="6:10" ht="20.1" customHeight="1">
      <c r="F857" s="6"/>
      <c r="G857" s="6"/>
      <c r="H857" s="6"/>
      <c r="I857" s="6"/>
      <c r="J857" s="6"/>
    </row>
    <row r="858" spans="6:10" ht="20.1" customHeight="1">
      <c r="F858" s="6"/>
      <c r="G858" s="6"/>
      <c r="H858" s="6"/>
      <c r="I858" s="6"/>
      <c r="J858" s="6"/>
    </row>
    <row r="859" spans="6:10" ht="20.1" customHeight="1">
      <c r="F859" s="6"/>
      <c r="G859" s="6"/>
      <c r="H859" s="6"/>
      <c r="I859" s="6"/>
      <c r="J859" s="6"/>
    </row>
    <row r="860" spans="6:10" ht="20.1" customHeight="1">
      <c r="F860" s="6"/>
      <c r="G860" s="6"/>
      <c r="H860" s="6"/>
      <c r="I860" s="6"/>
      <c r="J860" s="6"/>
    </row>
    <row r="861" spans="6:10" ht="20.1" customHeight="1">
      <c r="F861" s="6"/>
      <c r="G861" s="6"/>
      <c r="H861" s="6"/>
      <c r="I861" s="6"/>
      <c r="J861" s="6"/>
    </row>
    <row r="862" spans="6:10" ht="20.1" customHeight="1">
      <c r="F862" s="6"/>
      <c r="G862" s="6"/>
      <c r="H862" s="6"/>
      <c r="I862" s="6"/>
      <c r="J862" s="6"/>
    </row>
    <row r="863" spans="6:10" ht="20.1" customHeight="1">
      <c r="F863" s="6"/>
      <c r="G863" s="6"/>
      <c r="H863" s="6"/>
      <c r="I863" s="6"/>
      <c r="J863" s="6"/>
    </row>
    <row r="864" spans="6:10" ht="20.1" customHeight="1">
      <c r="F864" s="6"/>
      <c r="G864" s="6"/>
      <c r="H864" s="6"/>
      <c r="I864" s="6"/>
      <c r="J864" s="6"/>
    </row>
    <row r="865" spans="6:10" ht="20.1" customHeight="1">
      <c r="F865" s="6"/>
      <c r="G865" s="6"/>
      <c r="H865" s="6"/>
      <c r="I865" s="6"/>
      <c r="J865" s="6"/>
    </row>
    <row r="866" spans="6:10" ht="20.1" customHeight="1">
      <c r="F866" s="6"/>
      <c r="G866" s="6"/>
      <c r="H866" s="6"/>
      <c r="I866" s="6"/>
      <c r="J866" s="6"/>
    </row>
    <row r="867" spans="6:10" ht="20.1" customHeight="1">
      <c r="F867" s="6"/>
      <c r="G867" s="6"/>
      <c r="H867" s="6"/>
      <c r="I867" s="6"/>
      <c r="J867" s="6"/>
    </row>
    <row r="868" spans="6:10" ht="20.1" customHeight="1">
      <c r="F868" s="6"/>
      <c r="G868" s="6"/>
      <c r="H868" s="6"/>
      <c r="I868" s="6"/>
      <c r="J868" s="6"/>
    </row>
    <row r="869" spans="6:10" ht="20.1" customHeight="1">
      <c r="F869" s="6"/>
      <c r="G869" s="6"/>
      <c r="H869" s="6"/>
      <c r="I869" s="6"/>
      <c r="J869" s="6"/>
    </row>
    <row r="870" spans="6:10" ht="20.1" customHeight="1">
      <c r="F870" s="6"/>
      <c r="G870" s="6"/>
      <c r="H870" s="6"/>
      <c r="I870" s="6"/>
      <c r="J870" s="6"/>
    </row>
    <row r="871" spans="6:10" ht="20.1" customHeight="1">
      <c r="F871" s="6"/>
      <c r="G871" s="6"/>
      <c r="H871" s="6"/>
      <c r="I871" s="6"/>
      <c r="J871" s="6"/>
    </row>
    <row r="872" spans="6:10" ht="20.1" customHeight="1">
      <c r="F872" s="6"/>
      <c r="G872" s="6"/>
      <c r="H872" s="6"/>
      <c r="I872" s="6"/>
      <c r="J872" s="6"/>
    </row>
    <row r="873" spans="6:10" ht="20.1" customHeight="1">
      <c r="F873" s="6"/>
      <c r="G873" s="6"/>
      <c r="H873" s="6"/>
      <c r="I873" s="6"/>
      <c r="J873" s="6"/>
    </row>
    <row r="874" spans="6:10" ht="20.1" customHeight="1">
      <c r="F874" s="6"/>
      <c r="G874" s="6"/>
      <c r="H874" s="6"/>
      <c r="I874" s="6"/>
      <c r="J874" s="6"/>
    </row>
    <row r="875" spans="6:10" ht="20.1" customHeight="1">
      <c r="F875" s="6"/>
      <c r="G875" s="6"/>
      <c r="H875" s="6"/>
      <c r="I875" s="6"/>
      <c r="J875" s="6"/>
    </row>
    <row r="876" spans="6:10" ht="20.1" customHeight="1">
      <c r="F876" s="6"/>
      <c r="G876" s="6"/>
      <c r="H876" s="6"/>
      <c r="I876" s="6"/>
      <c r="J876" s="6"/>
    </row>
    <row r="877" spans="6:10" ht="20.1" customHeight="1">
      <c r="F877" s="6"/>
      <c r="G877" s="6"/>
      <c r="H877" s="6"/>
      <c r="I877" s="6"/>
      <c r="J877" s="6"/>
    </row>
    <row r="878" spans="6:10" ht="20.1" customHeight="1">
      <c r="F878" s="6"/>
      <c r="G878" s="6"/>
      <c r="H878" s="6"/>
      <c r="I878" s="6"/>
      <c r="J878" s="6"/>
    </row>
    <row r="879" spans="6:10" ht="20.1" customHeight="1">
      <c r="F879" s="6"/>
      <c r="G879" s="6"/>
      <c r="H879" s="6"/>
      <c r="I879" s="6"/>
      <c r="J879" s="6"/>
    </row>
    <row r="880" spans="6:10" ht="20.1" customHeight="1">
      <c r="F880" s="6"/>
      <c r="G880" s="6"/>
      <c r="H880" s="6"/>
      <c r="I880" s="6"/>
      <c r="J880" s="6"/>
    </row>
    <row r="881" spans="6:10" ht="20.1" customHeight="1">
      <c r="F881" s="6"/>
      <c r="G881" s="6"/>
      <c r="H881" s="6"/>
      <c r="I881" s="6"/>
      <c r="J881" s="6"/>
    </row>
    <row r="882" spans="6:10" ht="20.1" customHeight="1">
      <c r="F882" s="6"/>
      <c r="G882" s="6"/>
      <c r="H882" s="6"/>
      <c r="I882" s="6"/>
      <c r="J882" s="6"/>
    </row>
    <row r="883" spans="6:10" ht="20.1" customHeight="1">
      <c r="F883" s="6"/>
      <c r="G883" s="6"/>
      <c r="H883" s="6"/>
      <c r="I883" s="6"/>
      <c r="J883" s="6"/>
    </row>
    <row r="884" spans="6:10" ht="20.1" customHeight="1">
      <c r="F884" s="6"/>
      <c r="G884" s="6"/>
      <c r="H884" s="6"/>
      <c r="I884" s="6"/>
      <c r="J884" s="6"/>
    </row>
    <row r="885" spans="6:10" ht="20.1" customHeight="1">
      <c r="F885" s="6"/>
      <c r="G885" s="6"/>
      <c r="H885" s="6"/>
      <c r="I885" s="6"/>
      <c r="J885" s="6"/>
    </row>
    <row r="886" spans="6:10" ht="20.1" customHeight="1">
      <c r="F886" s="6"/>
      <c r="G886" s="6"/>
      <c r="H886" s="6"/>
      <c r="I886" s="6"/>
      <c r="J886" s="6"/>
    </row>
    <row r="887" spans="6:10" ht="20.1" customHeight="1">
      <c r="F887" s="6"/>
      <c r="G887" s="6"/>
      <c r="H887" s="6"/>
      <c r="I887" s="6"/>
      <c r="J887" s="6"/>
    </row>
    <row r="888" spans="6:10" ht="20.1" customHeight="1">
      <c r="F888" s="6"/>
      <c r="G888" s="6"/>
      <c r="H888" s="6"/>
      <c r="I888" s="6"/>
      <c r="J888" s="6"/>
    </row>
    <row r="889" spans="6:10" ht="20.1" customHeight="1">
      <c r="F889" s="6"/>
      <c r="G889" s="6"/>
      <c r="H889" s="6"/>
      <c r="I889" s="6"/>
      <c r="J889" s="6"/>
    </row>
    <row r="890" spans="6:10" ht="20.1" customHeight="1">
      <c r="F890" s="6"/>
      <c r="G890" s="6"/>
      <c r="H890" s="6"/>
      <c r="I890" s="6"/>
      <c r="J890" s="6"/>
    </row>
    <row r="891" spans="6:10" ht="20.1" customHeight="1">
      <c r="F891" s="6"/>
      <c r="G891" s="6"/>
      <c r="H891" s="6"/>
      <c r="I891" s="6"/>
      <c r="J891" s="6"/>
    </row>
    <row r="892" spans="6:10" ht="20.1" customHeight="1">
      <c r="F892" s="6"/>
      <c r="G892" s="6"/>
      <c r="H892" s="6"/>
      <c r="I892" s="6"/>
      <c r="J892" s="6"/>
    </row>
    <row r="893" spans="6:10" ht="20.1" customHeight="1">
      <c r="F893" s="6"/>
      <c r="G893" s="6"/>
      <c r="H893" s="6"/>
      <c r="I893" s="6"/>
      <c r="J893" s="6"/>
    </row>
    <row r="894" spans="6:10" ht="20.1" customHeight="1">
      <c r="F894" s="6"/>
      <c r="G894" s="6"/>
      <c r="H894" s="6"/>
      <c r="I894" s="6"/>
      <c r="J894" s="6"/>
    </row>
    <row r="895" spans="6:10" ht="20.1" customHeight="1">
      <c r="F895" s="6"/>
      <c r="G895" s="6"/>
      <c r="H895" s="6"/>
      <c r="I895" s="6"/>
      <c r="J895" s="6"/>
    </row>
    <row r="896" spans="6:10" ht="20.1" customHeight="1">
      <c r="F896" s="6"/>
      <c r="G896" s="6"/>
      <c r="H896" s="6"/>
      <c r="I896" s="6"/>
      <c r="J896" s="6"/>
    </row>
    <row r="897" spans="6:10" ht="20.1" customHeight="1">
      <c r="F897" s="6"/>
      <c r="G897" s="6"/>
      <c r="H897" s="6"/>
      <c r="I897" s="6"/>
      <c r="J897" s="6"/>
    </row>
    <row r="898" spans="6:10" ht="20.1" customHeight="1">
      <c r="F898" s="6"/>
      <c r="G898" s="6"/>
      <c r="H898" s="6"/>
      <c r="I898" s="6"/>
      <c r="J898" s="6"/>
    </row>
    <row r="899" spans="6:10" ht="20.1" customHeight="1">
      <c r="F899" s="6"/>
      <c r="G899" s="6"/>
      <c r="H899" s="6"/>
      <c r="I899" s="6"/>
      <c r="J899" s="6"/>
    </row>
    <row r="900" spans="6:10" ht="20.1" customHeight="1">
      <c r="F900" s="6"/>
      <c r="G900" s="6"/>
      <c r="H900" s="6"/>
      <c r="I900" s="6"/>
      <c r="J900" s="6"/>
    </row>
    <row r="901" spans="6:10" ht="20.1" customHeight="1">
      <c r="F901" s="6"/>
      <c r="G901" s="6"/>
      <c r="H901" s="6"/>
      <c r="I901" s="6"/>
      <c r="J901" s="6"/>
    </row>
    <row r="902" spans="6:10" ht="20.1" customHeight="1">
      <c r="F902" s="6"/>
      <c r="G902" s="6"/>
      <c r="H902" s="6"/>
      <c r="I902" s="6"/>
      <c r="J902" s="6"/>
    </row>
    <row r="903" spans="6:10" ht="20.1" customHeight="1">
      <c r="F903" s="6"/>
      <c r="G903" s="6"/>
      <c r="H903" s="6"/>
      <c r="I903" s="6"/>
      <c r="J903" s="6"/>
    </row>
    <row r="904" spans="6:10" ht="20.1" customHeight="1">
      <c r="F904" s="6"/>
      <c r="G904" s="6"/>
      <c r="H904" s="6"/>
      <c r="I904" s="6"/>
      <c r="J904" s="6"/>
    </row>
    <row r="905" spans="6:10" ht="20.1" customHeight="1">
      <c r="F905" s="6"/>
      <c r="G905" s="6"/>
      <c r="H905" s="6"/>
      <c r="I905" s="6"/>
      <c r="J905" s="6"/>
    </row>
    <row r="906" spans="6:10" ht="20.1" customHeight="1">
      <c r="F906" s="6"/>
      <c r="G906" s="6"/>
      <c r="H906" s="6"/>
      <c r="I906" s="6"/>
      <c r="J906" s="6"/>
    </row>
    <row r="907" spans="6:10" ht="20.1" customHeight="1">
      <c r="F907" s="6"/>
      <c r="G907" s="6"/>
      <c r="H907" s="6"/>
      <c r="I907" s="6"/>
      <c r="J907" s="6"/>
    </row>
    <row r="908" spans="6:10" ht="20.1" customHeight="1">
      <c r="F908" s="6"/>
      <c r="G908" s="6"/>
      <c r="H908" s="6"/>
      <c r="I908" s="6"/>
      <c r="J908" s="6"/>
    </row>
    <row r="909" spans="6:10" ht="20.1" customHeight="1">
      <c r="F909" s="6"/>
      <c r="G909" s="6"/>
      <c r="H909" s="6"/>
      <c r="I909" s="6"/>
      <c r="J909" s="6"/>
    </row>
    <row r="910" spans="6:10" ht="20.1" customHeight="1">
      <c r="F910" s="6"/>
      <c r="G910" s="6"/>
      <c r="H910" s="6"/>
      <c r="I910" s="6"/>
      <c r="J910" s="6"/>
    </row>
    <row r="911" spans="6:10" ht="20.1" customHeight="1">
      <c r="F911" s="6"/>
      <c r="G911" s="6"/>
      <c r="H911" s="6"/>
      <c r="I911" s="6"/>
      <c r="J911" s="6"/>
    </row>
    <row r="912" spans="6:10" ht="20.1" customHeight="1">
      <c r="F912" s="6"/>
      <c r="G912" s="6"/>
      <c r="H912" s="6"/>
      <c r="I912" s="6"/>
      <c r="J912" s="6"/>
    </row>
    <row r="913" spans="6:10" ht="20.1" customHeight="1">
      <c r="F913" s="6"/>
      <c r="G913" s="6"/>
      <c r="H913" s="6"/>
      <c r="I913" s="6"/>
      <c r="J913" s="6"/>
    </row>
    <row r="914" spans="6:10" ht="20.1" customHeight="1">
      <c r="F914" s="6"/>
      <c r="G914" s="6"/>
      <c r="H914" s="6"/>
      <c r="I914" s="6"/>
      <c r="J914" s="6"/>
    </row>
    <row r="915" spans="6:10" ht="20.1" customHeight="1">
      <c r="F915" s="6"/>
      <c r="G915" s="6"/>
      <c r="H915" s="6"/>
      <c r="I915" s="6"/>
      <c r="J915" s="6"/>
    </row>
    <row r="916" spans="6:10" ht="20.1" customHeight="1">
      <c r="F916" s="6"/>
      <c r="G916" s="6"/>
      <c r="H916" s="6"/>
      <c r="I916" s="6"/>
      <c r="J916" s="6"/>
    </row>
    <row r="917" spans="6:10" ht="20.1" customHeight="1">
      <c r="F917" s="6"/>
      <c r="G917" s="6"/>
      <c r="H917" s="6"/>
      <c r="I917" s="6"/>
      <c r="J917" s="6"/>
    </row>
    <row r="918" spans="6:10" ht="20.1" customHeight="1">
      <c r="F918" s="6"/>
      <c r="G918" s="6"/>
      <c r="H918" s="6"/>
      <c r="I918" s="6"/>
      <c r="J918" s="6"/>
    </row>
    <row r="919" spans="6:10" ht="20.1" customHeight="1">
      <c r="F919" s="6"/>
      <c r="G919" s="6"/>
      <c r="H919" s="6"/>
      <c r="I919" s="6"/>
      <c r="J919" s="6"/>
    </row>
    <row r="920" spans="6:10" ht="20.1" customHeight="1">
      <c r="F920" s="6"/>
      <c r="G920" s="6"/>
      <c r="H920" s="6"/>
      <c r="I920" s="6"/>
      <c r="J920" s="6"/>
    </row>
    <row r="921" spans="6:10" ht="20.1" customHeight="1">
      <c r="F921" s="6"/>
      <c r="G921" s="6"/>
      <c r="H921" s="6"/>
      <c r="I921" s="6"/>
      <c r="J921" s="6"/>
    </row>
    <row r="922" spans="6:10" ht="20.1" customHeight="1">
      <c r="F922" s="6"/>
      <c r="G922" s="6"/>
      <c r="H922" s="6"/>
      <c r="I922" s="6"/>
      <c r="J922" s="6"/>
    </row>
    <row r="923" spans="6:10" ht="20.1" customHeight="1">
      <c r="F923" s="6"/>
      <c r="G923" s="6"/>
      <c r="H923" s="6"/>
      <c r="I923" s="6"/>
      <c r="J923" s="6"/>
    </row>
    <row r="924" spans="6:10" ht="20.1" customHeight="1">
      <c r="F924" s="6"/>
      <c r="G924" s="6"/>
      <c r="H924" s="6"/>
      <c r="I924" s="6"/>
      <c r="J924" s="6"/>
    </row>
    <row r="925" spans="6:10" ht="20.1" customHeight="1">
      <c r="F925" s="6"/>
      <c r="G925" s="6"/>
      <c r="H925" s="6"/>
      <c r="I925" s="6"/>
      <c r="J925" s="6"/>
    </row>
    <row r="926" spans="6:10" ht="20.1" customHeight="1">
      <c r="F926" s="6"/>
      <c r="G926" s="6"/>
      <c r="H926" s="6"/>
      <c r="I926" s="6"/>
      <c r="J926" s="6"/>
    </row>
    <row r="927" spans="6:10" ht="20.1" customHeight="1">
      <c r="F927" s="6"/>
      <c r="G927" s="6"/>
      <c r="H927" s="6"/>
      <c r="I927" s="6"/>
      <c r="J927" s="6"/>
    </row>
    <row r="928" spans="6:10" ht="20.1" customHeight="1">
      <c r="F928" s="6"/>
      <c r="G928" s="6"/>
      <c r="H928" s="6"/>
      <c r="I928" s="6"/>
      <c r="J928" s="6"/>
    </row>
    <row r="929" spans="6:10" ht="20.1" customHeight="1">
      <c r="F929" s="6"/>
      <c r="G929" s="6"/>
      <c r="H929" s="6"/>
      <c r="I929" s="6"/>
      <c r="J929" s="6"/>
    </row>
    <row r="930" spans="6:10" ht="20.1" customHeight="1">
      <c r="F930" s="6"/>
      <c r="G930" s="6"/>
      <c r="H930" s="6"/>
      <c r="I930" s="6"/>
      <c r="J930" s="6"/>
    </row>
    <row r="931" spans="6:10" ht="20.1" customHeight="1">
      <c r="F931" s="6"/>
      <c r="G931" s="6"/>
      <c r="H931" s="6"/>
      <c r="I931" s="6"/>
      <c r="J931" s="6"/>
    </row>
    <row r="932" spans="6:10" ht="20.1" customHeight="1">
      <c r="F932" s="6"/>
      <c r="G932" s="6"/>
      <c r="H932" s="6"/>
      <c r="I932" s="6"/>
      <c r="J932" s="6"/>
    </row>
    <row r="933" spans="6:10" ht="20.1" customHeight="1">
      <c r="F933" s="6"/>
      <c r="G933" s="6"/>
      <c r="H933" s="6"/>
      <c r="I933" s="6"/>
      <c r="J933" s="6"/>
    </row>
    <row r="934" spans="6:10" ht="20.1" customHeight="1">
      <c r="F934" s="6"/>
      <c r="G934" s="6"/>
      <c r="H934" s="6"/>
      <c r="I934" s="6"/>
      <c r="J934" s="6"/>
    </row>
    <row r="935" spans="6:10" ht="20.1" customHeight="1">
      <c r="F935" s="6"/>
      <c r="G935" s="6"/>
      <c r="H935" s="6"/>
      <c r="I935" s="6"/>
      <c r="J935" s="6"/>
    </row>
    <row r="936" spans="6:10" ht="20.1" customHeight="1">
      <c r="F936" s="6"/>
      <c r="G936" s="6"/>
      <c r="H936" s="6"/>
      <c r="I936" s="6"/>
      <c r="J936" s="6"/>
    </row>
    <row r="937" spans="6:10" ht="20.1" customHeight="1">
      <c r="F937" s="6"/>
      <c r="G937" s="6"/>
      <c r="H937" s="6"/>
      <c r="I937" s="6"/>
      <c r="J937" s="6"/>
    </row>
    <row r="938" spans="6:10" ht="20.1" customHeight="1">
      <c r="F938" s="6"/>
      <c r="G938" s="6"/>
      <c r="H938" s="6"/>
      <c r="I938" s="6"/>
      <c r="J938" s="6"/>
    </row>
    <row r="939" spans="6:10" ht="20.1" customHeight="1">
      <c r="F939" s="6"/>
      <c r="G939" s="6"/>
      <c r="H939" s="6"/>
      <c r="I939" s="6"/>
      <c r="J939" s="6"/>
    </row>
    <row r="940" spans="6:10" ht="20.1" customHeight="1">
      <c r="F940" s="6"/>
      <c r="G940" s="6"/>
      <c r="H940" s="6"/>
      <c r="I940" s="6"/>
      <c r="J940" s="6"/>
    </row>
    <row r="941" spans="6:10" ht="20.1" customHeight="1">
      <c r="F941" s="6"/>
      <c r="G941" s="6"/>
      <c r="H941" s="6"/>
      <c r="I941" s="6"/>
      <c r="J941" s="6"/>
    </row>
    <row r="942" spans="6:10" ht="20.1" customHeight="1">
      <c r="F942" s="6"/>
      <c r="G942" s="6"/>
      <c r="H942" s="6"/>
      <c r="I942" s="6"/>
      <c r="J942" s="6"/>
    </row>
    <row r="943" spans="6:10" ht="20.1" customHeight="1">
      <c r="F943" s="6"/>
      <c r="G943" s="6"/>
      <c r="H943" s="6"/>
      <c r="I943" s="6"/>
      <c r="J943" s="6"/>
    </row>
    <row r="944" spans="6:10" ht="20.1" customHeight="1">
      <c r="F944" s="6"/>
      <c r="G944" s="6"/>
      <c r="H944" s="6"/>
      <c r="I944" s="6"/>
      <c r="J944" s="6"/>
    </row>
    <row r="945" spans="6:10" ht="20.1" customHeight="1">
      <c r="F945" s="6"/>
      <c r="G945" s="6"/>
      <c r="H945" s="6"/>
      <c r="I945" s="6"/>
      <c r="J945" s="6"/>
    </row>
    <row r="946" spans="6:10" ht="20.1" customHeight="1">
      <c r="F946" s="6"/>
      <c r="G946" s="6"/>
      <c r="H946" s="6"/>
      <c r="I946" s="6"/>
      <c r="J946" s="6"/>
    </row>
    <row r="947" spans="6:10" ht="20.1" customHeight="1">
      <c r="F947" s="6"/>
      <c r="G947" s="6"/>
      <c r="H947" s="6"/>
      <c r="I947" s="6"/>
      <c r="J947" s="6"/>
    </row>
    <row r="948" spans="6:10" ht="20.1" customHeight="1">
      <c r="F948" s="6"/>
      <c r="G948" s="6"/>
      <c r="H948" s="6"/>
      <c r="I948" s="6"/>
      <c r="J948" s="6"/>
    </row>
    <row r="949" spans="6:10" ht="20.1" customHeight="1">
      <c r="F949" s="6"/>
      <c r="G949" s="6"/>
      <c r="H949" s="6"/>
      <c r="I949" s="6"/>
      <c r="J949" s="6"/>
    </row>
    <row r="950" spans="6:10" ht="20.1" customHeight="1">
      <c r="F950" s="6"/>
      <c r="G950" s="6"/>
      <c r="H950" s="6"/>
      <c r="I950" s="6"/>
      <c r="J950" s="6"/>
    </row>
    <row r="951" spans="6:10" ht="20.1" customHeight="1">
      <c r="F951" s="6"/>
      <c r="G951" s="6"/>
      <c r="H951" s="6"/>
      <c r="I951" s="6"/>
      <c r="J951" s="6"/>
    </row>
    <row r="952" spans="6:10" ht="20.1" customHeight="1">
      <c r="F952" s="6"/>
      <c r="G952" s="6"/>
      <c r="H952" s="6"/>
      <c r="I952" s="6"/>
      <c r="J952" s="6"/>
    </row>
    <row r="953" spans="6:10" ht="20.1" customHeight="1">
      <c r="F953" s="6"/>
      <c r="G953" s="6"/>
      <c r="H953" s="6"/>
      <c r="I953" s="6"/>
      <c r="J953" s="6"/>
    </row>
    <row r="954" spans="6:10" ht="20.1" customHeight="1">
      <c r="F954" s="6"/>
      <c r="G954" s="6"/>
      <c r="H954" s="6"/>
      <c r="I954" s="6"/>
      <c r="J954" s="6"/>
    </row>
    <row r="955" spans="6:10" ht="20.1" customHeight="1">
      <c r="F955" s="6"/>
      <c r="G955" s="6"/>
      <c r="H955" s="6"/>
      <c r="I955" s="6"/>
      <c r="J955" s="6"/>
    </row>
    <row r="956" spans="6:10" ht="20.1" customHeight="1">
      <c r="F956" s="6"/>
      <c r="G956" s="6"/>
      <c r="H956" s="6"/>
      <c r="I956" s="6"/>
      <c r="J956" s="6"/>
    </row>
    <row r="957" spans="6:10" ht="20.1" customHeight="1">
      <c r="F957" s="6"/>
      <c r="G957" s="6"/>
      <c r="H957" s="6"/>
      <c r="I957" s="6"/>
      <c r="J957" s="6"/>
    </row>
    <row r="958" spans="6:10" ht="20.1" customHeight="1">
      <c r="F958" s="6"/>
      <c r="G958" s="6"/>
      <c r="H958" s="6"/>
      <c r="I958" s="6"/>
      <c r="J958" s="6"/>
    </row>
    <row r="959" spans="6:10" ht="20.1" customHeight="1">
      <c r="F959" s="6"/>
      <c r="G959" s="6"/>
      <c r="H959" s="6"/>
      <c r="I959" s="6"/>
      <c r="J959" s="6"/>
    </row>
    <row r="960" spans="6:10" ht="20.1" customHeight="1">
      <c r="F960" s="6"/>
      <c r="G960" s="6"/>
      <c r="H960" s="6"/>
      <c r="I960" s="6"/>
      <c r="J960" s="6"/>
    </row>
    <row r="961" spans="6:10" ht="20.1" customHeight="1">
      <c r="F961" s="6"/>
      <c r="G961" s="6"/>
      <c r="H961" s="6"/>
      <c r="I961" s="6"/>
      <c r="J961" s="6"/>
    </row>
    <row r="962" spans="6:10" ht="20.1" customHeight="1">
      <c r="F962" s="6"/>
      <c r="G962" s="6"/>
      <c r="H962" s="6"/>
      <c r="I962" s="6"/>
      <c r="J962" s="6"/>
    </row>
    <row r="963" spans="6:10" ht="20.1" customHeight="1">
      <c r="F963" s="6"/>
      <c r="G963" s="6"/>
      <c r="H963" s="6"/>
      <c r="I963" s="6"/>
      <c r="J963" s="6"/>
    </row>
    <row r="964" spans="6:10" ht="20.1" customHeight="1">
      <c r="F964" s="6"/>
      <c r="G964" s="6"/>
      <c r="H964" s="6"/>
      <c r="I964" s="6"/>
      <c r="J964" s="6"/>
    </row>
    <row r="965" spans="6:10" ht="20.1" customHeight="1">
      <c r="F965" s="6"/>
      <c r="G965" s="6"/>
      <c r="H965" s="6"/>
      <c r="I965" s="6"/>
      <c r="J965" s="6"/>
    </row>
    <row r="966" spans="6:10" ht="20.1" customHeight="1">
      <c r="F966" s="6"/>
      <c r="G966" s="6"/>
      <c r="H966" s="6"/>
      <c r="I966" s="6"/>
      <c r="J966" s="6"/>
    </row>
    <row r="967" spans="6:10" ht="20.1" customHeight="1">
      <c r="F967" s="6"/>
      <c r="G967" s="6"/>
      <c r="H967" s="6"/>
      <c r="I967" s="6"/>
      <c r="J967" s="6"/>
    </row>
    <row r="968" spans="6:10" ht="20.1" customHeight="1">
      <c r="F968" s="6"/>
      <c r="G968" s="6"/>
      <c r="H968" s="6"/>
      <c r="I968" s="6"/>
      <c r="J968" s="6"/>
    </row>
    <row r="969" spans="6:10" ht="20.1" customHeight="1">
      <c r="F969" s="6"/>
      <c r="G969" s="6"/>
      <c r="H969" s="6"/>
      <c r="I969" s="6"/>
      <c r="J969" s="6"/>
    </row>
    <row r="970" spans="6:10" ht="20.1" customHeight="1">
      <c r="F970" s="6"/>
      <c r="G970" s="6"/>
      <c r="H970" s="6"/>
      <c r="I970" s="6"/>
      <c r="J970" s="6"/>
    </row>
    <row r="971" spans="6:10" ht="20.1" customHeight="1">
      <c r="F971" s="6"/>
      <c r="G971" s="6"/>
      <c r="H971" s="6"/>
      <c r="I971" s="6"/>
      <c r="J971" s="6"/>
    </row>
    <row r="972" spans="6:10" ht="20.1" customHeight="1">
      <c r="F972" s="6"/>
      <c r="G972" s="6"/>
      <c r="H972" s="6"/>
      <c r="I972" s="6"/>
      <c r="J972" s="6"/>
    </row>
    <row r="973" spans="6:10" ht="20.1" customHeight="1">
      <c r="F973" s="6"/>
      <c r="G973" s="6"/>
      <c r="H973" s="6"/>
      <c r="I973" s="6"/>
      <c r="J973" s="6"/>
    </row>
    <row r="974" spans="6:10" ht="20.1" customHeight="1">
      <c r="F974" s="6"/>
      <c r="G974" s="6"/>
      <c r="H974" s="6"/>
      <c r="I974" s="6"/>
      <c r="J974" s="6"/>
    </row>
    <row r="975" spans="6:7" ht="20.1" customHeight="1">
      <c r="F975" s="6"/>
      <c r="G975" s="6"/>
    </row>
    <row r="976" spans="6:7" ht="20.1" customHeight="1">
      <c r="F976" s="6"/>
      <c r="G976" s="6"/>
    </row>
    <row r="977" spans="6:7" ht="20.1" customHeight="1">
      <c r="F977" s="6"/>
      <c r="G977" s="6"/>
    </row>
    <row r="978" spans="6:7" ht="20.1" customHeight="1">
      <c r="F978" s="6"/>
      <c r="G978" s="6"/>
    </row>
    <row r="979" spans="6:7" ht="20.1" customHeight="1">
      <c r="F979" s="6"/>
      <c r="G979" s="6"/>
    </row>
    <row r="980" spans="6:7" ht="20.1" customHeight="1">
      <c r="F980" s="6"/>
      <c r="G980" s="6"/>
    </row>
    <row r="981" spans="6:7" ht="20.1" customHeight="1">
      <c r="F981" s="6"/>
      <c r="G981" s="6"/>
    </row>
    <row r="982" spans="6:7" ht="20.1" customHeight="1">
      <c r="F982" s="6"/>
      <c r="G982" s="6"/>
    </row>
    <row r="983" spans="6:7" ht="20.1" customHeight="1">
      <c r="F983" s="6"/>
      <c r="G983" s="6"/>
    </row>
    <row r="984" spans="6:7" ht="20.1" customHeight="1">
      <c r="F984" s="6"/>
      <c r="G984" s="6"/>
    </row>
    <row r="985" spans="6:7" ht="20.1" customHeight="1">
      <c r="F985" s="6"/>
      <c r="G985" s="6"/>
    </row>
    <row r="986" spans="6:7" ht="20.1" customHeight="1">
      <c r="F986" s="6"/>
      <c r="G986" s="6"/>
    </row>
    <row r="987" spans="6:7" ht="20.1" customHeight="1">
      <c r="F987" s="6"/>
      <c r="G987" s="6"/>
    </row>
    <row r="988" spans="6:7" ht="20.1" customHeight="1">
      <c r="F988" s="6"/>
      <c r="G988" s="6"/>
    </row>
  </sheetData>
  <sheetProtection formatCells="0" formatColumns="0" formatRows="0" sort="0" autoFilter="0" pivotTables="0"/>
  <mergeCells count="6">
    <mergeCell ref="A1:B1"/>
    <mergeCell ref="F2:H4"/>
    <mergeCell ref="J2:L4"/>
    <mergeCell ref="F6:H9"/>
    <mergeCell ref="J6:L9"/>
    <mergeCell ref="A8:B8"/>
  </mergeCells>
  <pageMargins left="0.7" right="0.7" top="0.75" bottom="0.75" header="0.3" footer="0.3"/>
  <pageSetup orientation="portrait" paperSize="9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1000"/>
  <sheetViews>
    <sheetView tabSelected="1" workbookViewId="0" topLeftCell="A1">
      <pane ySplit="2" topLeftCell="A33" activePane="bottomLeft" state="frozen"/>
      <selection pane="topLeft" activeCell="A1" sqref="A1"/>
      <selection pane="bottomLeft" activeCell="C53" sqref="C53"/>
    </sheetView>
  </sheetViews>
  <sheetFormatPr defaultColWidth="9" defaultRowHeight="19.5" customHeight="1"/>
  <cols>
    <col min="1" max="3" width="10.875" style="40" customWidth="1"/>
    <col min="4" max="4" width="10" style="42" customWidth="1"/>
    <col min="5" max="5" width="9" style="42" customWidth="1"/>
    <col min="6" max="6" width="11.25" style="42" customWidth="1"/>
    <col min="7" max="7" width="13.125" style="42" customWidth="1"/>
    <col min="8" max="8" width="14" style="57" customWidth="1"/>
    <col min="9" max="9" width="25.375" style="58" customWidth="1"/>
    <col min="10" max="10" width="11.5" style="57" customWidth="1"/>
    <col min="11" max="11" width="11.625" style="57" customWidth="1"/>
    <col min="12" max="12" width="9.375" style="50" customWidth="1"/>
    <col min="13" max="13" width="12.875" style="51" customWidth="1"/>
    <col min="14" max="14" width="11.625" style="48" customWidth="1"/>
    <col min="15" max="15" width="16.625" style="40" customWidth="1"/>
    <col min="16" max="16" width="10.875" style="40" hidden="1" customWidth="1"/>
    <col min="17" max="17" width="16.625" style="40" customWidth="1"/>
    <col min="18" max="16384" width="9" style="45"/>
  </cols>
  <sheetData>
    <row r="1" spans="1:17" s="44" customFormat="1" ht="23.25" customHeight="1">
      <c r="A1" s="59" t="s">
        <v>5310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</row>
    <row r="2" spans="1:17" ht="34.9" customHeight="1">
      <c r="A2" s="36" t="s">
        <v>5312</v>
      </c>
      <c r="B2" s="36" t="s">
        <v>5313</v>
      </c>
      <c r="C2" s="36" t="s">
        <v>5332</v>
      </c>
      <c r="D2" s="36" t="s">
        <v>9</v>
      </c>
      <c r="E2" s="36" t="s">
        <v>5322</v>
      </c>
      <c r="F2" s="36" t="s">
        <v>5311</v>
      </c>
      <c r="G2" s="36" t="s">
        <v>5317</v>
      </c>
      <c r="H2" s="54" t="s">
        <v>5328</v>
      </c>
      <c r="I2" s="54" t="s">
        <v>5329</v>
      </c>
      <c r="J2" s="54" t="s">
        <v>5330</v>
      </c>
      <c r="K2" s="54" t="s">
        <v>5331</v>
      </c>
      <c r="L2" s="36" t="s">
        <v>5339</v>
      </c>
      <c r="M2" s="36" t="s">
        <v>5340</v>
      </c>
      <c r="N2" s="36" t="s">
        <v>11</v>
      </c>
      <c r="O2" s="36" t="s">
        <v>5323</v>
      </c>
      <c r="P2" s="36"/>
      <c r="Q2" s="52" t="s">
        <v>5327</v>
      </c>
    </row>
    <row r="3" spans="1:17" ht="19.5" customHeight="1">
      <c r="A3" s="38"/>
      <c r="B3" s="38"/>
      <c r="C3" s="86">
        <v>100000</v>
      </c>
      <c r="D3" s="37">
        <v>1</v>
      </c>
      <c r="E3" s="37">
        <v>1</v>
      </c>
      <c r="F3" s="53" t="s">
        <v>10236</v>
      </c>
      <c r="G3" s="37" t="str">
        <f>IF(F3="","",INDEX(站位样品信息!$B$3:INDEX(站位样品信息!$B:$B,COUNTA(站位样品信息!$B:$B)+1),MATCH($F3,站位样品信息!$A$3:INDEX(站位样品信息!$A:$A,COUNTA(站位样品信息!$A:$A)+1),),))</f>
        <v>B0229</v>
      </c>
      <c r="H3" s="107" t="str">
        <f>IF(OR(A3&lt;&gt;"",B3&lt;&gt;"",C3&lt;&gt;""),IF($C3&lt;&gt;0,INDEX(生物种群!$A$3:INDEX(生物种群!$A:$A,COUNTA(生物种群!$A:$A)),MATCH($C3,生物种群!$F$3:INDEX(生物种群!$F:$F,COUNTA(生物种群!$F:$F)),),),IF($A3&lt;&gt;0,INDEX(生物种群!$A$3:INDEX(生物种群!$A:$A,COUNTA(生物种群!$A:$A)),MATCH($A3,生物种群!$C$3:INDEX(生物种群!$C:$C,COUNTA(生物种群!$C:$C)),),),INDEX(生物种群!$A$3:INDEX(生物种群!$A:$A,COUNTA(生物种群!$A:$A)),MATCH($B3,生物种群!$D$3:INDEX(生物种群!$D:$D,COUNTA(生物种群!$D:$D)),),))),"")</f>
        <v>夜光虫</v>
      </c>
      <c r="I3" s="108" t="str">
        <f>IF(H3="","",INDEX(生物种群!$B$3:INDEX(生物种群!$B:$B,COUNTA(生物种群!$B:$B)),MATCH($H3,生物种群!$A$3:INDEX(生物种群!$A:$A,COUNTA(生物种群!$A:$A)),),))</f>
        <v>Noctiluca scintillans</v>
      </c>
      <c r="J3" s="55" t="str">
        <f>IF(H3="","",INDEX(生物种群!$I$3:INDEX(生物种群!$I:$I,COUNTA(生物种群!$I:$I)),MATCH($H3,生物种群!$A$3:INDEX(生物种群!$A:$A,COUNTA(生物种群!$A:$A)),),))</f>
        <v>Kofoid et Swezy, 1921</v>
      </c>
      <c r="K3" s="107" t="str">
        <f>IF(H3="","",INDEX(生物种群!$E$3:INDEX(生物种群!$E:$E,COUNTA(生物种群!$E:$E)),MATCH($H3,生物种群!$A$3:INDEX(生物种群!$A:$A,COUNTA(生物种群!$A:$A)),),))</f>
        <v>原生动物</v>
      </c>
      <c r="L3" s="46">
        <f>IFERROR(IF(OR(D3="",E3=""),"",D3/E3*100),"")</f>
        <v>100</v>
      </c>
      <c r="M3" s="47">
        <f>IF(L3="","",ROUND((L3)/VLOOKUP($F3,IF({1,0},站位样品信息!$A$3:INDEX(站位样品信息!$A:$A,COUNTA(站位样品信息!$A:$A)+1),站位样品信息!$H$3:INDEX(站位样品信息!$H:$H,COUNTA(站位样品信息!$H:$H)+1)),2,0),2))</f>
        <v>26.32</v>
      </c>
      <c r="O3" s="49"/>
      <c r="P3" s="53" t="str">
        <f t="shared" si="0" ref="P3:P66">IF(F3&gt;0,F3&amp;I3,"")</f>
        <v>A2N44ZQ068Noctiluca scintillans</v>
      </c>
      <c r="Q3" s="53" t="str">
        <f t="shared" si="1" ref="Q3:Q66">IF(COUNTIF($P:$P,P3)=1,"",IF(A3&amp;B3&amp;C3="","","重复"))</f>
        <v/>
      </c>
    </row>
    <row r="4" spans="1:17" ht="19.5" customHeight="1">
      <c r="A4" s="38"/>
      <c r="B4" s="38"/>
      <c r="C4" s="91">
        <v>101000</v>
      </c>
      <c r="D4" s="37">
        <v>2</v>
      </c>
      <c r="E4" s="37">
        <v>2</v>
      </c>
      <c r="F4" s="53" t="s">
        <v>10241</v>
      </c>
      <c r="G4" s="37" t="str">
        <f>IF(F4="","",INDEX(站位样品信息!$B$3:INDEX(站位样品信息!$B:$B,COUNTA(站位样品信息!$B:$B)+1),MATCH($F4,站位样品信息!$A$3:INDEX(站位样品信息!$A:$A,COUNTA(站位样品信息!$A:$A)+1),),))</f>
        <v>B0340</v>
      </c>
      <c r="H4" s="107" t="str">
        <f>IF(OR(A4&lt;&gt;"",B4&lt;&gt;"",C4&lt;&gt;""),IF($C4&lt;&gt;0,INDEX(生物种群!$A$3:INDEX(生物种群!$A:$A,COUNTA(生物种群!$A:$A)),MATCH($C4,生物种群!$F$3:INDEX(生物种群!$F:$F,COUNTA(生物种群!$F:$F)),),),IF($A4&lt;&gt;0,INDEX(生物种群!$A$3:INDEX(生物种群!$A:$A,COUNTA(生物种群!$A:$A)),MATCH($A4,生物种群!$C$3:INDEX(生物种群!$C:$C,COUNTA(生物种群!$C:$C)),),),INDEX(生物种群!$A$3:INDEX(生物种群!$A:$A,COUNTA(生物种群!$A:$A)),MATCH($B4,生物种群!$D$3:INDEX(生物种群!$D:$D,COUNTA(生物种群!$D:$D)),),))),"")</f>
        <v>有孔虫</v>
      </c>
      <c r="I4" s="108" t="str">
        <f>IF(H4="","",INDEX(生物种群!$B$3:INDEX(生物种群!$B:$B,COUNTA(生物种群!$B:$B)),MATCH($H4,生物种群!$A$3:INDEX(生物种群!$A:$A,COUNTA(生物种群!$A:$A)),),))</f>
        <v>Foraminifera sp.</v>
      </c>
      <c r="J4" s="55" t="str">
        <f>IF(H4="","",INDEX(生物种群!$I$3:INDEX(生物种群!$I:$I,COUNTA(生物种群!$I:$I)),MATCH($H4,生物种群!$A$3:INDEX(生物种群!$A:$A,COUNTA(生物种群!$A:$A)),),))</f>
        <v/>
      </c>
      <c r="K4" s="107" t="str">
        <f>IF(H4="","",INDEX(生物种群!$E$3:INDEX(生物种群!$E:$E,COUNTA(生物种群!$E:$E)),MATCH($H4,生物种群!$A$3:INDEX(生物种群!$A:$A,COUNTA(生物种群!$A:$A)),),))</f>
        <v>原生动物</v>
      </c>
      <c r="L4" s="46">
        <f t="shared" si="2" ref="L4:L12">IFERROR(IF(OR(D4="",E4=""),"",D4/E4*100),"")</f>
        <v>100</v>
      </c>
      <c r="M4" s="47">
        <f>IF(L4="","",ROUND((L4)/VLOOKUP($F4,IF({1,0},站位样品信息!$A$3:INDEX(站位样品信息!$A:$A,COUNTA(站位样品信息!$A:$A)+1),站位样品信息!$H$3:INDEX(站位样品信息!$H:$H,COUNTA(站位样品信息!$H:$H)+1)),2,0),2))</f>
        <v>66.67</v>
      </c>
      <c r="O4" s="49"/>
      <c r="P4" s="53" t="str">
        <f t="shared" si="0"/>
        <v>A2N44ZQ069Foraminifera sp.</v>
      </c>
      <c r="Q4" s="53" t="str">
        <f t="shared" si="1"/>
        <v/>
      </c>
    </row>
    <row r="5" spans="1:17" ht="19.5" customHeight="1">
      <c r="A5" s="38"/>
      <c r="B5" s="38"/>
      <c r="C5" s="91">
        <v>101001</v>
      </c>
      <c r="D5" s="37">
        <v>3</v>
      </c>
      <c r="E5" s="37">
        <v>3</v>
      </c>
      <c r="F5" s="53" t="s">
        <v>10243</v>
      </c>
      <c r="G5" s="37" t="str">
        <f>IF(F5="","",INDEX(站位样品信息!$B$3:INDEX(站位样品信息!$B:$B,COUNTA(站位样品信息!$B:$B)+1),MATCH($F5,站位样品信息!$A$3:INDEX(站位样品信息!$A:$A,COUNTA(站位样品信息!$A:$A)+1),),))</f>
        <v>B0111</v>
      </c>
      <c r="H5" s="107" t="str">
        <f>IF(OR(A5&lt;&gt;"",B5&lt;&gt;"",C5&lt;&gt;""),IF($C5&lt;&gt;0,INDEX(生物种群!$A$3:INDEX(生物种群!$A:$A,COUNTA(生物种群!$A:$A)),MATCH($C5,生物种群!$F$3:INDEX(生物种群!$F:$F,COUNTA(生物种群!$F:$F)),),),IF($A5&lt;&gt;0,INDEX(生物种群!$A$3:INDEX(生物种群!$A:$A,COUNTA(生物种群!$A:$A)),MATCH($A5,生物种群!$C$3:INDEX(生物种群!$C:$C,COUNTA(生物种群!$C:$C)),),),INDEX(生物种群!$A$3:INDEX(生物种群!$A:$A,COUNTA(生物种群!$A:$A)),MATCH($B5,生物种群!$D$3:INDEX(生物种群!$D:$D,COUNTA(生物种群!$D:$D)),),))),"")</f>
        <v>矛棘虫属</v>
      </c>
      <c r="I5" s="108" t="str">
        <f>IF(H5="","",INDEX(生物种群!$B$3:INDEX(生物种群!$B:$B,COUNTA(生物种群!$B:$B)),MATCH($H5,生物种群!$A$3:INDEX(生物种群!$A:$A,COUNTA(生物种群!$A:$A)),),))</f>
        <v>Hastigerinia sp.</v>
      </c>
      <c r="J5" s="55" t="str">
        <f>IF(H5="","",INDEX(生物种群!$I$3:INDEX(生物种群!$I:$I,COUNTA(生物种群!$I:$I)),MATCH($H5,生物种群!$A$3:INDEX(生物种群!$A:$A,COUNTA(生物种群!$A:$A)),),))</f>
        <v/>
      </c>
      <c r="K5" s="107" t="str">
        <f>IF(H5="","",INDEX(生物种群!$E$3:INDEX(生物种群!$E:$E,COUNTA(生物种群!$E:$E)),MATCH($H5,生物种群!$A$3:INDEX(生物种群!$A:$A,COUNTA(生物种群!$A:$A)),),))</f>
        <v>原生动物</v>
      </c>
      <c r="L5" s="46">
        <f t="shared" si="2"/>
        <v>100</v>
      </c>
      <c r="M5" s="47">
        <f>IF(L5="","",ROUND((L5)/VLOOKUP($F5,IF({1,0},站位样品信息!$A$3:INDEX(站位样品信息!$A:$A,COUNTA(站位样品信息!$A:$A)+1),站位样品信息!$H$3:INDEX(站位样品信息!$H:$H,COUNTA(站位样品信息!$H:$H)+1)),2,0),2))</f>
        <v>100</v>
      </c>
      <c r="O5" s="49"/>
      <c r="P5" s="53" t="str">
        <f t="shared" si="0"/>
        <v>A2N44ZQ091Hastigerinia sp.</v>
      </c>
      <c r="Q5" s="53" t="str">
        <f t="shared" si="1"/>
        <v/>
      </c>
    </row>
    <row r="6" spans="1:17" ht="19.5" customHeight="1">
      <c r="A6" s="38"/>
      <c r="B6" s="38"/>
      <c r="C6" s="91">
        <v>101005</v>
      </c>
      <c r="D6" s="37">
        <v>4</v>
      </c>
      <c r="E6" s="37">
        <v>4</v>
      </c>
      <c r="F6" s="53" t="s">
        <v>10245</v>
      </c>
      <c r="G6" s="37" t="str">
        <f>IF(F6="","",INDEX(站位样品信息!$B$3:INDEX(站位样品信息!$B:$B,COUNTA(站位样品信息!$B:$B)+1),MATCH($F6,站位样品信息!$A$3:INDEX(站位样品信息!$A:$A,COUNTA(站位样品信息!$A:$A)+1),),))</f>
        <v>B0138</v>
      </c>
      <c r="H6" s="107" t="str">
        <f>IF(OR(A6&lt;&gt;"",B6&lt;&gt;"",C6&lt;&gt;""),IF($C6&lt;&gt;0,INDEX(生物种群!$A$3:INDEX(生物种群!$A:$A,COUNTA(生物种群!$A:$A)),MATCH($C6,生物种群!$F$3:INDEX(生物种群!$F:$F,COUNTA(生物种群!$F:$F)),),),IF($A6&lt;&gt;0,INDEX(生物种群!$A$3:INDEX(生物种群!$A:$A,COUNTA(生物种群!$A:$A)),MATCH($A6,生物种群!$C$3:INDEX(生物种群!$C:$C,COUNTA(生物种群!$C:$C)),),),INDEX(生物种群!$A$3:INDEX(生物种群!$A:$A,COUNTA(生物种群!$A:$A)),MATCH($B6,生物种群!$D$3:INDEX(生物种群!$D:$D,COUNTA(生物种群!$D:$D)),),))),"")</f>
        <v>圆辐虫属</v>
      </c>
      <c r="I6" s="108" t="str">
        <f>IF(H6="","",INDEX(生物种群!$B$3:INDEX(生物种群!$B:$B,COUNTA(生物种群!$B:$B)),MATCH($H6,生物种群!$A$3:INDEX(生物种群!$A:$A,COUNTA(生物种群!$A:$A)),),))</f>
        <v>Globorotalia sp.</v>
      </c>
      <c r="J6" s="55" t="str">
        <f>IF(H6="","",INDEX(生物种群!$I$3:INDEX(生物种群!$I:$I,COUNTA(生物种群!$I:$I)),MATCH($H6,生物种群!$A$3:INDEX(生物种群!$A:$A,COUNTA(生物种群!$A:$A)),),))</f>
        <v/>
      </c>
      <c r="K6" s="107" t="str">
        <f>IF(H6="","",INDEX(生物种群!$E$3:INDEX(生物种群!$E:$E,COUNTA(生物种群!$E:$E)),MATCH($H6,生物种群!$A$3:INDEX(生物种群!$A:$A,COUNTA(生物种群!$A:$A)),),))</f>
        <v>原生动物</v>
      </c>
      <c r="L6" s="46">
        <f t="shared" si="2"/>
        <v>100</v>
      </c>
      <c r="M6" s="47">
        <f>IF(L6="","",ROUND((L6)/VLOOKUP($F6,IF({1,0},站位样品信息!$A$3:INDEX(站位样品信息!$A:$A,COUNTA(站位样品信息!$A:$A)+1),站位样品信息!$H$3:INDEX(站位样品信息!$H:$H,COUNTA(站位样品信息!$H:$H)+1)),2,0),2))</f>
        <v>31.25</v>
      </c>
      <c r="O6" s="49"/>
      <c r="P6" s="53" t="str">
        <f t="shared" si="0"/>
        <v>A2N44ZQ070Globorotalia sp.</v>
      </c>
      <c r="Q6" s="53" t="str">
        <f t="shared" si="1"/>
        <v/>
      </c>
    </row>
    <row r="7" spans="1:17" ht="19.5" customHeight="1">
      <c r="A7" s="38"/>
      <c r="B7" s="38"/>
      <c r="C7" s="91">
        <v>101013</v>
      </c>
      <c r="D7" s="37">
        <v>5</v>
      </c>
      <c r="E7" s="37">
        <v>5</v>
      </c>
      <c r="F7" s="53" t="s">
        <v>10247</v>
      </c>
      <c r="G7" s="37" t="str">
        <f>IF(F7="","",INDEX(站位样品信息!$B$3:INDEX(站位样品信息!$B:$B,COUNTA(站位样品信息!$B:$B)+1),MATCH($F7,站位样品信息!$A$3:INDEX(站位样品信息!$A:$A,COUNTA(站位样品信息!$A:$A)+1),),))</f>
        <v>B0038</v>
      </c>
      <c r="H7" s="107" t="str">
        <f>IF(OR(A7&lt;&gt;"",B7&lt;&gt;"",C7&lt;&gt;""),IF($C7&lt;&gt;0,INDEX(生物种群!$A$3:INDEX(生物种群!$A:$A,COUNTA(生物种群!$A:$A)),MATCH($C7,生物种群!$F$3:INDEX(生物种群!$F:$F,COUNTA(生物种群!$F:$F)),),),IF($A7&lt;&gt;0,INDEX(生物种群!$A$3:INDEX(生物种群!$A:$A,COUNTA(生物种群!$A:$A)),MATCH($A7,生物种群!$C$3:INDEX(生物种群!$C:$C,COUNTA(生物种群!$C:$C)),),),INDEX(生物种群!$A$3:INDEX(生物种群!$A:$A,COUNTA(生物种群!$A:$A)),MATCH($B7,生物种群!$D$3:INDEX(生物种群!$D:$D,COUNTA(生物种群!$D:$D)),),))),"")</f>
        <v>抱球虫属</v>
      </c>
      <c r="I7" s="108" t="str">
        <f>IF(H7="","",INDEX(生物种群!$B$3:INDEX(生物种群!$B:$B,COUNTA(生物种群!$B:$B)),MATCH($H7,生物种群!$A$3:INDEX(生物种群!$A:$A,COUNTA(生物种群!$A:$A)),),))</f>
        <v>Globigerina sp.</v>
      </c>
      <c r="J7" s="55" t="str">
        <f>IF(H7="","",INDEX(生物种群!$I$3:INDEX(生物种群!$I:$I,COUNTA(生物种群!$I:$I)),MATCH($H7,生物种群!$A$3:INDEX(生物种群!$A:$A,COUNTA(生物种群!$A:$A)),),))</f>
        <v/>
      </c>
      <c r="K7" s="107" t="str">
        <f>IF(H7="","",INDEX(生物种群!$E$3:INDEX(生物种群!$E:$E,COUNTA(生物种群!$E:$E)),MATCH($H7,生物种群!$A$3:INDEX(生物种群!$A:$A,COUNTA(生物种群!$A:$A)),),))</f>
        <v>原生动物</v>
      </c>
      <c r="L7" s="46">
        <f t="shared" si="2"/>
        <v>100</v>
      </c>
      <c r="M7" s="47">
        <f>IF(L7="","",ROUND((L7)/VLOOKUP($F7,IF({1,0},站位样品信息!$A$3:INDEX(站位样品信息!$A:$A,COUNTA(站位样品信息!$A:$A)+1),站位样品信息!$H$3:INDEX(站位样品信息!$H:$H,COUNTA(站位样品信息!$H:$H)+1)),2,0),2))</f>
        <v>39.06</v>
      </c>
      <c r="O7" s="49"/>
      <c r="P7" s="53" t="str">
        <f t="shared" si="0"/>
        <v>A2N44ZQ071Globigerina sp.</v>
      </c>
      <c r="Q7" s="53" t="str">
        <f t="shared" si="1"/>
        <v/>
      </c>
    </row>
    <row r="8" spans="1:17" ht="19.5" customHeight="1">
      <c r="A8" s="38"/>
      <c r="B8" s="38"/>
      <c r="C8" s="91">
        <v>101021</v>
      </c>
      <c r="D8" s="37">
        <v>6</v>
      </c>
      <c r="E8" s="37">
        <v>6</v>
      </c>
      <c r="F8" s="53" t="s">
        <v>10250</v>
      </c>
      <c r="G8" s="37" t="str">
        <f>IF(F8="","",INDEX(站位样品信息!$B$3:INDEX(站位样品信息!$B:$B,COUNTA(站位样品信息!$B:$B)+1),MATCH($F8,站位样品信息!$A$3:INDEX(站位样品信息!$A:$A,COUNTA(站位样品信息!$A:$A)+1),),))</f>
        <v>B0026</v>
      </c>
      <c r="H8" s="107" t="str">
        <f>IF(OR(A8&lt;&gt;"",B8&lt;&gt;"",C8&lt;&gt;""),IF($C8&lt;&gt;0,INDEX(生物种群!$A$3:INDEX(生物种群!$A:$A,COUNTA(生物种群!$A:$A)),MATCH($C8,生物种群!$F$3:INDEX(生物种群!$F:$F,COUNTA(生物种群!$F:$F)),),),IF($A8&lt;&gt;0,INDEX(生物种群!$A$3:INDEX(生物种群!$A:$A,COUNTA(生物种群!$A:$A)),MATCH($A8,生物种群!$C$3:INDEX(生物种群!$C:$C,COUNTA(生物种群!$C:$C)),),),INDEX(生物种群!$A$3:INDEX(生物种群!$A:$A,COUNTA(生物种群!$A:$A)),MATCH($B8,生物种群!$D$3:INDEX(生物种群!$D:$D,COUNTA(生物种群!$D:$D)),),))),"")</f>
        <v>小矛棘虫属</v>
      </c>
      <c r="I8" s="108" t="str">
        <f>IF(H8="","",INDEX(生物种群!$B$3:INDEX(生物种群!$B:$B,COUNTA(生物种群!$B:$B)),MATCH($H8,生物种群!$A$3:INDEX(生物种群!$A:$A,COUNTA(生物种群!$A:$A)),),))</f>
        <v>Hastigerinella sp.</v>
      </c>
      <c r="J8" s="55" t="str">
        <f>IF(H8="","",INDEX(生物种群!$I$3:INDEX(生物种群!$I:$I,COUNTA(生物种群!$I:$I)),MATCH($H8,生物种群!$A$3:INDEX(生物种群!$A:$A,COUNTA(生物种群!$A:$A)),),))</f>
        <v/>
      </c>
      <c r="K8" s="107" t="str">
        <f>IF(H8="","",INDEX(生物种群!$E$3:INDEX(生物种群!$E:$E,COUNTA(生物种群!$E:$E)),MATCH($H8,生物种群!$A$3:INDEX(生物种群!$A:$A,COUNTA(生物种群!$A:$A)),),))</f>
        <v>原生动物</v>
      </c>
      <c r="L8" s="46">
        <f t="shared" si="2"/>
        <v>100</v>
      </c>
      <c r="M8" s="47">
        <f>IF(L8="","",ROUND((L8)/VLOOKUP($F8,IF({1,0},站位样品信息!$A$3:INDEX(站位样品信息!$A:$A,COUNTA(站位样品信息!$A:$A)+1),站位样品信息!$H$3:INDEX(站位样品信息!$H:$H,COUNTA(站位样品信息!$H:$H)+1)),2,0),2))</f>
        <v>83.33</v>
      </c>
      <c r="O8" s="49"/>
      <c r="P8" s="53" t="str">
        <f t="shared" si="0"/>
        <v>A2N44ZQ072Hastigerinella sp.</v>
      </c>
      <c r="Q8" s="53" t="str">
        <f t="shared" si="1"/>
        <v/>
      </c>
    </row>
    <row r="9" spans="1:17" ht="19.5" customHeight="1">
      <c r="A9" s="38"/>
      <c r="B9" s="38"/>
      <c r="C9" s="91">
        <v>101023</v>
      </c>
      <c r="D9" s="37">
        <v>7</v>
      </c>
      <c r="E9" s="37">
        <v>7</v>
      </c>
      <c r="F9" s="53" t="s">
        <v>10252</v>
      </c>
      <c r="G9" s="37" t="str">
        <f>IF(F9="","",INDEX(站位样品信息!$B$3:INDEX(站位样品信息!$B:$B,COUNTA(站位样品信息!$B:$B)+1),MATCH($F9,站位样品信息!$A$3:INDEX(站位样品信息!$A:$A,COUNTA(站位样品信息!$A:$A)+1),),))</f>
        <v>B0049</v>
      </c>
      <c r="H9" s="107" t="str">
        <f>IF(OR(A9&lt;&gt;"",B9&lt;&gt;"",C9&lt;&gt;""),IF($C9&lt;&gt;0,INDEX(生物种群!$A$3:INDEX(生物种群!$A:$A,COUNTA(生物种群!$A:$A)),MATCH($C9,生物种群!$F$3:INDEX(生物种群!$F:$F,COUNTA(生物种群!$F:$F)),),),IF($A9&lt;&gt;0,INDEX(生物种群!$A$3:INDEX(生物种群!$A:$A,COUNTA(生物种群!$A:$A)),MATCH($A9,生物种群!$C$3:INDEX(生物种群!$C:$C,COUNTA(生物种群!$C:$C)),),),INDEX(生物种群!$A$3:INDEX(生物种群!$A:$A,COUNTA(生物种群!$A:$A)),MATCH($B9,生物种群!$D$3:INDEX(生物种群!$D:$D,COUNTA(生物种群!$D:$D)),),))),"")</f>
        <v>拟抱球虫属</v>
      </c>
      <c r="I9" s="108" t="str">
        <f>IF(H9="","",INDEX(生物种群!$B$3:INDEX(生物种群!$B:$B,COUNTA(生物种群!$B:$B)),MATCH($H9,生物种群!$A$3:INDEX(生物种群!$A:$A,COUNTA(生物种群!$A:$A)),),))</f>
        <v>Globigerinoides sp.</v>
      </c>
      <c r="J9" s="55" t="str">
        <f>IF(H9="","",INDEX(生物种群!$I$3:INDEX(生物种群!$I:$I,COUNTA(生物种群!$I:$I)),MATCH($H9,生物种群!$A$3:INDEX(生物种群!$A:$A,COUNTA(生物种群!$A:$A)),),))</f>
        <v/>
      </c>
      <c r="K9" s="107" t="str">
        <f>IF(H9="","",INDEX(生物种群!$E$3:INDEX(生物种群!$E:$E,COUNTA(生物种群!$E:$E)),MATCH($H9,生物种群!$A$3:INDEX(生物种群!$A:$A,COUNTA(生物种群!$A:$A)),),))</f>
        <v>原生动物</v>
      </c>
      <c r="L9" s="46">
        <f t="shared" si="2"/>
        <v>100</v>
      </c>
      <c r="M9" s="47">
        <f>IF(L9="","",ROUND((L9)/VLOOKUP($F9,IF({1,0},站位样品信息!$A$3:INDEX(站位样品信息!$A:$A,COUNTA(站位样品信息!$A:$A)+1),站位样品信息!$H$3:INDEX(站位样品信息!$H:$H,COUNTA(站位样品信息!$H:$H)+1)),2,0),2))</f>
        <v>21.74</v>
      </c>
      <c r="O9" s="49"/>
      <c r="P9" s="53" t="str">
        <f t="shared" si="0"/>
        <v>A2N44ZQ073Globigerinoides sp.</v>
      </c>
      <c r="Q9" s="53" t="str">
        <f t="shared" si="1"/>
        <v/>
      </c>
    </row>
    <row r="10" spans="1:17" ht="19.5" customHeight="1">
      <c r="A10" s="38"/>
      <c r="B10" s="38"/>
      <c r="C10" s="86">
        <v>101043</v>
      </c>
      <c r="D10" s="37">
        <v>8</v>
      </c>
      <c r="E10" s="37">
        <v>8</v>
      </c>
      <c r="F10" s="53" t="s">
        <v>10254</v>
      </c>
      <c r="G10" s="37" t="str">
        <f>IF(F10="","",INDEX(站位样品信息!$B$3:INDEX(站位样品信息!$B:$B,COUNTA(站位样品信息!$B:$B)+1),MATCH($F10,站位样品信息!$A$3:INDEX(站位样品信息!$A:$A,COUNTA(站位样品信息!$A:$A)+1),),))</f>
        <v>B0104</v>
      </c>
      <c r="H10" s="107" t="str">
        <f>IF(OR(A10&lt;&gt;"",B10&lt;&gt;"",C10&lt;&gt;""),IF($C10&lt;&gt;0,INDEX(生物种群!$A$3:INDEX(生物种群!$A:$A,COUNTA(生物种群!$A:$A)),MATCH($C10,生物种群!$F$3:INDEX(生物种群!$F:$F,COUNTA(生物种群!$F:$F)),),),IF($A10&lt;&gt;0,INDEX(生物种群!$A$3:INDEX(生物种群!$A:$A,COUNTA(生物种群!$A:$A)),MATCH($A10,生物种群!$C$3:INDEX(生物种群!$C:$C,COUNTA(生物种群!$C:$C)),),),INDEX(生物种群!$A$3:INDEX(生物种群!$A:$A,COUNTA(生物种群!$A:$A)),MATCH($B10,生物种群!$D$3:INDEX(生物种群!$D:$D,COUNTA(生物种群!$D:$D)),),))),"")</f>
        <v>拟铃虫属</v>
      </c>
      <c r="I10" s="108" t="str">
        <f>IF(H10="","",INDEX(生物种群!$B$3:INDEX(生物种群!$B:$B,COUNTA(生物种群!$B:$B)),MATCH($H10,生物种群!$A$3:INDEX(生物种群!$A:$A,COUNTA(生物种群!$A:$A)),),))</f>
        <v>Tintinnopsis sp.</v>
      </c>
      <c r="J10" s="55" t="str">
        <f>IF(H10="","",INDEX(生物种群!$I$3:INDEX(生物种群!$I:$I,COUNTA(生物种群!$I:$I)),MATCH($H10,生物种群!$A$3:INDEX(生物种群!$A:$A,COUNTA(生物种群!$A:$A)),),))</f>
        <v/>
      </c>
      <c r="K10" s="107" t="str">
        <f>IF(H10="","",INDEX(生物种群!$E$3:INDEX(生物种群!$E:$E,COUNTA(生物种群!$E:$E)),MATCH($H10,生物种群!$A$3:INDEX(生物种群!$A:$A,COUNTA(生物种群!$A:$A)),),))</f>
        <v>原生动物</v>
      </c>
      <c r="L10" s="46">
        <f t="shared" si="2"/>
        <v>100</v>
      </c>
      <c r="M10" s="47">
        <f>IF(L10="","",ROUND((L10)/VLOOKUP($F10,IF({1,0},站位样品信息!$A$3:INDEX(站位样品信息!$A:$A,COUNTA(站位样品信息!$A:$A)+1),站位样品信息!$H$3:INDEX(站位样品信息!$H:$H,COUNTA(站位样品信息!$H:$H)+1)),2,0),2))</f>
        <v>39.06</v>
      </c>
      <c r="O10" s="49"/>
      <c r="P10" s="53" t="str">
        <f t="shared" si="0"/>
        <v>A2N44ZQ076Tintinnopsis sp.</v>
      </c>
      <c r="Q10" s="53" t="str">
        <f t="shared" si="1"/>
        <v/>
      </c>
    </row>
    <row r="11" spans="1:17" ht="19.5" customHeight="1">
      <c r="A11" s="38"/>
      <c r="B11" s="38"/>
      <c r="C11" s="91">
        <v>101044</v>
      </c>
      <c r="D11" s="37">
        <v>9</v>
      </c>
      <c r="E11" s="37">
        <v>9</v>
      </c>
      <c r="F11" s="53" t="s">
        <v>10256</v>
      </c>
      <c r="G11" s="37" t="str">
        <f>IF(F11="","",INDEX(站位样品信息!$B$3:INDEX(站位样品信息!$B:$B,COUNTA(站位样品信息!$B:$B)+1),MATCH($F11,站位样品信息!$A$3:INDEX(站位样品信息!$A:$A,COUNTA(站位样品信息!$A:$A)+1),),))</f>
        <v>B0031</v>
      </c>
      <c r="H11" s="107" t="str">
        <f>IF(OR(A11&lt;&gt;"",B11&lt;&gt;"",C11&lt;&gt;""),IF($C11&lt;&gt;0,INDEX(生物种群!$A$3:INDEX(生物种群!$A:$A,COUNTA(生物种群!$A:$A)),MATCH($C11,生物种群!$F$3:INDEX(生物种群!$F:$F,COUNTA(生物种群!$F:$F)),),),IF($A11&lt;&gt;0,INDEX(生物种群!$A$3:INDEX(生物种群!$A:$A,COUNTA(生物种群!$A:$A)),MATCH($A11,生物种群!$C$3:INDEX(生物种群!$C:$C,COUNTA(生物种群!$C:$C)),),),INDEX(生物种群!$A$3:INDEX(生物种群!$A:$A,COUNTA(生物种群!$A:$A)),MATCH($B11,生物种群!$D$3:INDEX(生物种群!$D:$D,COUNTA(生物种群!$D:$D)),),))),"")</f>
        <v>网纹虫属</v>
      </c>
      <c r="I11" s="108" t="str">
        <f>IF(H11="","",INDEX(生物种群!$B$3:INDEX(生物种群!$B:$B,COUNTA(生物种群!$B:$B)),MATCH($H11,生物种群!$A$3:INDEX(生物种群!$A:$A,COUNTA(生物种群!$A:$A)),),))</f>
        <v>Favella sp.</v>
      </c>
      <c r="J11" s="55" t="str">
        <f>IF(H11="","",INDEX(生物种群!$I$3:INDEX(生物种群!$I:$I,COUNTA(生物种群!$I:$I)),MATCH($H11,生物种群!$A$3:INDEX(生物种群!$A:$A,COUNTA(生物种群!$A:$A)),),))</f>
        <v/>
      </c>
      <c r="K11" s="107" t="str">
        <f>IF(H11="","",INDEX(生物种群!$E$3:INDEX(生物种群!$E:$E,COUNTA(生物种群!$E:$E)),MATCH($H11,生物种群!$A$3:INDEX(生物种群!$A:$A,COUNTA(生物种群!$A:$A)),),))</f>
        <v>原生动物</v>
      </c>
      <c r="L11" s="46">
        <f t="shared" si="2"/>
        <v>100</v>
      </c>
      <c r="M11" s="47">
        <f>IF(L11="","",ROUND((L11)/VLOOKUP($F11,IF({1,0},站位样品信息!$A$3:INDEX(站位样品信息!$A:$A,COUNTA(站位样品信息!$A:$A)+1),站位样品信息!$H$3:INDEX(站位样品信息!$H:$H,COUNTA(站位样品信息!$H:$H)+1)),2,0),2))</f>
        <v>83.33</v>
      </c>
      <c r="O11" s="49"/>
      <c r="P11" s="53" t="str">
        <f t="shared" si="0"/>
        <v>A2N44ZQ074Favella sp.</v>
      </c>
      <c r="Q11" s="53" t="str">
        <f t="shared" si="1"/>
        <v/>
      </c>
    </row>
    <row r="12" spans="1:17" ht="19.5" customHeight="1">
      <c r="A12" s="38"/>
      <c r="B12" s="38"/>
      <c r="C12" s="91">
        <v>210001</v>
      </c>
      <c r="D12" s="37">
        <v>10</v>
      </c>
      <c r="E12" s="37">
        <v>10</v>
      </c>
      <c r="F12" s="53" t="s">
        <v>10258</v>
      </c>
      <c r="G12" s="37" t="str">
        <f>IF(F12="","",INDEX(站位样品信息!$B$3:INDEX(站位样品信息!$B:$B,COUNTA(站位样品信息!$B:$B)+1),MATCH($F12,站位样品信息!$A$3:INDEX(站位样品信息!$A:$A,COUNTA(站位样品信息!$A:$A)+1),),))</f>
        <v>B0065</v>
      </c>
      <c r="H12" s="107" t="str">
        <f>IF(OR(A12&lt;&gt;"",B12&lt;&gt;"",C12&lt;&gt;""),IF($C12&lt;&gt;0,INDEX(生物种群!$A$3:INDEX(生物种群!$A:$A,COUNTA(生物种群!$A:$A)),MATCH($C12,生物种群!$F$3:INDEX(生物种群!$F:$F,COUNTA(生物种群!$F:$F)),),),IF($A12&lt;&gt;0,INDEX(生物种群!$A$3:INDEX(生物种群!$A:$A,COUNTA(生物种群!$A:$A)),MATCH($A12,生物种群!$C$3:INDEX(生物种群!$C:$C,COUNTA(生物种群!$C:$C)),),),INDEX(生物种群!$A$3:INDEX(生物种群!$A:$A,COUNTA(生物种群!$A:$A)),MATCH($B12,生物种群!$D$3:INDEX(生物种群!$D:$D,COUNTA(生物种群!$D:$D)),),))),"")</f>
        <v>四手筐水母</v>
      </c>
      <c r="I12" s="108" t="str">
        <f>IF(H12="","",INDEX(生物种群!$B$3:INDEX(生物种群!$B:$B,COUNTA(生物种群!$B:$B)),MATCH($H12,生物种群!$A$3:INDEX(生物种群!$A:$A,COUNTA(生物种群!$A:$A)),),))</f>
        <v>Aegina citrea </v>
      </c>
      <c r="J12" s="55" t="str">
        <f>IF(H12="","",INDEX(生物种群!$I$3:INDEX(生物种群!$I:$I,COUNTA(生物种群!$I:$I)),MATCH($H12,生物种群!$A$3:INDEX(生物种群!$A:$A,COUNTA(生物种群!$A:$A)),),))</f>
        <v>Eschscholtz, 1829</v>
      </c>
      <c r="K12" s="107" t="str">
        <f>IF(H12="","",INDEX(生物种群!$E$3:INDEX(生物种群!$E:$E,COUNTA(生物种群!$E:$E)),MATCH($H12,生物种群!$A$3:INDEX(生物种群!$A:$A,COUNTA(生物种群!$A:$A)),),))</f>
        <v>腔肠动物</v>
      </c>
      <c r="L12" s="46">
        <f t="shared" si="2"/>
        <v>100</v>
      </c>
      <c r="M12" s="47">
        <f>IF(L12="","",ROUND((L12)/VLOOKUP($F12,IF({1,0},站位样品信息!$A$3:INDEX(站位样品信息!$A:$A,COUNTA(站位样品信息!$A:$A)+1),站位样品信息!$H$3:INDEX(站位样品信息!$H:$H,COUNTA(站位样品信息!$H:$H)+1)),2,0),2))</f>
        <v>100</v>
      </c>
      <c r="O12" s="49"/>
      <c r="P12" s="53" t="str">
        <f t="shared" si="0"/>
        <v>A2N44ZQ085Aegina citrea </v>
      </c>
      <c r="Q12" s="53" t="str">
        <f t="shared" si="1"/>
        <v/>
      </c>
    </row>
    <row r="13" spans="1:17" ht="19.5" customHeight="1">
      <c r="A13" s="38"/>
      <c r="B13" s="38"/>
      <c r="C13" s="91">
        <v>210002</v>
      </c>
      <c r="D13" s="37">
        <v>11</v>
      </c>
      <c r="E13" s="37">
        <v>11</v>
      </c>
      <c r="F13" s="53" t="s">
        <v>10261</v>
      </c>
      <c r="G13" s="37" t="str">
        <f>IF(F13="","",INDEX(站位样品信息!$B$3:INDEX(站位样品信息!$B:$B,COUNTA(站位样品信息!$B:$B)+1),MATCH($F13,站位样品信息!$A$3:INDEX(站位样品信息!$A:$A,COUNTA(站位样品信息!$A:$A)+1),),))</f>
        <v>B0025</v>
      </c>
      <c r="H13" s="107" t="str">
        <f>IF(OR(A13&lt;&gt;"",B13&lt;&gt;"",C13&lt;&gt;""),IF($C13&lt;&gt;0,INDEX(生物种群!$A$3:INDEX(生物种群!$A:$A,COUNTA(生物种群!$A:$A)),MATCH($C13,生物种群!$F$3:INDEX(生物种群!$F:$F,COUNTA(生物种群!$F:$F)),),),IF($A13&lt;&gt;0,INDEX(生物种群!$A$3:INDEX(生物种群!$A:$A,COUNTA(生物种群!$A:$A)),MATCH($A13,生物种群!$C$3:INDEX(生物种群!$C:$C,COUNTA(生物种群!$C:$C)),),),INDEX(生物种群!$A$3:INDEX(生物种群!$A:$A,COUNTA(生物种群!$A:$A)),MATCH($B13,生物种群!$D$3:INDEX(生物种群!$D:$D,COUNTA(生物种群!$D:$D)),),))),"")</f>
        <v>八手筐水母属</v>
      </c>
      <c r="I13" s="108" t="str">
        <f>IF(H13="","",INDEX(生物种群!$B$3:INDEX(生物种群!$B:$B,COUNTA(生物种群!$B:$B)),MATCH($H13,生物种群!$A$3:INDEX(生物种群!$A:$A,COUNTA(生物种群!$A:$A)),),))</f>
        <v>Aeginura sp.</v>
      </c>
      <c r="J13" s="55" t="str">
        <f>IF(H13="","",INDEX(生物种群!$I$3:INDEX(生物种群!$I:$I,COUNTA(生物种群!$I:$I)),MATCH($H13,生物种群!$A$3:INDEX(生物种群!$A:$A,COUNTA(生物种群!$A:$A)),),))</f>
        <v/>
      </c>
      <c r="K13" s="107" t="str">
        <f>IF(H13="","",INDEX(生物种群!$E$3:INDEX(生物种群!$E:$E,COUNTA(生物种群!$E:$E)),MATCH($H13,生物种群!$A$3:INDEX(生物种群!$A:$A,COUNTA(生物种群!$A:$A)),),))</f>
        <v>腔肠动物</v>
      </c>
      <c r="L13" s="46">
        <f t="shared" si="3" ref="L13:L76">IFERROR(IF(OR(D13="",E13=""),"",D13/E13*100),"")</f>
        <v>100</v>
      </c>
      <c r="M13" s="47">
        <f>IF(L13="","",ROUND((L13)/VLOOKUP($F13,IF({1,0},站位样品信息!$A$3:INDEX(站位样品信息!$A:$A,COUNTA(站位样品信息!$A:$A)+1),站位样品信息!$H$3:INDEX(站位样品信息!$H:$H,COUNTA(站位样品信息!$H:$H)+1)),2,0),2))</f>
        <v>40</v>
      </c>
      <c r="O13" s="49"/>
      <c r="P13" s="53" t="str">
        <f t="shared" si="0"/>
        <v>A2N44ZQ082Aeginura sp.</v>
      </c>
      <c r="Q13" s="53" t="str">
        <f t="shared" si="1"/>
        <v/>
      </c>
    </row>
    <row r="14" spans="1:17" ht="19.5" customHeight="1">
      <c r="A14" s="38"/>
      <c r="B14" s="38"/>
      <c r="C14" s="91">
        <v>210003</v>
      </c>
      <c r="D14" s="37">
        <v>12</v>
      </c>
      <c r="E14" s="37">
        <v>12</v>
      </c>
      <c r="F14" s="53" t="s">
        <v>10265</v>
      </c>
      <c r="G14" s="37" t="str">
        <f>IF(F14="","",INDEX(站位样品信息!$B$3:INDEX(站位样品信息!$B:$B,COUNTA(站位样品信息!$B:$B)+1),MATCH($F14,站位样品信息!$A$3:INDEX(站位样品信息!$A:$A,COUNTA(站位样品信息!$A:$A)+1),),))</f>
        <v>B0095</v>
      </c>
      <c r="H14" s="107" t="str">
        <f>IF(OR(A14&lt;&gt;"",B14&lt;&gt;"",C14&lt;&gt;""),IF($C14&lt;&gt;0,INDEX(生物种群!$A$3:INDEX(生物种群!$A:$A,COUNTA(生物种群!$A:$A)),MATCH($C14,生物种群!$F$3:INDEX(生物种群!$F:$F,COUNTA(生物种群!$F:$F)),),),IF($A14&lt;&gt;0,INDEX(生物种群!$A$3:INDEX(生物种群!$A:$A,COUNTA(生物种群!$A:$A)),MATCH($A14,生物种群!$C$3:INDEX(生物种群!$C:$C,COUNTA(生物种群!$C:$C)),),),INDEX(生物种群!$A$3:INDEX(生物种群!$A:$A,COUNTA(生物种群!$A:$A)),MATCH($B14,生物种群!$D$3:INDEX(生物种群!$D:$D,COUNTA(生物种群!$D:$D)),),))),"")</f>
        <v>八手筐水母</v>
      </c>
      <c r="I14" s="108" t="str">
        <f>IF(H14="","",INDEX(生物种群!$B$3:INDEX(生物种群!$B:$B,COUNTA(生物种群!$B:$B)),MATCH($H14,生物种群!$A$3:INDEX(生物种群!$A:$A,COUNTA(生物种群!$A:$A)),),))</f>
        <v>Aeginura grimaldii </v>
      </c>
      <c r="J14" s="55" t="str">
        <f>IF(H14="","",INDEX(生物种群!$I$3:INDEX(生物种群!$I:$I,COUNTA(生物种群!$I:$I)),MATCH($H14,生物种群!$A$3:INDEX(生物种群!$A:$A,COUNTA(生物种群!$A:$A)),),))</f>
        <v>Maas, 1904</v>
      </c>
      <c r="K14" s="107" t="str">
        <f>IF(H14="","",INDEX(生物种群!$E$3:INDEX(生物种群!$E:$E,COUNTA(生物种群!$E:$E)),MATCH($H14,生物种群!$A$3:INDEX(生物种群!$A:$A,COUNTA(生物种群!$A:$A)),),))</f>
        <v>腔肠动物</v>
      </c>
      <c r="L14" s="46">
        <f t="shared" si="3"/>
        <v>100</v>
      </c>
      <c r="M14" s="47">
        <f>IF(L14="","",ROUND((L14)/VLOOKUP($F14,IF({1,0},站位样品信息!$A$3:INDEX(站位样品信息!$A:$A,COUNTA(站位样品信息!$A:$A)+1),站位样品信息!$H$3:INDEX(站位样品信息!$H:$H,COUNTA(站位样品信息!$H:$H)+1)),2,0),2))</f>
        <v>25</v>
      </c>
      <c r="O14" s="49"/>
      <c r="P14" s="53" t="str">
        <f t="shared" si="0"/>
        <v>A2N44ZQ081Aeginura grimaldii </v>
      </c>
      <c r="Q14" s="53" t="str">
        <f t="shared" si="1"/>
        <v/>
      </c>
    </row>
    <row r="15" spans="1:17" ht="19.5" customHeight="1">
      <c r="A15" s="38"/>
      <c r="B15" s="38"/>
      <c r="C15" s="86">
        <v>210004</v>
      </c>
      <c r="D15" s="37">
        <v>13</v>
      </c>
      <c r="E15" s="37">
        <v>13</v>
      </c>
      <c r="F15" s="53" t="s">
        <v>10267</v>
      </c>
      <c r="G15" s="37" t="str">
        <f>IF(F15="","",INDEX(站位样品信息!$B$3:INDEX(站位样品信息!$B:$B,COUNTA(站位样品信息!$B:$B)+1),MATCH($F15,站位样品信息!$A$3:INDEX(站位样品信息!$A:$A,COUNTA(站位样品信息!$A:$A)+1),),))</f>
        <v>B0074</v>
      </c>
      <c r="H15" s="107" t="str">
        <f>IF(OR(A15&lt;&gt;"",B15&lt;&gt;"",C15&lt;&gt;""),IF($C15&lt;&gt;0,INDEX(生物种群!$A$3:INDEX(生物种群!$A:$A,COUNTA(生物种群!$A:$A)),MATCH($C15,生物种群!$F$3:INDEX(生物种群!$F:$F,COUNTA(生物种群!$F:$F)),),),IF($A15&lt;&gt;0,INDEX(生物种群!$A$3:INDEX(生物种群!$A:$A,COUNTA(生物种群!$A:$A)),MATCH($A15,生物种群!$C$3:INDEX(生物种群!$C:$C,COUNTA(生物种群!$C:$C)),),),INDEX(生物种群!$A$3:INDEX(生物种群!$A:$A,COUNTA(生物种群!$A:$A)),MATCH($B15,生物种群!$D$3:INDEX(生物种群!$D:$D,COUNTA(生物种群!$D:$D)),),))),"")</f>
        <v>刺纹水母属</v>
      </c>
      <c r="I15" s="108" t="str">
        <f>IF(H15="","",INDEX(生物种群!$B$3:INDEX(生物种群!$B:$B,COUNTA(生物种群!$B:$B)),MATCH($H15,生物种群!$A$3:INDEX(生物种群!$A:$A,COUNTA(生物种群!$A:$A)),),))</f>
        <v>Otoporpa sp.</v>
      </c>
      <c r="J15" s="55" t="str">
        <f>IF(H15="","",INDEX(生物种群!$I$3:INDEX(生物种群!$I:$I,COUNTA(生物种群!$I:$I)),MATCH($H15,生物种群!$A$3:INDEX(生物种群!$A:$A,COUNTA(生物种群!$A:$A)),),))</f>
        <v/>
      </c>
      <c r="K15" s="107" t="str">
        <f>IF(H15="","",INDEX(生物种群!$E$3:INDEX(生物种群!$E:$E,COUNTA(生物种群!$E:$E)),MATCH($H15,生物种群!$A$3:INDEX(生物种群!$A:$A,COUNTA(生物种群!$A:$A)),),))</f>
        <v>腔肠动物</v>
      </c>
      <c r="L15" s="46">
        <f t="shared" si="3"/>
        <v>100</v>
      </c>
      <c r="M15" s="47">
        <f>IF(L15="","",ROUND((L15)/VLOOKUP($F15,IF({1,0},站位样品信息!$A$3:INDEX(站位样品信息!$A:$A,COUNTA(站位样品信息!$A:$A)+1),站位样品信息!$H$3:INDEX(站位样品信息!$H:$H,COUNTA(站位样品信息!$H:$H)+1)),2,0),2))</f>
        <v>55.56</v>
      </c>
      <c r="O15" s="49"/>
      <c r="P15" s="53" t="str">
        <f t="shared" si="0"/>
        <v>A2N44ZQ083Otoporpa sp.</v>
      </c>
      <c r="Q15" s="53" t="str">
        <f t="shared" si="1"/>
        <v/>
      </c>
    </row>
    <row r="16" spans="1:17" ht="19.5" customHeight="1">
      <c r="A16" s="38"/>
      <c r="B16" s="38"/>
      <c r="C16" s="86">
        <v>210005</v>
      </c>
      <c r="D16" s="37">
        <v>14</v>
      </c>
      <c r="E16" s="37">
        <v>14</v>
      </c>
      <c r="F16" s="53" t="s">
        <v>10270</v>
      </c>
      <c r="G16" s="37" t="str">
        <f>IF(F16="","",INDEX(站位样品信息!$B$3:INDEX(站位样品信息!$B:$B,COUNTA(站位样品信息!$B:$B)+1),MATCH($F16,站位样品信息!$A$3:INDEX(站位样品信息!$A:$A,COUNTA(站位样品信息!$A:$A)+1),),))</f>
        <v>B0119</v>
      </c>
      <c r="H16" s="107" t="str">
        <f>IF(OR(A16&lt;&gt;"",B16&lt;&gt;"",C16&lt;&gt;""),IF($C16&lt;&gt;0,INDEX(生物种群!$A$3:INDEX(生物种群!$A:$A,COUNTA(生物种群!$A:$A)),MATCH($C16,生物种群!$F$3:INDEX(生物种群!$F:$F,COUNTA(生物种群!$F:$F)),),),IF($A16&lt;&gt;0,INDEX(生物种群!$A$3:INDEX(生物种群!$A:$A,COUNTA(生物种群!$A:$A)),MATCH($A16,生物种群!$C$3:INDEX(生物种群!$C:$C,COUNTA(生物种群!$C:$C)),),),INDEX(生物种群!$A$3:INDEX(生物种群!$A:$A,COUNTA(生物种群!$A:$A)),MATCH($B16,生物种群!$D$3:INDEX(生物种群!$D:$D,COUNTA(生物种群!$D:$D)),),))),"")</f>
        <v>刺纹水母</v>
      </c>
      <c r="I16" s="108" t="str">
        <f>IF(H16="","",INDEX(生物种群!$B$3:INDEX(生物种群!$B:$B,COUNTA(生物种群!$B:$B)),MATCH($H16,生物种群!$A$3:INDEX(生物种群!$A:$A,COUNTA(生物种群!$A:$A)),),))</f>
        <v>Otoporpa polystriata </v>
      </c>
      <c r="J16" s="55" t="str">
        <f>IF(H16="","",INDEX(生物种群!$I$3:INDEX(生物种群!$I:$I,COUNTA(生物种群!$I:$I)),MATCH($H16,生物种群!$A$3:INDEX(生物种群!$A:$A,COUNTA(生物种群!$A:$A)),),))</f>
        <v>Xu et Zhang, 1978</v>
      </c>
      <c r="K16" s="107" t="str">
        <f>IF(H16="","",INDEX(生物种群!$E$3:INDEX(生物种群!$E:$E,COUNTA(生物种群!$E:$E)),MATCH($H16,生物种群!$A$3:INDEX(生物种群!$A:$A,COUNTA(生物种群!$A:$A)),),))</f>
        <v>腔肠动物</v>
      </c>
      <c r="L16" s="46">
        <f t="shared" si="3"/>
        <v>100</v>
      </c>
      <c r="M16" s="47">
        <f>IF(L16="","",ROUND((L16)/VLOOKUP($F16,IF({1,0},站位样品信息!$A$3:INDEX(站位样品信息!$A:$A,COUNTA(站位样品信息!$A:$A)+1),站位样品信息!$H$3:INDEX(站位样品信息!$H:$H,COUNTA(站位样品信息!$H:$H)+1)),2,0),2))</f>
        <v>76.92</v>
      </c>
      <c r="O16" s="49"/>
      <c r="P16" s="53" t="str">
        <f t="shared" si="0"/>
        <v>A2N44ZQ084Otoporpa polystriata </v>
      </c>
      <c r="Q16" s="53" t="str">
        <f t="shared" si="1"/>
        <v/>
      </c>
    </row>
    <row r="17" spans="1:17" ht="19.5" customHeight="1">
      <c r="A17" s="38"/>
      <c r="B17" s="38"/>
      <c r="C17" s="86">
        <v>210006</v>
      </c>
      <c r="D17" s="37">
        <v>15</v>
      </c>
      <c r="E17" s="37">
        <v>15</v>
      </c>
      <c r="F17" s="53" t="s">
        <v>10272</v>
      </c>
      <c r="G17" s="37" t="str">
        <f>IF(F17="","",INDEX(站位样品信息!$B$3:INDEX(站位样品信息!$B:$B,COUNTA(站位样品信息!$B:$B)+1),MATCH($F17,站位样品信息!$A$3:INDEX(站位样品信息!$A:$A,COUNTA(站位样品信息!$A:$A)+1),),))</f>
        <v>B0222</v>
      </c>
      <c r="H17" s="107" t="str">
        <f>IF(OR(A17&lt;&gt;"",B17&lt;&gt;"",C17&lt;&gt;""),IF($C17&lt;&gt;0,INDEX(生物种群!$A$3:INDEX(生物种群!$A:$A,COUNTA(生物种群!$A:$A)),MATCH($C17,生物种群!$F$3:INDEX(生物种群!$F:$F,COUNTA(生物种群!$F:$F)),),),IF($A17&lt;&gt;0,INDEX(生物种群!$A$3:INDEX(生物种群!$A:$A,COUNTA(生物种群!$A:$A)),MATCH($A17,生物种群!$C$3:INDEX(生物种群!$C:$C,COUNTA(生物种群!$C:$C)),),),INDEX(生物种群!$A$3:INDEX(生物种群!$A:$A,COUNTA(生物种群!$A:$A)),MATCH($B17,生物种群!$D$3:INDEX(生物种群!$D:$D,COUNTA(生物种群!$D:$D)),),))),"")</f>
        <v>两手筐水母属</v>
      </c>
      <c r="I17" s="108" t="str">
        <f>IF(H17="","",INDEX(生物种群!$B$3:INDEX(生物种群!$B:$B,COUNTA(生物种群!$B:$B)),MATCH($H17,生物种群!$A$3:INDEX(生物种群!$A:$A,COUNTA(生物种群!$A:$A)),),))</f>
        <v>Solmundella sp.</v>
      </c>
      <c r="J17" s="55" t="str">
        <f>IF(H17="","",INDEX(生物种群!$I$3:INDEX(生物种群!$I:$I,COUNTA(生物种群!$I:$I)),MATCH($H17,生物种群!$A$3:INDEX(生物种群!$A:$A,COUNTA(生物种群!$A:$A)),),))</f>
        <v/>
      </c>
      <c r="K17" s="107" t="str">
        <f>IF(H17="","",INDEX(生物种群!$E$3:INDEX(生物种群!$E:$E,COUNTA(生物种群!$E:$E)),MATCH($H17,生物种群!$A$3:INDEX(生物种群!$A:$A,COUNTA(生物种群!$A:$A)),),))</f>
        <v>腔肠动物</v>
      </c>
      <c r="L17" s="46">
        <f t="shared" si="3"/>
        <v>100</v>
      </c>
      <c r="M17" s="47">
        <f>IF(L17="","",ROUND((L17)/VLOOKUP($F17,IF({1,0},站位样品信息!$A$3:INDEX(站位样品信息!$A:$A,COUNTA(站位样品信息!$A:$A)+1),站位样品信息!$H$3:INDEX(站位样品信息!$H:$H,COUNTA(站位样品信息!$H:$H)+1)),2,0),2))</f>
        <v>83.33</v>
      </c>
      <c r="O17" s="49"/>
      <c r="P17" s="53" t="str">
        <f t="shared" si="0"/>
        <v>A2N44ZQ080Solmundella sp.</v>
      </c>
      <c r="Q17" s="53" t="str">
        <f t="shared" si="1"/>
        <v/>
      </c>
    </row>
    <row r="18" spans="1:17" ht="19.5" customHeight="1">
      <c r="A18" s="38"/>
      <c r="B18" s="38"/>
      <c r="C18" s="86">
        <v>210007</v>
      </c>
      <c r="D18" s="37">
        <v>16</v>
      </c>
      <c r="E18" s="37">
        <v>16</v>
      </c>
      <c r="F18" s="53" t="s">
        <v>10274</v>
      </c>
      <c r="G18" s="37" t="str">
        <f>IF(F18="","",INDEX(站位样品信息!$B$3:INDEX(站位样品信息!$B:$B,COUNTA(站位样品信息!$B:$B)+1),MATCH($F18,站位样品信息!$A$3:INDEX(站位样品信息!$A:$A,COUNTA(站位样品信息!$A:$A)+1),),))</f>
        <v>B0071</v>
      </c>
      <c r="H18" s="107" t="str">
        <f>IF(OR(A18&lt;&gt;"",B18&lt;&gt;"",C18&lt;&gt;""),IF($C18&lt;&gt;0,INDEX(生物种群!$A$3:INDEX(生物种群!$A:$A,COUNTA(生物种群!$A:$A)),MATCH($C18,生物种群!$F$3:INDEX(生物种群!$F:$F,COUNTA(生物种群!$F:$F)),),),IF($A18&lt;&gt;0,INDEX(生物种群!$A$3:INDEX(生物种群!$A:$A,COUNTA(生物种群!$A:$A)),MATCH($A18,生物种群!$C$3:INDEX(生物种群!$C:$C,COUNTA(生物种群!$C:$C)),),),INDEX(生物种群!$A$3:INDEX(生物种群!$A:$A,COUNTA(生物种群!$A:$A)),MATCH($B18,生物种群!$D$3:INDEX(生物种群!$D:$D,COUNTA(生物种群!$D:$D)),),))),"")</f>
        <v>两手筐水母</v>
      </c>
      <c r="I18" s="108" t="str">
        <f>IF(H18="","",INDEX(生物种群!$B$3:INDEX(生物种群!$B:$B,COUNTA(生物种群!$B:$B)),MATCH($H18,生物种群!$A$3:INDEX(生物种群!$A:$A,COUNTA(生物种群!$A:$A)),),))</f>
        <v>Solmundella bitentaculata </v>
      </c>
      <c r="J18" s="55" t="str">
        <f>IF(H18="","",INDEX(生物种群!$I$3:INDEX(生物种群!$I:$I,COUNTA(生物种群!$I:$I)),MATCH($H18,生物种群!$A$3:INDEX(生物种群!$A:$A,COUNTA(生物种群!$A:$A)),),))</f>
        <v>(Quoy et Gaimard, 1833)</v>
      </c>
      <c r="K18" s="107" t="str">
        <f>IF(H18="","",INDEX(生物种群!$E$3:INDEX(生物种群!$E:$E,COUNTA(生物种群!$E:$E)),MATCH($H18,生物种群!$A$3:INDEX(生物种群!$A:$A,COUNTA(生物种群!$A:$A)),),))</f>
        <v>腔肠动物</v>
      </c>
      <c r="L18" s="46">
        <f t="shared" si="3"/>
        <v>100</v>
      </c>
      <c r="M18" s="47">
        <f>IF(L18="","",ROUND((L18)/VLOOKUP($F18,IF({1,0},站位样品信息!$A$3:INDEX(站位样品信息!$A:$A,COUNTA(站位样品信息!$A:$A)+1),站位样品信息!$H$3:INDEX(站位样品信息!$H:$H,COUNTA(站位样品信息!$H:$H)+1)),2,0),2))</f>
        <v>71.430000000000007</v>
      </c>
      <c r="O18" s="49"/>
      <c r="P18" s="53" t="str">
        <f t="shared" si="0"/>
        <v>A2N44ZQ077Solmundella bitentaculata </v>
      </c>
      <c r="Q18" s="53" t="str">
        <f t="shared" si="1"/>
        <v/>
      </c>
    </row>
    <row r="19" spans="1:17" ht="19.5" customHeight="1">
      <c r="A19" s="38"/>
      <c r="B19" s="38"/>
      <c r="C19" s="91">
        <v>210008</v>
      </c>
      <c r="D19" s="37">
        <v>17</v>
      </c>
      <c r="E19" s="37">
        <v>17</v>
      </c>
      <c r="F19" s="53" t="s">
        <v>10277</v>
      </c>
      <c r="G19" s="37" t="str">
        <f>IF(F19="","",INDEX(站位样品信息!$B$3:INDEX(站位样品信息!$B:$B,COUNTA(站位样品信息!$B:$B)+1),MATCH($F19,站位样品信息!$A$3:INDEX(站位样品信息!$A:$A,COUNTA(站位样品信息!$A:$A)+1),),))</f>
        <v>B0029</v>
      </c>
      <c r="H19" s="107" t="str">
        <f>IF(OR(A19&lt;&gt;"",B19&lt;&gt;"",C19&lt;&gt;""),IF($C19&lt;&gt;0,INDEX(生物种群!$A$3:INDEX(生物种群!$A:$A,COUNTA(生物种群!$A:$A)),MATCH($C19,生物种群!$F$3:INDEX(生物种群!$F:$F,COUNTA(生物种群!$F:$F)),),),IF($A19&lt;&gt;0,INDEX(生物种群!$A$3:INDEX(生物种群!$A:$A,COUNTA(生物种群!$A:$A)),MATCH($A19,生物种群!$C$3:INDEX(生物种群!$C:$C,COUNTA(生物种群!$C:$C)),),),INDEX(生物种群!$A$3:INDEX(生物种群!$A:$A,COUNTA(生物种群!$A:$A)),MATCH($B19,生物种群!$D$3:INDEX(生物种群!$D:$D,COUNTA(生物种群!$D:$D)),),))),"")</f>
        <v>摇篮水母属</v>
      </c>
      <c r="I19" s="108" t="str">
        <f>IF(H19="","",INDEX(生物种群!$B$3:INDEX(生物种群!$B:$B,COUNTA(生物种群!$B:$B)),MATCH($H19,生物种群!$A$3:INDEX(生物种群!$A:$A,COUNTA(生物种群!$A:$A)),),))</f>
        <v>Cunina sp.</v>
      </c>
      <c r="J19" s="55" t="str">
        <f>IF(H19="","",INDEX(生物种群!$I$3:INDEX(生物种群!$I:$I,COUNTA(生物种群!$I:$I)),MATCH($H19,生物种群!$A$3:INDEX(生物种群!$A:$A,COUNTA(生物种群!$A:$A)),),))</f>
        <v/>
      </c>
      <c r="K19" s="107" t="str">
        <f>IF(H19="","",INDEX(生物种群!$E$3:INDEX(生物种群!$E:$E,COUNTA(生物种群!$E:$E)),MATCH($H19,生物种群!$A$3:INDEX(生物种群!$A:$A,COUNTA(生物种群!$A:$A)),),))</f>
        <v>腔肠动物</v>
      </c>
      <c r="L19" s="46">
        <f t="shared" si="3"/>
        <v>100</v>
      </c>
      <c r="M19" s="47">
        <f>IF(L19="","",ROUND((L19)/VLOOKUP($F19,IF({1,0},站位样品信息!$A$3:INDEX(站位样品信息!$A:$A,COUNTA(站位样品信息!$A:$A)+1),站位样品信息!$H$3:INDEX(站位样品信息!$H:$H,COUNTA(站位样品信息!$H:$H)+1)),2,0),2))</f>
        <v>76.92</v>
      </c>
      <c r="O19" s="49"/>
      <c r="P19" s="53" t="str">
        <f t="shared" si="0"/>
        <v>A2N44ZQ075Cunina sp.</v>
      </c>
      <c r="Q19" s="53" t="str">
        <f t="shared" si="1"/>
        <v/>
      </c>
    </row>
    <row r="20" spans="1:17" ht="19.5" customHeight="1">
      <c r="A20" s="38"/>
      <c r="B20" s="38"/>
      <c r="C20" s="91">
        <v>210009</v>
      </c>
      <c r="D20" s="37">
        <v>18</v>
      </c>
      <c r="E20" s="37">
        <v>18</v>
      </c>
      <c r="F20" s="53" t="s">
        <v>10279</v>
      </c>
      <c r="G20" s="37" t="str">
        <f>IF(F20="","",INDEX(站位样品信息!$B$3:INDEX(站位样品信息!$B:$B,COUNTA(站位样品信息!$B:$B)+1),MATCH($F20,站位样品信息!$A$3:INDEX(站位样品信息!$A:$A,COUNTA(站位样品信息!$A:$A)+1),),))</f>
        <v>B0152</v>
      </c>
      <c r="H20" s="107" t="str">
        <f>IF(OR(A20&lt;&gt;"",B20&lt;&gt;"",C20&lt;&gt;""),IF($C20&lt;&gt;0,INDEX(生物种群!$A$3:INDEX(生物种群!$A:$A,COUNTA(生物种群!$A:$A)),MATCH($C20,生物种群!$F$3:INDEX(生物种群!$F:$F,COUNTA(生物种群!$F:$F)),),),IF($A20&lt;&gt;0,INDEX(生物种群!$A$3:INDEX(生物种群!$A:$A,COUNTA(生物种群!$A:$A)),MATCH($A20,生物种群!$C$3:INDEX(生物种群!$C:$C,COUNTA(生物种群!$C:$C)),),),INDEX(生物种群!$A$3:INDEX(生物种群!$A:$A,COUNTA(生物种群!$A:$A)),MATCH($B20,生物种群!$D$3:INDEX(生物种群!$D:$D,COUNTA(生物种群!$D:$D)),),))),"")</f>
        <v>果状摇篮水母</v>
      </c>
      <c r="I20" s="108" t="str">
        <f>IF(H20="","",INDEX(生物种群!$B$3:INDEX(生物种群!$B:$B,COUNTA(生物种群!$B:$B)),MATCH($H20,生物种群!$A$3:INDEX(生物种群!$A:$A,COUNTA(生物种群!$A:$A)),),))</f>
        <v>Cunina frugifera </v>
      </c>
      <c r="J20" s="55" t="str">
        <f>IF(H20="","",INDEX(生物种群!$I$3:INDEX(生物种群!$I:$I,COUNTA(生物种群!$I:$I)),MATCH($H20,生物种群!$A$3:INDEX(生物种群!$A:$A,COUNTA(生物种群!$A:$A)),),))</f>
        <v>Kramp, 1948</v>
      </c>
      <c r="K20" s="107" t="str">
        <f>IF(H20="","",INDEX(生物种群!$E$3:INDEX(生物种群!$E:$E,COUNTA(生物种群!$E:$E)),MATCH($H20,生物种群!$A$3:INDEX(生物种群!$A:$A,COUNTA(生物种群!$A:$A)),),))</f>
        <v>腔肠动物</v>
      </c>
      <c r="L20" s="46">
        <f t="shared" si="3"/>
        <v>100</v>
      </c>
      <c r="M20" s="47">
        <f>IF(L20="","",ROUND((L20)/VLOOKUP($F20,IF({1,0},站位样品信息!$A$3:INDEX(站位样品信息!$A:$A,COUNTA(站位样品信息!$A:$A)+1),站位样品信息!$H$3:INDEX(站位样品信息!$H:$H,COUNTA(站位样品信息!$H:$H)+1)),2,0),2))</f>
        <v>200</v>
      </c>
      <c r="O20" s="49"/>
      <c r="P20" s="53" t="str">
        <f t="shared" si="0"/>
        <v>A2N44ZQ087Cunina frugifera </v>
      </c>
      <c r="Q20" s="53" t="str">
        <f t="shared" si="1"/>
        <v/>
      </c>
    </row>
    <row r="21" spans="1:17" ht="19.5" customHeight="1">
      <c r="A21" s="38"/>
      <c r="B21" s="38"/>
      <c r="C21" s="91">
        <v>210010</v>
      </c>
      <c r="D21" s="37">
        <v>19</v>
      </c>
      <c r="E21" s="37">
        <v>19</v>
      </c>
      <c r="F21" s="53" t="s">
        <v>10281</v>
      </c>
      <c r="G21" s="37" t="str">
        <f>IF(F21="","",INDEX(站位样品信息!$B$3:INDEX(站位样品信息!$B:$B,COUNTA(站位样品信息!$B:$B)+1),MATCH($F21,站位样品信息!$A$3:INDEX(站位样品信息!$A:$A,COUNTA(站位样品信息!$A:$A)+1),),))</f>
        <v>B0030</v>
      </c>
      <c r="H21" s="107" t="str">
        <f>IF(OR(A21&lt;&gt;"",B21&lt;&gt;"",C21&lt;&gt;""),IF($C21&lt;&gt;0,INDEX(生物种群!$A$3:INDEX(生物种群!$A:$A,COUNTA(生物种群!$A:$A)),MATCH($C21,生物种群!$F$3:INDEX(生物种群!$F:$F,COUNTA(生物种群!$F:$F)),),),IF($A21&lt;&gt;0,INDEX(生物种群!$A$3:INDEX(生物种群!$A:$A,COUNTA(生物种群!$A:$A)),MATCH($A21,生物种群!$C$3:INDEX(生物种群!$C:$C,COUNTA(生物种群!$C:$C)),),),INDEX(生物种群!$A$3:INDEX(生物种群!$A:$A,COUNTA(生物种群!$A:$A)),MATCH($B21,生物种群!$D$3:INDEX(生物种群!$D:$D,COUNTA(生物种群!$D:$D)),),))),"")</f>
        <v>八囊摇篮水母</v>
      </c>
      <c r="I21" s="108" t="str">
        <f>IF(H21="","",INDEX(生物种群!$B$3:INDEX(生物种群!$B:$B,COUNTA(生物种群!$B:$B)),MATCH($H21,生物种群!$A$3:INDEX(生物种群!$A:$A,COUNTA(生物种群!$A:$A)),),))</f>
        <v>Cunina octonaria </v>
      </c>
      <c r="J21" s="55" t="str">
        <f>IF(H21="","",INDEX(生物种群!$I$3:INDEX(生物种群!$I:$I,COUNTA(生物种群!$I:$I)),MATCH($H21,生物种群!$A$3:INDEX(生物种群!$A:$A,COUNTA(生物种群!$A:$A)),),))</f>
        <v>McCrady, 1859</v>
      </c>
      <c r="K21" s="107" t="str">
        <f>IF(H21="","",INDEX(生物种群!$E$3:INDEX(生物种群!$E:$E,COUNTA(生物种群!$E:$E)),MATCH($H21,生物种群!$A$3:INDEX(生物种群!$A:$A,COUNTA(生物种群!$A:$A)),),))</f>
        <v>腔肠动物</v>
      </c>
      <c r="L21" s="46">
        <f t="shared" si="3"/>
        <v>100</v>
      </c>
      <c r="M21" s="47">
        <f>IF(L21="","",ROUND((L21)/VLOOKUP($F21,IF({1,0},站位样品信息!$A$3:INDEX(站位样品信息!$A:$A,COUNTA(站位样品信息!$A:$A)+1),站位样品信息!$H$3:INDEX(站位样品信息!$H:$H,COUNTA(站位样品信息!$H:$H)+1)),2,0),2))</f>
        <v>100</v>
      </c>
      <c r="O21" s="49"/>
      <c r="P21" s="53" t="str">
        <f t="shared" si="0"/>
        <v>A2N44ZQ088Cunina octonaria </v>
      </c>
      <c r="Q21" s="53" t="str">
        <f t="shared" si="1"/>
        <v/>
      </c>
    </row>
    <row r="22" spans="1:17" ht="19.5" customHeight="1">
      <c r="A22" s="38"/>
      <c r="B22" s="38"/>
      <c r="C22" s="91">
        <v>210011</v>
      </c>
      <c r="D22" s="37">
        <v>20</v>
      </c>
      <c r="E22" s="37">
        <v>20</v>
      </c>
      <c r="F22" s="53" t="s">
        <v>10283</v>
      </c>
      <c r="G22" s="37" t="str">
        <f>IF(F22="","",INDEX(站位样品信息!$B$3:INDEX(站位样品信息!$B:$B,COUNTA(站位样品信息!$B:$B)+1),MATCH($F22,站位样品信息!$A$3:INDEX(站位样品信息!$A:$A,COUNTA(站位样品信息!$A:$A)+1),),))</f>
        <v>B0066</v>
      </c>
      <c r="H22" s="107" t="str">
        <f>IF(OR(A22&lt;&gt;"",B22&lt;&gt;"",C22&lt;&gt;""),IF($C22&lt;&gt;0,INDEX(生物种群!$A$3:INDEX(生物种群!$A:$A,COUNTA(生物种群!$A:$A)),MATCH($C22,生物种群!$F$3:INDEX(生物种群!$F:$F,COUNTA(生物种群!$F:$F)),),),IF($A22&lt;&gt;0,INDEX(生物种群!$A$3:INDEX(生物种群!$A:$A,COUNTA(生物种群!$A:$A)),MATCH($A22,生物种群!$C$3:INDEX(生物种群!$C:$C,COUNTA(生物种群!$C:$C)),),),INDEX(生物种群!$A$3:INDEX(生物种群!$A:$A,COUNTA(生物种群!$A:$A)),MATCH($B22,生物种群!$D$3:INDEX(生物种群!$D:$D,COUNTA(生物种群!$D:$D)),),))),"")</f>
        <v>异摇篮水母</v>
      </c>
      <c r="I22" s="108" t="str">
        <f>IF(H22="","",INDEX(生物种群!$B$3:INDEX(生物种群!$B:$B,COUNTA(生物种群!$B:$B)),MATCH($H22,生物种群!$A$3:INDEX(生物种群!$A:$A,COUNTA(生物种群!$A:$A)),),))</f>
        <v>Cunina peregrina</v>
      </c>
      <c r="J22" s="55" t="str">
        <f>IF(H22="","",INDEX(生物种群!$I$3:INDEX(生物种群!$I:$I,COUNTA(生物种群!$I:$I)),MATCH($H22,生物种群!$A$3:INDEX(生物种群!$A:$A,COUNTA(生物种群!$A:$A)),),))</f>
        <v>Bigelow, 1909</v>
      </c>
      <c r="K22" s="107" t="str">
        <f>IF(H22="","",INDEX(生物种群!$E$3:INDEX(生物种群!$E:$E,COUNTA(生物种群!$E:$E)),MATCH($H22,生物种群!$A$3:INDEX(生物种群!$A:$A,COUNTA(生物种群!$A:$A)),),))</f>
        <v>腔肠动物</v>
      </c>
      <c r="L22" s="46">
        <f t="shared" si="3"/>
        <v>100</v>
      </c>
      <c r="M22" s="47">
        <f>IF(L22="","",ROUND((L22)/VLOOKUP($F22,IF({1,0},站位样品信息!$A$3:INDEX(站位样品信息!$A:$A,COUNTA(站位样品信息!$A:$A)+1),站位样品信息!$H$3:INDEX(站位样品信息!$H:$H,COUNTA(站位样品信息!$H:$H)+1)),2,0),2))</f>
        <v>40</v>
      </c>
      <c r="O22" s="49"/>
      <c r="P22" s="53" t="str">
        <f t="shared" si="0"/>
        <v>A2N44ZQ089Cunina peregrina</v>
      </c>
      <c r="Q22" s="53" t="str">
        <f t="shared" si="1"/>
        <v/>
      </c>
    </row>
    <row r="23" spans="1:17" ht="19.5" customHeight="1">
      <c r="A23" s="38"/>
      <c r="B23" s="38"/>
      <c r="C23" s="86">
        <v>210012</v>
      </c>
      <c r="D23" s="37">
        <v>21</v>
      </c>
      <c r="E23" s="37">
        <v>21</v>
      </c>
      <c r="F23" s="53" t="s">
        <v>10285</v>
      </c>
      <c r="G23" s="37" t="str">
        <f>IF(F23="","",INDEX(站位样品信息!$B$3:INDEX(站位样品信息!$B:$B,COUNTA(站位样品信息!$B:$B)+1),MATCH($F23,站位样品信息!$A$3:INDEX(站位样品信息!$A:$A,COUNTA(站位样品信息!$A:$A)+1),),))</f>
        <v>B0033</v>
      </c>
      <c r="H23" s="107" t="str">
        <f>IF(OR(A23&lt;&gt;"",B23&lt;&gt;"",C23&lt;&gt;""),IF($C23&lt;&gt;0,INDEX(生物种群!$A$3:INDEX(生物种群!$A:$A,COUNTA(生物种群!$A:$A)),MATCH($C23,生物种群!$F$3:INDEX(生物种群!$F:$F,COUNTA(生物种群!$F:$F)),),),IF($A23&lt;&gt;0,INDEX(生物种群!$A$3:INDEX(生物种群!$A:$A,COUNTA(生物种群!$A:$A)),MATCH($A23,生物种群!$C$3:INDEX(生物种群!$C:$C,COUNTA(生物种群!$C:$C)),),),INDEX(生物种群!$A$3:INDEX(生物种群!$A:$A,COUNTA(生物种群!$A:$A)),MATCH($B23,生物种群!$D$3:INDEX(生物种群!$D:$D,COUNTA(生物种群!$D:$D)),),))),"")</f>
        <v>嗜阳水母属</v>
      </c>
      <c r="I23" s="108" t="str">
        <f>IF(H23="","",INDEX(生物种群!$B$3:INDEX(生物种群!$B:$B,COUNTA(生物种群!$B:$B)),MATCH($H23,生物种群!$A$3:INDEX(生物种群!$A:$A,COUNTA(生物种群!$A:$A)),),))</f>
        <v>Solmissus sp.</v>
      </c>
      <c r="J23" s="55" t="str">
        <f>IF(H23="","",INDEX(生物种群!$I$3:INDEX(生物种群!$I:$I,COUNTA(生物种群!$I:$I)),MATCH($H23,生物种群!$A$3:INDEX(生物种群!$A:$A,COUNTA(生物种群!$A:$A)),),))</f>
        <v/>
      </c>
      <c r="K23" s="107" t="str">
        <f>IF(H23="","",INDEX(生物种群!$E$3:INDEX(生物种群!$E:$E,COUNTA(生物种群!$E:$E)),MATCH($H23,生物种群!$A$3:INDEX(生物种群!$A:$A,COUNTA(生物种群!$A:$A)),),))</f>
        <v>腔肠动物</v>
      </c>
      <c r="L23" s="46">
        <f t="shared" si="3"/>
        <v>100</v>
      </c>
      <c r="M23" s="47">
        <f>IF(L23="","",ROUND((L23)/VLOOKUP($F23,IF({1,0},站位样品信息!$A$3:INDEX(站位样品信息!$A:$A,COUNTA(站位样品信息!$A:$A)+1),站位样品信息!$H$3:INDEX(站位样品信息!$H:$H,COUNTA(站位样品信息!$H:$H)+1)),2,0),2))</f>
        <v>111.11</v>
      </c>
      <c r="O23" s="49"/>
      <c r="P23" s="53" t="str">
        <f t="shared" si="0"/>
        <v>A2N44ZQ090Solmissus sp.</v>
      </c>
      <c r="Q23" s="53" t="str">
        <f t="shared" si="1"/>
        <v/>
      </c>
    </row>
    <row r="24" spans="1:17" ht="19.5" customHeight="1">
      <c r="A24" s="37"/>
      <c r="B24" s="37"/>
      <c r="C24" s="86">
        <v>210013</v>
      </c>
      <c r="D24" s="37">
        <v>22</v>
      </c>
      <c r="E24" s="37">
        <v>22</v>
      </c>
      <c r="F24" s="53" t="s">
        <v>10288</v>
      </c>
      <c r="G24" s="37" t="str">
        <f>IF(F24="","",INDEX(站位样品信息!$B$3:INDEX(站位样品信息!$B:$B,COUNTA(站位样品信息!$B:$B)+1),MATCH($F24,站位样品信息!$A$3:INDEX(站位样品信息!$A:$A,COUNTA(站位样品信息!$A:$A)+1),),))</f>
        <v>B0309</v>
      </c>
      <c r="H24" s="107" t="str">
        <f>IF(OR(A24&lt;&gt;"",B24&lt;&gt;"",C24&lt;&gt;""),IF($C24&lt;&gt;0,INDEX(生物种群!$A$3:INDEX(生物种群!$A:$A,COUNTA(生物种群!$A:$A)),MATCH($C24,生物种群!$F$3:INDEX(生物种群!$F:$F,COUNTA(生物种群!$F:$F)),),),IF($A24&lt;&gt;0,INDEX(生物种群!$A$3:INDEX(生物种群!$A:$A,COUNTA(生物种群!$A:$A)),MATCH($A24,生物种群!$C$3:INDEX(生物种群!$C:$C,COUNTA(生物种群!$C:$C)),),),INDEX(生物种群!$A$3:INDEX(生物种群!$A:$A,COUNTA(生物种群!$A:$A)),MATCH($B24,生物种群!$D$3:INDEX(生物种群!$D:$D,COUNTA(生物种群!$D:$D)),),))),"")</f>
        <v>马氏嗜阳水母</v>
      </c>
      <c r="I24" s="108" t="str">
        <f>IF(H24="","",INDEX(生物种群!$B$3:INDEX(生物种群!$B:$B,COUNTA(生物种群!$B:$B)),MATCH($H24,生物种群!$A$3:INDEX(生物种群!$A:$A,COUNTA(生物种群!$A:$A)),),))</f>
        <v>Solmissus marshalii </v>
      </c>
      <c r="J24" s="55" t="str">
        <f>IF(H24="","",INDEX(生物种群!$I$3:INDEX(生物种群!$I:$I,COUNTA(生物种群!$I:$I)),MATCH($H24,生物种群!$A$3:INDEX(生物种群!$A:$A,COUNTA(生物种群!$A:$A)),),))</f>
        <v>Agassiz et Mayer, 1902</v>
      </c>
      <c r="K24" s="107" t="str">
        <f>IF(H24="","",INDEX(生物种群!$E$3:INDEX(生物种群!$E:$E,COUNTA(生物种群!$E:$E)),MATCH($H24,生物种群!$A$3:INDEX(生物种群!$A:$A,COUNTA(生物种群!$A:$A)),),))</f>
        <v>腔肠动物</v>
      </c>
      <c r="L24" s="46">
        <f t="shared" si="3"/>
        <v>100</v>
      </c>
      <c r="M24" s="47">
        <f>IF(L24="","",ROUND((L24)/VLOOKUP($F24,IF({1,0},站位样品信息!$A$3:INDEX(站位样品信息!$A:$A,COUNTA(站位样品信息!$A:$A)+1),站位样品信息!$H$3:INDEX(站位样品信息!$H:$H,COUNTA(站位样品信息!$H:$H)+1)),2,0),2))</f>
        <v>26.32</v>
      </c>
      <c r="O24" s="49"/>
      <c r="P24" s="53" t="str">
        <f t="shared" si="0"/>
        <v>A2N44ZQ078Solmissus marshalii </v>
      </c>
      <c r="Q24" s="53" t="str">
        <f t="shared" si="1"/>
        <v/>
      </c>
    </row>
    <row r="25" spans="1:17" ht="19.5" customHeight="1">
      <c r="A25" s="37"/>
      <c r="B25" s="37"/>
      <c r="C25" s="86">
        <v>210014</v>
      </c>
      <c r="D25" s="37">
        <v>23</v>
      </c>
      <c r="E25" s="37">
        <v>23</v>
      </c>
      <c r="F25" s="53" t="s">
        <v>10290</v>
      </c>
      <c r="G25" s="37" t="str">
        <f>IF(F25="","",INDEX(站位样品信息!$B$3:INDEX(站位样品信息!$B:$B,COUNTA(站位样品信息!$B:$B)+1),MATCH($F25,站位样品信息!$A$3:INDEX(站位样品信息!$A:$A,COUNTA(站位样品信息!$A:$A)+1),),))</f>
        <v>B0497</v>
      </c>
      <c r="H25" s="107" t="str">
        <f>IF(OR(A25&lt;&gt;"",B25&lt;&gt;"",C25&lt;&gt;""),IF($C25&lt;&gt;0,INDEX(生物种群!$A$3:INDEX(生物种群!$A:$A,COUNTA(生物种群!$A:$A)),MATCH($C25,生物种群!$F$3:INDEX(生物种群!$F:$F,COUNTA(生物种群!$F:$F)),),),IF($A25&lt;&gt;0,INDEX(生物种群!$A$3:INDEX(生物种群!$A:$A,COUNTA(生物种群!$A:$A)),MATCH($A25,生物种群!$C$3:INDEX(生物种群!$C:$C,COUNTA(生物种群!$C:$C)),),),INDEX(生物种群!$A$3:INDEX(生物种群!$A:$A,COUNTA(生物种群!$A:$A)),MATCH($B25,生物种群!$D$3:INDEX(生物种群!$D:$D,COUNTA(生物种群!$D:$D)),),))),"")</f>
        <v>坚固水母属</v>
      </c>
      <c r="I25" s="108" t="str">
        <f>IF(H25="","",INDEX(生物种群!$B$3:INDEX(生物种群!$B:$B,COUNTA(生物种群!$B:$B)),MATCH($H25,生物种群!$A$3:INDEX(生物种群!$A:$A,COUNTA(生物种群!$A:$A)),),))</f>
        <v>Pegantha sp.</v>
      </c>
      <c r="J25" s="55" t="str">
        <f>IF(H25="","",INDEX(生物种群!$I$3:INDEX(生物种群!$I:$I,COUNTA(生物种群!$I:$I)),MATCH($H25,生物种群!$A$3:INDEX(生物种群!$A:$A,COUNTA(生物种群!$A:$A)),),))</f>
        <v/>
      </c>
      <c r="K25" s="107" t="str">
        <f>IF(H25="","",INDEX(生物种群!$E$3:INDEX(生物种群!$E:$E,COUNTA(生物种群!$E:$E)),MATCH($H25,生物种群!$A$3:INDEX(生物种群!$A:$A,COUNTA(生物种群!$A:$A)),),))</f>
        <v>腔肠动物</v>
      </c>
      <c r="L25" s="46">
        <f t="shared" si="3"/>
        <v>100</v>
      </c>
      <c r="M25" s="47">
        <f>IF(L25="","",ROUND((L25)/VLOOKUP($F25,IF({1,0},站位样品信息!$A$3:INDEX(站位样品信息!$A:$A,COUNTA(站位样品信息!$A:$A)+1),站位样品信息!$H$3:INDEX(站位样品信息!$H:$H,COUNTA(站位样品信息!$H:$H)+1)),2,0),2))</f>
        <v>45.45</v>
      </c>
      <c r="O25" s="49"/>
      <c r="P25" s="53" t="str">
        <f t="shared" si="0"/>
        <v>A2N44ZQ079Pegantha sp.</v>
      </c>
      <c r="Q25" s="53" t="str">
        <f t="shared" si="1"/>
        <v/>
      </c>
    </row>
    <row r="26" spans="1:17" ht="19.5" customHeight="1">
      <c r="A26" s="38"/>
      <c r="B26" s="38"/>
      <c r="C26" s="86">
        <v>210015</v>
      </c>
      <c r="D26" s="37">
        <v>24</v>
      </c>
      <c r="E26" s="37">
        <v>24</v>
      </c>
      <c r="F26" s="53" t="s">
        <v>10292</v>
      </c>
      <c r="G26" s="37" t="str">
        <f>IF(F26="","",INDEX(站位样品信息!$B$3:INDEX(站位样品信息!$B:$B,COUNTA(站位样品信息!$B:$B)+1),MATCH($F26,站位样品信息!$A$3:INDEX(站位样品信息!$A:$A,COUNTA(站位样品信息!$A:$A)+1),),))</f>
        <v>B0010</v>
      </c>
      <c r="H26" s="107" t="str">
        <f>IF(OR(A26&lt;&gt;"",B26&lt;&gt;"",C26&lt;&gt;""),IF($C26&lt;&gt;0,INDEX(生物种群!$A$3:INDEX(生物种群!$A:$A,COUNTA(生物种群!$A:$A)),MATCH($C26,生物种群!$F$3:INDEX(生物种群!$F:$F,COUNTA(生物种群!$F:$F)),),),IF($A26&lt;&gt;0,INDEX(生物种群!$A$3:INDEX(生物种群!$A:$A,COUNTA(生物种群!$A:$A)),MATCH($A26,生物种群!$C$3:INDEX(生物种群!$C:$C,COUNTA(生物种群!$C:$C)),),),INDEX(生物种群!$A$3:INDEX(生物种群!$A:$A,COUNTA(生物种群!$A:$A)),MATCH($B26,生物种群!$D$3:INDEX(生物种群!$D:$D,COUNTA(生物种群!$D:$D)),),))),"")</f>
        <v>坚固水母</v>
      </c>
      <c r="I26" s="108" t="str">
        <f>IF(H26="","",INDEX(生物种群!$B$3:INDEX(生物种群!$B:$B,COUNTA(生物种群!$B:$B)),MATCH($H26,生物种群!$A$3:INDEX(生物种群!$A:$A,COUNTA(生物种群!$A:$A)),),))</f>
        <v>Pegantha martagon </v>
      </c>
      <c r="J26" s="55" t="str">
        <f>IF(H26="","",INDEX(生物种群!$I$3:INDEX(生物种群!$I:$I,COUNTA(生物种群!$I:$I)),MATCH($H26,生物种群!$A$3:INDEX(生物种群!$A:$A,COUNTA(生物种群!$A:$A)),),))</f>
        <v>Haeckel, 1879</v>
      </c>
      <c r="K26" s="107" t="str">
        <f>IF(H26="","",INDEX(生物种群!$E$3:INDEX(生物种群!$E:$E,COUNTA(生物种群!$E:$E)),MATCH($H26,生物种群!$A$3:INDEX(生物种群!$A:$A,COUNTA(生物种群!$A:$A)),),))</f>
        <v>腔肠动物</v>
      </c>
      <c r="L26" s="46">
        <f t="shared" si="3"/>
        <v>100</v>
      </c>
      <c r="M26" s="47">
        <f>IF(L26="","",ROUND((L26)/VLOOKUP($F26,IF({1,0},站位样品信息!$A$3:INDEX(站位样品信息!$A:$A,COUNTA(站位样品信息!$A:$A)+1),站位样品信息!$H$3:INDEX(站位样品信息!$H:$H,COUNTA(站位样品信息!$H:$H)+1)),2,0),2))</f>
        <v>31.25</v>
      </c>
      <c r="O26" s="49"/>
      <c r="P26" s="53" t="str">
        <f t="shared" si="0"/>
        <v>A2N44ZQ086Pegantha martagon </v>
      </c>
      <c r="Q26" s="53" t="str">
        <f t="shared" si="1"/>
        <v/>
      </c>
    </row>
    <row r="27" spans="1:17" ht="19.5" customHeight="1">
      <c r="A27" s="38"/>
      <c r="B27" s="38"/>
      <c r="C27" s="91">
        <v>101000</v>
      </c>
      <c r="D27" s="37">
        <v>1</v>
      </c>
      <c r="E27" s="37">
        <v>1</v>
      </c>
      <c r="F27" s="53" t="s">
        <v>10236</v>
      </c>
      <c r="G27" s="37" t="str">
        <f>IF(F27="","",INDEX(站位样品信息!$B$3:INDEX(站位样品信息!$B:$B,COUNTA(站位样品信息!$B:$B)+1),MATCH($F27,站位样品信息!$A$3:INDEX(站位样品信息!$A:$A,COUNTA(站位样品信息!$A:$A)+1),),))</f>
        <v>B0229</v>
      </c>
      <c r="H27" s="107" t="str">
        <f>IF(OR(A27&lt;&gt;"",B27&lt;&gt;"",C27&lt;&gt;""),IF($C27&lt;&gt;0,INDEX(生物种群!$A$3:INDEX(生物种群!$A:$A,COUNTA(生物种群!$A:$A)),MATCH($C27,生物种群!$F$3:INDEX(生物种群!$F:$F,COUNTA(生物种群!$F:$F)),),),IF($A27&lt;&gt;0,INDEX(生物种群!$A$3:INDEX(生物种群!$A:$A,COUNTA(生物种群!$A:$A)),MATCH($A27,生物种群!$C$3:INDEX(生物种群!$C:$C,COUNTA(生物种群!$C:$C)),),),INDEX(生物种群!$A$3:INDEX(生物种群!$A:$A,COUNTA(生物种群!$A:$A)),MATCH($B27,生物种群!$D$3:INDEX(生物种群!$D:$D,COUNTA(生物种群!$D:$D)),),))),"")</f>
        <v>有孔虫</v>
      </c>
      <c r="I27" s="108" t="str">
        <f>IF(H27="","",INDEX(生物种群!$B$3:INDEX(生物种群!$B:$B,COUNTA(生物种群!$B:$B)),MATCH($H27,生物种群!$A$3:INDEX(生物种群!$A:$A,COUNTA(生物种群!$A:$A)),),))</f>
        <v>Foraminifera sp.</v>
      </c>
      <c r="J27" s="55" t="str">
        <f>IF(H27="","",INDEX(生物种群!$I$3:INDEX(生物种群!$I:$I,COUNTA(生物种群!$I:$I)),MATCH($H27,生物种群!$A$3:INDEX(生物种群!$A:$A,COUNTA(生物种群!$A:$A)),),))</f>
        <v/>
      </c>
      <c r="K27" s="107" t="str">
        <f>IF(H27="","",INDEX(生物种群!$E$3:INDEX(生物种群!$E:$E,COUNTA(生物种群!$E:$E)),MATCH($H27,生物种群!$A$3:INDEX(生物种群!$A:$A,COUNTA(生物种群!$A:$A)),),))</f>
        <v>原生动物</v>
      </c>
      <c r="L27" s="46">
        <f>IFERROR(IF(OR(D27="",E27=""),"",D27/E27*100),"")</f>
        <v>100</v>
      </c>
      <c r="M27" s="47">
        <f>IF(L27="","",ROUND((L27)/VLOOKUP($F27,IF({1,0},站位样品信息!$A$3:INDEX(站位样品信息!$A:$A,COUNTA(站位样品信息!$A:$A)+1),站位样品信息!$H$3:INDEX(站位样品信息!$H:$H,COUNTA(站位样品信息!$H:$H)+1)),2,0),2))</f>
        <v>26.32</v>
      </c>
      <c r="O27" s="49"/>
      <c r="P27" s="53" t="str">
        <f t="shared" si="4" ref="P27:P50">IF(F27&gt;0,F27&amp;I27,"")</f>
        <v>A2N44ZQ068Foraminifera sp.</v>
      </c>
      <c r="Q27" s="53" t="str">
        <f t="shared" si="5" ref="Q27:Q50">IF(COUNTIF($P:$P,P27)=1,"",IF(A27&amp;B27&amp;C27="","","重复"))</f>
        <v/>
      </c>
    </row>
    <row r="28" spans="1:17" ht="19.5" customHeight="1">
      <c r="A28" s="38"/>
      <c r="B28" s="38"/>
      <c r="C28" s="91">
        <v>101001</v>
      </c>
      <c r="D28" s="37">
        <v>2</v>
      </c>
      <c r="E28" s="37">
        <v>2</v>
      </c>
      <c r="F28" s="53" t="s">
        <v>10241</v>
      </c>
      <c r="G28" s="37" t="str">
        <f>IF(F28="","",INDEX(站位样品信息!$B$3:INDEX(站位样品信息!$B:$B,COUNTA(站位样品信息!$B:$B)+1),MATCH($F28,站位样品信息!$A$3:INDEX(站位样品信息!$A:$A,COUNTA(站位样品信息!$A:$A)+1),),))</f>
        <v>B0340</v>
      </c>
      <c r="H28" s="107" t="str">
        <f>IF(OR(A28&lt;&gt;"",B28&lt;&gt;"",C28&lt;&gt;""),IF($C28&lt;&gt;0,INDEX(生物种群!$A$3:INDEX(生物种群!$A:$A,COUNTA(生物种群!$A:$A)),MATCH($C28,生物种群!$F$3:INDEX(生物种群!$F:$F,COUNTA(生物种群!$F:$F)),),),IF($A28&lt;&gt;0,INDEX(生物种群!$A$3:INDEX(生物种群!$A:$A,COUNTA(生物种群!$A:$A)),MATCH($A28,生物种群!$C$3:INDEX(生物种群!$C:$C,COUNTA(生物种群!$C:$C)),),),INDEX(生物种群!$A$3:INDEX(生物种群!$A:$A,COUNTA(生物种群!$A:$A)),MATCH($B28,生物种群!$D$3:INDEX(生物种群!$D:$D,COUNTA(生物种群!$D:$D)),),))),"")</f>
        <v>矛棘虫属</v>
      </c>
      <c r="I28" s="108" t="str">
        <f>IF(H28="","",INDEX(生物种群!$B$3:INDEX(生物种群!$B:$B,COUNTA(生物种群!$B:$B)),MATCH($H28,生物种群!$A$3:INDEX(生物种群!$A:$A,COUNTA(生物种群!$A:$A)),),))</f>
        <v>Hastigerinia sp.</v>
      </c>
      <c r="J28" s="55" t="str">
        <f>IF(H28="","",INDEX(生物种群!$I$3:INDEX(生物种群!$I:$I,COUNTA(生物种群!$I:$I)),MATCH($H28,生物种群!$A$3:INDEX(生物种群!$A:$A,COUNTA(生物种群!$A:$A)),),))</f>
        <v/>
      </c>
      <c r="K28" s="107" t="str">
        <f>IF(H28="","",INDEX(生物种群!$E$3:INDEX(生物种群!$E:$E,COUNTA(生物种群!$E:$E)),MATCH($H28,生物种群!$A$3:INDEX(生物种群!$A:$A,COUNTA(生物种群!$A:$A)),),))</f>
        <v>原生动物</v>
      </c>
      <c r="L28" s="46">
        <f t="shared" si="6" ref="L28:L50">IFERROR(IF(OR(D28="",E28=""),"",D28/E28*100),"")</f>
        <v>100</v>
      </c>
      <c r="M28" s="47">
        <f>IF(L28="","",ROUND((L28)/VLOOKUP($F28,IF({1,0},站位样品信息!$A$3:INDEX(站位样品信息!$A:$A,COUNTA(站位样品信息!$A:$A)+1),站位样品信息!$H$3:INDEX(站位样品信息!$H:$H,COUNTA(站位样品信息!$H:$H)+1)),2,0),2))</f>
        <v>66.67</v>
      </c>
      <c r="O28" s="49"/>
      <c r="P28" s="53" t="str">
        <f t="shared" si="4"/>
        <v>A2N44ZQ069Hastigerinia sp.</v>
      </c>
      <c r="Q28" s="53" t="str">
        <f t="shared" si="5"/>
        <v/>
      </c>
    </row>
    <row r="29" spans="1:17" ht="19.5" customHeight="1">
      <c r="A29" s="38"/>
      <c r="B29" s="38"/>
      <c r="C29" s="91">
        <v>101005</v>
      </c>
      <c r="D29" s="37">
        <v>3</v>
      </c>
      <c r="E29" s="37">
        <v>3</v>
      </c>
      <c r="F29" s="53" t="s">
        <v>10243</v>
      </c>
      <c r="G29" s="37" t="str">
        <f>IF(F29="","",INDEX(站位样品信息!$B$3:INDEX(站位样品信息!$B:$B,COUNTA(站位样品信息!$B:$B)+1),MATCH($F29,站位样品信息!$A$3:INDEX(站位样品信息!$A:$A,COUNTA(站位样品信息!$A:$A)+1),),))</f>
        <v>B0111</v>
      </c>
      <c r="H29" s="107" t="str">
        <f>IF(OR(A29&lt;&gt;"",B29&lt;&gt;"",C29&lt;&gt;""),IF($C29&lt;&gt;0,INDEX(生物种群!$A$3:INDEX(生物种群!$A:$A,COUNTA(生物种群!$A:$A)),MATCH($C29,生物种群!$F$3:INDEX(生物种群!$F:$F,COUNTA(生物种群!$F:$F)),),),IF($A29&lt;&gt;0,INDEX(生物种群!$A$3:INDEX(生物种群!$A:$A,COUNTA(生物种群!$A:$A)),MATCH($A29,生物种群!$C$3:INDEX(生物种群!$C:$C,COUNTA(生物种群!$C:$C)),),),INDEX(生物种群!$A$3:INDEX(生物种群!$A:$A,COUNTA(生物种群!$A:$A)),MATCH($B29,生物种群!$D$3:INDEX(生物种群!$D:$D,COUNTA(生物种群!$D:$D)),),))),"")</f>
        <v>圆辐虫属</v>
      </c>
      <c r="I29" s="108" t="str">
        <f>IF(H29="","",INDEX(生物种群!$B$3:INDEX(生物种群!$B:$B,COUNTA(生物种群!$B:$B)),MATCH($H29,生物种群!$A$3:INDEX(生物种群!$A:$A,COUNTA(生物种群!$A:$A)),),))</f>
        <v>Globorotalia sp.</v>
      </c>
      <c r="J29" s="55" t="str">
        <f>IF(H29="","",INDEX(生物种群!$I$3:INDEX(生物种群!$I:$I,COUNTA(生物种群!$I:$I)),MATCH($H29,生物种群!$A$3:INDEX(生物种群!$A:$A,COUNTA(生物种群!$A:$A)),),))</f>
        <v/>
      </c>
      <c r="K29" s="107" t="str">
        <f>IF(H29="","",INDEX(生物种群!$E$3:INDEX(生物种群!$E:$E,COUNTA(生物种群!$E:$E)),MATCH($H29,生物种群!$A$3:INDEX(生物种群!$A:$A,COUNTA(生物种群!$A:$A)),),))</f>
        <v>原生动物</v>
      </c>
      <c r="L29" s="46">
        <f t="shared" si="6"/>
        <v>100</v>
      </c>
      <c r="M29" s="47">
        <f>IF(L29="","",ROUND((L29)/VLOOKUP($F29,IF({1,0},站位样品信息!$A$3:INDEX(站位样品信息!$A:$A,COUNTA(站位样品信息!$A:$A)+1),站位样品信息!$H$3:INDEX(站位样品信息!$H:$H,COUNTA(站位样品信息!$H:$H)+1)),2,0),2))</f>
        <v>100</v>
      </c>
      <c r="O29" s="49"/>
      <c r="P29" s="53" t="str">
        <f t="shared" si="4"/>
        <v>A2N44ZQ091Globorotalia sp.</v>
      </c>
      <c r="Q29" s="53" t="str">
        <f t="shared" si="5"/>
        <v/>
      </c>
    </row>
    <row r="30" spans="1:17" ht="19.5" customHeight="1">
      <c r="A30" s="38"/>
      <c r="B30" s="38"/>
      <c r="C30" s="91">
        <v>101013</v>
      </c>
      <c r="D30" s="37">
        <v>4</v>
      </c>
      <c r="E30" s="37">
        <v>4</v>
      </c>
      <c r="F30" s="53" t="s">
        <v>10245</v>
      </c>
      <c r="G30" s="37" t="str">
        <f>IF(F30="","",INDEX(站位样品信息!$B$3:INDEX(站位样品信息!$B:$B,COUNTA(站位样品信息!$B:$B)+1),MATCH($F30,站位样品信息!$A$3:INDEX(站位样品信息!$A:$A,COUNTA(站位样品信息!$A:$A)+1),),))</f>
        <v>B0138</v>
      </c>
      <c r="H30" s="107" t="str">
        <f>IF(OR(A30&lt;&gt;"",B30&lt;&gt;"",C30&lt;&gt;""),IF($C30&lt;&gt;0,INDEX(生物种群!$A$3:INDEX(生物种群!$A:$A,COUNTA(生物种群!$A:$A)),MATCH($C30,生物种群!$F$3:INDEX(生物种群!$F:$F,COUNTA(生物种群!$F:$F)),),),IF($A30&lt;&gt;0,INDEX(生物种群!$A$3:INDEX(生物种群!$A:$A,COUNTA(生物种群!$A:$A)),MATCH($A30,生物种群!$C$3:INDEX(生物种群!$C:$C,COUNTA(生物种群!$C:$C)),),),INDEX(生物种群!$A$3:INDEX(生物种群!$A:$A,COUNTA(生物种群!$A:$A)),MATCH($B30,生物种群!$D$3:INDEX(生物种群!$D:$D,COUNTA(生物种群!$D:$D)),),))),"")</f>
        <v>抱球虫属</v>
      </c>
      <c r="I30" s="108" t="str">
        <f>IF(H30="","",INDEX(生物种群!$B$3:INDEX(生物种群!$B:$B,COUNTA(生物种群!$B:$B)),MATCH($H30,生物种群!$A$3:INDEX(生物种群!$A:$A,COUNTA(生物种群!$A:$A)),),))</f>
        <v>Globigerina sp.</v>
      </c>
      <c r="J30" s="55" t="str">
        <f>IF(H30="","",INDEX(生物种群!$I$3:INDEX(生物种群!$I:$I,COUNTA(生物种群!$I:$I)),MATCH($H30,生物种群!$A$3:INDEX(生物种群!$A:$A,COUNTA(生物种群!$A:$A)),),))</f>
        <v/>
      </c>
      <c r="K30" s="107" t="str">
        <f>IF(H30="","",INDEX(生物种群!$E$3:INDEX(生物种群!$E:$E,COUNTA(生物种群!$E:$E)),MATCH($H30,生物种群!$A$3:INDEX(生物种群!$A:$A,COUNTA(生物种群!$A:$A)),),))</f>
        <v>原生动物</v>
      </c>
      <c r="L30" s="46">
        <f t="shared" si="6"/>
        <v>100</v>
      </c>
      <c r="M30" s="47">
        <f>IF(L30="","",ROUND((L30)/VLOOKUP($F30,IF({1,0},站位样品信息!$A$3:INDEX(站位样品信息!$A:$A,COUNTA(站位样品信息!$A:$A)+1),站位样品信息!$H$3:INDEX(站位样品信息!$H:$H,COUNTA(站位样品信息!$H:$H)+1)),2,0),2))</f>
        <v>31.25</v>
      </c>
      <c r="O30" s="49"/>
      <c r="P30" s="53" t="str">
        <f t="shared" si="4"/>
        <v>A2N44ZQ070Globigerina sp.</v>
      </c>
      <c r="Q30" s="53" t="str">
        <f t="shared" si="5"/>
        <v/>
      </c>
    </row>
    <row r="31" spans="1:17" ht="19.5" customHeight="1">
      <c r="A31" s="38"/>
      <c r="B31" s="38"/>
      <c r="C31" s="91">
        <v>101021</v>
      </c>
      <c r="D31" s="37">
        <v>5</v>
      </c>
      <c r="E31" s="37">
        <v>5</v>
      </c>
      <c r="F31" s="53" t="s">
        <v>10247</v>
      </c>
      <c r="G31" s="37" t="str">
        <f>IF(F31="","",INDEX(站位样品信息!$B$3:INDEX(站位样品信息!$B:$B,COUNTA(站位样品信息!$B:$B)+1),MATCH($F31,站位样品信息!$A$3:INDEX(站位样品信息!$A:$A,COUNTA(站位样品信息!$A:$A)+1),),))</f>
        <v>B0038</v>
      </c>
      <c r="H31" s="107" t="str">
        <f>IF(OR(A31&lt;&gt;"",B31&lt;&gt;"",C31&lt;&gt;""),IF($C31&lt;&gt;0,INDEX(生物种群!$A$3:INDEX(生物种群!$A:$A,COUNTA(生物种群!$A:$A)),MATCH($C31,生物种群!$F$3:INDEX(生物种群!$F:$F,COUNTA(生物种群!$F:$F)),),),IF($A31&lt;&gt;0,INDEX(生物种群!$A$3:INDEX(生物种群!$A:$A,COUNTA(生物种群!$A:$A)),MATCH($A31,生物种群!$C$3:INDEX(生物种群!$C:$C,COUNTA(生物种群!$C:$C)),),),INDEX(生物种群!$A$3:INDEX(生物种群!$A:$A,COUNTA(生物种群!$A:$A)),MATCH($B31,生物种群!$D$3:INDEX(生物种群!$D:$D,COUNTA(生物种群!$D:$D)),),))),"")</f>
        <v>小矛棘虫属</v>
      </c>
      <c r="I31" s="108" t="str">
        <f>IF(H31="","",INDEX(生物种群!$B$3:INDEX(生物种群!$B:$B,COUNTA(生物种群!$B:$B)),MATCH($H31,生物种群!$A$3:INDEX(生物种群!$A:$A,COUNTA(生物种群!$A:$A)),),))</f>
        <v>Hastigerinella sp.</v>
      </c>
      <c r="J31" s="55" t="str">
        <f>IF(H31="","",INDEX(生物种群!$I$3:INDEX(生物种群!$I:$I,COUNTA(生物种群!$I:$I)),MATCH($H31,生物种群!$A$3:INDEX(生物种群!$A:$A,COUNTA(生物种群!$A:$A)),),))</f>
        <v/>
      </c>
      <c r="K31" s="107" t="str">
        <f>IF(H31="","",INDEX(生物种群!$E$3:INDEX(生物种群!$E:$E,COUNTA(生物种群!$E:$E)),MATCH($H31,生物种群!$A$3:INDEX(生物种群!$A:$A,COUNTA(生物种群!$A:$A)),),))</f>
        <v>原生动物</v>
      </c>
      <c r="L31" s="46">
        <f t="shared" si="6"/>
        <v>100</v>
      </c>
      <c r="M31" s="47">
        <f>IF(L31="","",ROUND((L31)/VLOOKUP($F31,IF({1,0},站位样品信息!$A$3:INDEX(站位样品信息!$A:$A,COUNTA(站位样品信息!$A:$A)+1),站位样品信息!$H$3:INDEX(站位样品信息!$H:$H,COUNTA(站位样品信息!$H:$H)+1)),2,0),2))</f>
        <v>39.06</v>
      </c>
      <c r="O31" s="49"/>
      <c r="P31" s="53" t="str">
        <f t="shared" si="4"/>
        <v>A2N44ZQ071Hastigerinella sp.</v>
      </c>
      <c r="Q31" s="53" t="str">
        <f t="shared" si="5"/>
        <v/>
      </c>
    </row>
    <row r="32" spans="1:17" ht="19.5" customHeight="1">
      <c r="A32" s="38"/>
      <c r="B32" s="38"/>
      <c r="C32" s="91">
        <v>101023</v>
      </c>
      <c r="D32" s="37">
        <v>6</v>
      </c>
      <c r="E32" s="37">
        <v>6</v>
      </c>
      <c r="F32" s="53" t="s">
        <v>10250</v>
      </c>
      <c r="G32" s="37" t="str">
        <f>IF(F32="","",INDEX(站位样品信息!$B$3:INDEX(站位样品信息!$B:$B,COUNTA(站位样品信息!$B:$B)+1),MATCH($F32,站位样品信息!$A$3:INDEX(站位样品信息!$A:$A,COUNTA(站位样品信息!$A:$A)+1),),))</f>
        <v>B0026</v>
      </c>
      <c r="H32" s="107" t="str">
        <f>IF(OR(A32&lt;&gt;"",B32&lt;&gt;"",C32&lt;&gt;""),IF($C32&lt;&gt;0,INDEX(生物种群!$A$3:INDEX(生物种群!$A:$A,COUNTA(生物种群!$A:$A)),MATCH($C32,生物种群!$F$3:INDEX(生物种群!$F:$F,COUNTA(生物种群!$F:$F)),),),IF($A32&lt;&gt;0,INDEX(生物种群!$A$3:INDEX(生物种群!$A:$A,COUNTA(生物种群!$A:$A)),MATCH($A32,生物种群!$C$3:INDEX(生物种群!$C:$C,COUNTA(生物种群!$C:$C)),),),INDEX(生物种群!$A$3:INDEX(生物种群!$A:$A,COUNTA(生物种群!$A:$A)),MATCH($B32,生物种群!$D$3:INDEX(生物种群!$D:$D,COUNTA(生物种群!$D:$D)),),))),"")</f>
        <v>拟抱球虫属</v>
      </c>
      <c r="I32" s="108" t="str">
        <f>IF(H32="","",INDEX(生物种群!$B$3:INDEX(生物种群!$B:$B,COUNTA(生物种群!$B:$B)),MATCH($H32,生物种群!$A$3:INDEX(生物种群!$A:$A,COUNTA(生物种群!$A:$A)),),))</f>
        <v>Globigerinoides sp.</v>
      </c>
      <c r="J32" s="55" t="str">
        <f>IF(H32="","",INDEX(生物种群!$I$3:INDEX(生物种群!$I:$I,COUNTA(生物种群!$I:$I)),MATCH($H32,生物种群!$A$3:INDEX(生物种群!$A:$A,COUNTA(生物种群!$A:$A)),),))</f>
        <v/>
      </c>
      <c r="K32" s="107" t="str">
        <f>IF(H32="","",INDEX(生物种群!$E$3:INDEX(生物种群!$E:$E,COUNTA(生物种群!$E:$E)),MATCH($H32,生物种群!$A$3:INDEX(生物种群!$A:$A,COUNTA(生物种群!$A:$A)),),))</f>
        <v>原生动物</v>
      </c>
      <c r="L32" s="46">
        <f t="shared" si="6"/>
        <v>100</v>
      </c>
      <c r="M32" s="47">
        <f>IF(L32="","",ROUND((L32)/VLOOKUP($F32,IF({1,0},站位样品信息!$A$3:INDEX(站位样品信息!$A:$A,COUNTA(站位样品信息!$A:$A)+1),站位样品信息!$H$3:INDEX(站位样品信息!$H:$H,COUNTA(站位样品信息!$H:$H)+1)),2,0),2))</f>
        <v>83.33</v>
      </c>
      <c r="O32" s="49"/>
      <c r="P32" s="53" t="str">
        <f t="shared" si="4"/>
        <v>A2N44ZQ072Globigerinoides sp.</v>
      </c>
      <c r="Q32" s="53" t="str">
        <f t="shared" si="5"/>
        <v/>
      </c>
    </row>
    <row r="33" spans="1:17" ht="19.5" customHeight="1">
      <c r="A33" s="38"/>
      <c r="B33" s="38"/>
      <c r="C33" s="86">
        <v>101043</v>
      </c>
      <c r="D33" s="37">
        <v>7</v>
      </c>
      <c r="E33" s="37">
        <v>7</v>
      </c>
      <c r="F33" s="53" t="s">
        <v>10252</v>
      </c>
      <c r="G33" s="37" t="str">
        <f>IF(F33="","",INDEX(站位样品信息!$B$3:INDEX(站位样品信息!$B:$B,COUNTA(站位样品信息!$B:$B)+1),MATCH($F33,站位样品信息!$A$3:INDEX(站位样品信息!$A:$A,COUNTA(站位样品信息!$A:$A)+1),),))</f>
        <v>B0049</v>
      </c>
      <c r="H33" s="107" t="str">
        <f>IF(OR(A33&lt;&gt;"",B33&lt;&gt;"",C33&lt;&gt;""),IF($C33&lt;&gt;0,INDEX(生物种群!$A$3:INDEX(生物种群!$A:$A,COUNTA(生物种群!$A:$A)),MATCH($C33,生物种群!$F$3:INDEX(生物种群!$F:$F,COUNTA(生物种群!$F:$F)),),),IF($A33&lt;&gt;0,INDEX(生物种群!$A$3:INDEX(生物种群!$A:$A,COUNTA(生物种群!$A:$A)),MATCH($A33,生物种群!$C$3:INDEX(生物种群!$C:$C,COUNTA(生物种群!$C:$C)),),),INDEX(生物种群!$A$3:INDEX(生物种群!$A:$A,COUNTA(生物种群!$A:$A)),MATCH($B33,生物种群!$D$3:INDEX(生物种群!$D:$D,COUNTA(生物种群!$D:$D)),),))),"")</f>
        <v>拟铃虫属</v>
      </c>
      <c r="I33" s="108" t="str">
        <f>IF(H33="","",INDEX(生物种群!$B$3:INDEX(生物种群!$B:$B,COUNTA(生物种群!$B:$B)),MATCH($H33,生物种群!$A$3:INDEX(生物种群!$A:$A,COUNTA(生物种群!$A:$A)),),))</f>
        <v>Tintinnopsis sp.</v>
      </c>
      <c r="J33" s="55" t="str">
        <f>IF(H33="","",INDEX(生物种群!$I$3:INDEX(生物种群!$I:$I,COUNTA(生物种群!$I:$I)),MATCH($H33,生物种群!$A$3:INDEX(生物种群!$A:$A,COUNTA(生物种群!$A:$A)),),))</f>
        <v/>
      </c>
      <c r="K33" s="107" t="str">
        <f>IF(H33="","",INDEX(生物种群!$E$3:INDEX(生物种群!$E:$E,COUNTA(生物种群!$E:$E)),MATCH($H33,生物种群!$A$3:INDEX(生物种群!$A:$A,COUNTA(生物种群!$A:$A)),),))</f>
        <v>原生动物</v>
      </c>
      <c r="L33" s="46">
        <f t="shared" si="6"/>
        <v>100</v>
      </c>
      <c r="M33" s="47">
        <f>IF(L33="","",ROUND((L33)/VLOOKUP($F33,IF({1,0},站位样品信息!$A$3:INDEX(站位样品信息!$A:$A,COUNTA(站位样品信息!$A:$A)+1),站位样品信息!$H$3:INDEX(站位样品信息!$H:$H,COUNTA(站位样品信息!$H:$H)+1)),2,0),2))</f>
        <v>21.74</v>
      </c>
      <c r="O33" s="49"/>
      <c r="P33" s="53" t="str">
        <f t="shared" si="4"/>
        <v>A2N44ZQ073Tintinnopsis sp.</v>
      </c>
      <c r="Q33" s="53" t="str">
        <f t="shared" si="5"/>
        <v/>
      </c>
    </row>
    <row r="34" spans="1:17" ht="19.5" customHeight="1">
      <c r="A34" s="38"/>
      <c r="B34" s="38"/>
      <c r="C34" s="91">
        <v>101044</v>
      </c>
      <c r="D34" s="37">
        <v>8</v>
      </c>
      <c r="E34" s="37">
        <v>8</v>
      </c>
      <c r="F34" s="53" t="s">
        <v>10254</v>
      </c>
      <c r="G34" s="37" t="str">
        <f>IF(F34="","",INDEX(站位样品信息!$B$3:INDEX(站位样品信息!$B:$B,COUNTA(站位样品信息!$B:$B)+1),MATCH($F34,站位样品信息!$A$3:INDEX(站位样品信息!$A:$A,COUNTA(站位样品信息!$A:$A)+1),),))</f>
        <v>B0104</v>
      </c>
      <c r="H34" s="107" t="str">
        <f>IF(OR(A34&lt;&gt;"",B34&lt;&gt;"",C34&lt;&gt;""),IF($C34&lt;&gt;0,INDEX(生物种群!$A$3:INDEX(生物种群!$A:$A,COUNTA(生物种群!$A:$A)),MATCH($C34,生物种群!$F$3:INDEX(生物种群!$F:$F,COUNTA(生物种群!$F:$F)),),),IF($A34&lt;&gt;0,INDEX(生物种群!$A$3:INDEX(生物种群!$A:$A,COUNTA(生物种群!$A:$A)),MATCH($A34,生物种群!$C$3:INDEX(生物种群!$C:$C,COUNTA(生物种群!$C:$C)),),),INDEX(生物种群!$A$3:INDEX(生物种群!$A:$A,COUNTA(生物种群!$A:$A)),MATCH($B34,生物种群!$D$3:INDEX(生物种群!$D:$D,COUNTA(生物种群!$D:$D)),),))),"")</f>
        <v>网纹虫属</v>
      </c>
      <c r="I34" s="108" t="str">
        <f>IF(H34="","",INDEX(生物种群!$B$3:INDEX(生物种群!$B:$B,COUNTA(生物种群!$B:$B)),MATCH($H34,生物种群!$A$3:INDEX(生物种群!$A:$A,COUNTA(生物种群!$A:$A)),),))</f>
        <v>Favella sp.</v>
      </c>
      <c r="J34" s="55" t="str">
        <f>IF(H34="","",INDEX(生物种群!$I$3:INDEX(生物种群!$I:$I,COUNTA(生物种群!$I:$I)),MATCH($H34,生物种群!$A$3:INDEX(生物种群!$A:$A,COUNTA(生物种群!$A:$A)),),))</f>
        <v/>
      </c>
      <c r="K34" s="107" t="str">
        <f>IF(H34="","",INDEX(生物种群!$E$3:INDEX(生物种群!$E:$E,COUNTA(生物种群!$E:$E)),MATCH($H34,生物种群!$A$3:INDEX(生物种群!$A:$A,COUNTA(生物种群!$A:$A)),),))</f>
        <v>原生动物</v>
      </c>
      <c r="L34" s="46">
        <f t="shared" si="6"/>
        <v>100</v>
      </c>
      <c r="M34" s="47">
        <f>IF(L34="","",ROUND((L34)/VLOOKUP($F34,IF({1,0},站位样品信息!$A$3:INDEX(站位样品信息!$A:$A,COUNTA(站位样品信息!$A:$A)+1),站位样品信息!$H$3:INDEX(站位样品信息!$H:$H,COUNTA(站位样品信息!$H:$H)+1)),2,0),2))</f>
        <v>39.06</v>
      </c>
      <c r="O34" s="49"/>
      <c r="P34" s="53" t="str">
        <f t="shared" si="4"/>
        <v>A2N44ZQ076Favella sp.</v>
      </c>
      <c r="Q34" s="53" t="str">
        <f t="shared" si="5"/>
        <v/>
      </c>
    </row>
    <row r="35" spans="1:17" ht="19.5" customHeight="1">
      <c r="A35" s="38"/>
      <c r="B35" s="38"/>
      <c r="C35" s="91">
        <v>210001</v>
      </c>
      <c r="D35" s="37">
        <v>9</v>
      </c>
      <c r="E35" s="37">
        <v>9</v>
      </c>
      <c r="F35" s="53" t="s">
        <v>10256</v>
      </c>
      <c r="G35" s="37" t="str">
        <f>IF(F35="","",INDEX(站位样品信息!$B$3:INDEX(站位样品信息!$B:$B,COUNTA(站位样品信息!$B:$B)+1),MATCH($F35,站位样品信息!$A$3:INDEX(站位样品信息!$A:$A,COUNTA(站位样品信息!$A:$A)+1),),))</f>
        <v>B0031</v>
      </c>
      <c r="H35" s="107" t="str">
        <f>IF(OR(A35&lt;&gt;"",B35&lt;&gt;"",C35&lt;&gt;""),IF($C35&lt;&gt;0,INDEX(生物种群!$A$3:INDEX(生物种群!$A:$A,COUNTA(生物种群!$A:$A)),MATCH($C35,生物种群!$F$3:INDEX(生物种群!$F:$F,COUNTA(生物种群!$F:$F)),),),IF($A35&lt;&gt;0,INDEX(生物种群!$A$3:INDEX(生物种群!$A:$A,COUNTA(生物种群!$A:$A)),MATCH($A35,生物种群!$C$3:INDEX(生物种群!$C:$C,COUNTA(生物种群!$C:$C)),),),INDEX(生物种群!$A$3:INDEX(生物种群!$A:$A,COUNTA(生物种群!$A:$A)),MATCH($B35,生物种群!$D$3:INDEX(生物种群!$D:$D,COUNTA(生物种群!$D:$D)),),))),"")</f>
        <v>四手筐水母</v>
      </c>
      <c r="I35" s="108" t="str">
        <f>IF(H35="","",INDEX(生物种群!$B$3:INDEX(生物种群!$B:$B,COUNTA(生物种群!$B:$B)),MATCH($H35,生物种群!$A$3:INDEX(生物种群!$A:$A,COUNTA(生物种群!$A:$A)),),))</f>
        <v>Aegina citrea </v>
      </c>
      <c r="J35" s="55" t="str">
        <f>IF(H35="","",INDEX(生物种群!$I$3:INDEX(生物种群!$I:$I,COUNTA(生物种群!$I:$I)),MATCH($H35,生物种群!$A$3:INDEX(生物种群!$A:$A,COUNTA(生物种群!$A:$A)),),))</f>
        <v>Eschscholtz, 1829</v>
      </c>
      <c r="K35" s="107" t="str">
        <f>IF(H35="","",INDEX(生物种群!$E$3:INDEX(生物种群!$E:$E,COUNTA(生物种群!$E:$E)),MATCH($H35,生物种群!$A$3:INDEX(生物种群!$A:$A,COUNTA(生物种群!$A:$A)),),))</f>
        <v>腔肠动物</v>
      </c>
      <c r="L35" s="46">
        <f t="shared" si="6"/>
        <v>100</v>
      </c>
      <c r="M35" s="47">
        <f>IF(L35="","",ROUND((L35)/VLOOKUP($F35,IF({1,0},站位样品信息!$A$3:INDEX(站位样品信息!$A:$A,COUNTA(站位样品信息!$A:$A)+1),站位样品信息!$H$3:INDEX(站位样品信息!$H:$H,COUNTA(站位样品信息!$H:$H)+1)),2,0),2))</f>
        <v>83.33</v>
      </c>
      <c r="O35" s="49"/>
      <c r="P35" s="53" t="str">
        <f t="shared" si="4"/>
        <v>A2N44ZQ074Aegina citrea </v>
      </c>
      <c r="Q35" s="53" t="str">
        <f t="shared" si="5"/>
        <v/>
      </c>
    </row>
    <row r="36" spans="1:17" ht="19.5" customHeight="1">
      <c r="A36" s="38"/>
      <c r="B36" s="38"/>
      <c r="C36" s="91">
        <v>210002</v>
      </c>
      <c r="D36" s="37">
        <v>10</v>
      </c>
      <c r="E36" s="37">
        <v>10</v>
      </c>
      <c r="F36" s="53" t="s">
        <v>10258</v>
      </c>
      <c r="G36" s="37" t="str">
        <f>IF(F36="","",INDEX(站位样品信息!$B$3:INDEX(站位样品信息!$B:$B,COUNTA(站位样品信息!$B:$B)+1),MATCH($F36,站位样品信息!$A$3:INDEX(站位样品信息!$A:$A,COUNTA(站位样品信息!$A:$A)+1),),))</f>
        <v>B0065</v>
      </c>
      <c r="H36" s="107" t="str">
        <f>IF(OR(A36&lt;&gt;"",B36&lt;&gt;"",C36&lt;&gt;""),IF($C36&lt;&gt;0,INDEX(生物种群!$A$3:INDEX(生物种群!$A:$A,COUNTA(生物种群!$A:$A)),MATCH($C36,生物种群!$F$3:INDEX(生物种群!$F:$F,COUNTA(生物种群!$F:$F)),),),IF($A36&lt;&gt;0,INDEX(生物种群!$A$3:INDEX(生物种群!$A:$A,COUNTA(生物种群!$A:$A)),MATCH($A36,生物种群!$C$3:INDEX(生物种群!$C:$C,COUNTA(生物种群!$C:$C)),),),INDEX(生物种群!$A$3:INDEX(生物种群!$A:$A,COUNTA(生物种群!$A:$A)),MATCH($B36,生物种群!$D$3:INDEX(生物种群!$D:$D,COUNTA(生物种群!$D:$D)),),))),"")</f>
        <v>八手筐水母属</v>
      </c>
      <c r="I36" s="108" t="str">
        <f>IF(H36="","",INDEX(生物种群!$B$3:INDEX(生物种群!$B:$B,COUNTA(生物种群!$B:$B)),MATCH($H36,生物种群!$A$3:INDEX(生物种群!$A:$A,COUNTA(生物种群!$A:$A)),),))</f>
        <v>Aeginura sp.</v>
      </c>
      <c r="J36" s="55" t="str">
        <f>IF(H36="","",INDEX(生物种群!$I$3:INDEX(生物种群!$I:$I,COUNTA(生物种群!$I:$I)),MATCH($H36,生物种群!$A$3:INDEX(生物种群!$A:$A,COUNTA(生物种群!$A:$A)),),))</f>
        <v/>
      </c>
      <c r="K36" s="107" t="str">
        <f>IF(H36="","",INDEX(生物种群!$E$3:INDEX(生物种群!$E:$E,COUNTA(生物种群!$E:$E)),MATCH($H36,生物种群!$A$3:INDEX(生物种群!$A:$A,COUNTA(生物种群!$A:$A)),),))</f>
        <v>腔肠动物</v>
      </c>
      <c r="L36" s="46">
        <f t="shared" si="6"/>
        <v>100</v>
      </c>
      <c r="M36" s="47">
        <f>IF(L36="","",ROUND((L36)/VLOOKUP($F36,IF({1,0},站位样品信息!$A$3:INDEX(站位样品信息!$A:$A,COUNTA(站位样品信息!$A:$A)+1),站位样品信息!$H$3:INDEX(站位样品信息!$H:$H,COUNTA(站位样品信息!$H:$H)+1)),2,0),2))</f>
        <v>100</v>
      </c>
      <c r="O36" s="49"/>
      <c r="P36" s="53" t="str">
        <f t="shared" si="4"/>
        <v>A2N44ZQ085Aeginura sp.</v>
      </c>
      <c r="Q36" s="53" t="str">
        <f t="shared" si="5"/>
        <v/>
      </c>
    </row>
    <row r="37" spans="1:17" ht="19.5" customHeight="1">
      <c r="A37" s="38"/>
      <c r="B37" s="38"/>
      <c r="C37" s="91">
        <v>210003</v>
      </c>
      <c r="D37" s="37">
        <v>11</v>
      </c>
      <c r="E37" s="37">
        <v>11</v>
      </c>
      <c r="F37" s="53" t="s">
        <v>10261</v>
      </c>
      <c r="G37" s="37" t="str">
        <f>IF(F37="","",INDEX(站位样品信息!$B$3:INDEX(站位样品信息!$B:$B,COUNTA(站位样品信息!$B:$B)+1),MATCH($F37,站位样品信息!$A$3:INDEX(站位样品信息!$A:$A,COUNTA(站位样品信息!$A:$A)+1),),))</f>
        <v>B0025</v>
      </c>
      <c r="H37" s="107" t="str">
        <f>IF(OR(A37&lt;&gt;"",B37&lt;&gt;"",C37&lt;&gt;""),IF($C37&lt;&gt;0,INDEX(生物种群!$A$3:INDEX(生物种群!$A:$A,COUNTA(生物种群!$A:$A)),MATCH($C37,生物种群!$F$3:INDEX(生物种群!$F:$F,COUNTA(生物种群!$F:$F)),),),IF($A37&lt;&gt;0,INDEX(生物种群!$A$3:INDEX(生物种群!$A:$A,COUNTA(生物种群!$A:$A)),MATCH($A37,生物种群!$C$3:INDEX(生物种群!$C:$C,COUNTA(生物种群!$C:$C)),),),INDEX(生物种群!$A$3:INDEX(生物种群!$A:$A,COUNTA(生物种群!$A:$A)),MATCH($B37,生物种群!$D$3:INDEX(生物种群!$D:$D,COUNTA(生物种群!$D:$D)),),))),"")</f>
        <v>八手筐水母</v>
      </c>
      <c r="I37" s="108" t="str">
        <f>IF(H37="","",INDEX(生物种群!$B$3:INDEX(生物种群!$B:$B,COUNTA(生物种群!$B:$B)),MATCH($H37,生物种群!$A$3:INDEX(生物种群!$A:$A,COUNTA(生物种群!$A:$A)),),))</f>
        <v>Aeginura grimaldii </v>
      </c>
      <c r="J37" s="55" t="str">
        <f>IF(H37="","",INDEX(生物种群!$I$3:INDEX(生物种群!$I:$I,COUNTA(生物种群!$I:$I)),MATCH($H37,生物种群!$A$3:INDEX(生物种群!$A:$A,COUNTA(生物种群!$A:$A)),),))</f>
        <v>Maas, 1904</v>
      </c>
      <c r="K37" s="107" t="str">
        <f>IF(H37="","",INDEX(生物种群!$E$3:INDEX(生物种群!$E:$E,COUNTA(生物种群!$E:$E)),MATCH($H37,生物种群!$A$3:INDEX(生物种群!$A:$A,COUNTA(生物种群!$A:$A)),),))</f>
        <v>腔肠动物</v>
      </c>
      <c r="L37" s="46">
        <f t="shared" si="6"/>
        <v>100</v>
      </c>
      <c r="M37" s="47">
        <f>IF(L37="","",ROUND((L37)/VLOOKUP($F37,IF({1,0},站位样品信息!$A$3:INDEX(站位样品信息!$A:$A,COUNTA(站位样品信息!$A:$A)+1),站位样品信息!$H$3:INDEX(站位样品信息!$H:$H,COUNTA(站位样品信息!$H:$H)+1)),2,0),2))</f>
        <v>40</v>
      </c>
      <c r="O37" s="49"/>
      <c r="P37" s="53" t="str">
        <f t="shared" si="4"/>
        <v>A2N44ZQ082Aeginura grimaldii </v>
      </c>
      <c r="Q37" s="53" t="str">
        <f t="shared" si="5"/>
        <v/>
      </c>
    </row>
    <row r="38" spans="1:17" ht="19.5" customHeight="1">
      <c r="A38" s="38"/>
      <c r="B38" s="38"/>
      <c r="C38" s="86">
        <v>210004</v>
      </c>
      <c r="D38" s="37">
        <v>12</v>
      </c>
      <c r="E38" s="37">
        <v>12</v>
      </c>
      <c r="F38" s="53" t="s">
        <v>10265</v>
      </c>
      <c r="G38" s="37" t="str">
        <f>IF(F38="","",INDEX(站位样品信息!$B$3:INDEX(站位样品信息!$B:$B,COUNTA(站位样品信息!$B:$B)+1),MATCH($F38,站位样品信息!$A$3:INDEX(站位样品信息!$A:$A,COUNTA(站位样品信息!$A:$A)+1),),))</f>
        <v>B0095</v>
      </c>
      <c r="H38" s="107" t="str">
        <f>IF(OR(A38&lt;&gt;"",B38&lt;&gt;"",C38&lt;&gt;""),IF($C38&lt;&gt;0,INDEX(生物种群!$A$3:INDEX(生物种群!$A:$A,COUNTA(生物种群!$A:$A)),MATCH($C38,生物种群!$F$3:INDEX(生物种群!$F:$F,COUNTA(生物种群!$F:$F)),),),IF($A38&lt;&gt;0,INDEX(生物种群!$A$3:INDEX(生物种群!$A:$A,COUNTA(生物种群!$A:$A)),MATCH($A38,生物种群!$C$3:INDEX(生物种群!$C:$C,COUNTA(生物种群!$C:$C)),),),INDEX(生物种群!$A$3:INDEX(生物种群!$A:$A,COUNTA(生物种群!$A:$A)),MATCH($B38,生物种群!$D$3:INDEX(生物种群!$D:$D,COUNTA(生物种群!$D:$D)),),))),"")</f>
        <v>刺纹水母属</v>
      </c>
      <c r="I38" s="108" t="str">
        <f>IF(H38="","",INDEX(生物种群!$B$3:INDEX(生物种群!$B:$B,COUNTA(生物种群!$B:$B)),MATCH($H38,生物种群!$A$3:INDEX(生物种群!$A:$A,COUNTA(生物种群!$A:$A)),),))</f>
        <v>Otoporpa sp.</v>
      </c>
      <c r="J38" s="55" t="str">
        <f>IF(H38="","",INDEX(生物种群!$I$3:INDEX(生物种群!$I:$I,COUNTA(生物种群!$I:$I)),MATCH($H38,生物种群!$A$3:INDEX(生物种群!$A:$A,COUNTA(生物种群!$A:$A)),),))</f>
        <v/>
      </c>
      <c r="K38" s="107" t="str">
        <f>IF(H38="","",INDEX(生物种群!$E$3:INDEX(生物种群!$E:$E,COUNTA(生物种群!$E:$E)),MATCH($H38,生物种群!$A$3:INDEX(生物种群!$A:$A,COUNTA(生物种群!$A:$A)),),))</f>
        <v>腔肠动物</v>
      </c>
      <c r="L38" s="46">
        <f t="shared" si="6"/>
        <v>100</v>
      </c>
      <c r="M38" s="47">
        <f>IF(L38="","",ROUND((L38)/VLOOKUP($F38,IF({1,0},站位样品信息!$A$3:INDEX(站位样品信息!$A:$A,COUNTA(站位样品信息!$A:$A)+1),站位样品信息!$H$3:INDEX(站位样品信息!$H:$H,COUNTA(站位样品信息!$H:$H)+1)),2,0),2))</f>
        <v>25</v>
      </c>
      <c r="O38" s="49"/>
      <c r="P38" s="53" t="str">
        <f t="shared" si="4"/>
        <v>A2N44ZQ081Otoporpa sp.</v>
      </c>
      <c r="Q38" s="53" t="str">
        <f t="shared" si="5"/>
        <v/>
      </c>
    </row>
    <row r="39" spans="1:17" ht="19.5" customHeight="1">
      <c r="A39" s="38"/>
      <c r="B39" s="38"/>
      <c r="C39" s="86">
        <v>210005</v>
      </c>
      <c r="D39" s="37">
        <v>13</v>
      </c>
      <c r="E39" s="37">
        <v>13</v>
      </c>
      <c r="F39" s="53" t="s">
        <v>10267</v>
      </c>
      <c r="G39" s="37" t="str">
        <f>IF(F39="","",INDEX(站位样品信息!$B$3:INDEX(站位样品信息!$B:$B,COUNTA(站位样品信息!$B:$B)+1),MATCH($F39,站位样品信息!$A$3:INDEX(站位样品信息!$A:$A,COUNTA(站位样品信息!$A:$A)+1),),))</f>
        <v>B0074</v>
      </c>
      <c r="H39" s="107" t="str">
        <f>IF(OR(A39&lt;&gt;"",B39&lt;&gt;"",C39&lt;&gt;""),IF($C39&lt;&gt;0,INDEX(生物种群!$A$3:INDEX(生物种群!$A:$A,COUNTA(生物种群!$A:$A)),MATCH($C39,生物种群!$F$3:INDEX(生物种群!$F:$F,COUNTA(生物种群!$F:$F)),),),IF($A39&lt;&gt;0,INDEX(生物种群!$A$3:INDEX(生物种群!$A:$A,COUNTA(生物种群!$A:$A)),MATCH($A39,生物种群!$C$3:INDEX(生物种群!$C:$C,COUNTA(生物种群!$C:$C)),),),INDEX(生物种群!$A$3:INDEX(生物种群!$A:$A,COUNTA(生物种群!$A:$A)),MATCH($B39,生物种群!$D$3:INDEX(生物种群!$D:$D,COUNTA(生物种群!$D:$D)),),))),"")</f>
        <v>刺纹水母</v>
      </c>
      <c r="I39" s="108" t="str">
        <f>IF(H39="","",INDEX(生物种群!$B$3:INDEX(生物种群!$B:$B,COUNTA(生物种群!$B:$B)),MATCH($H39,生物种群!$A$3:INDEX(生物种群!$A:$A,COUNTA(生物种群!$A:$A)),),))</f>
        <v>Otoporpa polystriata </v>
      </c>
      <c r="J39" s="55" t="str">
        <f>IF(H39="","",INDEX(生物种群!$I$3:INDEX(生物种群!$I:$I,COUNTA(生物种群!$I:$I)),MATCH($H39,生物种群!$A$3:INDEX(生物种群!$A:$A,COUNTA(生物种群!$A:$A)),),))</f>
        <v>Xu et Zhang, 1978</v>
      </c>
      <c r="K39" s="107" t="str">
        <f>IF(H39="","",INDEX(生物种群!$E$3:INDEX(生物种群!$E:$E,COUNTA(生物种群!$E:$E)),MATCH($H39,生物种群!$A$3:INDEX(生物种群!$A:$A,COUNTA(生物种群!$A:$A)),),))</f>
        <v>腔肠动物</v>
      </c>
      <c r="L39" s="46">
        <f t="shared" si="6"/>
        <v>100</v>
      </c>
      <c r="M39" s="47">
        <f>IF(L39="","",ROUND((L39)/VLOOKUP($F39,IF({1,0},站位样品信息!$A$3:INDEX(站位样品信息!$A:$A,COUNTA(站位样品信息!$A:$A)+1),站位样品信息!$H$3:INDEX(站位样品信息!$H:$H,COUNTA(站位样品信息!$H:$H)+1)),2,0),2))</f>
        <v>55.56</v>
      </c>
      <c r="O39" s="49"/>
      <c r="P39" s="53" t="str">
        <f t="shared" si="4"/>
        <v>A2N44ZQ083Otoporpa polystriata </v>
      </c>
      <c r="Q39" s="53" t="str">
        <f t="shared" si="5"/>
        <v/>
      </c>
    </row>
    <row r="40" spans="1:17" ht="19.5" customHeight="1">
      <c r="A40" s="38"/>
      <c r="B40" s="38"/>
      <c r="C40" s="86">
        <v>210006</v>
      </c>
      <c r="D40" s="37">
        <v>14</v>
      </c>
      <c r="E40" s="37">
        <v>14</v>
      </c>
      <c r="F40" s="53" t="s">
        <v>10270</v>
      </c>
      <c r="G40" s="37" t="str">
        <f>IF(F40="","",INDEX(站位样品信息!$B$3:INDEX(站位样品信息!$B:$B,COUNTA(站位样品信息!$B:$B)+1),MATCH($F40,站位样品信息!$A$3:INDEX(站位样品信息!$A:$A,COUNTA(站位样品信息!$A:$A)+1),),))</f>
        <v>B0119</v>
      </c>
      <c r="H40" s="107" t="str">
        <f>IF(OR(A40&lt;&gt;"",B40&lt;&gt;"",C40&lt;&gt;""),IF($C40&lt;&gt;0,INDEX(生物种群!$A$3:INDEX(生物种群!$A:$A,COUNTA(生物种群!$A:$A)),MATCH($C40,生物种群!$F$3:INDEX(生物种群!$F:$F,COUNTA(生物种群!$F:$F)),),),IF($A40&lt;&gt;0,INDEX(生物种群!$A$3:INDEX(生物种群!$A:$A,COUNTA(生物种群!$A:$A)),MATCH($A40,生物种群!$C$3:INDEX(生物种群!$C:$C,COUNTA(生物种群!$C:$C)),),),INDEX(生物种群!$A$3:INDEX(生物种群!$A:$A,COUNTA(生物种群!$A:$A)),MATCH($B40,生物种群!$D$3:INDEX(生物种群!$D:$D,COUNTA(生物种群!$D:$D)),),))),"")</f>
        <v>两手筐水母属</v>
      </c>
      <c r="I40" s="108" t="str">
        <f>IF(H40="","",INDEX(生物种群!$B$3:INDEX(生物种群!$B:$B,COUNTA(生物种群!$B:$B)),MATCH($H40,生物种群!$A$3:INDEX(生物种群!$A:$A,COUNTA(生物种群!$A:$A)),),))</f>
        <v>Solmundella sp.</v>
      </c>
      <c r="J40" s="55" t="str">
        <f>IF(H40="","",INDEX(生物种群!$I$3:INDEX(生物种群!$I:$I,COUNTA(生物种群!$I:$I)),MATCH($H40,生物种群!$A$3:INDEX(生物种群!$A:$A,COUNTA(生物种群!$A:$A)),),))</f>
        <v/>
      </c>
      <c r="K40" s="107" t="str">
        <f>IF(H40="","",INDEX(生物种群!$E$3:INDEX(生物种群!$E:$E,COUNTA(生物种群!$E:$E)),MATCH($H40,生物种群!$A$3:INDEX(生物种群!$A:$A,COUNTA(生物种群!$A:$A)),),))</f>
        <v>腔肠动物</v>
      </c>
      <c r="L40" s="46">
        <f t="shared" si="6"/>
        <v>100</v>
      </c>
      <c r="M40" s="47">
        <f>IF(L40="","",ROUND((L40)/VLOOKUP($F40,IF({1,0},站位样品信息!$A$3:INDEX(站位样品信息!$A:$A,COUNTA(站位样品信息!$A:$A)+1),站位样品信息!$H$3:INDEX(站位样品信息!$H:$H,COUNTA(站位样品信息!$H:$H)+1)),2,0),2))</f>
        <v>76.92</v>
      </c>
      <c r="O40" s="49"/>
      <c r="P40" s="53" t="str">
        <f t="shared" si="4"/>
        <v>A2N44ZQ084Solmundella sp.</v>
      </c>
      <c r="Q40" s="53" t="str">
        <f t="shared" si="5"/>
        <v/>
      </c>
    </row>
    <row r="41" spans="1:17" ht="19.5" customHeight="1">
      <c r="A41" s="38"/>
      <c r="B41" s="38"/>
      <c r="C41" s="86">
        <v>210007</v>
      </c>
      <c r="D41" s="37">
        <v>15</v>
      </c>
      <c r="E41" s="37">
        <v>15</v>
      </c>
      <c r="F41" s="53" t="s">
        <v>10272</v>
      </c>
      <c r="G41" s="37" t="str">
        <f>IF(F41="","",INDEX(站位样品信息!$B$3:INDEX(站位样品信息!$B:$B,COUNTA(站位样品信息!$B:$B)+1),MATCH($F41,站位样品信息!$A$3:INDEX(站位样品信息!$A:$A,COUNTA(站位样品信息!$A:$A)+1),),))</f>
        <v>B0222</v>
      </c>
      <c r="H41" s="107" t="str">
        <f>IF(OR(A41&lt;&gt;"",B41&lt;&gt;"",C41&lt;&gt;""),IF($C41&lt;&gt;0,INDEX(生物种群!$A$3:INDEX(生物种群!$A:$A,COUNTA(生物种群!$A:$A)),MATCH($C41,生物种群!$F$3:INDEX(生物种群!$F:$F,COUNTA(生物种群!$F:$F)),),),IF($A41&lt;&gt;0,INDEX(生物种群!$A$3:INDEX(生物种群!$A:$A,COUNTA(生物种群!$A:$A)),MATCH($A41,生物种群!$C$3:INDEX(生物种群!$C:$C,COUNTA(生物种群!$C:$C)),),),INDEX(生物种群!$A$3:INDEX(生物种群!$A:$A,COUNTA(生物种群!$A:$A)),MATCH($B41,生物种群!$D$3:INDEX(生物种群!$D:$D,COUNTA(生物种群!$D:$D)),),))),"")</f>
        <v>两手筐水母</v>
      </c>
      <c r="I41" s="108" t="str">
        <f>IF(H41="","",INDEX(生物种群!$B$3:INDEX(生物种群!$B:$B,COUNTA(生物种群!$B:$B)),MATCH($H41,生物种群!$A$3:INDEX(生物种群!$A:$A,COUNTA(生物种群!$A:$A)),),))</f>
        <v>Solmundella bitentaculata </v>
      </c>
      <c r="J41" s="55" t="str">
        <f>IF(H41="","",INDEX(生物种群!$I$3:INDEX(生物种群!$I:$I,COUNTA(生物种群!$I:$I)),MATCH($H41,生物种群!$A$3:INDEX(生物种群!$A:$A,COUNTA(生物种群!$A:$A)),),))</f>
        <v>(Quoy et Gaimard, 1833)</v>
      </c>
      <c r="K41" s="107" t="str">
        <f>IF(H41="","",INDEX(生物种群!$E$3:INDEX(生物种群!$E:$E,COUNTA(生物种群!$E:$E)),MATCH($H41,生物种群!$A$3:INDEX(生物种群!$A:$A,COUNTA(生物种群!$A:$A)),),))</f>
        <v>腔肠动物</v>
      </c>
      <c r="L41" s="46">
        <f t="shared" si="6"/>
        <v>100</v>
      </c>
      <c r="M41" s="47">
        <f>IF(L41="","",ROUND((L41)/VLOOKUP($F41,IF({1,0},站位样品信息!$A$3:INDEX(站位样品信息!$A:$A,COUNTA(站位样品信息!$A:$A)+1),站位样品信息!$H$3:INDEX(站位样品信息!$H:$H,COUNTA(站位样品信息!$H:$H)+1)),2,0),2))</f>
        <v>83.33</v>
      </c>
      <c r="O41" s="49"/>
      <c r="P41" s="53" t="str">
        <f t="shared" si="4"/>
        <v>A2N44ZQ080Solmundella bitentaculata </v>
      </c>
      <c r="Q41" s="53" t="str">
        <f t="shared" si="5"/>
        <v/>
      </c>
    </row>
    <row r="42" spans="1:17" ht="19.5" customHeight="1">
      <c r="A42" s="38"/>
      <c r="B42" s="38"/>
      <c r="C42" s="91">
        <v>210008</v>
      </c>
      <c r="D42" s="37">
        <v>16</v>
      </c>
      <c r="E42" s="37">
        <v>16</v>
      </c>
      <c r="F42" s="53" t="s">
        <v>10274</v>
      </c>
      <c r="G42" s="37" t="str">
        <f>IF(F42="","",INDEX(站位样品信息!$B$3:INDEX(站位样品信息!$B:$B,COUNTA(站位样品信息!$B:$B)+1),MATCH($F42,站位样品信息!$A$3:INDEX(站位样品信息!$A:$A,COUNTA(站位样品信息!$A:$A)+1),),))</f>
        <v>B0071</v>
      </c>
      <c r="H42" s="107" t="str">
        <f>IF(OR(A42&lt;&gt;"",B42&lt;&gt;"",C42&lt;&gt;""),IF($C42&lt;&gt;0,INDEX(生物种群!$A$3:INDEX(生物种群!$A:$A,COUNTA(生物种群!$A:$A)),MATCH($C42,生物种群!$F$3:INDEX(生物种群!$F:$F,COUNTA(生物种群!$F:$F)),),),IF($A42&lt;&gt;0,INDEX(生物种群!$A$3:INDEX(生物种群!$A:$A,COUNTA(生物种群!$A:$A)),MATCH($A42,生物种群!$C$3:INDEX(生物种群!$C:$C,COUNTA(生物种群!$C:$C)),),),INDEX(生物种群!$A$3:INDEX(生物种群!$A:$A,COUNTA(生物种群!$A:$A)),MATCH($B42,生物种群!$D$3:INDEX(生物种群!$D:$D,COUNTA(生物种群!$D:$D)),),))),"")</f>
        <v>摇篮水母属</v>
      </c>
      <c r="I42" s="108" t="str">
        <f>IF(H42="","",INDEX(生物种群!$B$3:INDEX(生物种群!$B:$B,COUNTA(生物种群!$B:$B)),MATCH($H42,生物种群!$A$3:INDEX(生物种群!$A:$A,COUNTA(生物种群!$A:$A)),),))</f>
        <v>Cunina sp.</v>
      </c>
      <c r="J42" s="55" t="str">
        <f>IF(H42="","",INDEX(生物种群!$I$3:INDEX(生物种群!$I:$I,COUNTA(生物种群!$I:$I)),MATCH($H42,生物种群!$A$3:INDEX(生物种群!$A:$A,COUNTA(生物种群!$A:$A)),),))</f>
        <v/>
      </c>
      <c r="K42" s="107" t="str">
        <f>IF(H42="","",INDEX(生物种群!$E$3:INDEX(生物种群!$E:$E,COUNTA(生物种群!$E:$E)),MATCH($H42,生物种群!$A$3:INDEX(生物种群!$A:$A,COUNTA(生物种群!$A:$A)),),))</f>
        <v>腔肠动物</v>
      </c>
      <c r="L42" s="46">
        <f t="shared" si="6"/>
        <v>100</v>
      </c>
      <c r="M42" s="47">
        <f>IF(L42="","",ROUND((L42)/VLOOKUP($F42,IF({1,0},站位样品信息!$A$3:INDEX(站位样品信息!$A:$A,COUNTA(站位样品信息!$A:$A)+1),站位样品信息!$H$3:INDEX(站位样品信息!$H:$H,COUNTA(站位样品信息!$H:$H)+1)),2,0),2))</f>
        <v>71.430000000000007</v>
      </c>
      <c r="O42" s="49"/>
      <c r="P42" s="53" t="str">
        <f t="shared" si="4"/>
        <v>A2N44ZQ077Cunina sp.</v>
      </c>
      <c r="Q42" s="53" t="str">
        <f t="shared" si="5"/>
        <v/>
      </c>
    </row>
    <row r="43" spans="1:17" ht="19.5" customHeight="1">
      <c r="A43" s="38"/>
      <c r="B43" s="38"/>
      <c r="C43" s="91">
        <v>210009</v>
      </c>
      <c r="D43" s="37">
        <v>17</v>
      </c>
      <c r="E43" s="37">
        <v>17</v>
      </c>
      <c r="F43" s="53" t="s">
        <v>10277</v>
      </c>
      <c r="G43" s="37" t="str">
        <f>IF(F43="","",INDEX(站位样品信息!$B$3:INDEX(站位样品信息!$B:$B,COUNTA(站位样品信息!$B:$B)+1),MATCH($F43,站位样品信息!$A$3:INDEX(站位样品信息!$A:$A,COUNTA(站位样品信息!$A:$A)+1),),))</f>
        <v>B0029</v>
      </c>
      <c r="H43" s="107" t="str">
        <f>IF(OR(A43&lt;&gt;"",B43&lt;&gt;"",C43&lt;&gt;""),IF($C43&lt;&gt;0,INDEX(生物种群!$A$3:INDEX(生物种群!$A:$A,COUNTA(生物种群!$A:$A)),MATCH($C43,生物种群!$F$3:INDEX(生物种群!$F:$F,COUNTA(生物种群!$F:$F)),),),IF($A43&lt;&gt;0,INDEX(生物种群!$A$3:INDEX(生物种群!$A:$A,COUNTA(生物种群!$A:$A)),MATCH($A43,生物种群!$C$3:INDEX(生物种群!$C:$C,COUNTA(生物种群!$C:$C)),),),INDEX(生物种群!$A$3:INDEX(生物种群!$A:$A,COUNTA(生物种群!$A:$A)),MATCH($B43,生物种群!$D$3:INDEX(生物种群!$D:$D,COUNTA(生物种群!$D:$D)),),))),"")</f>
        <v>果状摇篮水母</v>
      </c>
      <c r="I43" s="108" t="str">
        <f>IF(H43="","",INDEX(生物种群!$B$3:INDEX(生物种群!$B:$B,COUNTA(生物种群!$B:$B)),MATCH($H43,生物种群!$A$3:INDEX(生物种群!$A:$A,COUNTA(生物种群!$A:$A)),),))</f>
        <v>Cunina frugifera </v>
      </c>
      <c r="J43" s="55" t="str">
        <f>IF(H43="","",INDEX(生物种群!$I$3:INDEX(生物种群!$I:$I,COUNTA(生物种群!$I:$I)),MATCH($H43,生物种群!$A$3:INDEX(生物种群!$A:$A,COUNTA(生物种群!$A:$A)),),))</f>
        <v>Kramp, 1948</v>
      </c>
      <c r="K43" s="107" t="str">
        <f>IF(H43="","",INDEX(生物种群!$E$3:INDEX(生物种群!$E:$E,COUNTA(生物种群!$E:$E)),MATCH($H43,生物种群!$A$3:INDEX(生物种群!$A:$A,COUNTA(生物种群!$A:$A)),),))</f>
        <v>腔肠动物</v>
      </c>
      <c r="L43" s="46">
        <f t="shared" si="6"/>
        <v>100</v>
      </c>
      <c r="M43" s="47">
        <f>IF(L43="","",ROUND((L43)/VLOOKUP($F43,IF({1,0},站位样品信息!$A$3:INDEX(站位样品信息!$A:$A,COUNTA(站位样品信息!$A:$A)+1),站位样品信息!$H$3:INDEX(站位样品信息!$H:$H,COUNTA(站位样品信息!$H:$H)+1)),2,0),2))</f>
        <v>76.92</v>
      </c>
      <c r="O43" s="49"/>
      <c r="P43" s="53" t="str">
        <f t="shared" si="4"/>
        <v>A2N44ZQ075Cunina frugifera </v>
      </c>
      <c r="Q43" s="53" t="str">
        <f t="shared" si="5"/>
        <v/>
      </c>
    </row>
    <row r="44" spans="1:17" ht="19.5" customHeight="1">
      <c r="A44" s="38"/>
      <c r="B44" s="38"/>
      <c r="C44" s="91">
        <v>210010</v>
      </c>
      <c r="D44" s="37">
        <v>18</v>
      </c>
      <c r="E44" s="37">
        <v>18</v>
      </c>
      <c r="F44" s="53" t="s">
        <v>10279</v>
      </c>
      <c r="G44" s="37" t="str">
        <f>IF(F44="","",INDEX(站位样品信息!$B$3:INDEX(站位样品信息!$B:$B,COUNTA(站位样品信息!$B:$B)+1),MATCH($F44,站位样品信息!$A$3:INDEX(站位样品信息!$A:$A,COUNTA(站位样品信息!$A:$A)+1),),))</f>
        <v>B0152</v>
      </c>
      <c r="H44" s="107" t="str">
        <f>IF(OR(A44&lt;&gt;"",B44&lt;&gt;"",C44&lt;&gt;""),IF($C44&lt;&gt;0,INDEX(生物种群!$A$3:INDEX(生物种群!$A:$A,COUNTA(生物种群!$A:$A)),MATCH($C44,生物种群!$F$3:INDEX(生物种群!$F:$F,COUNTA(生物种群!$F:$F)),),),IF($A44&lt;&gt;0,INDEX(生物种群!$A$3:INDEX(生物种群!$A:$A,COUNTA(生物种群!$A:$A)),MATCH($A44,生物种群!$C$3:INDEX(生物种群!$C:$C,COUNTA(生物种群!$C:$C)),),),INDEX(生物种群!$A$3:INDEX(生物种群!$A:$A,COUNTA(生物种群!$A:$A)),MATCH($B44,生物种群!$D$3:INDEX(生物种群!$D:$D,COUNTA(生物种群!$D:$D)),),))),"")</f>
        <v>八囊摇篮水母</v>
      </c>
      <c r="I44" s="108" t="str">
        <f>IF(H44="","",INDEX(生物种群!$B$3:INDEX(生物种群!$B:$B,COUNTA(生物种群!$B:$B)),MATCH($H44,生物种群!$A$3:INDEX(生物种群!$A:$A,COUNTA(生物种群!$A:$A)),),))</f>
        <v>Cunina octonaria </v>
      </c>
      <c r="J44" s="55" t="str">
        <f>IF(H44="","",INDEX(生物种群!$I$3:INDEX(生物种群!$I:$I,COUNTA(生物种群!$I:$I)),MATCH($H44,生物种群!$A$3:INDEX(生物种群!$A:$A,COUNTA(生物种群!$A:$A)),),))</f>
        <v>McCrady, 1859</v>
      </c>
      <c r="K44" s="107" t="str">
        <f>IF(H44="","",INDEX(生物种群!$E$3:INDEX(生物种群!$E:$E,COUNTA(生物种群!$E:$E)),MATCH($H44,生物种群!$A$3:INDEX(生物种群!$A:$A,COUNTA(生物种群!$A:$A)),),))</f>
        <v>腔肠动物</v>
      </c>
      <c r="L44" s="46">
        <f t="shared" si="6"/>
        <v>100</v>
      </c>
      <c r="M44" s="47">
        <f>IF(L44="","",ROUND((L44)/VLOOKUP($F44,IF({1,0},站位样品信息!$A$3:INDEX(站位样品信息!$A:$A,COUNTA(站位样品信息!$A:$A)+1),站位样品信息!$H$3:INDEX(站位样品信息!$H:$H,COUNTA(站位样品信息!$H:$H)+1)),2,0),2))</f>
        <v>200</v>
      </c>
      <c r="O44" s="49"/>
      <c r="P44" s="53" t="str">
        <f t="shared" si="4"/>
        <v>A2N44ZQ087Cunina octonaria </v>
      </c>
      <c r="Q44" s="53" t="str">
        <f t="shared" si="5"/>
        <v/>
      </c>
    </row>
    <row r="45" spans="1:17" ht="19.5" customHeight="1">
      <c r="A45" s="38"/>
      <c r="B45" s="38"/>
      <c r="C45" s="91">
        <v>210011</v>
      </c>
      <c r="D45" s="37">
        <v>19</v>
      </c>
      <c r="E45" s="37">
        <v>19</v>
      </c>
      <c r="F45" s="53" t="s">
        <v>10281</v>
      </c>
      <c r="G45" s="37" t="str">
        <f>IF(F45="","",INDEX(站位样品信息!$B$3:INDEX(站位样品信息!$B:$B,COUNTA(站位样品信息!$B:$B)+1),MATCH($F45,站位样品信息!$A$3:INDEX(站位样品信息!$A:$A,COUNTA(站位样品信息!$A:$A)+1),),))</f>
        <v>B0030</v>
      </c>
      <c r="H45" s="107" t="str">
        <f>IF(OR(A45&lt;&gt;"",B45&lt;&gt;"",C45&lt;&gt;""),IF($C45&lt;&gt;0,INDEX(生物种群!$A$3:INDEX(生物种群!$A:$A,COUNTA(生物种群!$A:$A)),MATCH($C45,生物种群!$F$3:INDEX(生物种群!$F:$F,COUNTA(生物种群!$F:$F)),),),IF($A45&lt;&gt;0,INDEX(生物种群!$A$3:INDEX(生物种群!$A:$A,COUNTA(生物种群!$A:$A)),MATCH($A45,生物种群!$C$3:INDEX(生物种群!$C:$C,COUNTA(生物种群!$C:$C)),),),INDEX(生物种群!$A$3:INDEX(生物种群!$A:$A,COUNTA(生物种群!$A:$A)),MATCH($B45,生物种群!$D$3:INDEX(生物种群!$D:$D,COUNTA(生物种群!$D:$D)),),))),"")</f>
        <v>异摇篮水母</v>
      </c>
      <c r="I45" s="108" t="str">
        <f>IF(H45="","",INDEX(生物种群!$B$3:INDEX(生物种群!$B:$B,COUNTA(生物种群!$B:$B)),MATCH($H45,生物种群!$A$3:INDEX(生物种群!$A:$A,COUNTA(生物种群!$A:$A)),),))</f>
        <v>Cunina peregrina</v>
      </c>
      <c r="J45" s="55" t="str">
        <f>IF(H45="","",INDEX(生物种群!$I$3:INDEX(生物种群!$I:$I,COUNTA(生物种群!$I:$I)),MATCH($H45,生物种群!$A$3:INDEX(生物种群!$A:$A,COUNTA(生物种群!$A:$A)),),))</f>
        <v>Bigelow, 1909</v>
      </c>
      <c r="K45" s="107" t="str">
        <f>IF(H45="","",INDEX(生物种群!$E$3:INDEX(生物种群!$E:$E,COUNTA(生物种群!$E:$E)),MATCH($H45,生物种群!$A$3:INDEX(生物种群!$A:$A,COUNTA(生物种群!$A:$A)),),))</f>
        <v>腔肠动物</v>
      </c>
      <c r="L45" s="46">
        <f t="shared" si="6"/>
        <v>100</v>
      </c>
      <c r="M45" s="47">
        <f>IF(L45="","",ROUND((L45)/VLOOKUP($F45,IF({1,0},站位样品信息!$A$3:INDEX(站位样品信息!$A:$A,COUNTA(站位样品信息!$A:$A)+1),站位样品信息!$H$3:INDEX(站位样品信息!$H:$H,COUNTA(站位样品信息!$H:$H)+1)),2,0),2))</f>
        <v>100</v>
      </c>
      <c r="O45" s="49"/>
      <c r="P45" s="53" t="str">
        <f t="shared" si="4"/>
        <v>A2N44ZQ088Cunina peregrina</v>
      </c>
      <c r="Q45" s="53" t="str">
        <f t="shared" si="5"/>
        <v/>
      </c>
    </row>
    <row r="46" spans="1:17" ht="19.5" customHeight="1">
      <c r="A46" s="38"/>
      <c r="B46" s="38"/>
      <c r="C46" s="86">
        <v>210012</v>
      </c>
      <c r="D46" s="37">
        <v>20</v>
      </c>
      <c r="E46" s="37">
        <v>20</v>
      </c>
      <c r="F46" s="53" t="s">
        <v>10283</v>
      </c>
      <c r="G46" s="37" t="str">
        <f>IF(F46="","",INDEX(站位样品信息!$B$3:INDEX(站位样品信息!$B:$B,COUNTA(站位样品信息!$B:$B)+1),MATCH($F46,站位样品信息!$A$3:INDEX(站位样品信息!$A:$A,COUNTA(站位样品信息!$A:$A)+1),),))</f>
        <v>B0066</v>
      </c>
      <c r="H46" s="107" t="str">
        <f>IF(OR(A46&lt;&gt;"",B46&lt;&gt;"",C46&lt;&gt;""),IF($C46&lt;&gt;0,INDEX(生物种群!$A$3:INDEX(生物种群!$A:$A,COUNTA(生物种群!$A:$A)),MATCH($C46,生物种群!$F$3:INDEX(生物种群!$F:$F,COUNTA(生物种群!$F:$F)),),),IF($A46&lt;&gt;0,INDEX(生物种群!$A$3:INDEX(生物种群!$A:$A,COUNTA(生物种群!$A:$A)),MATCH($A46,生物种群!$C$3:INDEX(生物种群!$C:$C,COUNTA(生物种群!$C:$C)),),),INDEX(生物种群!$A$3:INDEX(生物种群!$A:$A,COUNTA(生物种群!$A:$A)),MATCH($B46,生物种群!$D$3:INDEX(生物种群!$D:$D,COUNTA(生物种群!$D:$D)),),))),"")</f>
        <v>嗜阳水母属</v>
      </c>
      <c r="I46" s="108" t="str">
        <f>IF(H46="","",INDEX(生物种群!$B$3:INDEX(生物种群!$B:$B,COUNTA(生物种群!$B:$B)),MATCH($H46,生物种群!$A$3:INDEX(生物种群!$A:$A,COUNTA(生物种群!$A:$A)),),))</f>
        <v>Solmissus sp.</v>
      </c>
      <c r="J46" s="55" t="str">
        <f>IF(H46="","",INDEX(生物种群!$I$3:INDEX(生物种群!$I:$I,COUNTA(生物种群!$I:$I)),MATCH($H46,生物种群!$A$3:INDEX(生物种群!$A:$A,COUNTA(生物种群!$A:$A)),),))</f>
        <v/>
      </c>
      <c r="K46" s="107" t="str">
        <f>IF(H46="","",INDEX(生物种群!$E$3:INDEX(生物种群!$E:$E,COUNTA(生物种群!$E:$E)),MATCH($H46,生物种群!$A$3:INDEX(生物种群!$A:$A,COUNTA(生物种群!$A:$A)),),))</f>
        <v>腔肠动物</v>
      </c>
      <c r="L46" s="46">
        <f t="shared" si="6"/>
        <v>100</v>
      </c>
      <c r="M46" s="47">
        <f>IF(L46="","",ROUND((L46)/VLOOKUP($F46,IF({1,0},站位样品信息!$A$3:INDEX(站位样品信息!$A:$A,COUNTA(站位样品信息!$A:$A)+1),站位样品信息!$H$3:INDEX(站位样品信息!$H:$H,COUNTA(站位样品信息!$H:$H)+1)),2,0),2))</f>
        <v>40</v>
      </c>
      <c r="O46" s="49"/>
      <c r="P46" s="53" t="str">
        <f t="shared" si="4"/>
        <v>A2N44ZQ089Solmissus sp.</v>
      </c>
      <c r="Q46" s="53" t="str">
        <f t="shared" si="5"/>
        <v/>
      </c>
    </row>
    <row r="47" spans="1:17" ht="19.5" customHeight="1">
      <c r="A47" s="38"/>
      <c r="B47" s="38"/>
      <c r="C47" s="86">
        <v>210013</v>
      </c>
      <c r="D47" s="37">
        <v>21</v>
      </c>
      <c r="E47" s="37">
        <v>21</v>
      </c>
      <c r="F47" s="53" t="s">
        <v>10285</v>
      </c>
      <c r="G47" s="37" t="str">
        <f>IF(F47="","",INDEX(站位样品信息!$B$3:INDEX(站位样品信息!$B:$B,COUNTA(站位样品信息!$B:$B)+1),MATCH($F47,站位样品信息!$A$3:INDEX(站位样品信息!$A:$A,COUNTA(站位样品信息!$A:$A)+1),),))</f>
        <v>B0033</v>
      </c>
      <c r="H47" s="107" t="str">
        <f>IF(OR(A47&lt;&gt;"",B47&lt;&gt;"",C47&lt;&gt;""),IF($C47&lt;&gt;0,INDEX(生物种群!$A$3:INDEX(生物种群!$A:$A,COUNTA(生物种群!$A:$A)),MATCH($C47,生物种群!$F$3:INDEX(生物种群!$F:$F,COUNTA(生物种群!$F:$F)),),),IF($A47&lt;&gt;0,INDEX(生物种群!$A$3:INDEX(生物种群!$A:$A,COUNTA(生物种群!$A:$A)),MATCH($A47,生物种群!$C$3:INDEX(生物种群!$C:$C,COUNTA(生物种群!$C:$C)),),),INDEX(生物种群!$A$3:INDEX(生物种群!$A:$A,COUNTA(生物种群!$A:$A)),MATCH($B47,生物种群!$D$3:INDEX(生物种群!$D:$D,COUNTA(生物种群!$D:$D)),),))),"")</f>
        <v>马氏嗜阳水母</v>
      </c>
      <c r="I47" s="108" t="str">
        <f>IF(H47="","",INDEX(生物种群!$B$3:INDEX(生物种群!$B:$B,COUNTA(生物种群!$B:$B)),MATCH($H47,生物种群!$A$3:INDEX(生物种群!$A:$A,COUNTA(生物种群!$A:$A)),),))</f>
        <v>Solmissus marshalii </v>
      </c>
      <c r="J47" s="55" t="str">
        <f>IF(H47="","",INDEX(生物种群!$I$3:INDEX(生物种群!$I:$I,COUNTA(生物种群!$I:$I)),MATCH($H47,生物种群!$A$3:INDEX(生物种群!$A:$A,COUNTA(生物种群!$A:$A)),),))</f>
        <v>Agassiz et Mayer, 1902</v>
      </c>
      <c r="K47" s="107" t="str">
        <f>IF(H47="","",INDEX(生物种群!$E$3:INDEX(生物种群!$E:$E,COUNTA(生物种群!$E:$E)),MATCH($H47,生物种群!$A$3:INDEX(生物种群!$A:$A,COUNTA(生物种群!$A:$A)),),))</f>
        <v>腔肠动物</v>
      </c>
      <c r="L47" s="46">
        <f t="shared" si="6"/>
        <v>100</v>
      </c>
      <c r="M47" s="47">
        <f>IF(L47="","",ROUND((L47)/VLOOKUP($F47,IF({1,0},站位样品信息!$A$3:INDEX(站位样品信息!$A:$A,COUNTA(站位样品信息!$A:$A)+1),站位样品信息!$H$3:INDEX(站位样品信息!$H:$H,COUNTA(站位样品信息!$H:$H)+1)),2,0),2))</f>
        <v>111.11</v>
      </c>
      <c r="O47" s="49"/>
      <c r="P47" s="53" t="str">
        <f t="shared" si="4"/>
        <v>A2N44ZQ090Solmissus marshalii </v>
      </c>
      <c r="Q47" s="53" t="str">
        <f t="shared" si="5"/>
        <v/>
      </c>
    </row>
    <row r="48" spans="1:17" ht="19.5" customHeight="1">
      <c r="A48" s="37"/>
      <c r="B48" s="37"/>
      <c r="C48" s="86">
        <v>210014</v>
      </c>
      <c r="D48" s="37">
        <v>22</v>
      </c>
      <c r="E48" s="37">
        <v>22</v>
      </c>
      <c r="F48" s="53" t="s">
        <v>10288</v>
      </c>
      <c r="G48" s="37" t="str">
        <f>IF(F48="","",INDEX(站位样品信息!$B$3:INDEX(站位样品信息!$B:$B,COUNTA(站位样品信息!$B:$B)+1),MATCH($F48,站位样品信息!$A$3:INDEX(站位样品信息!$A:$A,COUNTA(站位样品信息!$A:$A)+1),),))</f>
        <v>B0309</v>
      </c>
      <c r="H48" s="107" t="str">
        <f>IF(OR(A48&lt;&gt;"",B48&lt;&gt;"",C48&lt;&gt;""),IF($C48&lt;&gt;0,INDEX(生物种群!$A$3:INDEX(生物种群!$A:$A,COUNTA(生物种群!$A:$A)),MATCH($C48,生物种群!$F$3:INDEX(生物种群!$F:$F,COUNTA(生物种群!$F:$F)),),),IF($A48&lt;&gt;0,INDEX(生物种群!$A$3:INDEX(生物种群!$A:$A,COUNTA(生物种群!$A:$A)),MATCH($A48,生物种群!$C$3:INDEX(生物种群!$C:$C,COUNTA(生物种群!$C:$C)),),),INDEX(生物种群!$A$3:INDEX(生物种群!$A:$A,COUNTA(生物种群!$A:$A)),MATCH($B48,生物种群!$D$3:INDEX(生物种群!$D:$D,COUNTA(生物种群!$D:$D)),),))),"")</f>
        <v>坚固水母属</v>
      </c>
      <c r="I48" s="108" t="str">
        <f>IF(H48="","",INDEX(生物种群!$B$3:INDEX(生物种群!$B:$B,COUNTA(生物种群!$B:$B)),MATCH($H48,生物种群!$A$3:INDEX(生物种群!$A:$A,COUNTA(生物种群!$A:$A)),),))</f>
        <v>Pegantha sp.</v>
      </c>
      <c r="J48" s="55" t="str">
        <f>IF(H48="","",INDEX(生物种群!$I$3:INDEX(生物种群!$I:$I,COUNTA(生物种群!$I:$I)),MATCH($H48,生物种群!$A$3:INDEX(生物种群!$A:$A,COUNTA(生物种群!$A:$A)),),))</f>
        <v/>
      </c>
      <c r="K48" s="107" t="str">
        <f>IF(H48="","",INDEX(生物种群!$E$3:INDEX(生物种群!$E:$E,COUNTA(生物种群!$E:$E)),MATCH($H48,生物种群!$A$3:INDEX(生物种群!$A:$A,COUNTA(生物种群!$A:$A)),),))</f>
        <v>腔肠动物</v>
      </c>
      <c r="L48" s="46">
        <f t="shared" si="6"/>
        <v>100</v>
      </c>
      <c r="M48" s="47">
        <f>IF(L48="","",ROUND((L48)/VLOOKUP($F48,IF({1,0},站位样品信息!$A$3:INDEX(站位样品信息!$A:$A,COUNTA(站位样品信息!$A:$A)+1),站位样品信息!$H$3:INDEX(站位样品信息!$H:$H,COUNTA(站位样品信息!$H:$H)+1)),2,0),2))</f>
        <v>26.32</v>
      </c>
      <c r="O48" s="49"/>
      <c r="P48" s="53" t="str">
        <f t="shared" si="4"/>
        <v>A2N44ZQ078Pegantha sp.</v>
      </c>
      <c r="Q48" s="53" t="str">
        <f t="shared" si="5"/>
        <v/>
      </c>
    </row>
    <row r="49" spans="1:17" ht="19.5" customHeight="1">
      <c r="A49" s="37"/>
      <c r="B49" s="37"/>
      <c r="C49" s="86">
        <v>210015</v>
      </c>
      <c r="D49" s="37">
        <v>23</v>
      </c>
      <c r="E49" s="37">
        <v>23</v>
      </c>
      <c r="F49" s="53" t="s">
        <v>10290</v>
      </c>
      <c r="G49" s="37" t="str">
        <f>IF(F49="","",INDEX(站位样品信息!$B$3:INDEX(站位样品信息!$B:$B,COUNTA(站位样品信息!$B:$B)+1),MATCH($F49,站位样品信息!$A$3:INDEX(站位样品信息!$A:$A,COUNTA(站位样品信息!$A:$A)+1),),))</f>
        <v>B0497</v>
      </c>
      <c r="H49" s="107" t="str">
        <f>IF(OR(A49&lt;&gt;"",B49&lt;&gt;"",C49&lt;&gt;""),IF($C49&lt;&gt;0,INDEX(生物种群!$A$3:INDEX(生物种群!$A:$A,COUNTA(生物种群!$A:$A)),MATCH($C49,生物种群!$F$3:INDEX(生物种群!$F:$F,COUNTA(生物种群!$F:$F)),),),IF($A49&lt;&gt;0,INDEX(生物种群!$A$3:INDEX(生物种群!$A:$A,COUNTA(生物种群!$A:$A)),MATCH($A49,生物种群!$C$3:INDEX(生物种群!$C:$C,COUNTA(生物种群!$C:$C)),),),INDEX(生物种群!$A$3:INDEX(生物种群!$A:$A,COUNTA(生物种群!$A:$A)),MATCH($B49,生物种群!$D$3:INDEX(生物种群!$D:$D,COUNTA(生物种群!$D:$D)),),))),"")</f>
        <v>坚固水母</v>
      </c>
      <c r="I49" s="108" t="str">
        <f>IF(H49="","",INDEX(生物种群!$B$3:INDEX(生物种群!$B:$B,COUNTA(生物种群!$B:$B)),MATCH($H49,生物种群!$A$3:INDEX(生物种群!$A:$A,COUNTA(生物种群!$A:$A)),),))</f>
        <v>Pegantha martagon </v>
      </c>
      <c r="J49" s="55" t="str">
        <f>IF(H49="","",INDEX(生物种群!$I$3:INDEX(生物种群!$I:$I,COUNTA(生物种群!$I:$I)),MATCH($H49,生物种群!$A$3:INDEX(生物种群!$A:$A,COUNTA(生物种群!$A:$A)),),))</f>
        <v>Haeckel, 1879</v>
      </c>
      <c r="K49" s="107" t="str">
        <f>IF(H49="","",INDEX(生物种群!$E$3:INDEX(生物种群!$E:$E,COUNTA(生物种群!$E:$E)),MATCH($H49,生物种群!$A$3:INDEX(生物种群!$A:$A,COUNTA(生物种群!$A:$A)),),))</f>
        <v>腔肠动物</v>
      </c>
      <c r="L49" s="46">
        <f t="shared" si="6"/>
        <v>100</v>
      </c>
      <c r="M49" s="47">
        <f>IF(L49="","",ROUND((L49)/VLOOKUP($F49,IF({1,0},站位样品信息!$A$3:INDEX(站位样品信息!$A:$A,COUNTA(站位样品信息!$A:$A)+1),站位样品信息!$H$3:INDEX(站位样品信息!$H:$H,COUNTA(站位样品信息!$H:$H)+1)),2,0),2))</f>
        <v>45.45</v>
      </c>
      <c r="O49" s="49"/>
      <c r="P49" s="53" t="str">
        <f t="shared" si="4"/>
        <v>A2N44ZQ079Pegantha martagon </v>
      </c>
      <c r="Q49" s="53" t="str">
        <f t="shared" si="5"/>
        <v/>
      </c>
    </row>
    <row r="50" spans="1:17" ht="19.5" customHeight="1">
      <c r="A50" s="38"/>
      <c r="B50" s="38"/>
      <c r="C50" s="86">
        <v>100000</v>
      </c>
      <c r="D50" s="37">
        <v>24</v>
      </c>
      <c r="E50" s="37">
        <v>24</v>
      </c>
      <c r="F50" s="53" t="s">
        <v>10292</v>
      </c>
      <c r="G50" s="37" t="str">
        <f>IF(F50="","",INDEX(站位样品信息!$B$3:INDEX(站位样品信息!$B:$B,COUNTA(站位样品信息!$B:$B)+1),MATCH($F50,站位样品信息!$A$3:INDEX(站位样品信息!$A:$A,COUNTA(站位样品信息!$A:$A)+1),),))</f>
        <v>B0010</v>
      </c>
      <c r="H50" s="107" t="str">
        <f>IF(OR(A50&lt;&gt;"",B50&lt;&gt;"",C50&lt;&gt;""),IF($C50&lt;&gt;0,INDEX(生物种群!$A$3:INDEX(生物种群!$A:$A,COUNTA(生物种群!$A:$A)),MATCH($C50,生物种群!$F$3:INDEX(生物种群!$F:$F,COUNTA(生物种群!$F:$F)),),),IF($A50&lt;&gt;0,INDEX(生物种群!$A$3:INDEX(生物种群!$A:$A,COUNTA(生物种群!$A:$A)),MATCH($A50,生物种群!$C$3:INDEX(生物种群!$C:$C,COUNTA(生物种群!$C:$C)),),),INDEX(生物种群!$A$3:INDEX(生物种群!$A:$A,COUNTA(生物种群!$A:$A)),MATCH($B50,生物种群!$D$3:INDEX(生物种群!$D:$D,COUNTA(生物种群!$D:$D)),),))),"")</f>
        <v>夜光虫</v>
      </c>
      <c r="I50" s="108" t="str">
        <f>IF(H50="","",INDEX(生物种群!$B$3:INDEX(生物种群!$B:$B,COUNTA(生物种群!$B:$B)),MATCH($H50,生物种群!$A$3:INDEX(生物种群!$A:$A,COUNTA(生物种群!$A:$A)),),))</f>
        <v>Noctiluca scintillans</v>
      </c>
      <c r="J50" s="55" t="str">
        <f>IF(H50="","",INDEX(生物种群!$I$3:INDEX(生物种群!$I:$I,COUNTA(生物种群!$I:$I)),MATCH($H50,生物种群!$A$3:INDEX(生物种群!$A:$A,COUNTA(生物种群!$A:$A)),),))</f>
        <v>Kofoid et Swezy, 1921</v>
      </c>
      <c r="K50" s="107" t="str">
        <f>IF(H50="","",INDEX(生物种群!$E$3:INDEX(生物种群!$E:$E,COUNTA(生物种群!$E:$E)),MATCH($H50,生物种群!$A$3:INDEX(生物种群!$A:$A,COUNTA(生物种群!$A:$A)),),))</f>
        <v>原生动物</v>
      </c>
      <c r="L50" s="46">
        <f t="shared" si="6"/>
        <v>100</v>
      </c>
      <c r="M50" s="47">
        <f>IF(L50="","",ROUND((L50)/VLOOKUP($F50,IF({1,0},站位样品信息!$A$3:INDEX(站位样品信息!$A:$A,COUNTA(站位样品信息!$A:$A)+1),站位样品信息!$H$3:INDEX(站位样品信息!$H:$H,COUNTA(站位样品信息!$H:$H)+1)),2,0),2))</f>
        <v>31.25</v>
      </c>
      <c r="O50" s="49"/>
      <c r="P50" s="53" t="str">
        <f t="shared" si="4"/>
        <v>A2N44ZQ086Noctiluca scintillans</v>
      </c>
      <c r="Q50" s="53" t="str">
        <f t="shared" si="5"/>
        <v/>
      </c>
    </row>
    <row r="51" spans="1:17" ht="19.5" customHeight="1">
      <c r="A51" s="38"/>
      <c r="B51" s="38"/>
      <c r="C51" s="38"/>
      <c r="D51" s="37"/>
      <c r="E51" s="37"/>
      <c r="F51" s="37"/>
      <c r="G51" s="37" t="str">
        <f>IF(F51="","",INDEX(站位样品信息!$B$3:INDEX(站位样品信息!$B:$B,COUNTA(站位样品信息!$B:$B)+1),MATCH($F51,站位样品信息!$A$3:INDEX(站位样品信息!$A:$A,COUNTA(站位样品信息!$A:$A)+1),),))</f>
        <v/>
      </c>
      <c r="H51" s="55" t="str">
        <f>IF(OR(A51&lt;&gt;"",B51&lt;&gt;"",C51&lt;&gt;""),IF($C51&lt;&gt;0,INDEX(生物种群!$A$3:INDEX(生物种群!$A:$A,COUNTA(生物种群!$A:$A)),MATCH($C51,生物种群!$F$3:INDEX(生物种群!$F:$F,COUNTA(生物种群!$F:$F)),),),IF($A51&lt;&gt;0,INDEX(生物种群!$A$3:INDEX(生物种群!$A:$A,COUNTA(生物种群!$A:$A)),MATCH($A51,生物种群!$C$3:INDEX(生物种群!$C:$C,COUNTA(生物种群!$C:$C)),),),INDEX(生物种群!$A$3:INDEX(生物种群!$A:$A,COUNTA(生物种群!$A:$A)),MATCH($B51,生物种群!$D$3:INDEX(生物种群!$D:$D,COUNTA(生物种群!$D:$D)),),))),"")</f>
        <v/>
      </c>
      <c r="I51" s="56" t="str">
        <f>IF(H51="","",INDEX(生物种群!$B$3:INDEX(生物种群!$B:$B,COUNTA(生物种群!$B:$B)),MATCH($H51,生物种群!$A$3:INDEX(生物种群!$A:$A,COUNTA(生物种群!$A:$A)),),))</f>
        <v/>
      </c>
      <c r="J51" s="55" t="str">
        <f>IF(H51="","",INDEX(生物种群!$I$3:INDEX(生物种群!$I:$I,COUNTA(生物种群!$I:$I)),MATCH($H51,生物种群!$A$3:INDEX(生物种群!$A:$A,COUNTA(生物种群!$A:$A)),),))</f>
        <v/>
      </c>
      <c r="K51" s="55" t="str">
        <f>IF(H51="","",INDEX(生物种群!$E$3:INDEX(生物种群!$E:$E,COUNTA(生物种群!$E:$E)),MATCH($H51,生物种群!$A$3:INDEX(生物种群!$A:$A,COUNTA(生物种群!$A:$A)),),))</f>
        <v/>
      </c>
      <c r="L51" s="46" t="str">
        <f t="shared" si="3"/>
        <v/>
      </c>
      <c r="M51" s="47" t="str">
        <f>IF(L51="","",ROUND((L51)/VLOOKUP($F51,IF({1,0},站位样品信息!$A$3:INDEX(站位样品信息!$A:$A,COUNTA(站位样品信息!$A:$A)+1),站位样品信息!$H$3:INDEX(站位样品信息!$H:$H,COUNTA(站位样品信息!$H:$H)+1)),2,0),2))</f>
        <v/>
      </c>
      <c r="O51" s="49"/>
      <c r="P51" s="53" t="str">
        <f t="shared" si="0"/>
        <v/>
      </c>
      <c r="Q51" s="53" t="str">
        <f t="shared" si="1"/>
        <v/>
      </c>
    </row>
    <row r="52" spans="1:17" ht="19.5" customHeight="1">
      <c r="A52" s="38"/>
      <c r="B52" s="38"/>
      <c r="C52" s="38"/>
      <c r="D52" s="37"/>
      <c r="E52" s="37"/>
      <c r="F52" s="37"/>
      <c r="G52" s="37" t="str">
        <f>IF(F52="","",INDEX(站位样品信息!$B$3:INDEX(站位样品信息!$B:$B,COUNTA(站位样品信息!$B:$B)+1),MATCH($F52,站位样品信息!$A$3:INDEX(站位样品信息!$A:$A,COUNTA(站位样品信息!$A:$A)+1),),))</f>
        <v/>
      </c>
      <c r="H52" s="55" t="str">
        <f>IF(OR(A52&lt;&gt;"",B52&lt;&gt;"",C52&lt;&gt;""),IF($C52&lt;&gt;0,INDEX(生物种群!$A$3:INDEX(生物种群!$A:$A,COUNTA(生物种群!$A:$A)),MATCH($C52,生物种群!$F$3:INDEX(生物种群!$F:$F,COUNTA(生物种群!$F:$F)),),),IF($A52&lt;&gt;0,INDEX(生物种群!$A$3:INDEX(生物种群!$A:$A,COUNTA(生物种群!$A:$A)),MATCH($A52,生物种群!$C$3:INDEX(生物种群!$C:$C,COUNTA(生物种群!$C:$C)),),),INDEX(生物种群!$A$3:INDEX(生物种群!$A:$A,COUNTA(生物种群!$A:$A)),MATCH($B52,生物种群!$D$3:INDEX(生物种群!$D:$D,COUNTA(生物种群!$D:$D)),),))),"")</f>
        <v/>
      </c>
      <c r="I52" s="56" t="str">
        <f>IF(H52="","",INDEX(生物种群!$B$3:INDEX(生物种群!$B:$B,COUNTA(生物种群!$B:$B)),MATCH($H52,生物种群!$A$3:INDEX(生物种群!$A:$A,COUNTA(生物种群!$A:$A)),),))</f>
        <v/>
      </c>
      <c r="J52" s="55" t="str">
        <f>IF(H52="","",INDEX(生物种群!$I$3:INDEX(生物种群!$I:$I,COUNTA(生物种群!$I:$I)),MATCH($H52,生物种群!$A$3:INDEX(生物种群!$A:$A,COUNTA(生物种群!$A:$A)),),))</f>
        <v/>
      </c>
      <c r="K52" s="55" t="str">
        <f>IF(H52="","",INDEX(生物种群!$E$3:INDEX(生物种群!$E:$E,COUNTA(生物种群!$E:$E)),MATCH($H52,生物种群!$A$3:INDEX(生物种群!$A:$A,COUNTA(生物种群!$A:$A)),),))</f>
        <v/>
      </c>
      <c r="L52" s="46" t="str">
        <f t="shared" si="3"/>
        <v/>
      </c>
      <c r="M52" s="47" t="str">
        <f>IF(L52="","",ROUND((L52)/VLOOKUP($F52,IF({1,0},站位样品信息!$A$3:INDEX(站位样品信息!$A:$A,COUNTA(站位样品信息!$A:$A)+1),站位样品信息!$H$3:INDEX(站位样品信息!$H:$H,COUNTA(站位样品信息!$H:$H)+1)),2,0),2))</f>
        <v/>
      </c>
      <c r="O52" s="49"/>
      <c r="P52" s="53" t="str">
        <f t="shared" si="0"/>
        <v/>
      </c>
      <c r="Q52" s="53" t="str">
        <f t="shared" si="1"/>
        <v/>
      </c>
    </row>
    <row r="53" spans="1:17" ht="19.5" customHeight="1">
      <c r="A53" s="38"/>
      <c r="B53" s="38"/>
      <c r="C53" s="38"/>
      <c r="D53" s="37"/>
      <c r="E53" s="37"/>
      <c r="F53" s="37"/>
      <c r="G53" s="37" t="str">
        <f>IF(F53="","",INDEX(站位样品信息!$B$3:INDEX(站位样品信息!$B:$B,COUNTA(站位样品信息!$B:$B)+1),MATCH($F53,站位样品信息!$A$3:INDEX(站位样品信息!$A:$A,COUNTA(站位样品信息!$A:$A)+1),),))</f>
        <v/>
      </c>
      <c r="H53" s="55" t="str">
        <f>IF(OR(A53&lt;&gt;"",B53&lt;&gt;"",C53&lt;&gt;""),IF($C53&lt;&gt;0,INDEX(生物种群!$A$3:INDEX(生物种群!$A:$A,COUNTA(生物种群!$A:$A)),MATCH($C53,生物种群!$F$3:INDEX(生物种群!$F:$F,COUNTA(生物种群!$F:$F)),),),IF($A53&lt;&gt;0,INDEX(生物种群!$A$3:INDEX(生物种群!$A:$A,COUNTA(生物种群!$A:$A)),MATCH($A53,生物种群!$C$3:INDEX(生物种群!$C:$C,COUNTA(生物种群!$C:$C)),),),INDEX(生物种群!$A$3:INDEX(生物种群!$A:$A,COUNTA(生物种群!$A:$A)),MATCH($B53,生物种群!$D$3:INDEX(生物种群!$D:$D,COUNTA(生物种群!$D:$D)),),))),"")</f>
        <v/>
      </c>
      <c r="I53" s="56" t="str">
        <f>IF(H53="","",INDEX(生物种群!$B$3:INDEX(生物种群!$B:$B,COUNTA(生物种群!$B:$B)),MATCH($H53,生物种群!$A$3:INDEX(生物种群!$A:$A,COUNTA(生物种群!$A:$A)),),))</f>
        <v/>
      </c>
      <c r="J53" s="55" t="str">
        <f>IF(H53="","",INDEX(生物种群!$I$3:INDEX(生物种群!$I:$I,COUNTA(生物种群!$I:$I)),MATCH($H53,生物种群!$A$3:INDEX(生物种群!$A:$A,COUNTA(生物种群!$A:$A)),),))</f>
        <v/>
      </c>
      <c r="K53" s="55" t="str">
        <f>IF(H53="","",INDEX(生物种群!$E$3:INDEX(生物种群!$E:$E,COUNTA(生物种群!$E:$E)),MATCH($H53,生物种群!$A$3:INDEX(生物种群!$A:$A,COUNTA(生物种群!$A:$A)),),))</f>
        <v/>
      </c>
      <c r="L53" s="46" t="str">
        <f t="shared" si="3"/>
        <v/>
      </c>
      <c r="M53" s="47" t="str">
        <f>IF(L53="","",ROUND((L53)/VLOOKUP($F53,IF({1,0},站位样品信息!$A$3:INDEX(站位样品信息!$A:$A,COUNTA(站位样品信息!$A:$A)+1),站位样品信息!$H$3:INDEX(站位样品信息!$H:$H,COUNTA(站位样品信息!$H:$H)+1)),2,0),2))</f>
        <v/>
      </c>
      <c r="O53" s="49"/>
      <c r="P53" s="53" t="str">
        <f t="shared" si="0"/>
        <v/>
      </c>
      <c r="Q53" s="53" t="str">
        <f t="shared" si="1"/>
        <v/>
      </c>
    </row>
    <row r="54" spans="1:17" ht="19.5" customHeight="1">
      <c r="A54" s="38"/>
      <c r="B54" s="38"/>
      <c r="C54" s="38"/>
      <c r="D54" s="37"/>
      <c r="E54" s="37"/>
      <c r="F54" s="37"/>
      <c r="G54" s="37" t="str">
        <f>IF(F54="","",INDEX(站位样品信息!$B$3:INDEX(站位样品信息!$B:$B,COUNTA(站位样品信息!$B:$B)+1),MATCH($F54,站位样品信息!$A$3:INDEX(站位样品信息!$A:$A,COUNTA(站位样品信息!$A:$A)+1),),))</f>
        <v/>
      </c>
      <c r="H54" s="55" t="str">
        <f>IF(OR(A54&lt;&gt;"",B54&lt;&gt;"",C54&lt;&gt;""),IF($C54&lt;&gt;0,INDEX(生物种群!$A$3:INDEX(生物种群!$A:$A,COUNTA(生物种群!$A:$A)),MATCH($C54,生物种群!$F$3:INDEX(生物种群!$F:$F,COUNTA(生物种群!$F:$F)),),),IF($A54&lt;&gt;0,INDEX(生物种群!$A$3:INDEX(生物种群!$A:$A,COUNTA(生物种群!$A:$A)),MATCH($A54,生物种群!$C$3:INDEX(生物种群!$C:$C,COUNTA(生物种群!$C:$C)),),),INDEX(生物种群!$A$3:INDEX(生物种群!$A:$A,COUNTA(生物种群!$A:$A)),MATCH($B54,生物种群!$D$3:INDEX(生物种群!$D:$D,COUNTA(生物种群!$D:$D)),),))),"")</f>
        <v/>
      </c>
      <c r="I54" s="56" t="str">
        <f>IF(H54="","",INDEX(生物种群!$B$3:INDEX(生物种群!$B:$B,COUNTA(生物种群!$B:$B)),MATCH($H54,生物种群!$A$3:INDEX(生物种群!$A:$A,COUNTA(生物种群!$A:$A)),),))</f>
        <v/>
      </c>
      <c r="J54" s="55" t="str">
        <f>IF(H54="","",INDEX(生物种群!$I$3:INDEX(生物种群!$I:$I,COUNTA(生物种群!$I:$I)),MATCH($H54,生物种群!$A$3:INDEX(生物种群!$A:$A,COUNTA(生物种群!$A:$A)),),))</f>
        <v/>
      </c>
      <c r="K54" s="55" t="str">
        <f>IF(H54="","",INDEX(生物种群!$E$3:INDEX(生物种群!$E:$E,COUNTA(生物种群!$E:$E)),MATCH($H54,生物种群!$A$3:INDEX(生物种群!$A:$A,COUNTA(生物种群!$A:$A)),),))</f>
        <v/>
      </c>
      <c r="L54" s="46" t="str">
        <f t="shared" si="3"/>
        <v/>
      </c>
      <c r="M54" s="47" t="str">
        <f>IF(L54="","",ROUND((L54)/VLOOKUP($F54,IF({1,0},站位样品信息!$A$3:INDEX(站位样品信息!$A:$A,COUNTA(站位样品信息!$A:$A)+1),站位样品信息!$H$3:INDEX(站位样品信息!$H:$H,COUNTA(站位样品信息!$H:$H)+1)),2,0),2))</f>
        <v/>
      </c>
      <c r="O54" s="49"/>
      <c r="P54" s="53" t="str">
        <f t="shared" si="0"/>
        <v/>
      </c>
      <c r="Q54" s="53" t="str">
        <f t="shared" si="1"/>
        <v/>
      </c>
    </row>
    <row r="55" spans="1:17" ht="19.5" customHeight="1">
      <c r="A55" s="38"/>
      <c r="B55" s="38"/>
      <c r="C55" s="38"/>
      <c r="D55" s="37"/>
      <c r="E55" s="37"/>
      <c r="F55" s="37"/>
      <c r="G55" s="37" t="str">
        <f>IF(F55="","",INDEX(站位样品信息!$B$3:INDEX(站位样品信息!$B:$B,COUNTA(站位样品信息!$B:$B)+1),MATCH($F55,站位样品信息!$A$3:INDEX(站位样品信息!$A:$A,COUNTA(站位样品信息!$A:$A)+1),),))</f>
        <v/>
      </c>
      <c r="H55" s="55" t="str">
        <f>IF(OR(A55&lt;&gt;"",B55&lt;&gt;"",C55&lt;&gt;""),IF($C55&lt;&gt;0,INDEX(生物种群!$A$3:INDEX(生物种群!$A:$A,COUNTA(生物种群!$A:$A)),MATCH($C55,生物种群!$F$3:INDEX(生物种群!$F:$F,COUNTA(生物种群!$F:$F)),),),IF($A55&lt;&gt;0,INDEX(生物种群!$A$3:INDEX(生物种群!$A:$A,COUNTA(生物种群!$A:$A)),MATCH($A55,生物种群!$C$3:INDEX(生物种群!$C:$C,COUNTA(生物种群!$C:$C)),),),INDEX(生物种群!$A$3:INDEX(生物种群!$A:$A,COUNTA(生物种群!$A:$A)),MATCH($B55,生物种群!$D$3:INDEX(生物种群!$D:$D,COUNTA(生物种群!$D:$D)),),))),"")</f>
        <v/>
      </c>
      <c r="I55" s="56" t="str">
        <f>IF(H55="","",INDEX(生物种群!$B$3:INDEX(生物种群!$B:$B,COUNTA(生物种群!$B:$B)),MATCH($H55,生物种群!$A$3:INDEX(生物种群!$A:$A,COUNTA(生物种群!$A:$A)),),))</f>
        <v/>
      </c>
      <c r="J55" s="55" t="str">
        <f>IF(H55="","",INDEX(生物种群!$I$3:INDEX(生物种群!$I:$I,COUNTA(生物种群!$I:$I)),MATCH($H55,生物种群!$A$3:INDEX(生物种群!$A:$A,COUNTA(生物种群!$A:$A)),),))</f>
        <v/>
      </c>
      <c r="K55" s="55" t="str">
        <f>IF(H55="","",INDEX(生物种群!$E$3:INDEX(生物种群!$E:$E,COUNTA(生物种群!$E:$E)),MATCH($H55,生物种群!$A$3:INDEX(生物种群!$A:$A,COUNTA(生物种群!$A:$A)),),))</f>
        <v/>
      </c>
      <c r="L55" s="46" t="str">
        <f t="shared" si="3"/>
        <v/>
      </c>
      <c r="M55" s="47" t="str">
        <f>IF(L55="","",ROUND((L55)/VLOOKUP($F55,IF({1,0},站位样品信息!$A$3:INDEX(站位样品信息!$A:$A,COUNTA(站位样品信息!$A:$A)+1),站位样品信息!$H$3:INDEX(站位样品信息!$H:$H,COUNTA(站位样品信息!$H:$H)+1)),2,0),2))</f>
        <v/>
      </c>
      <c r="O55" s="49"/>
      <c r="P55" s="53" t="str">
        <f t="shared" si="0"/>
        <v/>
      </c>
      <c r="Q55" s="53" t="str">
        <f t="shared" si="1"/>
        <v/>
      </c>
    </row>
    <row r="56" spans="1:17" ht="19.5" customHeight="1">
      <c r="A56" s="38"/>
      <c r="B56" s="38"/>
      <c r="C56" s="38"/>
      <c r="D56" s="37"/>
      <c r="E56" s="37"/>
      <c r="F56" s="37"/>
      <c r="G56" s="37" t="str">
        <f>IF(F56="","",INDEX(站位样品信息!$B$3:INDEX(站位样品信息!$B:$B,COUNTA(站位样品信息!$B:$B)+1),MATCH($F56,站位样品信息!$A$3:INDEX(站位样品信息!$A:$A,COUNTA(站位样品信息!$A:$A)+1),),))</f>
        <v/>
      </c>
      <c r="H56" s="55" t="str">
        <f>IF(OR(A56&lt;&gt;"",B56&lt;&gt;"",C56&lt;&gt;""),IF($C56&lt;&gt;0,INDEX(生物种群!$A$3:INDEX(生物种群!$A:$A,COUNTA(生物种群!$A:$A)),MATCH($C56,生物种群!$F$3:INDEX(生物种群!$F:$F,COUNTA(生物种群!$F:$F)),),),IF($A56&lt;&gt;0,INDEX(生物种群!$A$3:INDEX(生物种群!$A:$A,COUNTA(生物种群!$A:$A)),MATCH($A56,生物种群!$C$3:INDEX(生物种群!$C:$C,COUNTA(生物种群!$C:$C)),),),INDEX(生物种群!$A$3:INDEX(生物种群!$A:$A,COUNTA(生物种群!$A:$A)),MATCH($B56,生物种群!$D$3:INDEX(生物种群!$D:$D,COUNTA(生物种群!$D:$D)),),))),"")</f>
        <v/>
      </c>
      <c r="I56" s="56" t="str">
        <f>IF(H56="","",INDEX(生物种群!$B$3:INDEX(生物种群!$B:$B,COUNTA(生物种群!$B:$B)),MATCH($H56,生物种群!$A$3:INDEX(生物种群!$A:$A,COUNTA(生物种群!$A:$A)),),))</f>
        <v/>
      </c>
      <c r="J56" s="55" t="str">
        <f>IF(H56="","",INDEX(生物种群!$I$3:INDEX(生物种群!$I:$I,COUNTA(生物种群!$I:$I)),MATCH($H56,生物种群!$A$3:INDEX(生物种群!$A:$A,COUNTA(生物种群!$A:$A)),),))</f>
        <v/>
      </c>
      <c r="K56" s="55" t="str">
        <f>IF(H56="","",INDEX(生物种群!$E$3:INDEX(生物种群!$E:$E,COUNTA(生物种群!$E:$E)),MATCH($H56,生物种群!$A$3:INDEX(生物种群!$A:$A,COUNTA(生物种群!$A:$A)),),))</f>
        <v/>
      </c>
      <c r="L56" s="46" t="str">
        <f t="shared" si="3"/>
        <v/>
      </c>
      <c r="M56" s="47" t="str">
        <f>IF(L56="","",ROUND((L56)/VLOOKUP($F56,IF({1,0},站位样品信息!$A$3:INDEX(站位样品信息!$A:$A,COUNTA(站位样品信息!$A:$A)+1),站位样品信息!$H$3:INDEX(站位样品信息!$H:$H,COUNTA(站位样品信息!$H:$H)+1)),2,0),2))</f>
        <v/>
      </c>
      <c r="O56" s="49"/>
      <c r="P56" s="53" t="str">
        <f t="shared" si="0"/>
        <v/>
      </c>
      <c r="Q56" s="53" t="str">
        <f t="shared" si="1"/>
        <v/>
      </c>
    </row>
    <row r="57" spans="1:17" ht="19.5" customHeight="1">
      <c r="A57" s="38"/>
      <c r="B57" s="38"/>
      <c r="C57" s="38"/>
      <c r="D57" s="37"/>
      <c r="E57" s="37"/>
      <c r="F57" s="37"/>
      <c r="G57" s="37" t="str">
        <f>IF(F57="","",INDEX(站位样品信息!$B$3:INDEX(站位样品信息!$B:$B,COUNTA(站位样品信息!$B:$B)+1),MATCH($F57,站位样品信息!$A$3:INDEX(站位样品信息!$A:$A,COUNTA(站位样品信息!$A:$A)+1),),))</f>
        <v/>
      </c>
      <c r="H57" s="55" t="str">
        <f>IF(OR(A57&lt;&gt;"",B57&lt;&gt;"",C57&lt;&gt;""),IF($C57&lt;&gt;0,INDEX(生物种群!$A$3:INDEX(生物种群!$A:$A,COUNTA(生物种群!$A:$A)),MATCH($C57,生物种群!$F$3:INDEX(生物种群!$F:$F,COUNTA(生物种群!$F:$F)),),),IF($A57&lt;&gt;0,INDEX(生物种群!$A$3:INDEX(生物种群!$A:$A,COUNTA(生物种群!$A:$A)),MATCH($A57,生物种群!$C$3:INDEX(生物种群!$C:$C,COUNTA(生物种群!$C:$C)),),),INDEX(生物种群!$A$3:INDEX(生物种群!$A:$A,COUNTA(生物种群!$A:$A)),MATCH($B57,生物种群!$D$3:INDEX(生物种群!$D:$D,COUNTA(生物种群!$D:$D)),),))),"")</f>
        <v/>
      </c>
      <c r="I57" s="56" t="str">
        <f>IF(H57="","",INDEX(生物种群!$B$3:INDEX(生物种群!$B:$B,COUNTA(生物种群!$B:$B)),MATCH($H57,生物种群!$A$3:INDEX(生物种群!$A:$A,COUNTA(生物种群!$A:$A)),),))</f>
        <v/>
      </c>
      <c r="J57" s="55" t="str">
        <f>IF(H57="","",INDEX(生物种群!$I$3:INDEX(生物种群!$I:$I,COUNTA(生物种群!$I:$I)),MATCH($H57,生物种群!$A$3:INDEX(生物种群!$A:$A,COUNTA(生物种群!$A:$A)),),))</f>
        <v/>
      </c>
      <c r="K57" s="55" t="str">
        <f>IF(H57="","",INDEX(生物种群!$E$3:INDEX(生物种群!$E:$E,COUNTA(生物种群!$E:$E)),MATCH($H57,生物种群!$A$3:INDEX(生物种群!$A:$A,COUNTA(生物种群!$A:$A)),),))</f>
        <v/>
      </c>
      <c r="L57" s="46" t="str">
        <f t="shared" si="3"/>
        <v/>
      </c>
      <c r="M57" s="47" t="str">
        <f>IF(L57="","",ROUND((L57)/VLOOKUP($F57,IF({1,0},站位样品信息!$A$3:INDEX(站位样品信息!$A:$A,COUNTA(站位样品信息!$A:$A)+1),站位样品信息!$H$3:INDEX(站位样品信息!$H:$H,COUNTA(站位样品信息!$H:$H)+1)),2,0),2))</f>
        <v/>
      </c>
      <c r="O57" s="49"/>
      <c r="P57" s="53" t="str">
        <f t="shared" si="0"/>
        <v/>
      </c>
      <c r="Q57" s="53" t="str">
        <f t="shared" si="1"/>
        <v/>
      </c>
    </row>
    <row r="58" spans="1:17" ht="19.5" customHeight="1">
      <c r="A58" s="38"/>
      <c r="B58" s="38"/>
      <c r="C58" s="38"/>
      <c r="D58" s="37"/>
      <c r="E58" s="37"/>
      <c r="F58" s="37"/>
      <c r="G58" s="37" t="str">
        <f>IF(F58="","",INDEX(站位样品信息!$B$3:INDEX(站位样品信息!$B:$B,COUNTA(站位样品信息!$B:$B)+1),MATCH($F58,站位样品信息!$A$3:INDEX(站位样品信息!$A:$A,COUNTA(站位样品信息!$A:$A)+1),),))</f>
        <v/>
      </c>
      <c r="H58" s="55" t="str">
        <f>IF(OR(A58&lt;&gt;"",B58&lt;&gt;"",C58&lt;&gt;""),IF($C58&lt;&gt;0,INDEX(生物种群!$A$3:INDEX(生物种群!$A:$A,COUNTA(生物种群!$A:$A)),MATCH($C58,生物种群!$F$3:INDEX(生物种群!$F:$F,COUNTA(生物种群!$F:$F)),),),IF($A58&lt;&gt;0,INDEX(生物种群!$A$3:INDEX(生物种群!$A:$A,COUNTA(生物种群!$A:$A)),MATCH($A58,生物种群!$C$3:INDEX(生物种群!$C:$C,COUNTA(生物种群!$C:$C)),),),INDEX(生物种群!$A$3:INDEX(生物种群!$A:$A,COUNTA(生物种群!$A:$A)),MATCH($B58,生物种群!$D$3:INDEX(生物种群!$D:$D,COUNTA(生物种群!$D:$D)),),))),"")</f>
        <v/>
      </c>
      <c r="I58" s="56" t="str">
        <f>IF(H58="","",INDEX(生物种群!$B$3:INDEX(生物种群!$B:$B,COUNTA(生物种群!$B:$B)),MATCH($H58,生物种群!$A$3:INDEX(生物种群!$A:$A,COUNTA(生物种群!$A:$A)),),))</f>
        <v/>
      </c>
      <c r="J58" s="55" t="str">
        <f>IF(H58="","",INDEX(生物种群!$I$3:INDEX(生物种群!$I:$I,COUNTA(生物种群!$I:$I)),MATCH($H58,生物种群!$A$3:INDEX(生物种群!$A:$A,COUNTA(生物种群!$A:$A)),),))</f>
        <v/>
      </c>
      <c r="K58" s="55" t="str">
        <f>IF(H58="","",INDEX(生物种群!$E$3:INDEX(生物种群!$E:$E,COUNTA(生物种群!$E:$E)),MATCH($H58,生物种群!$A$3:INDEX(生物种群!$A:$A,COUNTA(生物种群!$A:$A)),),))</f>
        <v/>
      </c>
      <c r="L58" s="46" t="str">
        <f t="shared" si="3"/>
        <v/>
      </c>
      <c r="M58" s="47" t="str">
        <f>IF(L58="","",ROUND((L58)/VLOOKUP($F58,IF({1,0},站位样品信息!$A$3:INDEX(站位样品信息!$A:$A,COUNTA(站位样品信息!$A:$A)+1),站位样品信息!$H$3:INDEX(站位样品信息!$H:$H,COUNTA(站位样品信息!$H:$H)+1)),2,0),2))</f>
        <v/>
      </c>
      <c r="O58" s="49"/>
      <c r="P58" s="53" t="str">
        <f t="shared" si="0"/>
        <v/>
      </c>
      <c r="Q58" s="53" t="str">
        <f t="shared" si="1"/>
        <v/>
      </c>
    </row>
    <row r="59" spans="1:17" ht="19.5" customHeight="1">
      <c r="A59" s="38"/>
      <c r="B59" s="38"/>
      <c r="C59" s="38"/>
      <c r="D59" s="37"/>
      <c r="E59" s="37"/>
      <c r="F59" s="37"/>
      <c r="G59" s="37" t="str">
        <f>IF(F59="","",INDEX(站位样品信息!$B$3:INDEX(站位样品信息!$B:$B,COUNTA(站位样品信息!$B:$B)+1),MATCH($F59,站位样品信息!$A$3:INDEX(站位样品信息!$A:$A,COUNTA(站位样品信息!$A:$A)+1),),))</f>
        <v/>
      </c>
      <c r="H59" s="55" t="str">
        <f>IF(OR(A59&lt;&gt;"",B59&lt;&gt;"",C59&lt;&gt;""),IF($C59&lt;&gt;0,INDEX(生物种群!$A$3:INDEX(生物种群!$A:$A,COUNTA(生物种群!$A:$A)),MATCH($C59,生物种群!$F$3:INDEX(生物种群!$F:$F,COUNTA(生物种群!$F:$F)),),),IF($A59&lt;&gt;0,INDEX(生物种群!$A$3:INDEX(生物种群!$A:$A,COUNTA(生物种群!$A:$A)),MATCH($A59,生物种群!$C$3:INDEX(生物种群!$C:$C,COUNTA(生物种群!$C:$C)),),),INDEX(生物种群!$A$3:INDEX(生物种群!$A:$A,COUNTA(生物种群!$A:$A)),MATCH($B59,生物种群!$D$3:INDEX(生物种群!$D:$D,COUNTA(生物种群!$D:$D)),),))),"")</f>
        <v/>
      </c>
      <c r="I59" s="56" t="str">
        <f>IF(H59="","",INDEX(生物种群!$B$3:INDEX(生物种群!$B:$B,COUNTA(生物种群!$B:$B)),MATCH($H59,生物种群!$A$3:INDEX(生物种群!$A:$A,COUNTA(生物种群!$A:$A)),),))</f>
        <v/>
      </c>
      <c r="J59" s="55" t="str">
        <f>IF(H59="","",INDEX(生物种群!$I$3:INDEX(生物种群!$I:$I,COUNTA(生物种群!$I:$I)),MATCH($H59,生物种群!$A$3:INDEX(生物种群!$A:$A,COUNTA(生物种群!$A:$A)),),))</f>
        <v/>
      </c>
      <c r="K59" s="55" t="str">
        <f>IF(H59="","",INDEX(生物种群!$E$3:INDEX(生物种群!$E:$E,COUNTA(生物种群!$E:$E)),MATCH($H59,生物种群!$A$3:INDEX(生物种群!$A:$A,COUNTA(生物种群!$A:$A)),),))</f>
        <v/>
      </c>
      <c r="L59" s="46" t="str">
        <f t="shared" si="3"/>
        <v/>
      </c>
      <c r="M59" s="47" t="str">
        <f>IF(L59="","",ROUND((L59)/VLOOKUP($F59,IF({1,0},站位样品信息!$A$3:INDEX(站位样品信息!$A:$A,COUNTA(站位样品信息!$A:$A)+1),站位样品信息!$H$3:INDEX(站位样品信息!$H:$H,COUNTA(站位样品信息!$H:$H)+1)),2,0),2))</f>
        <v/>
      </c>
      <c r="O59" s="49"/>
      <c r="P59" s="53" t="str">
        <f t="shared" si="0"/>
        <v/>
      </c>
      <c r="Q59" s="53" t="str">
        <f t="shared" si="1"/>
        <v/>
      </c>
    </row>
    <row r="60" spans="1:17" ht="19.5" customHeight="1">
      <c r="A60" s="38"/>
      <c r="B60" s="38"/>
      <c r="C60" s="38"/>
      <c r="D60" s="37"/>
      <c r="E60" s="37"/>
      <c r="F60" s="37"/>
      <c r="G60" s="37" t="str">
        <f>IF(F60="","",INDEX(站位样品信息!$B$3:INDEX(站位样品信息!$B:$B,COUNTA(站位样品信息!$B:$B)+1),MATCH($F60,站位样品信息!$A$3:INDEX(站位样品信息!$A:$A,COUNTA(站位样品信息!$A:$A)+1),),))</f>
        <v/>
      </c>
      <c r="H60" s="55" t="str">
        <f>IF(OR(A60&lt;&gt;"",B60&lt;&gt;"",C60&lt;&gt;""),IF($C60&lt;&gt;0,INDEX(生物种群!$A$3:INDEX(生物种群!$A:$A,COUNTA(生物种群!$A:$A)),MATCH($C60,生物种群!$F$3:INDEX(生物种群!$F:$F,COUNTA(生物种群!$F:$F)),),),IF($A60&lt;&gt;0,INDEX(生物种群!$A$3:INDEX(生物种群!$A:$A,COUNTA(生物种群!$A:$A)),MATCH($A60,生物种群!$C$3:INDEX(生物种群!$C:$C,COUNTA(生物种群!$C:$C)),),),INDEX(生物种群!$A$3:INDEX(生物种群!$A:$A,COUNTA(生物种群!$A:$A)),MATCH($B60,生物种群!$D$3:INDEX(生物种群!$D:$D,COUNTA(生物种群!$D:$D)),),))),"")</f>
        <v/>
      </c>
      <c r="I60" s="56" t="str">
        <f>IF(H60="","",INDEX(生物种群!$B$3:INDEX(生物种群!$B:$B,COUNTA(生物种群!$B:$B)),MATCH($H60,生物种群!$A$3:INDEX(生物种群!$A:$A,COUNTA(生物种群!$A:$A)),),))</f>
        <v/>
      </c>
      <c r="J60" s="55" t="str">
        <f>IF(H60="","",INDEX(生物种群!$I$3:INDEX(生物种群!$I:$I,COUNTA(生物种群!$I:$I)),MATCH($H60,生物种群!$A$3:INDEX(生物种群!$A:$A,COUNTA(生物种群!$A:$A)),),))</f>
        <v/>
      </c>
      <c r="K60" s="55" t="str">
        <f>IF(H60="","",INDEX(生物种群!$E$3:INDEX(生物种群!$E:$E,COUNTA(生物种群!$E:$E)),MATCH($H60,生物种群!$A$3:INDEX(生物种群!$A:$A,COUNTA(生物种群!$A:$A)),),))</f>
        <v/>
      </c>
      <c r="L60" s="46" t="str">
        <f t="shared" si="3"/>
        <v/>
      </c>
      <c r="M60" s="47" t="str">
        <f>IF(L60="","",ROUND((L60)/VLOOKUP($F60,IF({1,0},站位样品信息!$A$3:INDEX(站位样品信息!$A:$A,COUNTA(站位样品信息!$A:$A)+1),站位样品信息!$H$3:INDEX(站位样品信息!$H:$H,COUNTA(站位样品信息!$H:$H)+1)),2,0),2))</f>
        <v/>
      </c>
      <c r="O60" s="49"/>
      <c r="P60" s="53" t="str">
        <f t="shared" si="0"/>
        <v/>
      </c>
      <c r="Q60" s="53" t="str">
        <f t="shared" si="1"/>
        <v/>
      </c>
    </row>
    <row r="61" spans="1:17" ht="19.5" customHeight="1">
      <c r="A61" s="38"/>
      <c r="B61" s="38"/>
      <c r="C61" s="38"/>
      <c r="D61" s="37"/>
      <c r="E61" s="37"/>
      <c r="F61" s="37"/>
      <c r="G61" s="37" t="str">
        <f>IF(F61="","",INDEX(站位样品信息!$B$3:INDEX(站位样品信息!$B:$B,COUNTA(站位样品信息!$B:$B)+1),MATCH($F61,站位样品信息!$A$3:INDEX(站位样品信息!$A:$A,COUNTA(站位样品信息!$A:$A)+1),),))</f>
        <v/>
      </c>
      <c r="H61" s="55" t="str">
        <f>IF(OR(A61&lt;&gt;"",B61&lt;&gt;"",C61&lt;&gt;""),IF($C61&lt;&gt;0,INDEX(生物种群!$A$3:INDEX(生物种群!$A:$A,COUNTA(生物种群!$A:$A)),MATCH($C61,生物种群!$F$3:INDEX(生物种群!$F:$F,COUNTA(生物种群!$F:$F)),),),IF($A61&lt;&gt;0,INDEX(生物种群!$A$3:INDEX(生物种群!$A:$A,COUNTA(生物种群!$A:$A)),MATCH($A61,生物种群!$C$3:INDEX(生物种群!$C:$C,COUNTA(生物种群!$C:$C)),),),INDEX(生物种群!$A$3:INDEX(生物种群!$A:$A,COUNTA(生物种群!$A:$A)),MATCH($B61,生物种群!$D$3:INDEX(生物种群!$D:$D,COUNTA(生物种群!$D:$D)),),))),"")</f>
        <v/>
      </c>
      <c r="I61" s="56" t="str">
        <f>IF(H61="","",INDEX(生物种群!$B$3:INDEX(生物种群!$B:$B,COUNTA(生物种群!$B:$B)),MATCH($H61,生物种群!$A$3:INDEX(生物种群!$A:$A,COUNTA(生物种群!$A:$A)),),))</f>
        <v/>
      </c>
      <c r="J61" s="55" t="str">
        <f>IF(H61="","",INDEX(生物种群!$I$3:INDEX(生物种群!$I:$I,COUNTA(生物种群!$I:$I)),MATCH($H61,生物种群!$A$3:INDEX(生物种群!$A:$A,COUNTA(生物种群!$A:$A)),),))</f>
        <v/>
      </c>
      <c r="K61" s="55" t="str">
        <f>IF(H61="","",INDEX(生物种群!$E$3:INDEX(生物种群!$E:$E,COUNTA(生物种群!$E:$E)),MATCH($H61,生物种群!$A$3:INDEX(生物种群!$A:$A,COUNTA(生物种群!$A:$A)),),))</f>
        <v/>
      </c>
      <c r="L61" s="46" t="str">
        <f t="shared" si="3"/>
        <v/>
      </c>
      <c r="M61" s="47" t="str">
        <f>IF(L61="","",ROUND((L61)/VLOOKUP($F61,IF({1,0},站位样品信息!$A$3:INDEX(站位样品信息!$A:$A,COUNTA(站位样品信息!$A:$A)+1),站位样品信息!$H$3:INDEX(站位样品信息!$H:$H,COUNTA(站位样品信息!$H:$H)+1)),2,0),2))</f>
        <v/>
      </c>
      <c r="O61" s="49"/>
      <c r="P61" s="53" t="str">
        <f t="shared" si="0"/>
        <v/>
      </c>
      <c r="Q61" s="53" t="str">
        <f t="shared" si="1"/>
        <v/>
      </c>
    </row>
    <row r="62" spans="1:17" ht="19.5" customHeight="1">
      <c r="A62" s="38"/>
      <c r="B62" s="38"/>
      <c r="C62" s="38"/>
      <c r="D62" s="37"/>
      <c r="E62" s="37"/>
      <c r="F62" s="37"/>
      <c r="G62" s="37" t="str">
        <f>IF(F62="","",INDEX(站位样品信息!$B$3:INDEX(站位样品信息!$B:$B,COUNTA(站位样品信息!$B:$B)+1),MATCH($F62,站位样品信息!$A$3:INDEX(站位样品信息!$A:$A,COUNTA(站位样品信息!$A:$A)+1),),))</f>
        <v/>
      </c>
      <c r="H62" s="55" t="str">
        <f>IF(OR(A62&lt;&gt;"",B62&lt;&gt;"",C62&lt;&gt;""),IF($C62&lt;&gt;0,INDEX(生物种群!$A$3:INDEX(生物种群!$A:$A,COUNTA(生物种群!$A:$A)),MATCH($C62,生物种群!$F$3:INDEX(生物种群!$F:$F,COUNTA(生物种群!$F:$F)),),),IF($A62&lt;&gt;0,INDEX(生物种群!$A$3:INDEX(生物种群!$A:$A,COUNTA(生物种群!$A:$A)),MATCH($A62,生物种群!$C$3:INDEX(生物种群!$C:$C,COUNTA(生物种群!$C:$C)),),),INDEX(生物种群!$A$3:INDEX(生物种群!$A:$A,COUNTA(生物种群!$A:$A)),MATCH($B62,生物种群!$D$3:INDEX(生物种群!$D:$D,COUNTA(生物种群!$D:$D)),),))),"")</f>
        <v/>
      </c>
      <c r="I62" s="56" t="str">
        <f>IF(H62="","",INDEX(生物种群!$B$3:INDEX(生物种群!$B:$B,COUNTA(生物种群!$B:$B)),MATCH($H62,生物种群!$A$3:INDEX(生物种群!$A:$A,COUNTA(生物种群!$A:$A)),),))</f>
        <v/>
      </c>
      <c r="J62" s="55" t="str">
        <f>IF(H62="","",INDEX(生物种群!$I$3:INDEX(生物种群!$I:$I,COUNTA(生物种群!$I:$I)),MATCH($H62,生物种群!$A$3:INDEX(生物种群!$A:$A,COUNTA(生物种群!$A:$A)),),))</f>
        <v/>
      </c>
      <c r="K62" s="55" t="str">
        <f>IF(H62="","",INDEX(生物种群!$E$3:INDEX(生物种群!$E:$E,COUNTA(生物种群!$E:$E)),MATCH($H62,生物种群!$A$3:INDEX(生物种群!$A:$A,COUNTA(生物种群!$A:$A)),),))</f>
        <v/>
      </c>
      <c r="L62" s="46" t="str">
        <f t="shared" si="3"/>
        <v/>
      </c>
      <c r="M62" s="47" t="str">
        <f>IF(L62="","",ROUND((L62)/VLOOKUP($F62,IF({1,0},站位样品信息!$A$3:INDEX(站位样品信息!$A:$A,COUNTA(站位样品信息!$A:$A)+1),站位样品信息!$H$3:INDEX(站位样品信息!$H:$H,COUNTA(站位样品信息!$H:$H)+1)),2,0),2))</f>
        <v/>
      </c>
      <c r="O62" s="49"/>
      <c r="P62" s="53" t="str">
        <f t="shared" si="0"/>
        <v/>
      </c>
      <c r="Q62" s="53" t="str">
        <f t="shared" si="1"/>
        <v/>
      </c>
    </row>
    <row r="63" spans="1:17" ht="19.5" customHeight="1">
      <c r="A63" s="38"/>
      <c r="B63" s="38"/>
      <c r="C63" s="38"/>
      <c r="D63" s="37"/>
      <c r="E63" s="37"/>
      <c r="F63" s="37"/>
      <c r="G63" s="37" t="str">
        <f>IF(F63="","",INDEX(站位样品信息!$B$3:INDEX(站位样品信息!$B:$B,COUNTA(站位样品信息!$B:$B)+1),MATCH($F63,站位样品信息!$A$3:INDEX(站位样品信息!$A:$A,COUNTA(站位样品信息!$A:$A)+1),),))</f>
        <v/>
      </c>
      <c r="H63" s="55" t="str">
        <f>IF(OR(A63&lt;&gt;"",B63&lt;&gt;"",C63&lt;&gt;""),IF($C63&lt;&gt;0,INDEX(生物种群!$A$3:INDEX(生物种群!$A:$A,COUNTA(生物种群!$A:$A)),MATCH($C63,生物种群!$F$3:INDEX(生物种群!$F:$F,COUNTA(生物种群!$F:$F)),),),IF($A63&lt;&gt;0,INDEX(生物种群!$A$3:INDEX(生物种群!$A:$A,COUNTA(生物种群!$A:$A)),MATCH($A63,生物种群!$C$3:INDEX(生物种群!$C:$C,COUNTA(生物种群!$C:$C)),),),INDEX(生物种群!$A$3:INDEX(生物种群!$A:$A,COUNTA(生物种群!$A:$A)),MATCH($B63,生物种群!$D$3:INDEX(生物种群!$D:$D,COUNTA(生物种群!$D:$D)),),))),"")</f>
        <v/>
      </c>
      <c r="I63" s="56" t="str">
        <f>IF(H63="","",INDEX(生物种群!$B$3:INDEX(生物种群!$B:$B,COUNTA(生物种群!$B:$B)),MATCH($H63,生物种群!$A$3:INDEX(生物种群!$A:$A,COUNTA(生物种群!$A:$A)),),))</f>
        <v/>
      </c>
      <c r="J63" s="55" t="str">
        <f>IF(H63="","",INDEX(生物种群!$I$3:INDEX(生物种群!$I:$I,COUNTA(生物种群!$I:$I)),MATCH($H63,生物种群!$A$3:INDEX(生物种群!$A:$A,COUNTA(生物种群!$A:$A)),),))</f>
        <v/>
      </c>
      <c r="K63" s="55" t="str">
        <f>IF(H63="","",INDEX(生物种群!$E$3:INDEX(生物种群!$E:$E,COUNTA(生物种群!$E:$E)),MATCH($H63,生物种群!$A$3:INDEX(生物种群!$A:$A,COUNTA(生物种群!$A:$A)),),))</f>
        <v/>
      </c>
      <c r="L63" s="46" t="str">
        <f t="shared" si="3"/>
        <v/>
      </c>
      <c r="M63" s="47" t="str">
        <f>IF(L63="","",ROUND((L63)/VLOOKUP($F63,IF({1,0},站位样品信息!$A$3:INDEX(站位样品信息!$A:$A,COUNTA(站位样品信息!$A:$A)+1),站位样品信息!$H$3:INDEX(站位样品信息!$H:$H,COUNTA(站位样品信息!$H:$H)+1)),2,0),2))</f>
        <v/>
      </c>
      <c r="O63" s="49"/>
      <c r="P63" s="53" t="str">
        <f t="shared" si="0"/>
        <v/>
      </c>
      <c r="Q63" s="53" t="str">
        <f t="shared" si="1"/>
        <v/>
      </c>
    </row>
    <row r="64" spans="1:17" ht="19.5" customHeight="1">
      <c r="A64" s="38"/>
      <c r="B64" s="38"/>
      <c r="C64" s="38"/>
      <c r="D64" s="37"/>
      <c r="E64" s="37"/>
      <c r="F64" s="37"/>
      <c r="G64" s="37" t="str">
        <f>IF(F64="","",INDEX(站位样品信息!$B$3:INDEX(站位样品信息!$B:$B,COUNTA(站位样品信息!$B:$B)+1),MATCH($F64,站位样品信息!$A$3:INDEX(站位样品信息!$A:$A,COUNTA(站位样品信息!$A:$A)+1),),))</f>
        <v/>
      </c>
      <c r="H64" s="55" t="str">
        <f>IF(OR(A64&lt;&gt;"",B64&lt;&gt;"",C64&lt;&gt;""),IF($C64&lt;&gt;0,INDEX(生物种群!$A$3:INDEX(生物种群!$A:$A,COUNTA(生物种群!$A:$A)),MATCH($C64,生物种群!$F$3:INDEX(生物种群!$F:$F,COUNTA(生物种群!$F:$F)),),),IF($A64&lt;&gt;0,INDEX(生物种群!$A$3:INDEX(生物种群!$A:$A,COUNTA(生物种群!$A:$A)),MATCH($A64,生物种群!$C$3:INDEX(生物种群!$C:$C,COUNTA(生物种群!$C:$C)),),),INDEX(生物种群!$A$3:INDEX(生物种群!$A:$A,COUNTA(生物种群!$A:$A)),MATCH($B64,生物种群!$D$3:INDEX(生物种群!$D:$D,COUNTA(生物种群!$D:$D)),),))),"")</f>
        <v/>
      </c>
      <c r="I64" s="56" t="str">
        <f>IF(H64="","",INDEX(生物种群!$B$3:INDEX(生物种群!$B:$B,COUNTA(生物种群!$B:$B)),MATCH($H64,生物种群!$A$3:INDEX(生物种群!$A:$A,COUNTA(生物种群!$A:$A)),),))</f>
        <v/>
      </c>
      <c r="J64" s="55" t="str">
        <f>IF(H64="","",INDEX(生物种群!$I$3:INDEX(生物种群!$I:$I,COUNTA(生物种群!$I:$I)),MATCH($H64,生物种群!$A$3:INDEX(生物种群!$A:$A,COUNTA(生物种群!$A:$A)),),))</f>
        <v/>
      </c>
      <c r="K64" s="55" t="str">
        <f>IF(H64="","",INDEX(生物种群!$E$3:INDEX(生物种群!$E:$E,COUNTA(生物种群!$E:$E)),MATCH($H64,生物种群!$A$3:INDEX(生物种群!$A:$A,COUNTA(生物种群!$A:$A)),),))</f>
        <v/>
      </c>
      <c r="L64" s="46" t="str">
        <f t="shared" si="3"/>
        <v/>
      </c>
      <c r="M64" s="47" t="str">
        <f>IF(L64="","",ROUND((L64)/VLOOKUP($F64,IF({1,0},站位样品信息!$A$3:INDEX(站位样品信息!$A:$A,COUNTA(站位样品信息!$A:$A)+1),站位样品信息!$H$3:INDEX(站位样品信息!$H:$H,COUNTA(站位样品信息!$H:$H)+1)),2,0),2))</f>
        <v/>
      </c>
      <c r="O64" s="49"/>
      <c r="P64" s="53" t="str">
        <f t="shared" si="0"/>
        <v/>
      </c>
      <c r="Q64" s="53" t="str">
        <f t="shared" si="1"/>
        <v/>
      </c>
    </row>
    <row r="65" spans="1:17" ht="19.5" customHeight="1">
      <c r="A65" s="38"/>
      <c r="B65" s="38"/>
      <c r="C65" s="38"/>
      <c r="D65" s="37"/>
      <c r="E65" s="37"/>
      <c r="F65" s="37"/>
      <c r="G65" s="37" t="str">
        <f>IF(F65="","",INDEX(站位样品信息!$B$3:INDEX(站位样品信息!$B:$B,COUNTA(站位样品信息!$B:$B)+1),MATCH($F65,站位样品信息!$A$3:INDEX(站位样品信息!$A:$A,COUNTA(站位样品信息!$A:$A)+1),),))</f>
        <v/>
      </c>
      <c r="H65" s="55" t="str">
        <f>IF(OR(A65&lt;&gt;"",B65&lt;&gt;"",C65&lt;&gt;""),IF($C65&lt;&gt;0,INDEX(生物种群!$A$3:INDEX(生物种群!$A:$A,COUNTA(生物种群!$A:$A)),MATCH($C65,生物种群!$F$3:INDEX(生物种群!$F:$F,COUNTA(生物种群!$F:$F)),),),IF($A65&lt;&gt;0,INDEX(生物种群!$A$3:INDEX(生物种群!$A:$A,COUNTA(生物种群!$A:$A)),MATCH($A65,生物种群!$C$3:INDEX(生物种群!$C:$C,COUNTA(生物种群!$C:$C)),),),INDEX(生物种群!$A$3:INDEX(生物种群!$A:$A,COUNTA(生物种群!$A:$A)),MATCH($B65,生物种群!$D$3:INDEX(生物种群!$D:$D,COUNTA(生物种群!$D:$D)),),))),"")</f>
        <v/>
      </c>
      <c r="I65" s="56" t="str">
        <f>IF(H65="","",INDEX(生物种群!$B$3:INDEX(生物种群!$B:$B,COUNTA(生物种群!$B:$B)),MATCH($H65,生物种群!$A$3:INDEX(生物种群!$A:$A,COUNTA(生物种群!$A:$A)),),))</f>
        <v/>
      </c>
      <c r="J65" s="55" t="str">
        <f>IF(H65="","",INDEX(生物种群!$I$3:INDEX(生物种群!$I:$I,COUNTA(生物种群!$I:$I)),MATCH($H65,生物种群!$A$3:INDEX(生物种群!$A:$A,COUNTA(生物种群!$A:$A)),),))</f>
        <v/>
      </c>
      <c r="K65" s="55" t="str">
        <f>IF(H65="","",INDEX(生物种群!$E$3:INDEX(生物种群!$E:$E,COUNTA(生物种群!$E:$E)),MATCH($H65,生物种群!$A$3:INDEX(生物种群!$A:$A,COUNTA(生物种群!$A:$A)),),))</f>
        <v/>
      </c>
      <c r="L65" s="46" t="str">
        <f t="shared" si="3"/>
        <v/>
      </c>
      <c r="M65" s="47" t="str">
        <f>IF(L65="","",ROUND((L65)/VLOOKUP($F65,IF({1,0},站位样品信息!$A$3:INDEX(站位样品信息!$A:$A,COUNTA(站位样品信息!$A:$A)+1),站位样品信息!$H$3:INDEX(站位样品信息!$H:$H,COUNTA(站位样品信息!$H:$H)+1)),2,0),2))</f>
        <v/>
      </c>
      <c r="O65" s="49"/>
      <c r="P65" s="53" t="str">
        <f t="shared" si="0"/>
        <v/>
      </c>
      <c r="Q65" s="53" t="str">
        <f t="shared" si="1"/>
        <v/>
      </c>
    </row>
    <row r="66" spans="1:17" ht="19.5" customHeight="1">
      <c r="A66" s="38"/>
      <c r="B66" s="38"/>
      <c r="C66" s="38"/>
      <c r="D66" s="37"/>
      <c r="E66" s="37"/>
      <c r="F66" s="37"/>
      <c r="G66" s="37" t="str">
        <f>IF(F66="","",INDEX(站位样品信息!$B$3:INDEX(站位样品信息!$B:$B,COUNTA(站位样品信息!$B:$B)+1),MATCH($F66,站位样品信息!$A$3:INDEX(站位样品信息!$A:$A,COUNTA(站位样品信息!$A:$A)+1),),))</f>
        <v/>
      </c>
      <c r="H66" s="55" t="str">
        <f>IF(OR(A66&lt;&gt;"",B66&lt;&gt;"",C66&lt;&gt;""),IF($C66&lt;&gt;0,INDEX(生物种群!$A$3:INDEX(生物种群!$A:$A,COUNTA(生物种群!$A:$A)),MATCH($C66,生物种群!$F$3:INDEX(生物种群!$F:$F,COUNTA(生物种群!$F:$F)),),),IF($A66&lt;&gt;0,INDEX(生物种群!$A$3:INDEX(生物种群!$A:$A,COUNTA(生物种群!$A:$A)),MATCH($A66,生物种群!$C$3:INDEX(生物种群!$C:$C,COUNTA(生物种群!$C:$C)),),),INDEX(生物种群!$A$3:INDEX(生物种群!$A:$A,COUNTA(生物种群!$A:$A)),MATCH($B66,生物种群!$D$3:INDEX(生物种群!$D:$D,COUNTA(生物种群!$D:$D)),),))),"")</f>
        <v/>
      </c>
      <c r="I66" s="56" t="str">
        <f>IF(H66="","",INDEX(生物种群!$B$3:INDEX(生物种群!$B:$B,COUNTA(生物种群!$B:$B)),MATCH($H66,生物种群!$A$3:INDEX(生物种群!$A:$A,COUNTA(生物种群!$A:$A)),),))</f>
        <v/>
      </c>
      <c r="J66" s="55" t="str">
        <f>IF(H66="","",INDEX(生物种群!$I$3:INDEX(生物种群!$I:$I,COUNTA(生物种群!$I:$I)),MATCH($H66,生物种群!$A$3:INDEX(生物种群!$A:$A,COUNTA(生物种群!$A:$A)),),))</f>
        <v/>
      </c>
      <c r="K66" s="55" t="str">
        <f>IF(H66="","",INDEX(生物种群!$E$3:INDEX(生物种群!$E:$E,COUNTA(生物种群!$E:$E)),MATCH($H66,生物种群!$A$3:INDEX(生物种群!$A:$A,COUNTA(生物种群!$A:$A)),),))</f>
        <v/>
      </c>
      <c r="L66" s="46" t="str">
        <f t="shared" si="3"/>
        <v/>
      </c>
      <c r="M66" s="47" t="str">
        <f>IF(L66="","",ROUND((L66)/VLOOKUP($F66,IF({1,0},站位样品信息!$A$3:INDEX(站位样品信息!$A:$A,COUNTA(站位样品信息!$A:$A)+1),站位样品信息!$H$3:INDEX(站位样品信息!$H:$H,COUNTA(站位样品信息!$H:$H)+1)),2,0),2))</f>
        <v/>
      </c>
      <c r="O66" s="49"/>
      <c r="P66" s="53" t="str">
        <f t="shared" si="0"/>
        <v/>
      </c>
      <c r="Q66" s="53" t="str">
        <f t="shared" si="1"/>
        <v/>
      </c>
    </row>
    <row r="67" spans="1:17" ht="19.5" customHeight="1">
      <c r="A67" s="38"/>
      <c r="B67" s="38"/>
      <c r="C67" s="38"/>
      <c r="D67" s="37"/>
      <c r="E67" s="37"/>
      <c r="F67" s="37"/>
      <c r="G67" s="37" t="str">
        <f>IF(F67="","",INDEX(站位样品信息!$B$3:INDEX(站位样品信息!$B:$B,COUNTA(站位样品信息!$B:$B)+1),MATCH($F67,站位样品信息!$A$3:INDEX(站位样品信息!$A:$A,COUNTA(站位样品信息!$A:$A)+1),),))</f>
        <v/>
      </c>
      <c r="H67" s="55" t="str">
        <f>IF(OR(A67&lt;&gt;"",B67&lt;&gt;"",C67&lt;&gt;""),IF($C67&lt;&gt;0,INDEX(生物种群!$A$3:INDEX(生物种群!$A:$A,COUNTA(生物种群!$A:$A)),MATCH($C67,生物种群!$F$3:INDEX(生物种群!$F:$F,COUNTA(生物种群!$F:$F)),),),IF($A67&lt;&gt;0,INDEX(生物种群!$A$3:INDEX(生物种群!$A:$A,COUNTA(生物种群!$A:$A)),MATCH($A67,生物种群!$C$3:INDEX(生物种群!$C:$C,COUNTA(生物种群!$C:$C)),),),INDEX(生物种群!$A$3:INDEX(生物种群!$A:$A,COUNTA(生物种群!$A:$A)),MATCH($B67,生物种群!$D$3:INDEX(生物种群!$D:$D,COUNTA(生物种群!$D:$D)),),))),"")</f>
        <v/>
      </c>
      <c r="I67" s="56" t="str">
        <f>IF(H67="","",INDEX(生物种群!$B$3:INDEX(生物种群!$B:$B,COUNTA(生物种群!$B:$B)),MATCH($H67,生物种群!$A$3:INDEX(生物种群!$A:$A,COUNTA(生物种群!$A:$A)),),))</f>
        <v/>
      </c>
      <c r="J67" s="55" t="str">
        <f>IF(H67="","",INDEX(生物种群!$I$3:INDEX(生物种群!$I:$I,COUNTA(生物种群!$I:$I)),MATCH($H67,生物种群!$A$3:INDEX(生物种群!$A:$A,COUNTA(生物种群!$A:$A)),),))</f>
        <v/>
      </c>
      <c r="K67" s="55" t="str">
        <f>IF(H67="","",INDEX(生物种群!$E$3:INDEX(生物种群!$E:$E,COUNTA(生物种群!$E:$E)),MATCH($H67,生物种群!$A$3:INDEX(生物种群!$A:$A,COUNTA(生物种群!$A:$A)),),))</f>
        <v/>
      </c>
      <c r="L67" s="46" t="str">
        <f t="shared" si="3"/>
        <v/>
      </c>
      <c r="M67" s="47" t="str">
        <f>IF(L67="","",ROUND((L67)/VLOOKUP($F67,IF({1,0},站位样品信息!$A$3:INDEX(站位样品信息!$A:$A,COUNTA(站位样品信息!$A:$A)+1),站位样品信息!$H$3:INDEX(站位样品信息!$H:$H,COUNTA(站位样品信息!$H:$H)+1)),2,0),2))</f>
        <v/>
      </c>
      <c r="O67" s="49"/>
      <c r="P67" s="53" t="str">
        <f t="shared" si="7" ref="P67:P130">IF(F67&gt;0,F67&amp;I67,"")</f>
        <v/>
      </c>
      <c r="Q67" s="53" t="str">
        <f t="shared" si="8" ref="Q67:Q130">IF(COUNTIF($P:$P,P67)=1,"",IF(A67&amp;B67&amp;C67="","","重复"))</f>
        <v/>
      </c>
    </row>
    <row r="68" spans="1:17" ht="19.5" customHeight="1">
      <c r="A68" s="38"/>
      <c r="B68" s="38"/>
      <c r="C68" s="38"/>
      <c r="D68" s="37"/>
      <c r="E68" s="37"/>
      <c r="F68" s="37"/>
      <c r="G68" s="37" t="str">
        <f>IF(F68="","",INDEX(站位样品信息!$B$3:INDEX(站位样品信息!$B:$B,COUNTA(站位样品信息!$B:$B)+1),MATCH($F68,站位样品信息!$A$3:INDEX(站位样品信息!$A:$A,COUNTA(站位样品信息!$A:$A)+1),),))</f>
        <v/>
      </c>
      <c r="H68" s="55" t="str">
        <f>IF(OR(A68&lt;&gt;"",B68&lt;&gt;"",C68&lt;&gt;""),IF($C68&lt;&gt;0,INDEX(生物种群!$A$3:INDEX(生物种群!$A:$A,COUNTA(生物种群!$A:$A)),MATCH($C68,生物种群!$F$3:INDEX(生物种群!$F:$F,COUNTA(生物种群!$F:$F)),),),IF($A68&lt;&gt;0,INDEX(生物种群!$A$3:INDEX(生物种群!$A:$A,COUNTA(生物种群!$A:$A)),MATCH($A68,生物种群!$C$3:INDEX(生物种群!$C:$C,COUNTA(生物种群!$C:$C)),),),INDEX(生物种群!$A$3:INDEX(生物种群!$A:$A,COUNTA(生物种群!$A:$A)),MATCH($B68,生物种群!$D$3:INDEX(生物种群!$D:$D,COUNTA(生物种群!$D:$D)),),))),"")</f>
        <v/>
      </c>
      <c r="I68" s="56" t="str">
        <f>IF(H68="","",INDEX(生物种群!$B$3:INDEX(生物种群!$B:$B,COUNTA(生物种群!$B:$B)),MATCH($H68,生物种群!$A$3:INDEX(生物种群!$A:$A,COUNTA(生物种群!$A:$A)),),))</f>
        <v/>
      </c>
      <c r="J68" s="55" t="str">
        <f>IF(H68="","",INDEX(生物种群!$I$3:INDEX(生物种群!$I:$I,COUNTA(生物种群!$I:$I)),MATCH($H68,生物种群!$A$3:INDEX(生物种群!$A:$A,COUNTA(生物种群!$A:$A)),),))</f>
        <v/>
      </c>
      <c r="K68" s="55" t="str">
        <f>IF(H68="","",INDEX(生物种群!$E$3:INDEX(生物种群!$E:$E,COUNTA(生物种群!$E:$E)),MATCH($H68,生物种群!$A$3:INDEX(生物种群!$A:$A,COUNTA(生物种群!$A:$A)),),))</f>
        <v/>
      </c>
      <c r="L68" s="46" t="str">
        <f t="shared" si="3"/>
        <v/>
      </c>
      <c r="M68" s="47" t="str">
        <f>IF(L68="","",ROUND((L68)/VLOOKUP($F68,IF({1,0},站位样品信息!$A$3:INDEX(站位样品信息!$A:$A,COUNTA(站位样品信息!$A:$A)+1),站位样品信息!$H$3:INDEX(站位样品信息!$H:$H,COUNTA(站位样品信息!$H:$H)+1)),2,0),2))</f>
        <v/>
      </c>
      <c r="O68" s="49"/>
      <c r="P68" s="53" t="str">
        <f t="shared" si="7"/>
        <v/>
      </c>
      <c r="Q68" s="53" t="str">
        <f t="shared" si="8"/>
        <v/>
      </c>
    </row>
    <row r="69" spans="1:17" ht="19.5" customHeight="1">
      <c r="A69" s="38"/>
      <c r="B69" s="38"/>
      <c r="C69" s="38"/>
      <c r="D69" s="37"/>
      <c r="E69" s="37"/>
      <c r="F69" s="37"/>
      <c r="G69" s="37" t="str">
        <f>IF(F69="","",INDEX(站位样品信息!$B$3:INDEX(站位样品信息!$B:$B,COUNTA(站位样品信息!$B:$B)+1),MATCH($F69,站位样品信息!$A$3:INDEX(站位样品信息!$A:$A,COUNTA(站位样品信息!$A:$A)+1),),))</f>
        <v/>
      </c>
      <c r="H69" s="55" t="str">
        <f>IF(OR(A69&lt;&gt;"",B69&lt;&gt;"",C69&lt;&gt;""),IF($C69&lt;&gt;0,INDEX(生物种群!$A$3:INDEX(生物种群!$A:$A,COUNTA(生物种群!$A:$A)),MATCH($C69,生物种群!$F$3:INDEX(生物种群!$F:$F,COUNTA(生物种群!$F:$F)),),),IF($A69&lt;&gt;0,INDEX(生物种群!$A$3:INDEX(生物种群!$A:$A,COUNTA(生物种群!$A:$A)),MATCH($A69,生物种群!$C$3:INDEX(生物种群!$C:$C,COUNTA(生物种群!$C:$C)),),),INDEX(生物种群!$A$3:INDEX(生物种群!$A:$A,COUNTA(生物种群!$A:$A)),MATCH($B69,生物种群!$D$3:INDEX(生物种群!$D:$D,COUNTA(生物种群!$D:$D)),),))),"")</f>
        <v/>
      </c>
      <c r="I69" s="56" t="str">
        <f>IF(H69="","",INDEX(生物种群!$B$3:INDEX(生物种群!$B:$B,COUNTA(生物种群!$B:$B)),MATCH($H69,生物种群!$A$3:INDEX(生物种群!$A:$A,COUNTA(生物种群!$A:$A)),),))</f>
        <v/>
      </c>
      <c r="J69" s="55" t="str">
        <f>IF(H69="","",INDEX(生物种群!$I$3:INDEX(生物种群!$I:$I,COUNTA(生物种群!$I:$I)),MATCH($H69,生物种群!$A$3:INDEX(生物种群!$A:$A,COUNTA(生物种群!$A:$A)),),))</f>
        <v/>
      </c>
      <c r="K69" s="55" t="str">
        <f>IF(H69="","",INDEX(生物种群!$E$3:INDEX(生物种群!$E:$E,COUNTA(生物种群!$E:$E)),MATCH($H69,生物种群!$A$3:INDEX(生物种群!$A:$A,COUNTA(生物种群!$A:$A)),),))</f>
        <v/>
      </c>
      <c r="L69" s="46" t="str">
        <f t="shared" si="3"/>
        <v/>
      </c>
      <c r="M69" s="47" t="str">
        <f>IF(L69="","",ROUND((L69)/VLOOKUP($F69,IF({1,0},站位样品信息!$A$3:INDEX(站位样品信息!$A:$A,COUNTA(站位样品信息!$A:$A)+1),站位样品信息!$H$3:INDEX(站位样品信息!$H:$H,COUNTA(站位样品信息!$H:$H)+1)),2,0),2))</f>
        <v/>
      </c>
      <c r="O69" s="49"/>
      <c r="P69" s="53" t="str">
        <f t="shared" si="7"/>
        <v/>
      </c>
      <c r="Q69" s="53" t="str">
        <f t="shared" si="8"/>
        <v/>
      </c>
    </row>
    <row r="70" spans="1:17" ht="19.5" customHeight="1">
      <c r="A70" s="38"/>
      <c r="B70" s="38"/>
      <c r="C70" s="38"/>
      <c r="D70" s="37"/>
      <c r="E70" s="37"/>
      <c r="F70" s="37"/>
      <c r="G70" s="37" t="str">
        <f>IF(F70="","",INDEX(站位样品信息!$B$3:INDEX(站位样品信息!$B:$B,COUNTA(站位样品信息!$B:$B)+1),MATCH($F70,站位样品信息!$A$3:INDEX(站位样品信息!$A:$A,COUNTA(站位样品信息!$A:$A)+1),),))</f>
        <v/>
      </c>
      <c r="H70" s="55" t="str">
        <f>IF(OR(A70&lt;&gt;"",B70&lt;&gt;"",C70&lt;&gt;""),IF($C70&lt;&gt;0,INDEX(生物种群!$A$3:INDEX(生物种群!$A:$A,COUNTA(生物种群!$A:$A)),MATCH($C70,生物种群!$F$3:INDEX(生物种群!$F:$F,COUNTA(生物种群!$F:$F)),),),IF($A70&lt;&gt;0,INDEX(生物种群!$A$3:INDEX(生物种群!$A:$A,COUNTA(生物种群!$A:$A)),MATCH($A70,生物种群!$C$3:INDEX(生物种群!$C:$C,COUNTA(生物种群!$C:$C)),),),INDEX(生物种群!$A$3:INDEX(生物种群!$A:$A,COUNTA(生物种群!$A:$A)),MATCH($B70,生物种群!$D$3:INDEX(生物种群!$D:$D,COUNTA(生物种群!$D:$D)),),))),"")</f>
        <v/>
      </c>
      <c r="I70" s="56" t="str">
        <f>IF(H70="","",INDEX(生物种群!$B$3:INDEX(生物种群!$B:$B,COUNTA(生物种群!$B:$B)),MATCH($H70,生物种群!$A$3:INDEX(生物种群!$A:$A,COUNTA(生物种群!$A:$A)),),))</f>
        <v/>
      </c>
      <c r="J70" s="55" t="str">
        <f>IF(H70="","",INDEX(生物种群!$I$3:INDEX(生物种群!$I:$I,COUNTA(生物种群!$I:$I)),MATCH($H70,生物种群!$A$3:INDEX(生物种群!$A:$A,COUNTA(生物种群!$A:$A)),),))</f>
        <v/>
      </c>
      <c r="K70" s="55" t="str">
        <f>IF(H70="","",INDEX(生物种群!$E$3:INDEX(生物种群!$E:$E,COUNTA(生物种群!$E:$E)),MATCH($H70,生物种群!$A$3:INDEX(生物种群!$A:$A,COUNTA(生物种群!$A:$A)),),))</f>
        <v/>
      </c>
      <c r="L70" s="46" t="str">
        <f t="shared" si="3"/>
        <v/>
      </c>
      <c r="M70" s="47" t="str">
        <f>IF(L70="","",ROUND((L70)/VLOOKUP($F70,IF({1,0},站位样品信息!$A$3:INDEX(站位样品信息!$A:$A,COUNTA(站位样品信息!$A:$A)+1),站位样品信息!$H$3:INDEX(站位样品信息!$H:$H,COUNTA(站位样品信息!$H:$H)+1)),2,0),2))</f>
        <v/>
      </c>
      <c r="O70" s="49"/>
      <c r="P70" s="53" t="str">
        <f t="shared" si="7"/>
        <v/>
      </c>
      <c r="Q70" s="53" t="str">
        <f t="shared" si="8"/>
        <v/>
      </c>
    </row>
    <row r="71" spans="1:17" ht="19.5" customHeight="1">
      <c r="A71" s="38"/>
      <c r="B71" s="38"/>
      <c r="C71" s="38"/>
      <c r="D71" s="37"/>
      <c r="E71" s="37"/>
      <c r="F71" s="37"/>
      <c r="G71" s="37" t="str">
        <f>IF(F71="","",INDEX(站位样品信息!$B$3:INDEX(站位样品信息!$B:$B,COUNTA(站位样品信息!$B:$B)+1),MATCH($F71,站位样品信息!$A$3:INDEX(站位样品信息!$A:$A,COUNTA(站位样品信息!$A:$A)+1),),))</f>
        <v/>
      </c>
      <c r="H71" s="55" t="str">
        <f>IF(OR(A71&lt;&gt;"",B71&lt;&gt;"",C71&lt;&gt;""),IF($C71&lt;&gt;0,INDEX(生物种群!$A$3:INDEX(生物种群!$A:$A,COUNTA(生物种群!$A:$A)),MATCH($C71,生物种群!$F$3:INDEX(生物种群!$F:$F,COUNTA(生物种群!$F:$F)),),),IF($A71&lt;&gt;0,INDEX(生物种群!$A$3:INDEX(生物种群!$A:$A,COUNTA(生物种群!$A:$A)),MATCH($A71,生物种群!$C$3:INDEX(生物种群!$C:$C,COUNTA(生物种群!$C:$C)),),),INDEX(生物种群!$A$3:INDEX(生物种群!$A:$A,COUNTA(生物种群!$A:$A)),MATCH($B71,生物种群!$D$3:INDEX(生物种群!$D:$D,COUNTA(生物种群!$D:$D)),),))),"")</f>
        <v/>
      </c>
      <c r="I71" s="56" t="str">
        <f>IF(H71="","",INDEX(生物种群!$B$3:INDEX(生物种群!$B:$B,COUNTA(生物种群!$B:$B)),MATCH($H71,生物种群!$A$3:INDEX(生物种群!$A:$A,COUNTA(生物种群!$A:$A)),),))</f>
        <v/>
      </c>
      <c r="J71" s="55" t="str">
        <f>IF(H71="","",INDEX(生物种群!$I$3:INDEX(生物种群!$I:$I,COUNTA(生物种群!$I:$I)),MATCH($H71,生物种群!$A$3:INDEX(生物种群!$A:$A,COUNTA(生物种群!$A:$A)),),))</f>
        <v/>
      </c>
      <c r="K71" s="55" t="str">
        <f>IF(H71="","",INDEX(生物种群!$E$3:INDEX(生物种群!$E:$E,COUNTA(生物种群!$E:$E)),MATCH($H71,生物种群!$A$3:INDEX(生物种群!$A:$A,COUNTA(生物种群!$A:$A)),),))</f>
        <v/>
      </c>
      <c r="L71" s="46" t="str">
        <f t="shared" si="3"/>
        <v/>
      </c>
      <c r="M71" s="47" t="str">
        <f>IF(L71="","",ROUND((L71)/VLOOKUP($F71,IF({1,0},站位样品信息!$A$3:INDEX(站位样品信息!$A:$A,COUNTA(站位样品信息!$A:$A)+1),站位样品信息!$H$3:INDEX(站位样品信息!$H:$H,COUNTA(站位样品信息!$H:$H)+1)),2,0),2))</f>
        <v/>
      </c>
      <c r="O71" s="49"/>
      <c r="P71" s="53" t="str">
        <f t="shared" si="7"/>
        <v/>
      </c>
      <c r="Q71" s="53" t="str">
        <f t="shared" si="8"/>
        <v/>
      </c>
    </row>
    <row r="72" spans="1:17" ht="19.5" customHeight="1">
      <c r="A72" s="38"/>
      <c r="B72" s="38"/>
      <c r="C72" s="38"/>
      <c r="D72" s="37"/>
      <c r="E72" s="37"/>
      <c r="F72" s="37"/>
      <c r="G72" s="37" t="str">
        <f>IF(F72="","",INDEX(站位样品信息!$B$3:INDEX(站位样品信息!$B:$B,COUNTA(站位样品信息!$B:$B)+1),MATCH($F72,站位样品信息!$A$3:INDEX(站位样品信息!$A:$A,COUNTA(站位样品信息!$A:$A)+1),),))</f>
        <v/>
      </c>
      <c r="H72" s="55" t="str">
        <f>IF(OR(A72&lt;&gt;"",B72&lt;&gt;"",C72&lt;&gt;""),IF($C72&lt;&gt;0,INDEX(生物种群!$A$3:INDEX(生物种群!$A:$A,COUNTA(生物种群!$A:$A)),MATCH($C72,生物种群!$F$3:INDEX(生物种群!$F:$F,COUNTA(生物种群!$F:$F)),),),IF($A72&lt;&gt;0,INDEX(生物种群!$A$3:INDEX(生物种群!$A:$A,COUNTA(生物种群!$A:$A)),MATCH($A72,生物种群!$C$3:INDEX(生物种群!$C:$C,COUNTA(生物种群!$C:$C)),),),INDEX(生物种群!$A$3:INDEX(生物种群!$A:$A,COUNTA(生物种群!$A:$A)),MATCH($B72,生物种群!$D$3:INDEX(生物种群!$D:$D,COUNTA(生物种群!$D:$D)),),))),"")</f>
        <v/>
      </c>
      <c r="I72" s="56" t="str">
        <f>IF(H72="","",INDEX(生物种群!$B$3:INDEX(生物种群!$B:$B,COUNTA(生物种群!$B:$B)),MATCH($H72,生物种群!$A$3:INDEX(生物种群!$A:$A,COUNTA(生物种群!$A:$A)),),))</f>
        <v/>
      </c>
      <c r="J72" s="55" t="str">
        <f>IF(H72="","",INDEX(生物种群!$I$3:INDEX(生物种群!$I:$I,COUNTA(生物种群!$I:$I)),MATCH($H72,生物种群!$A$3:INDEX(生物种群!$A:$A,COUNTA(生物种群!$A:$A)),),))</f>
        <v/>
      </c>
      <c r="K72" s="55" t="str">
        <f>IF(H72="","",INDEX(生物种群!$E$3:INDEX(生物种群!$E:$E,COUNTA(生物种群!$E:$E)),MATCH($H72,生物种群!$A$3:INDEX(生物种群!$A:$A,COUNTA(生物种群!$A:$A)),),))</f>
        <v/>
      </c>
      <c r="L72" s="46" t="str">
        <f t="shared" si="3"/>
        <v/>
      </c>
      <c r="M72" s="47" t="str">
        <f>IF(L72="","",ROUND((L72)/VLOOKUP($F72,IF({1,0},站位样品信息!$A$3:INDEX(站位样品信息!$A:$A,COUNTA(站位样品信息!$A:$A)+1),站位样品信息!$H$3:INDEX(站位样品信息!$H:$H,COUNTA(站位样品信息!$H:$H)+1)),2,0),2))</f>
        <v/>
      </c>
      <c r="O72" s="49"/>
      <c r="P72" s="53" t="str">
        <f t="shared" si="7"/>
        <v/>
      </c>
      <c r="Q72" s="53" t="str">
        <f t="shared" si="8"/>
        <v/>
      </c>
    </row>
    <row r="73" spans="1:17" ht="19.5" customHeight="1">
      <c r="A73" s="38"/>
      <c r="B73" s="38"/>
      <c r="C73" s="38"/>
      <c r="D73" s="37"/>
      <c r="E73" s="37"/>
      <c r="F73" s="37"/>
      <c r="G73" s="37" t="str">
        <f>IF(F73="","",INDEX(站位样品信息!$B$3:INDEX(站位样品信息!$B:$B,COUNTA(站位样品信息!$B:$B)+1),MATCH($F73,站位样品信息!$A$3:INDEX(站位样品信息!$A:$A,COUNTA(站位样品信息!$A:$A)+1),),))</f>
        <v/>
      </c>
      <c r="H73" s="55" t="str">
        <f>IF(OR(A73&lt;&gt;"",B73&lt;&gt;"",C73&lt;&gt;""),IF($C73&lt;&gt;0,INDEX(生物种群!$A$3:INDEX(生物种群!$A:$A,COUNTA(生物种群!$A:$A)),MATCH($C73,生物种群!$F$3:INDEX(生物种群!$F:$F,COUNTA(生物种群!$F:$F)),),),IF($A73&lt;&gt;0,INDEX(生物种群!$A$3:INDEX(生物种群!$A:$A,COUNTA(生物种群!$A:$A)),MATCH($A73,生物种群!$C$3:INDEX(生物种群!$C:$C,COUNTA(生物种群!$C:$C)),),),INDEX(生物种群!$A$3:INDEX(生物种群!$A:$A,COUNTA(生物种群!$A:$A)),MATCH($B73,生物种群!$D$3:INDEX(生物种群!$D:$D,COUNTA(生物种群!$D:$D)),),))),"")</f>
        <v/>
      </c>
      <c r="I73" s="56" t="str">
        <f>IF(H73="","",INDEX(生物种群!$B$3:INDEX(生物种群!$B:$B,COUNTA(生物种群!$B:$B)),MATCH($H73,生物种群!$A$3:INDEX(生物种群!$A:$A,COUNTA(生物种群!$A:$A)),),))</f>
        <v/>
      </c>
      <c r="J73" s="55" t="str">
        <f>IF(H73="","",INDEX(生物种群!$I$3:INDEX(生物种群!$I:$I,COUNTA(生物种群!$I:$I)),MATCH($H73,生物种群!$A$3:INDEX(生物种群!$A:$A,COUNTA(生物种群!$A:$A)),),))</f>
        <v/>
      </c>
      <c r="K73" s="55" t="str">
        <f>IF(H73="","",INDEX(生物种群!$E$3:INDEX(生物种群!$E:$E,COUNTA(生物种群!$E:$E)),MATCH($H73,生物种群!$A$3:INDEX(生物种群!$A:$A,COUNTA(生物种群!$A:$A)),),))</f>
        <v/>
      </c>
      <c r="L73" s="46" t="str">
        <f t="shared" si="3"/>
        <v/>
      </c>
      <c r="M73" s="47" t="str">
        <f>IF(L73="","",ROUND((L73)/VLOOKUP($F73,IF({1,0},站位样品信息!$A$3:INDEX(站位样品信息!$A:$A,COUNTA(站位样品信息!$A:$A)+1),站位样品信息!$H$3:INDEX(站位样品信息!$H:$H,COUNTA(站位样品信息!$H:$H)+1)),2,0),2))</f>
        <v/>
      </c>
      <c r="O73" s="49"/>
      <c r="P73" s="53" t="str">
        <f t="shared" si="7"/>
        <v/>
      </c>
      <c r="Q73" s="53" t="str">
        <f t="shared" si="8"/>
        <v/>
      </c>
    </row>
    <row r="74" spans="1:17" ht="19.5" customHeight="1">
      <c r="A74" s="38"/>
      <c r="B74" s="38"/>
      <c r="C74" s="38"/>
      <c r="D74" s="37"/>
      <c r="E74" s="37"/>
      <c r="F74" s="37"/>
      <c r="G74" s="37" t="str">
        <f>IF(F74="","",INDEX(站位样品信息!$B$3:INDEX(站位样品信息!$B:$B,COUNTA(站位样品信息!$B:$B)+1),MATCH($F74,站位样品信息!$A$3:INDEX(站位样品信息!$A:$A,COUNTA(站位样品信息!$A:$A)+1),),))</f>
        <v/>
      </c>
      <c r="H74" s="55" t="str">
        <f>IF(OR(A74&lt;&gt;"",B74&lt;&gt;"",C74&lt;&gt;""),IF($C74&lt;&gt;0,INDEX(生物种群!$A$3:INDEX(生物种群!$A:$A,COUNTA(生物种群!$A:$A)),MATCH($C74,生物种群!$F$3:INDEX(生物种群!$F:$F,COUNTA(生物种群!$F:$F)),),),IF($A74&lt;&gt;0,INDEX(生物种群!$A$3:INDEX(生物种群!$A:$A,COUNTA(生物种群!$A:$A)),MATCH($A74,生物种群!$C$3:INDEX(生物种群!$C:$C,COUNTA(生物种群!$C:$C)),),),INDEX(生物种群!$A$3:INDEX(生物种群!$A:$A,COUNTA(生物种群!$A:$A)),MATCH($B74,生物种群!$D$3:INDEX(生物种群!$D:$D,COUNTA(生物种群!$D:$D)),),))),"")</f>
        <v/>
      </c>
      <c r="I74" s="56" t="str">
        <f>IF(H74="","",INDEX(生物种群!$B$3:INDEX(生物种群!$B:$B,COUNTA(生物种群!$B:$B)),MATCH($H74,生物种群!$A$3:INDEX(生物种群!$A:$A,COUNTA(生物种群!$A:$A)),),))</f>
        <v/>
      </c>
      <c r="J74" s="55" t="str">
        <f>IF(H74="","",INDEX(生物种群!$I$3:INDEX(生物种群!$I:$I,COUNTA(生物种群!$I:$I)),MATCH($H74,生物种群!$A$3:INDEX(生物种群!$A:$A,COUNTA(生物种群!$A:$A)),),))</f>
        <v/>
      </c>
      <c r="K74" s="55" t="str">
        <f>IF(H74="","",INDEX(生物种群!$E$3:INDEX(生物种群!$E:$E,COUNTA(生物种群!$E:$E)),MATCH($H74,生物种群!$A$3:INDEX(生物种群!$A:$A,COUNTA(生物种群!$A:$A)),),))</f>
        <v/>
      </c>
      <c r="L74" s="46" t="str">
        <f t="shared" si="3"/>
        <v/>
      </c>
      <c r="M74" s="47" t="str">
        <f>IF(L74="","",ROUND((L74)/VLOOKUP($F74,IF({1,0},站位样品信息!$A$3:INDEX(站位样品信息!$A:$A,COUNTA(站位样品信息!$A:$A)+1),站位样品信息!$H$3:INDEX(站位样品信息!$H:$H,COUNTA(站位样品信息!$H:$H)+1)),2,0),2))</f>
        <v/>
      </c>
      <c r="O74" s="49"/>
      <c r="P74" s="53" t="str">
        <f t="shared" si="7"/>
        <v/>
      </c>
      <c r="Q74" s="53" t="str">
        <f t="shared" si="8"/>
        <v/>
      </c>
    </row>
    <row r="75" spans="1:17" ht="19.5" customHeight="1">
      <c r="A75" s="38"/>
      <c r="B75" s="38"/>
      <c r="C75" s="38"/>
      <c r="D75" s="37"/>
      <c r="E75" s="37"/>
      <c r="F75" s="37"/>
      <c r="G75" s="37" t="str">
        <f>IF(F75="","",INDEX(站位样品信息!$B$3:INDEX(站位样品信息!$B:$B,COUNTA(站位样品信息!$B:$B)+1),MATCH($F75,站位样品信息!$A$3:INDEX(站位样品信息!$A:$A,COUNTA(站位样品信息!$A:$A)+1),),))</f>
        <v/>
      </c>
      <c r="H75" s="55" t="str">
        <f>IF(OR(A75&lt;&gt;"",B75&lt;&gt;"",C75&lt;&gt;""),IF($C75&lt;&gt;0,INDEX(生物种群!$A$3:INDEX(生物种群!$A:$A,COUNTA(生物种群!$A:$A)),MATCH($C75,生物种群!$F$3:INDEX(生物种群!$F:$F,COUNTA(生物种群!$F:$F)),),),IF($A75&lt;&gt;0,INDEX(生物种群!$A$3:INDEX(生物种群!$A:$A,COUNTA(生物种群!$A:$A)),MATCH($A75,生物种群!$C$3:INDEX(生物种群!$C:$C,COUNTA(生物种群!$C:$C)),),),INDEX(生物种群!$A$3:INDEX(生物种群!$A:$A,COUNTA(生物种群!$A:$A)),MATCH($B75,生物种群!$D$3:INDEX(生物种群!$D:$D,COUNTA(生物种群!$D:$D)),),))),"")</f>
        <v/>
      </c>
      <c r="I75" s="56" t="str">
        <f>IF(H75="","",INDEX(生物种群!$B$3:INDEX(生物种群!$B:$B,COUNTA(生物种群!$B:$B)),MATCH($H75,生物种群!$A$3:INDEX(生物种群!$A:$A,COUNTA(生物种群!$A:$A)),),))</f>
        <v/>
      </c>
      <c r="J75" s="55" t="str">
        <f>IF(H75="","",INDEX(生物种群!$I$3:INDEX(生物种群!$I:$I,COUNTA(生物种群!$I:$I)),MATCH($H75,生物种群!$A$3:INDEX(生物种群!$A:$A,COUNTA(生物种群!$A:$A)),),))</f>
        <v/>
      </c>
      <c r="K75" s="55" t="str">
        <f>IF(H75="","",INDEX(生物种群!$E$3:INDEX(生物种群!$E:$E,COUNTA(生物种群!$E:$E)),MATCH($H75,生物种群!$A$3:INDEX(生物种群!$A:$A,COUNTA(生物种群!$A:$A)),),))</f>
        <v/>
      </c>
      <c r="L75" s="46" t="str">
        <f t="shared" si="3"/>
        <v/>
      </c>
      <c r="M75" s="47" t="str">
        <f>IF(L75="","",ROUND((L75)/VLOOKUP($F75,IF({1,0},站位样品信息!$A$3:INDEX(站位样品信息!$A:$A,COUNTA(站位样品信息!$A:$A)+1),站位样品信息!$H$3:INDEX(站位样品信息!$H:$H,COUNTA(站位样品信息!$H:$H)+1)),2,0),2))</f>
        <v/>
      </c>
      <c r="O75" s="49"/>
      <c r="P75" s="53" t="str">
        <f t="shared" si="7"/>
        <v/>
      </c>
      <c r="Q75" s="53" t="str">
        <f t="shared" si="8"/>
        <v/>
      </c>
    </row>
    <row r="76" spans="1:17" ht="19.5" customHeight="1">
      <c r="A76" s="38"/>
      <c r="B76" s="38"/>
      <c r="C76" s="38"/>
      <c r="D76" s="37"/>
      <c r="E76" s="37"/>
      <c r="F76" s="37"/>
      <c r="G76" s="37" t="str">
        <f>IF(F76="","",INDEX(站位样品信息!$B$3:INDEX(站位样品信息!$B:$B,COUNTA(站位样品信息!$B:$B)+1),MATCH($F76,站位样品信息!$A$3:INDEX(站位样品信息!$A:$A,COUNTA(站位样品信息!$A:$A)+1),),))</f>
        <v/>
      </c>
      <c r="H76" s="55" t="str">
        <f>IF(OR(A76&lt;&gt;"",B76&lt;&gt;"",C76&lt;&gt;""),IF($C76&lt;&gt;0,INDEX(生物种群!$A$3:INDEX(生物种群!$A:$A,COUNTA(生物种群!$A:$A)),MATCH($C76,生物种群!$F$3:INDEX(生物种群!$F:$F,COUNTA(生物种群!$F:$F)),),),IF($A76&lt;&gt;0,INDEX(生物种群!$A$3:INDEX(生物种群!$A:$A,COUNTA(生物种群!$A:$A)),MATCH($A76,生物种群!$C$3:INDEX(生物种群!$C:$C,COUNTA(生物种群!$C:$C)),),),INDEX(生物种群!$A$3:INDEX(生物种群!$A:$A,COUNTA(生物种群!$A:$A)),MATCH($B76,生物种群!$D$3:INDEX(生物种群!$D:$D,COUNTA(生物种群!$D:$D)),),))),"")</f>
        <v/>
      </c>
      <c r="I76" s="56" t="str">
        <f>IF(H76="","",INDEX(生物种群!$B$3:INDEX(生物种群!$B:$B,COUNTA(生物种群!$B:$B)),MATCH($H76,生物种群!$A$3:INDEX(生物种群!$A:$A,COUNTA(生物种群!$A:$A)),),))</f>
        <v/>
      </c>
      <c r="J76" s="55" t="str">
        <f>IF(H76="","",INDEX(生物种群!$I$3:INDEX(生物种群!$I:$I,COUNTA(生物种群!$I:$I)),MATCH($H76,生物种群!$A$3:INDEX(生物种群!$A:$A,COUNTA(生物种群!$A:$A)),),))</f>
        <v/>
      </c>
      <c r="K76" s="55" t="str">
        <f>IF(H76="","",INDEX(生物种群!$E$3:INDEX(生物种群!$E:$E,COUNTA(生物种群!$E:$E)),MATCH($H76,生物种群!$A$3:INDEX(生物种群!$A:$A,COUNTA(生物种群!$A:$A)),),))</f>
        <v/>
      </c>
      <c r="L76" s="46" t="str">
        <f t="shared" si="3"/>
        <v/>
      </c>
      <c r="M76" s="47" t="str">
        <f>IF(L76="","",ROUND((L76)/VLOOKUP($F76,IF({1,0},站位样品信息!$A$3:INDEX(站位样品信息!$A:$A,COUNTA(站位样品信息!$A:$A)+1),站位样品信息!$H$3:INDEX(站位样品信息!$H:$H,COUNTA(站位样品信息!$H:$H)+1)),2,0),2))</f>
        <v/>
      </c>
      <c r="O76" s="49"/>
      <c r="P76" s="53" t="str">
        <f t="shared" si="7"/>
        <v/>
      </c>
      <c r="Q76" s="53" t="str">
        <f t="shared" si="8"/>
        <v/>
      </c>
    </row>
    <row r="77" spans="1:17" ht="19.5" customHeight="1">
      <c r="A77" s="38"/>
      <c r="B77" s="38"/>
      <c r="C77" s="38"/>
      <c r="D77" s="37"/>
      <c r="E77" s="37"/>
      <c r="F77" s="37"/>
      <c r="G77" s="37" t="str">
        <f>IF(F77="","",INDEX(站位样品信息!$B$3:INDEX(站位样品信息!$B:$B,COUNTA(站位样品信息!$B:$B)+1),MATCH($F77,站位样品信息!$A$3:INDEX(站位样品信息!$A:$A,COUNTA(站位样品信息!$A:$A)+1),),))</f>
        <v/>
      </c>
      <c r="H77" s="55" t="str">
        <f>IF(OR(A77&lt;&gt;"",B77&lt;&gt;"",C77&lt;&gt;""),IF($C77&lt;&gt;0,INDEX(生物种群!$A$3:INDEX(生物种群!$A:$A,COUNTA(生物种群!$A:$A)),MATCH($C77,生物种群!$F$3:INDEX(生物种群!$F:$F,COUNTA(生物种群!$F:$F)),),),IF($A77&lt;&gt;0,INDEX(生物种群!$A$3:INDEX(生物种群!$A:$A,COUNTA(生物种群!$A:$A)),MATCH($A77,生物种群!$C$3:INDEX(生物种群!$C:$C,COUNTA(生物种群!$C:$C)),),),INDEX(生物种群!$A$3:INDEX(生物种群!$A:$A,COUNTA(生物种群!$A:$A)),MATCH($B77,生物种群!$D$3:INDEX(生物种群!$D:$D,COUNTA(生物种群!$D:$D)),),))),"")</f>
        <v/>
      </c>
      <c r="I77" s="56" t="str">
        <f>IF(H77="","",INDEX(生物种群!$B$3:INDEX(生物种群!$B:$B,COUNTA(生物种群!$B:$B)),MATCH($H77,生物种群!$A$3:INDEX(生物种群!$A:$A,COUNTA(生物种群!$A:$A)),),))</f>
        <v/>
      </c>
      <c r="J77" s="55" t="str">
        <f>IF(H77="","",INDEX(生物种群!$I$3:INDEX(生物种群!$I:$I,COUNTA(生物种群!$I:$I)),MATCH($H77,生物种群!$A$3:INDEX(生物种群!$A:$A,COUNTA(生物种群!$A:$A)),),))</f>
        <v/>
      </c>
      <c r="K77" s="55" t="str">
        <f>IF(H77="","",INDEX(生物种群!$E$3:INDEX(生物种群!$E:$E,COUNTA(生物种群!$E:$E)),MATCH($H77,生物种群!$A$3:INDEX(生物种群!$A:$A,COUNTA(生物种群!$A:$A)),),))</f>
        <v/>
      </c>
      <c r="L77" s="46" t="str">
        <f t="shared" si="9" ref="L77:L140">IFERROR(IF(OR(D77="",E77=""),"",D77/E77*100),"")</f>
        <v/>
      </c>
      <c r="M77" s="47" t="str">
        <f>IF(L77="","",ROUND((L77)/VLOOKUP($F77,IF({1,0},站位样品信息!$A$3:INDEX(站位样品信息!$A:$A,COUNTA(站位样品信息!$A:$A)+1),站位样品信息!$H$3:INDEX(站位样品信息!$H:$H,COUNTA(站位样品信息!$H:$H)+1)),2,0),2))</f>
        <v/>
      </c>
      <c r="O77" s="49"/>
      <c r="P77" s="53" t="str">
        <f t="shared" si="7"/>
        <v/>
      </c>
      <c r="Q77" s="53" t="str">
        <f t="shared" si="8"/>
        <v/>
      </c>
    </row>
    <row r="78" spans="1:17" ht="19.5" customHeight="1">
      <c r="A78" s="38"/>
      <c r="B78" s="38"/>
      <c r="C78" s="38"/>
      <c r="D78" s="37"/>
      <c r="E78" s="37"/>
      <c r="F78" s="37"/>
      <c r="G78" s="37" t="str">
        <f>IF(F78="","",INDEX(站位样品信息!$B$3:INDEX(站位样品信息!$B:$B,COUNTA(站位样品信息!$B:$B)+1),MATCH($F78,站位样品信息!$A$3:INDEX(站位样品信息!$A:$A,COUNTA(站位样品信息!$A:$A)+1),),))</f>
        <v/>
      </c>
      <c r="H78" s="55" t="str">
        <f>IF(OR(A78&lt;&gt;"",B78&lt;&gt;"",C78&lt;&gt;""),IF($C78&lt;&gt;0,INDEX(生物种群!$A$3:INDEX(生物种群!$A:$A,COUNTA(生物种群!$A:$A)),MATCH($C78,生物种群!$F$3:INDEX(生物种群!$F:$F,COUNTA(生物种群!$F:$F)),),),IF($A78&lt;&gt;0,INDEX(生物种群!$A$3:INDEX(生物种群!$A:$A,COUNTA(生物种群!$A:$A)),MATCH($A78,生物种群!$C$3:INDEX(生物种群!$C:$C,COUNTA(生物种群!$C:$C)),),),INDEX(生物种群!$A$3:INDEX(生物种群!$A:$A,COUNTA(生物种群!$A:$A)),MATCH($B78,生物种群!$D$3:INDEX(生物种群!$D:$D,COUNTA(生物种群!$D:$D)),),))),"")</f>
        <v/>
      </c>
      <c r="I78" s="56" t="str">
        <f>IF(H78="","",INDEX(生物种群!$B$3:INDEX(生物种群!$B:$B,COUNTA(生物种群!$B:$B)),MATCH($H78,生物种群!$A$3:INDEX(生物种群!$A:$A,COUNTA(生物种群!$A:$A)),),))</f>
        <v/>
      </c>
      <c r="J78" s="55" t="str">
        <f>IF(H78="","",INDEX(生物种群!$I$3:INDEX(生物种群!$I:$I,COUNTA(生物种群!$I:$I)),MATCH($H78,生物种群!$A$3:INDEX(生物种群!$A:$A,COUNTA(生物种群!$A:$A)),),))</f>
        <v/>
      </c>
      <c r="K78" s="55" t="str">
        <f>IF(H78="","",INDEX(生物种群!$E$3:INDEX(生物种群!$E:$E,COUNTA(生物种群!$E:$E)),MATCH($H78,生物种群!$A$3:INDEX(生物种群!$A:$A,COUNTA(生物种群!$A:$A)),),))</f>
        <v/>
      </c>
      <c r="L78" s="46" t="str">
        <f t="shared" si="9"/>
        <v/>
      </c>
      <c r="M78" s="47" t="str">
        <f>IF(L78="","",ROUND((L78)/VLOOKUP($F78,IF({1,0},站位样品信息!$A$3:INDEX(站位样品信息!$A:$A,COUNTA(站位样品信息!$A:$A)+1),站位样品信息!$H$3:INDEX(站位样品信息!$H:$H,COUNTA(站位样品信息!$H:$H)+1)),2,0),2))</f>
        <v/>
      </c>
      <c r="O78" s="49"/>
      <c r="P78" s="53" t="str">
        <f t="shared" si="7"/>
        <v/>
      </c>
      <c r="Q78" s="53" t="str">
        <f t="shared" si="8"/>
        <v/>
      </c>
    </row>
    <row r="79" spans="1:17" ht="19.5" customHeight="1">
      <c r="A79" s="38"/>
      <c r="B79" s="38"/>
      <c r="C79" s="38"/>
      <c r="D79" s="37"/>
      <c r="E79" s="37"/>
      <c r="F79" s="37"/>
      <c r="G79" s="37" t="str">
        <f>IF(F79="","",INDEX(站位样品信息!$B$3:INDEX(站位样品信息!$B:$B,COUNTA(站位样品信息!$B:$B)+1),MATCH($F79,站位样品信息!$A$3:INDEX(站位样品信息!$A:$A,COUNTA(站位样品信息!$A:$A)+1),),))</f>
        <v/>
      </c>
      <c r="H79" s="55" t="str">
        <f>IF(OR(A79&lt;&gt;"",B79&lt;&gt;"",C79&lt;&gt;""),IF($C79&lt;&gt;0,INDEX(生物种群!$A$3:INDEX(生物种群!$A:$A,COUNTA(生物种群!$A:$A)),MATCH($C79,生物种群!$F$3:INDEX(生物种群!$F:$F,COUNTA(生物种群!$F:$F)),),),IF($A79&lt;&gt;0,INDEX(生物种群!$A$3:INDEX(生物种群!$A:$A,COUNTA(生物种群!$A:$A)),MATCH($A79,生物种群!$C$3:INDEX(生物种群!$C:$C,COUNTA(生物种群!$C:$C)),),),INDEX(生物种群!$A$3:INDEX(生物种群!$A:$A,COUNTA(生物种群!$A:$A)),MATCH($B79,生物种群!$D$3:INDEX(生物种群!$D:$D,COUNTA(生物种群!$D:$D)),),))),"")</f>
        <v/>
      </c>
      <c r="I79" s="56" t="str">
        <f>IF(H79="","",INDEX(生物种群!$B$3:INDEX(生物种群!$B:$B,COUNTA(生物种群!$B:$B)),MATCH($H79,生物种群!$A$3:INDEX(生物种群!$A:$A,COUNTA(生物种群!$A:$A)),),))</f>
        <v/>
      </c>
      <c r="J79" s="55" t="str">
        <f>IF(H79="","",INDEX(生物种群!$I$3:INDEX(生物种群!$I:$I,COUNTA(生物种群!$I:$I)),MATCH($H79,生物种群!$A$3:INDEX(生物种群!$A:$A,COUNTA(生物种群!$A:$A)),),))</f>
        <v/>
      </c>
      <c r="K79" s="55" t="str">
        <f>IF(H79="","",INDEX(生物种群!$E$3:INDEX(生物种群!$E:$E,COUNTA(生物种群!$E:$E)),MATCH($H79,生物种群!$A$3:INDEX(生物种群!$A:$A,COUNTA(生物种群!$A:$A)),),))</f>
        <v/>
      </c>
      <c r="L79" s="46" t="str">
        <f t="shared" si="9"/>
        <v/>
      </c>
      <c r="M79" s="47" t="str">
        <f>IF(L79="","",ROUND((L79)/VLOOKUP($F79,IF({1,0},站位样品信息!$A$3:INDEX(站位样品信息!$A:$A,COUNTA(站位样品信息!$A:$A)+1),站位样品信息!$H$3:INDEX(站位样品信息!$H:$H,COUNTA(站位样品信息!$H:$H)+1)),2,0),2))</f>
        <v/>
      </c>
      <c r="O79" s="49"/>
      <c r="P79" s="53" t="str">
        <f t="shared" si="7"/>
        <v/>
      </c>
      <c r="Q79" s="53" t="str">
        <f t="shared" si="8"/>
        <v/>
      </c>
    </row>
    <row r="80" spans="1:17" ht="19.5" customHeight="1">
      <c r="A80" s="38"/>
      <c r="B80" s="38"/>
      <c r="C80" s="38"/>
      <c r="D80" s="37"/>
      <c r="E80" s="37"/>
      <c r="F80" s="37"/>
      <c r="G80" s="37" t="str">
        <f>IF(F80="","",INDEX(站位样品信息!$B$3:INDEX(站位样品信息!$B:$B,COUNTA(站位样品信息!$B:$B)+1),MATCH($F80,站位样品信息!$A$3:INDEX(站位样品信息!$A:$A,COUNTA(站位样品信息!$A:$A)+1),),))</f>
        <v/>
      </c>
      <c r="H80" s="55" t="str">
        <f>IF(OR(A80&lt;&gt;"",B80&lt;&gt;"",C80&lt;&gt;""),IF($C80&lt;&gt;0,INDEX(生物种群!$A$3:INDEX(生物种群!$A:$A,COUNTA(生物种群!$A:$A)),MATCH($C80,生物种群!$F$3:INDEX(生物种群!$F:$F,COUNTA(生物种群!$F:$F)),),),IF($A80&lt;&gt;0,INDEX(生物种群!$A$3:INDEX(生物种群!$A:$A,COUNTA(生物种群!$A:$A)),MATCH($A80,生物种群!$C$3:INDEX(生物种群!$C:$C,COUNTA(生物种群!$C:$C)),),),INDEX(生物种群!$A$3:INDEX(生物种群!$A:$A,COUNTA(生物种群!$A:$A)),MATCH($B80,生物种群!$D$3:INDEX(生物种群!$D:$D,COUNTA(生物种群!$D:$D)),),))),"")</f>
        <v/>
      </c>
      <c r="I80" s="56" t="str">
        <f>IF(H80="","",INDEX(生物种群!$B$3:INDEX(生物种群!$B:$B,COUNTA(生物种群!$B:$B)),MATCH($H80,生物种群!$A$3:INDEX(生物种群!$A:$A,COUNTA(生物种群!$A:$A)),),))</f>
        <v/>
      </c>
      <c r="J80" s="55" t="str">
        <f>IF(H80="","",INDEX(生物种群!$I$3:INDEX(生物种群!$I:$I,COUNTA(生物种群!$I:$I)),MATCH($H80,生物种群!$A$3:INDEX(生物种群!$A:$A,COUNTA(生物种群!$A:$A)),),))</f>
        <v/>
      </c>
      <c r="K80" s="55" t="str">
        <f>IF(H80="","",INDEX(生物种群!$E$3:INDEX(生物种群!$E:$E,COUNTA(生物种群!$E:$E)),MATCH($H80,生物种群!$A$3:INDEX(生物种群!$A:$A,COUNTA(生物种群!$A:$A)),),))</f>
        <v/>
      </c>
      <c r="L80" s="46" t="str">
        <f t="shared" si="9"/>
        <v/>
      </c>
      <c r="M80" s="47" t="str">
        <f>IF(L80="","",ROUND((L80)/VLOOKUP($F80,IF({1,0},站位样品信息!$A$3:INDEX(站位样品信息!$A:$A,COUNTA(站位样品信息!$A:$A)+1),站位样品信息!$H$3:INDEX(站位样品信息!$H:$H,COUNTA(站位样品信息!$H:$H)+1)),2,0),2))</f>
        <v/>
      </c>
      <c r="O80" s="49"/>
      <c r="P80" s="53" t="str">
        <f t="shared" si="7"/>
        <v/>
      </c>
      <c r="Q80" s="53" t="str">
        <f t="shared" si="8"/>
        <v/>
      </c>
    </row>
    <row r="81" spans="1:17" ht="19.5" customHeight="1">
      <c r="A81" s="38"/>
      <c r="B81" s="38"/>
      <c r="C81" s="38"/>
      <c r="D81" s="37"/>
      <c r="E81" s="37"/>
      <c r="F81" s="37"/>
      <c r="G81" s="37" t="str">
        <f>IF(F81="","",INDEX(站位样品信息!$B$3:INDEX(站位样品信息!$B:$B,COUNTA(站位样品信息!$B:$B)+1),MATCH($F81,站位样品信息!$A$3:INDEX(站位样品信息!$A:$A,COUNTA(站位样品信息!$A:$A)+1),),))</f>
        <v/>
      </c>
      <c r="H81" s="55" t="str">
        <f>IF(OR(A81&lt;&gt;"",B81&lt;&gt;"",C81&lt;&gt;""),IF($C81&lt;&gt;0,INDEX(生物种群!$A$3:INDEX(生物种群!$A:$A,COUNTA(生物种群!$A:$A)),MATCH($C81,生物种群!$F$3:INDEX(生物种群!$F:$F,COUNTA(生物种群!$F:$F)),),),IF($A81&lt;&gt;0,INDEX(生物种群!$A$3:INDEX(生物种群!$A:$A,COUNTA(生物种群!$A:$A)),MATCH($A81,生物种群!$C$3:INDEX(生物种群!$C:$C,COUNTA(生物种群!$C:$C)),),),INDEX(生物种群!$A$3:INDEX(生物种群!$A:$A,COUNTA(生物种群!$A:$A)),MATCH($B81,生物种群!$D$3:INDEX(生物种群!$D:$D,COUNTA(生物种群!$D:$D)),),))),"")</f>
        <v/>
      </c>
      <c r="I81" s="56" t="str">
        <f>IF(H81="","",INDEX(生物种群!$B$3:INDEX(生物种群!$B:$B,COUNTA(生物种群!$B:$B)),MATCH($H81,生物种群!$A$3:INDEX(生物种群!$A:$A,COUNTA(生物种群!$A:$A)),),))</f>
        <v/>
      </c>
      <c r="J81" s="55" t="str">
        <f>IF(H81="","",INDEX(生物种群!$I$3:INDEX(生物种群!$I:$I,COUNTA(生物种群!$I:$I)),MATCH($H81,生物种群!$A$3:INDEX(生物种群!$A:$A,COUNTA(生物种群!$A:$A)),),))</f>
        <v/>
      </c>
      <c r="K81" s="55" t="str">
        <f>IF(H81="","",INDEX(生物种群!$E$3:INDEX(生物种群!$E:$E,COUNTA(生物种群!$E:$E)),MATCH($H81,生物种群!$A$3:INDEX(生物种群!$A:$A,COUNTA(生物种群!$A:$A)),),))</f>
        <v/>
      </c>
      <c r="L81" s="46" t="str">
        <f t="shared" si="9"/>
        <v/>
      </c>
      <c r="M81" s="47" t="str">
        <f>IF(L81="","",ROUND((L81)/VLOOKUP($F81,IF({1,0},站位样品信息!$A$3:INDEX(站位样品信息!$A:$A,COUNTA(站位样品信息!$A:$A)+1),站位样品信息!$H$3:INDEX(站位样品信息!$H:$H,COUNTA(站位样品信息!$H:$H)+1)),2,0),2))</f>
        <v/>
      </c>
      <c r="O81" s="49"/>
      <c r="P81" s="53" t="str">
        <f t="shared" si="7"/>
        <v/>
      </c>
      <c r="Q81" s="53" t="str">
        <f t="shared" si="8"/>
        <v/>
      </c>
    </row>
    <row r="82" spans="1:17" ht="19.5" customHeight="1">
      <c r="A82" s="38"/>
      <c r="B82" s="38"/>
      <c r="C82" s="38"/>
      <c r="D82" s="37"/>
      <c r="E82" s="37"/>
      <c r="F82" s="37"/>
      <c r="G82" s="37" t="str">
        <f>IF(F82="","",INDEX(站位样品信息!$B$3:INDEX(站位样品信息!$B:$B,COUNTA(站位样品信息!$B:$B)+1),MATCH($F82,站位样品信息!$A$3:INDEX(站位样品信息!$A:$A,COUNTA(站位样品信息!$A:$A)+1),),))</f>
        <v/>
      </c>
      <c r="H82" s="55" t="str">
        <f>IF(OR(A82&lt;&gt;"",B82&lt;&gt;"",C82&lt;&gt;""),IF($C82&lt;&gt;0,INDEX(生物种群!$A$3:INDEX(生物种群!$A:$A,COUNTA(生物种群!$A:$A)),MATCH($C82,生物种群!$F$3:INDEX(生物种群!$F:$F,COUNTA(生物种群!$F:$F)),),),IF($A82&lt;&gt;0,INDEX(生物种群!$A$3:INDEX(生物种群!$A:$A,COUNTA(生物种群!$A:$A)),MATCH($A82,生物种群!$C$3:INDEX(生物种群!$C:$C,COUNTA(生物种群!$C:$C)),),),INDEX(生物种群!$A$3:INDEX(生物种群!$A:$A,COUNTA(生物种群!$A:$A)),MATCH($B82,生物种群!$D$3:INDEX(生物种群!$D:$D,COUNTA(生物种群!$D:$D)),),))),"")</f>
        <v/>
      </c>
      <c r="I82" s="56" t="str">
        <f>IF(H82="","",INDEX(生物种群!$B$3:INDEX(生物种群!$B:$B,COUNTA(生物种群!$B:$B)),MATCH($H82,生物种群!$A$3:INDEX(生物种群!$A:$A,COUNTA(生物种群!$A:$A)),),))</f>
        <v/>
      </c>
      <c r="J82" s="55" t="str">
        <f>IF(H82="","",INDEX(生物种群!$I$3:INDEX(生物种群!$I:$I,COUNTA(生物种群!$I:$I)),MATCH($H82,生物种群!$A$3:INDEX(生物种群!$A:$A,COUNTA(生物种群!$A:$A)),),))</f>
        <v/>
      </c>
      <c r="K82" s="55" t="str">
        <f>IF(H82="","",INDEX(生物种群!$E$3:INDEX(生物种群!$E:$E,COUNTA(生物种群!$E:$E)),MATCH($H82,生物种群!$A$3:INDEX(生物种群!$A:$A,COUNTA(生物种群!$A:$A)),),))</f>
        <v/>
      </c>
      <c r="L82" s="46" t="str">
        <f t="shared" si="9"/>
        <v/>
      </c>
      <c r="M82" s="47" t="str">
        <f>IF(L82="","",ROUND((L82)/VLOOKUP($F82,IF({1,0},站位样品信息!$A$3:INDEX(站位样品信息!$A:$A,COUNTA(站位样品信息!$A:$A)+1),站位样品信息!$H$3:INDEX(站位样品信息!$H:$H,COUNTA(站位样品信息!$H:$H)+1)),2,0),2))</f>
        <v/>
      </c>
      <c r="O82" s="49"/>
      <c r="P82" s="53" t="str">
        <f t="shared" si="7"/>
        <v/>
      </c>
      <c r="Q82" s="53" t="str">
        <f t="shared" si="8"/>
        <v/>
      </c>
    </row>
    <row r="83" spans="1:17" ht="19.5" customHeight="1">
      <c r="A83" s="38"/>
      <c r="B83" s="38"/>
      <c r="C83" s="38"/>
      <c r="D83" s="37"/>
      <c r="E83" s="37"/>
      <c r="F83" s="37"/>
      <c r="G83" s="37" t="str">
        <f>IF(F83="","",INDEX(站位样品信息!$B$3:INDEX(站位样品信息!$B:$B,COUNTA(站位样品信息!$B:$B)+1),MATCH($F83,站位样品信息!$A$3:INDEX(站位样品信息!$A:$A,COUNTA(站位样品信息!$A:$A)+1),),))</f>
        <v/>
      </c>
      <c r="H83" s="55" t="str">
        <f>IF(OR(A83&lt;&gt;"",B83&lt;&gt;"",C83&lt;&gt;""),IF($C83&lt;&gt;0,INDEX(生物种群!$A$3:INDEX(生物种群!$A:$A,COUNTA(生物种群!$A:$A)),MATCH($C83,生物种群!$F$3:INDEX(生物种群!$F:$F,COUNTA(生物种群!$F:$F)),),),IF($A83&lt;&gt;0,INDEX(生物种群!$A$3:INDEX(生物种群!$A:$A,COUNTA(生物种群!$A:$A)),MATCH($A83,生物种群!$C$3:INDEX(生物种群!$C:$C,COUNTA(生物种群!$C:$C)),),),INDEX(生物种群!$A$3:INDEX(生物种群!$A:$A,COUNTA(生物种群!$A:$A)),MATCH($B83,生物种群!$D$3:INDEX(生物种群!$D:$D,COUNTA(生物种群!$D:$D)),),))),"")</f>
        <v/>
      </c>
      <c r="I83" s="56" t="str">
        <f>IF(H83="","",INDEX(生物种群!$B$3:INDEX(生物种群!$B:$B,COUNTA(生物种群!$B:$B)),MATCH($H83,生物种群!$A$3:INDEX(生物种群!$A:$A,COUNTA(生物种群!$A:$A)),),))</f>
        <v/>
      </c>
      <c r="J83" s="55" t="str">
        <f>IF(H83="","",INDEX(生物种群!$I$3:INDEX(生物种群!$I:$I,COUNTA(生物种群!$I:$I)),MATCH($H83,生物种群!$A$3:INDEX(生物种群!$A:$A,COUNTA(生物种群!$A:$A)),),))</f>
        <v/>
      </c>
      <c r="K83" s="55" t="str">
        <f>IF(H83="","",INDEX(生物种群!$E$3:INDEX(生物种群!$E:$E,COUNTA(生物种群!$E:$E)),MATCH($H83,生物种群!$A$3:INDEX(生物种群!$A:$A,COUNTA(生物种群!$A:$A)),),))</f>
        <v/>
      </c>
      <c r="L83" s="46" t="str">
        <f t="shared" si="9"/>
        <v/>
      </c>
      <c r="M83" s="47" t="str">
        <f>IF(L83="","",ROUND((L83)/VLOOKUP($F83,IF({1,0},站位样品信息!$A$3:INDEX(站位样品信息!$A:$A,COUNTA(站位样品信息!$A:$A)+1),站位样品信息!$H$3:INDEX(站位样品信息!$H:$H,COUNTA(站位样品信息!$H:$H)+1)),2,0),2))</f>
        <v/>
      </c>
      <c r="O83" s="49"/>
      <c r="P83" s="53" t="str">
        <f t="shared" si="7"/>
        <v/>
      </c>
      <c r="Q83" s="53" t="str">
        <f t="shared" si="8"/>
        <v/>
      </c>
    </row>
    <row r="84" spans="1:17" ht="19.5" customHeight="1">
      <c r="A84" s="38"/>
      <c r="B84" s="38"/>
      <c r="C84" s="38"/>
      <c r="D84" s="37"/>
      <c r="E84" s="37"/>
      <c r="F84" s="37"/>
      <c r="G84" s="37" t="str">
        <f>IF(F84="","",INDEX(站位样品信息!$B$3:INDEX(站位样品信息!$B:$B,COUNTA(站位样品信息!$B:$B)+1),MATCH($F84,站位样品信息!$A$3:INDEX(站位样品信息!$A:$A,COUNTA(站位样品信息!$A:$A)+1),),))</f>
        <v/>
      </c>
      <c r="H84" s="55" t="str">
        <f>IF(OR(A84&lt;&gt;"",B84&lt;&gt;"",C84&lt;&gt;""),IF($C84&lt;&gt;0,INDEX(生物种群!$A$3:INDEX(生物种群!$A:$A,COUNTA(生物种群!$A:$A)),MATCH($C84,生物种群!$F$3:INDEX(生物种群!$F:$F,COUNTA(生物种群!$F:$F)),),),IF($A84&lt;&gt;0,INDEX(生物种群!$A$3:INDEX(生物种群!$A:$A,COUNTA(生物种群!$A:$A)),MATCH($A84,生物种群!$C$3:INDEX(生物种群!$C:$C,COUNTA(生物种群!$C:$C)),),),INDEX(生物种群!$A$3:INDEX(生物种群!$A:$A,COUNTA(生物种群!$A:$A)),MATCH($B84,生物种群!$D$3:INDEX(生物种群!$D:$D,COUNTA(生物种群!$D:$D)),),))),"")</f>
        <v/>
      </c>
      <c r="I84" s="56" t="str">
        <f>IF(H84="","",INDEX(生物种群!$B$3:INDEX(生物种群!$B:$B,COUNTA(生物种群!$B:$B)),MATCH($H84,生物种群!$A$3:INDEX(生物种群!$A:$A,COUNTA(生物种群!$A:$A)),),))</f>
        <v/>
      </c>
      <c r="J84" s="55" t="str">
        <f>IF(H84="","",INDEX(生物种群!$I$3:INDEX(生物种群!$I:$I,COUNTA(生物种群!$I:$I)),MATCH($H84,生物种群!$A$3:INDEX(生物种群!$A:$A,COUNTA(生物种群!$A:$A)),),))</f>
        <v/>
      </c>
      <c r="K84" s="55" t="str">
        <f>IF(H84="","",INDEX(生物种群!$E$3:INDEX(生物种群!$E:$E,COUNTA(生物种群!$E:$E)),MATCH($H84,生物种群!$A$3:INDEX(生物种群!$A:$A,COUNTA(生物种群!$A:$A)),),))</f>
        <v/>
      </c>
      <c r="L84" s="46" t="str">
        <f t="shared" si="9"/>
        <v/>
      </c>
      <c r="M84" s="47" t="str">
        <f>IF(L84="","",ROUND((L84)/VLOOKUP($F84,IF({1,0},站位样品信息!$A$3:INDEX(站位样品信息!$A:$A,COUNTA(站位样品信息!$A:$A)+1),站位样品信息!$H$3:INDEX(站位样品信息!$H:$H,COUNTA(站位样品信息!$H:$H)+1)),2,0),2))</f>
        <v/>
      </c>
      <c r="O84" s="49"/>
      <c r="P84" s="53" t="str">
        <f t="shared" si="7"/>
        <v/>
      </c>
      <c r="Q84" s="53" t="str">
        <f t="shared" si="8"/>
        <v/>
      </c>
    </row>
    <row r="85" spans="1:17" ht="19.5" customHeight="1">
      <c r="A85" s="38"/>
      <c r="B85" s="38"/>
      <c r="C85" s="38"/>
      <c r="D85" s="37"/>
      <c r="E85" s="37"/>
      <c r="F85" s="37"/>
      <c r="G85" s="37" t="str">
        <f>IF(F85="","",INDEX(站位样品信息!$B$3:INDEX(站位样品信息!$B:$B,COUNTA(站位样品信息!$B:$B)+1),MATCH($F85,站位样品信息!$A$3:INDEX(站位样品信息!$A:$A,COUNTA(站位样品信息!$A:$A)+1),),))</f>
        <v/>
      </c>
      <c r="H85" s="55" t="str">
        <f>IF(OR(A85&lt;&gt;"",B85&lt;&gt;"",C85&lt;&gt;""),IF($C85&lt;&gt;0,INDEX(生物种群!$A$3:INDEX(生物种群!$A:$A,COUNTA(生物种群!$A:$A)),MATCH($C85,生物种群!$F$3:INDEX(生物种群!$F:$F,COUNTA(生物种群!$F:$F)),),),IF($A85&lt;&gt;0,INDEX(生物种群!$A$3:INDEX(生物种群!$A:$A,COUNTA(生物种群!$A:$A)),MATCH($A85,生物种群!$C$3:INDEX(生物种群!$C:$C,COUNTA(生物种群!$C:$C)),),),INDEX(生物种群!$A$3:INDEX(生物种群!$A:$A,COUNTA(生物种群!$A:$A)),MATCH($B85,生物种群!$D$3:INDEX(生物种群!$D:$D,COUNTA(生物种群!$D:$D)),),))),"")</f>
        <v/>
      </c>
      <c r="I85" s="56" t="str">
        <f>IF(H85="","",INDEX(生物种群!$B$3:INDEX(生物种群!$B:$B,COUNTA(生物种群!$B:$B)),MATCH($H85,生物种群!$A$3:INDEX(生物种群!$A:$A,COUNTA(生物种群!$A:$A)),),))</f>
        <v/>
      </c>
      <c r="J85" s="55" t="str">
        <f>IF(H85="","",INDEX(生物种群!$I$3:INDEX(生物种群!$I:$I,COUNTA(生物种群!$I:$I)),MATCH($H85,生物种群!$A$3:INDEX(生物种群!$A:$A,COUNTA(生物种群!$A:$A)),),))</f>
        <v/>
      </c>
      <c r="K85" s="55" t="str">
        <f>IF(H85="","",INDEX(生物种群!$E$3:INDEX(生物种群!$E:$E,COUNTA(生物种群!$E:$E)),MATCH($H85,生物种群!$A$3:INDEX(生物种群!$A:$A,COUNTA(生物种群!$A:$A)),),))</f>
        <v/>
      </c>
      <c r="L85" s="46" t="str">
        <f t="shared" si="9"/>
        <v/>
      </c>
      <c r="M85" s="47" t="str">
        <f>IF(L85="","",ROUND((L85)/VLOOKUP($F85,IF({1,0},站位样品信息!$A$3:INDEX(站位样品信息!$A:$A,COUNTA(站位样品信息!$A:$A)+1),站位样品信息!$H$3:INDEX(站位样品信息!$H:$H,COUNTA(站位样品信息!$H:$H)+1)),2,0),2))</f>
        <v/>
      </c>
      <c r="O85" s="49"/>
      <c r="P85" s="53" t="str">
        <f t="shared" si="7"/>
        <v/>
      </c>
      <c r="Q85" s="53" t="str">
        <f t="shared" si="8"/>
        <v/>
      </c>
    </row>
    <row r="86" spans="1:17" ht="19.5" customHeight="1">
      <c r="A86" s="38"/>
      <c r="B86" s="38"/>
      <c r="C86" s="38"/>
      <c r="D86" s="37"/>
      <c r="E86" s="37"/>
      <c r="F86" s="37"/>
      <c r="G86" s="37" t="str">
        <f>IF(F86="","",INDEX(站位样品信息!$B$3:INDEX(站位样品信息!$B:$B,COUNTA(站位样品信息!$B:$B)+1),MATCH($F86,站位样品信息!$A$3:INDEX(站位样品信息!$A:$A,COUNTA(站位样品信息!$A:$A)+1),),))</f>
        <v/>
      </c>
      <c r="H86" s="55" t="str">
        <f>IF(OR(A86&lt;&gt;"",B86&lt;&gt;"",C86&lt;&gt;""),IF($C86&lt;&gt;0,INDEX(生物种群!$A$3:INDEX(生物种群!$A:$A,COUNTA(生物种群!$A:$A)),MATCH($C86,生物种群!$F$3:INDEX(生物种群!$F:$F,COUNTA(生物种群!$F:$F)),),),IF($A86&lt;&gt;0,INDEX(生物种群!$A$3:INDEX(生物种群!$A:$A,COUNTA(生物种群!$A:$A)),MATCH($A86,生物种群!$C$3:INDEX(生物种群!$C:$C,COUNTA(生物种群!$C:$C)),),),INDEX(生物种群!$A$3:INDEX(生物种群!$A:$A,COUNTA(生物种群!$A:$A)),MATCH($B86,生物种群!$D$3:INDEX(生物种群!$D:$D,COUNTA(生物种群!$D:$D)),),))),"")</f>
        <v/>
      </c>
      <c r="I86" s="56" t="str">
        <f>IF(H86="","",INDEX(生物种群!$B$3:INDEX(生物种群!$B:$B,COUNTA(生物种群!$B:$B)),MATCH($H86,生物种群!$A$3:INDEX(生物种群!$A:$A,COUNTA(生物种群!$A:$A)),),))</f>
        <v/>
      </c>
      <c r="J86" s="55" t="str">
        <f>IF(H86="","",INDEX(生物种群!$I$3:INDEX(生物种群!$I:$I,COUNTA(生物种群!$I:$I)),MATCH($H86,生物种群!$A$3:INDEX(生物种群!$A:$A,COUNTA(生物种群!$A:$A)),),))</f>
        <v/>
      </c>
      <c r="K86" s="55" t="str">
        <f>IF(H86="","",INDEX(生物种群!$E$3:INDEX(生物种群!$E:$E,COUNTA(生物种群!$E:$E)),MATCH($H86,生物种群!$A$3:INDEX(生物种群!$A:$A,COUNTA(生物种群!$A:$A)),),))</f>
        <v/>
      </c>
      <c r="L86" s="46" t="str">
        <f t="shared" si="9"/>
        <v/>
      </c>
      <c r="M86" s="47" t="str">
        <f>IF(L86="","",ROUND((L86)/VLOOKUP($F86,IF({1,0},站位样品信息!$A$3:INDEX(站位样品信息!$A:$A,COUNTA(站位样品信息!$A:$A)+1),站位样品信息!$H$3:INDEX(站位样品信息!$H:$H,COUNTA(站位样品信息!$H:$H)+1)),2,0),2))</f>
        <v/>
      </c>
      <c r="O86" s="49"/>
      <c r="P86" s="53" t="str">
        <f t="shared" si="7"/>
        <v/>
      </c>
      <c r="Q86" s="53" t="str">
        <f t="shared" si="8"/>
        <v/>
      </c>
    </row>
    <row r="87" spans="1:17" ht="19.5" customHeight="1">
      <c r="A87" s="38"/>
      <c r="B87" s="38"/>
      <c r="C87" s="38"/>
      <c r="D87" s="37"/>
      <c r="E87" s="37"/>
      <c r="F87" s="37"/>
      <c r="G87" s="37" t="str">
        <f>IF(F87="","",INDEX(站位样品信息!$B$3:INDEX(站位样品信息!$B:$B,COUNTA(站位样品信息!$B:$B)+1),MATCH($F87,站位样品信息!$A$3:INDEX(站位样品信息!$A:$A,COUNTA(站位样品信息!$A:$A)+1),),))</f>
        <v/>
      </c>
      <c r="H87" s="55" t="str">
        <f>IF(OR(A87&lt;&gt;"",B87&lt;&gt;"",C87&lt;&gt;""),IF($C87&lt;&gt;0,INDEX(生物种群!$A$3:INDEX(生物种群!$A:$A,COUNTA(生物种群!$A:$A)),MATCH($C87,生物种群!$F$3:INDEX(生物种群!$F:$F,COUNTA(生物种群!$F:$F)),),),IF($A87&lt;&gt;0,INDEX(生物种群!$A$3:INDEX(生物种群!$A:$A,COUNTA(生物种群!$A:$A)),MATCH($A87,生物种群!$C$3:INDEX(生物种群!$C:$C,COUNTA(生物种群!$C:$C)),),),INDEX(生物种群!$A$3:INDEX(生物种群!$A:$A,COUNTA(生物种群!$A:$A)),MATCH($B87,生物种群!$D$3:INDEX(生物种群!$D:$D,COUNTA(生物种群!$D:$D)),),))),"")</f>
        <v/>
      </c>
      <c r="I87" s="56" t="str">
        <f>IF(H87="","",INDEX(生物种群!$B$3:INDEX(生物种群!$B:$B,COUNTA(生物种群!$B:$B)),MATCH($H87,生物种群!$A$3:INDEX(生物种群!$A:$A,COUNTA(生物种群!$A:$A)),),))</f>
        <v/>
      </c>
      <c r="J87" s="55" t="str">
        <f>IF(H87="","",INDEX(生物种群!$I$3:INDEX(生物种群!$I:$I,COUNTA(生物种群!$I:$I)),MATCH($H87,生物种群!$A$3:INDEX(生物种群!$A:$A,COUNTA(生物种群!$A:$A)),),))</f>
        <v/>
      </c>
      <c r="K87" s="55" t="str">
        <f>IF(H87="","",INDEX(生物种群!$E$3:INDEX(生物种群!$E:$E,COUNTA(生物种群!$E:$E)),MATCH($H87,生物种群!$A$3:INDEX(生物种群!$A:$A,COUNTA(生物种群!$A:$A)),),))</f>
        <v/>
      </c>
      <c r="L87" s="46" t="str">
        <f t="shared" si="9"/>
        <v/>
      </c>
      <c r="M87" s="47" t="str">
        <f>IF(L87="","",ROUND((L87)/VLOOKUP($F87,IF({1,0},站位样品信息!$A$3:INDEX(站位样品信息!$A:$A,COUNTA(站位样品信息!$A:$A)+1),站位样品信息!$H$3:INDEX(站位样品信息!$H:$H,COUNTA(站位样品信息!$H:$H)+1)),2,0),2))</f>
        <v/>
      </c>
      <c r="O87" s="49"/>
      <c r="P87" s="53" t="str">
        <f t="shared" si="7"/>
        <v/>
      </c>
      <c r="Q87" s="53" t="str">
        <f t="shared" si="8"/>
        <v/>
      </c>
    </row>
    <row r="88" spans="1:17" ht="19.5" customHeight="1">
      <c r="A88" s="38"/>
      <c r="B88" s="38"/>
      <c r="C88" s="38"/>
      <c r="D88" s="37"/>
      <c r="E88" s="37"/>
      <c r="F88" s="37"/>
      <c r="G88" s="37" t="str">
        <f>IF(F88="","",INDEX(站位样品信息!$B$3:INDEX(站位样品信息!$B:$B,COUNTA(站位样品信息!$B:$B)+1),MATCH($F88,站位样品信息!$A$3:INDEX(站位样品信息!$A:$A,COUNTA(站位样品信息!$A:$A)+1),),))</f>
        <v/>
      </c>
      <c r="H88" s="55" t="str">
        <f>IF(OR(A88&lt;&gt;"",B88&lt;&gt;"",C88&lt;&gt;""),IF($C88&lt;&gt;0,INDEX(生物种群!$A$3:INDEX(生物种群!$A:$A,COUNTA(生物种群!$A:$A)),MATCH($C88,生物种群!$F$3:INDEX(生物种群!$F:$F,COUNTA(生物种群!$F:$F)),),),IF($A88&lt;&gt;0,INDEX(生物种群!$A$3:INDEX(生物种群!$A:$A,COUNTA(生物种群!$A:$A)),MATCH($A88,生物种群!$C$3:INDEX(生物种群!$C:$C,COUNTA(生物种群!$C:$C)),),),INDEX(生物种群!$A$3:INDEX(生物种群!$A:$A,COUNTA(生物种群!$A:$A)),MATCH($B88,生物种群!$D$3:INDEX(生物种群!$D:$D,COUNTA(生物种群!$D:$D)),),))),"")</f>
        <v/>
      </c>
      <c r="I88" s="56" t="str">
        <f>IF(H88="","",INDEX(生物种群!$B$3:INDEX(生物种群!$B:$B,COUNTA(生物种群!$B:$B)),MATCH($H88,生物种群!$A$3:INDEX(生物种群!$A:$A,COUNTA(生物种群!$A:$A)),),))</f>
        <v/>
      </c>
      <c r="J88" s="55" t="str">
        <f>IF(H88="","",INDEX(生物种群!$I$3:INDEX(生物种群!$I:$I,COUNTA(生物种群!$I:$I)),MATCH($H88,生物种群!$A$3:INDEX(生物种群!$A:$A,COUNTA(生物种群!$A:$A)),),))</f>
        <v/>
      </c>
      <c r="K88" s="55" t="str">
        <f>IF(H88="","",INDEX(生物种群!$E$3:INDEX(生物种群!$E:$E,COUNTA(生物种群!$E:$E)),MATCH($H88,生物种群!$A$3:INDEX(生物种群!$A:$A,COUNTA(生物种群!$A:$A)),),))</f>
        <v/>
      </c>
      <c r="L88" s="46" t="str">
        <f t="shared" si="9"/>
        <v/>
      </c>
      <c r="M88" s="47" t="str">
        <f>IF(L88="","",ROUND((L88)/VLOOKUP($F88,IF({1,0},站位样品信息!$A$3:INDEX(站位样品信息!$A:$A,COUNTA(站位样品信息!$A:$A)+1),站位样品信息!$H$3:INDEX(站位样品信息!$H:$H,COUNTA(站位样品信息!$H:$H)+1)),2,0),2))</f>
        <v/>
      </c>
      <c r="O88" s="49"/>
      <c r="P88" s="53" t="str">
        <f t="shared" si="7"/>
        <v/>
      </c>
      <c r="Q88" s="53" t="str">
        <f t="shared" si="8"/>
        <v/>
      </c>
    </row>
    <row r="89" spans="1:17" ht="19.5" customHeight="1">
      <c r="A89" s="38"/>
      <c r="B89" s="38"/>
      <c r="C89" s="38"/>
      <c r="D89" s="37"/>
      <c r="E89" s="37"/>
      <c r="F89" s="37"/>
      <c r="G89" s="37" t="str">
        <f>IF(F89="","",INDEX(站位样品信息!$B$3:INDEX(站位样品信息!$B:$B,COUNTA(站位样品信息!$B:$B)+1),MATCH($F89,站位样品信息!$A$3:INDEX(站位样品信息!$A:$A,COUNTA(站位样品信息!$A:$A)+1),),))</f>
        <v/>
      </c>
      <c r="H89" s="55" t="str">
        <f>IF(OR(A89&lt;&gt;"",B89&lt;&gt;"",C89&lt;&gt;""),IF($C89&lt;&gt;0,INDEX(生物种群!$A$3:INDEX(生物种群!$A:$A,COUNTA(生物种群!$A:$A)),MATCH($C89,生物种群!$F$3:INDEX(生物种群!$F:$F,COUNTA(生物种群!$F:$F)),),),IF($A89&lt;&gt;0,INDEX(生物种群!$A$3:INDEX(生物种群!$A:$A,COUNTA(生物种群!$A:$A)),MATCH($A89,生物种群!$C$3:INDEX(生物种群!$C:$C,COUNTA(生物种群!$C:$C)),),),INDEX(生物种群!$A$3:INDEX(生物种群!$A:$A,COUNTA(生物种群!$A:$A)),MATCH($B89,生物种群!$D$3:INDEX(生物种群!$D:$D,COUNTA(生物种群!$D:$D)),),))),"")</f>
        <v/>
      </c>
      <c r="I89" s="56" t="str">
        <f>IF(H89="","",INDEX(生物种群!$B$3:INDEX(生物种群!$B:$B,COUNTA(生物种群!$B:$B)),MATCH($H89,生物种群!$A$3:INDEX(生物种群!$A:$A,COUNTA(生物种群!$A:$A)),),))</f>
        <v/>
      </c>
      <c r="J89" s="55" t="str">
        <f>IF(H89="","",INDEX(生物种群!$I$3:INDEX(生物种群!$I:$I,COUNTA(生物种群!$I:$I)),MATCH($H89,生物种群!$A$3:INDEX(生物种群!$A:$A,COUNTA(生物种群!$A:$A)),),))</f>
        <v/>
      </c>
      <c r="K89" s="55" t="str">
        <f>IF(H89="","",INDEX(生物种群!$E$3:INDEX(生物种群!$E:$E,COUNTA(生物种群!$E:$E)),MATCH($H89,生物种群!$A$3:INDEX(生物种群!$A:$A,COUNTA(生物种群!$A:$A)),),))</f>
        <v/>
      </c>
      <c r="L89" s="46" t="str">
        <f t="shared" si="9"/>
        <v/>
      </c>
      <c r="M89" s="47" t="str">
        <f>IF(L89="","",ROUND((L89)/VLOOKUP($F89,IF({1,0},站位样品信息!$A$3:INDEX(站位样品信息!$A:$A,COUNTA(站位样品信息!$A:$A)+1),站位样品信息!$H$3:INDEX(站位样品信息!$H:$H,COUNTA(站位样品信息!$H:$H)+1)),2,0),2))</f>
        <v/>
      </c>
      <c r="O89" s="49"/>
      <c r="P89" s="53" t="str">
        <f t="shared" si="7"/>
        <v/>
      </c>
      <c r="Q89" s="53" t="str">
        <f t="shared" si="8"/>
        <v/>
      </c>
    </row>
    <row r="90" spans="1:17" ht="19.5" customHeight="1">
      <c r="A90" s="38"/>
      <c r="B90" s="38"/>
      <c r="C90" s="38"/>
      <c r="D90" s="37"/>
      <c r="E90" s="37"/>
      <c r="F90" s="37"/>
      <c r="G90" s="37" t="str">
        <f>IF(F90="","",INDEX(站位样品信息!$B$3:INDEX(站位样品信息!$B:$B,COUNTA(站位样品信息!$B:$B)+1),MATCH($F90,站位样品信息!$A$3:INDEX(站位样品信息!$A:$A,COUNTA(站位样品信息!$A:$A)+1),),))</f>
        <v/>
      </c>
      <c r="H90" s="55" t="str">
        <f>IF(OR(A90&lt;&gt;"",B90&lt;&gt;"",C90&lt;&gt;""),IF($C90&lt;&gt;0,INDEX(生物种群!$A$3:INDEX(生物种群!$A:$A,COUNTA(生物种群!$A:$A)),MATCH($C90,生物种群!$F$3:INDEX(生物种群!$F:$F,COUNTA(生物种群!$F:$F)),),),IF($A90&lt;&gt;0,INDEX(生物种群!$A$3:INDEX(生物种群!$A:$A,COUNTA(生物种群!$A:$A)),MATCH($A90,生物种群!$C$3:INDEX(生物种群!$C:$C,COUNTA(生物种群!$C:$C)),),),INDEX(生物种群!$A$3:INDEX(生物种群!$A:$A,COUNTA(生物种群!$A:$A)),MATCH($B90,生物种群!$D$3:INDEX(生物种群!$D:$D,COUNTA(生物种群!$D:$D)),),))),"")</f>
        <v/>
      </c>
      <c r="I90" s="56" t="str">
        <f>IF(H90="","",INDEX(生物种群!$B$3:INDEX(生物种群!$B:$B,COUNTA(生物种群!$B:$B)),MATCH($H90,生物种群!$A$3:INDEX(生物种群!$A:$A,COUNTA(生物种群!$A:$A)),),))</f>
        <v/>
      </c>
      <c r="J90" s="55" t="str">
        <f>IF(H90="","",INDEX(生物种群!$I$3:INDEX(生物种群!$I:$I,COUNTA(生物种群!$I:$I)),MATCH($H90,生物种群!$A$3:INDEX(生物种群!$A:$A,COUNTA(生物种群!$A:$A)),),))</f>
        <v/>
      </c>
      <c r="K90" s="55" t="str">
        <f>IF(H90="","",INDEX(生物种群!$E$3:INDEX(生物种群!$E:$E,COUNTA(生物种群!$E:$E)),MATCH($H90,生物种群!$A$3:INDEX(生物种群!$A:$A,COUNTA(生物种群!$A:$A)),),))</f>
        <v/>
      </c>
      <c r="L90" s="46" t="str">
        <f t="shared" si="9"/>
        <v/>
      </c>
      <c r="M90" s="47" t="str">
        <f>IF(L90="","",ROUND((L90)/VLOOKUP($F90,IF({1,0},站位样品信息!$A$3:INDEX(站位样品信息!$A:$A,COUNTA(站位样品信息!$A:$A)+1),站位样品信息!$H$3:INDEX(站位样品信息!$H:$H,COUNTA(站位样品信息!$H:$H)+1)),2,0),2))</f>
        <v/>
      </c>
      <c r="O90" s="49"/>
      <c r="P90" s="53" t="str">
        <f t="shared" si="7"/>
        <v/>
      </c>
      <c r="Q90" s="53" t="str">
        <f t="shared" si="8"/>
        <v/>
      </c>
    </row>
    <row r="91" spans="1:17" ht="19.5" customHeight="1">
      <c r="A91" s="38"/>
      <c r="B91" s="38"/>
      <c r="C91" s="38"/>
      <c r="D91" s="37"/>
      <c r="E91" s="37"/>
      <c r="F91" s="37"/>
      <c r="G91" s="37" t="str">
        <f>IF(F91="","",INDEX(站位样品信息!$B$3:INDEX(站位样品信息!$B:$B,COUNTA(站位样品信息!$B:$B)+1),MATCH($F91,站位样品信息!$A$3:INDEX(站位样品信息!$A:$A,COUNTA(站位样品信息!$A:$A)+1),),))</f>
        <v/>
      </c>
      <c r="H91" s="55" t="str">
        <f>IF(OR(A91&lt;&gt;"",B91&lt;&gt;"",C91&lt;&gt;""),IF($C91&lt;&gt;0,INDEX(生物种群!$A$3:INDEX(生物种群!$A:$A,COUNTA(生物种群!$A:$A)),MATCH($C91,生物种群!$F$3:INDEX(生物种群!$F:$F,COUNTA(生物种群!$F:$F)),),),IF($A91&lt;&gt;0,INDEX(生物种群!$A$3:INDEX(生物种群!$A:$A,COUNTA(生物种群!$A:$A)),MATCH($A91,生物种群!$C$3:INDEX(生物种群!$C:$C,COUNTA(生物种群!$C:$C)),),),INDEX(生物种群!$A$3:INDEX(生物种群!$A:$A,COUNTA(生物种群!$A:$A)),MATCH($B91,生物种群!$D$3:INDEX(生物种群!$D:$D,COUNTA(生物种群!$D:$D)),),))),"")</f>
        <v/>
      </c>
      <c r="I91" s="56" t="str">
        <f>IF(H91="","",INDEX(生物种群!$B$3:INDEX(生物种群!$B:$B,COUNTA(生物种群!$B:$B)),MATCH($H91,生物种群!$A$3:INDEX(生物种群!$A:$A,COUNTA(生物种群!$A:$A)),),))</f>
        <v/>
      </c>
      <c r="J91" s="55" t="str">
        <f>IF(H91="","",INDEX(生物种群!$I$3:INDEX(生物种群!$I:$I,COUNTA(生物种群!$I:$I)),MATCH($H91,生物种群!$A$3:INDEX(生物种群!$A:$A,COUNTA(生物种群!$A:$A)),),))</f>
        <v/>
      </c>
      <c r="K91" s="55" t="str">
        <f>IF(H91="","",INDEX(生物种群!$E$3:INDEX(生物种群!$E:$E,COUNTA(生物种群!$E:$E)),MATCH($H91,生物种群!$A$3:INDEX(生物种群!$A:$A,COUNTA(生物种群!$A:$A)),),))</f>
        <v/>
      </c>
      <c r="L91" s="46" t="str">
        <f t="shared" si="9"/>
        <v/>
      </c>
      <c r="M91" s="47" t="str">
        <f>IF(L91="","",ROUND((L91)/VLOOKUP($F91,IF({1,0},站位样品信息!$A$3:INDEX(站位样品信息!$A:$A,COUNTA(站位样品信息!$A:$A)+1),站位样品信息!$H$3:INDEX(站位样品信息!$H:$H,COUNTA(站位样品信息!$H:$H)+1)),2,0),2))</f>
        <v/>
      </c>
      <c r="O91" s="49"/>
      <c r="P91" s="53" t="str">
        <f t="shared" si="7"/>
        <v/>
      </c>
      <c r="Q91" s="53" t="str">
        <f t="shared" si="8"/>
        <v/>
      </c>
    </row>
    <row r="92" spans="1:17" ht="19.5" customHeight="1">
      <c r="A92" s="38"/>
      <c r="B92" s="38"/>
      <c r="C92" s="38"/>
      <c r="D92" s="37"/>
      <c r="E92" s="37"/>
      <c r="F92" s="37"/>
      <c r="G92" s="37" t="str">
        <f>IF(F92="","",INDEX(站位样品信息!$B$3:INDEX(站位样品信息!$B:$B,COUNTA(站位样品信息!$B:$B)+1),MATCH($F92,站位样品信息!$A$3:INDEX(站位样品信息!$A:$A,COUNTA(站位样品信息!$A:$A)+1),),))</f>
        <v/>
      </c>
      <c r="H92" s="55" t="str">
        <f>IF(OR(A92&lt;&gt;"",B92&lt;&gt;"",C92&lt;&gt;""),IF($C92&lt;&gt;0,INDEX(生物种群!$A$3:INDEX(生物种群!$A:$A,COUNTA(生物种群!$A:$A)),MATCH($C92,生物种群!$F$3:INDEX(生物种群!$F:$F,COUNTA(生物种群!$F:$F)),),),IF($A92&lt;&gt;0,INDEX(生物种群!$A$3:INDEX(生物种群!$A:$A,COUNTA(生物种群!$A:$A)),MATCH($A92,生物种群!$C$3:INDEX(生物种群!$C:$C,COUNTA(生物种群!$C:$C)),),),INDEX(生物种群!$A$3:INDEX(生物种群!$A:$A,COUNTA(生物种群!$A:$A)),MATCH($B92,生物种群!$D$3:INDEX(生物种群!$D:$D,COUNTA(生物种群!$D:$D)),),))),"")</f>
        <v/>
      </c>
      <c r="I92" s="56" t="str">
        <f>IF(H92="","",INDEX(生物种群!$B$3:INDEX(生物种群!$B:$B,COUNTA(生物种群!$B:$B)),MATCH($H92,生物种群!$A$3:INDEX(生物种群!$A:$A,COUNTA(生物种群!$A:$A)),),))</f>
        <v/>
      </c>
      <c r="J92" s="55" t="str">
        <f>IF(H92="","",INDEX(生物种群!$I$3:INDEX(生物种群!$I:$I,COUNTA(生物种群!$I:$I)),MATCH($H92,生物种群!$A$3:INDEX(生物种群!$A:$A,COUNTA(生物种群!$A:$A)),),))</f>
        <v/>
      </c>
      <c r="K92" s="55" t="str">
        <f>IF(H92="","",INDEX(生物种群!$E$3:INDEX(生物种群!$E:$E,COUNTA(生物种群!$E:$E)),MATCH($H92,生物种群!$A$3:INDEX(生物种群!$A:$A,COUNTA(生物种群!$A:$A)),),))</f>
        <v/>
      </c>
      <c r="L92" s="46" t="str">
        <f t="shared" si="9"/>
        <v/>
      </c>
      <c r="M92" s="47" t="str">
        <f>IF(L92="","",ROUND((L92)/VLOOKUP($F92,IF({1,0},站位样品信息!$A$3:INDEX(站位样品信息!$A:$A,COUNTA(站位样品信息!$A:$A)+1),站位样品信息!$H$3:INDEX(站位样品信息!$H:$H,COUNTA(站位样品信息!$H:$H)+1)),2,0),2))</f>
        <v/>
      </c>
      <c r="O92" s="49"/>
      <c r="P92" s="53" t="str">
        <f t="shared" si="7"/>
        <v/>
      </c>
      <c r="Q92" s="53" t="str">
        <f t="shared" si="8"/>
        <v/>
      </c>
    </row>
    <row r="93" spans="1:17" ht="19.5" customHeight="1">
      <c r="A93" s="38"/>
      <c r="B93" s="38"/>
      <c r="C93" s="38"/>
      <c r="D93" s="37"/>
      <c r="E93" s="37"/>
      <c r="F93" s="37"/>
      <c r="G93" s="37" t="str">
        <f>IF(F93="","",INDEX(站位样品信息!$B$3:INDEX(站位样品信息!$B:$B,COUNTA(站位样品信息!$B:$B)+1),MATCH($F93,站位样品信息!$A$3:INDEX(站位样品信息!$A:$A,COUNTA(站位样品信息!$A:$A)+1),),))</f>
        <v/>
      </c>
      <c r="H93" s="55" t="str">
        <f>IF(OR(A93&lt;&gt;"",B93&lt;&gt;"",C93&lt;&gt;""),IF($C93&lt;&gt;0,INDEX(生物种群!$A$3:INDEX(生物种群!$A:$A,COUNTA(生物种群!$A:$A)),MATCH($C93,生物种群!$F$3:INDEX(生物种群!$F:$F,COUNTA(生物种群!$F:$F)),),),IF($A93&lt;&gt;0,INDEX(生物种群!$A$3:INDEX(生物种群!$A:$A,COUNTA(生物种群!$A:$A)),MATCH($A93,生物种群!$C$3:INDEX(生物种群!$C:$C,COUNTA(生物种群!$C:$C)),),),INDEX(生物种群!$A$3:INDEX(生物种群!$A:$A,COUNTA(生物种群!$A:$A)),MATCH($B93,生物种群!$D$3:INDEX(生物种群!$D:$D,COUNTA(生物种群!$D:$D)),),))),"")</f>
        <v/>
      </c>
      <c r="I93" s="56" t="str">
        <f>IF(H93="","",INDEX(生物种群!$B$3:INDEX(生物种群!$B:$B,COUNTA(生物种群!$B:$B)),MATCH($H93,生物种群!$A$3:INDEX(生物种群!$A:$A,COUNTA(生物种群!$A:$A)),),))</f>
        <v/>
      </c>
      <c r="J93" s="55" t="str">
        <f>IF(H93="","",INDEX(生物种群!$I$3:INDEX(生物种群!$I:$I,COUNTA(生物种群!$I:$I)),MATCH($H93,生物种群!$A$3:INDEX(生物种群!$A:$A,COUNTA(生物种群!$A:$A)),),))</f>
        <v/>
      </c>
      <c r="K93" s="55" t="str">
        <f>IF(H93="","",INDEX(生物种群!$E$3:INDEX(生物种群!$E:$E,COUNTA(生物种群!$E:$E)),MATCH($H93,生物种群!$A$3:INDEX(生物种群!$A:$A,COUNTA(生物种群!$A:$A)),),))</f>
        <v/>
      </c>
      <c r="L93" s="46" t="str">
        <f t="shared" si="9"/>
        <v/>
      </c>
      <c r="M93" s="47" t="str">
        <f>IF(L93="","",ROUND((L93)/VLOOKUP($F93,IF({1,0},站位样品信息!$A$3:INDEX(站位样品信息!$A:$A,COUNTA(站位样品信息!$A:$A)+1),站位样品信息!$H$3:INDEX(站位样品信息!$H:$H,COUNTA(站位样品信息!$H:$H)+1)),2,0),2))</f>
        <v/>
      </c>
      <c r="O93" s="49"/>
      <c r="P93" s="53" t="str">
        <f t="shared" si="7"/>
        <v/>
      </c>
      <c r="Q93" s="53" t="str">
        <f t="shared" si="8"/>
        <v/>
      </c>
    </row>
    <row r="94" spans="1:17" ht="19.5" customHeight="1">
      <c r="A94" s="38"/>
      <c r="B94" s="38"/>
      <c r="C94" s="38"/>
      <c r="D94" s="37"/>
      <c r="E94" s="37"/>
      <c r="F94" s="37"/>
      <c r="G94" s="37" t="str">
        <f>IF(F94="","",INDEX(站位样品信息!$B$3:INDEX(站位样品信息!$B:$B,COUNTA(站位样品信息!$B:$B)+1),MATCH($F94,站位样品信息!$A$3:INDEX(站位样品信息!$A:$A,COUNTA(站位样品信息!$A:$A)+1),),))</f>
        <v/>
      </c>
      <c r="H94" s="55" t="str">
        <f>IF(OR(A94&lt;&gt;"",B94&lt;&gt;"",C94&lt;&gt;""),IF($C94&lt;&gt;0,INDEX(生物种群!$A$3:INDEX(生物种群!$A:$A,COUNTA(生物种群!$A:$A)),MATCH($C94,生物种群!$F$3:INDEX(生物种群!$F:$F,COUNTA(生物种群!$F:$F)),),),IF($A94&lt;&gt;0,INDEX(生物种群!$A$3:INDEX(生物种群!$A:$A,COUNTA(生物种群!$A:$A)),MATCH($A94,生物种群!$C$3:INDEX(生物种群!$C:$C,COUNTA(生物种群!$C:$C)),),),INDEX(生物种群!$A$3:INDEX(生物种群!$A:$A,COUNTA(生物种群!$A:$A)),MATCH($B94,生物种群!$D$3:INDEX(生物种群!$D:$D,COUNTA(生物种群!$D:$D)),),))),"")</f>
        <v/>
      </c>
      <c r="I94" s="56" t="str">
        <f>IF(H94="","",INDEX(生物种群!$B$3:INDEX(生物种群!$B:$B,COUNTA(生物种群!$B:$B)),MATCH($H94,生物种群!$A$3:INDEX(生物种群!$A:$A,COUNTA(生物种群!$A:$A)),),))</f>
        <v/>
      </c>
      <c r="J94" s="55" t="str">
        <f>IF(H94="","",INDEX(生物种群!$I$3:INDEX(生物种群!$I:$I,COUNTA(生物种群!$I:$I)),MATCH($H94,生物种群!$A$3:INDEX(生物种群!$A:$A,COUNTA(生物种群!$A:$A)),),))</f>
        <v/>
      </c>
      <c r="K94" s="55" t="str">
        <f>IF(H94="","",INDEX(生物种群!$E$3:INDEX(生物种群!$E:$E,COUNTA(生物种群!$E:$E)),MATCH($H94,生物种群!$A$3:INDEX(生物种群!$A:$A,COUNTA(生物种群!$A:$A)),),))</f>
        <v/>
      </c>
      <c r="L94" s="46" t="str">
        <f t="shared" si="9"/>
        <v/>
      </c>
      <c r="M94" s="47" t="str">
        <f>IF(L94="","",ROUND((L94)/VLOOKUP($F94,IF({1,0},站位样品信息!$A$3:INDEX(站位样品信息!$A:$A,COUNTA(站位样品信息!$A:$A)+1),站位样品信息!$H$3:INDEX(站位样品信息!$H:$H,COUNTA(站位样品信息!$H:$H)+1)),2,0),2))</f>
        <v/>
      </c>
      <c r="O94" s="49"/>
      <c r="P94" s="53" t="str">
        <f t="shared" si="7"/>
        <v/>
      </c>
      <c r="Q94" s="53" t="str">
        <f t="shared" si="8"/>
        <v/>
      </c>
    </row>
    <row r="95" spans="1:17" ht="19.5" customHeight="1">
      <c r="A95" s="38"/>
      <c r="B95" s="38"/>
      <c r="C95" s="38"/>
      <c r="D95" s="37"/>
      <c r="E95" s="37"/>
      <c r="F95" s="37"/>
      <c r="G95" s="37" t="str">
        <f>IF(F95="","",INDEX(站位样品信息!$B$3:INDEX(站位样品信息!$B:$B,COUNTA(站位样品信息!$B:$B)+1),MATCH($F95,站位样品信息!$A$3:INDEX(站位样品信息!$A:$A,COUNTA(站位样品信息!$A:$A)+1),),))</f>
        <v/>
      </c>
      <c r="H95" s="55" t="str">
        <f>IF(OR(A95&lt;&gt;"",B95&lt;&gt;"",C95&lt;&gt;""),IF($C95&lt;&gt;0,INDEX(生物种群!$A$3:INDEX(生物种群!$A:$A,COUNTA(生物种群!$A:$A)),MATCH($C95,生物种群!$F$3:INDEX(生物种群!$F:$F,COUNTA(生物种群!$F:$F)),),),IF($A95&lt;&gt;0,INDEX(生物种群!$A$3:INDEX(生物种群!$A:$A,COUNTA(生物种群!$A:$A)),MATCH($A95,生物种群!$C$3:INDEX(生物种群!$C:$C,COUNTA(生物种群!$C:$C)),),),INDEX(生物种群!$A$3:INDEX(生物种群!$A:$A,COUNTA(生物种群!$A:$A)),MATCH($B95,生物种群!$D$3:INDEX(生物种群!$D:$D,COUNTA(生物种群!$D:$D)),),))),"")</f>
        <v/>
      </c>
      <c r="I95" s="56" t="str">
        <f>IF(H95="","",INDEX(生物种群!$B$3:INDEX(生物种群!$B:$B,COUNTA(生物种群!$B:$B)),MATCH($H95,生物种群!$A$3:INDEX(生物种群!$A:$A,COUNTA(生物种群!$A:$A)),),))</f>
        <v/>
      </c>
      <c r="J95" s="55" t="str">
        <f>IF(H95="","",INDEX(生物种群!$I$3:INDEX(生物种群!$I:$I,COUNTA(生物种群!$I:$I)),MATCH($H95,生物种群!$A$3:INDEX(生物种群!$A:$A,COUNTA(生物种群!$A:$A)),),))</f>
        <v/>
      </c>
      <c r="K95" s="55" t="str">
        <f>IF(H95="","",INDEX(生物种群!$E$3:INDEX(生物种群!$E:$E,COUNTA(生物种群!$E:$E)),MATCH($H95,生物种群!$A$3:INDEX(生物种群!$A:$A,COUNTA(生物种群!$A:$A)),),))</f>
        <v/>
      </c>
      <c r="L95" s="46" t="str">
        <f t="shared" si="9"/>
        <v/>
      </c>
      <c r="M95" s="47" t="str">
        <f>IF(L95="","",ROUND((L95)/VLOOKUP($F95,IF({1,0},站位样品信息!$A$3:INDEX(站位样品信息!$A:$A,COUNTA(站位样品信息!$A:$A)+1),站位样品信息!$H$3:INDEX(站位样品信息!$H:$H,COUNTA(站位样品信息!$H:$H)+1)),2,0),2))</f>
        <v/>
      </c>
      <c r="O95" s="49"/>
      <c r="P95" s="53" t="str">
        <f t="shared" si="7"/>
        <v/>
      </c>
      <c r="Q95" s="53" t="str">
        <f t="shared" si="8"/>
        <v/>
      </c>
    </row>
    <row r="96" spans="1:17" ht="19.5" customHeight="1">
      <c r="A96" s="38"/>
      <c r="B96" s="38"/>
      <c r="C96" s="38"/>
      <c r="D96" s="37"/>
      <c r="E96" s="37"/>
      <c r="F96" s="37"/>
      <c r="G96" s="37" t="str">
        <f>IF(F96="","",INDEX(站位样品信息!$B$3:INDEX(站位样品信息!$B:$B,COUNTA(站位样品信息!$B:$B)+1),MATCH($F96,站位样品信息!$A$3:INDEX(站位样品信息!$A:$A,COUNTA(站位样品信息!$A:$A)+1),),))</f>
        <v/>
      </c>
      <c r="H96" s="55" t="str">
        <f>IF(OR(A96&lt;&gt;"",B96&lt;&gt;"",C96&lt;&gt;""),IF($C96&lt;&gt;0,INDEX(生物种群!$A$3:INDEX(生物种群!$A:$A,COUNTA(生物种群!$A:$A)),MATCH($C96,生物种群!$F$3:INDEX(生物种群!$F:$F,COUNTA(生物种群!$F:$F)),),),IF($A96&lt;&gt;0,INDEX(生物种群!$A$3:INDEX(生物种群!$A:$A,COUNTA(生物种群!$A:$A)),MATCH($A96,生物种群!$C$3:INDEX(生物种群!$C:$C,COUNTA(生物种群!$C:$C)),),),INDEX(生物种群!$A$3:INDEX(生物种群!$A:$A,COUNTA(生物种群!$A:$A)),MATCH($B96,生物种群!$D$3:INDEX(生物种群!$D:$D,COUNTA(生物种群!$D:$D)),),))),"")</f>
        <v/>
      </c>
      <c r="I96" s="56" t="str">
        <f>IF(H96="","",INDEX(生物种群!$B$3:INDEX(生物种群!$B:$B,COUNTA(生物种群!$B:$B)),MATCH($H96,生物种群!$A$3:INDEX(生物种群!$A:$A,COUNTA(生物种群!$A:$A)),),))</f>
        <v/>
      </c>
      <c r="J96" s="55" t="str">
        <f>IF(H96="","",INDEX(生物种群!$I$3:INDEX(生物种群!$I:$I,COUNTA(生物种群!$I:$I)),MATCH($H96,生物种群!$A$3:INDEX(生物种群!$A:$A,COUNTA(生物种群!$A:$A)),),))</f>
        <v/>
      </c>
      <c r="K96" s="55" t="str">
        <f>IF(H96="","",INDEX(生物种群!$E$3:INDEX(生物种群!$E:$E,COUNTA(生物种群!$E:$E)),MATCH($H96,生物种群!$A$3:INDEX(生物种群!$A:$A,COUNTA(生物种群!$A:$A)),),))</f>
        <v/>
      </c>
      <c r="L96" s="46" t="str">
        <f t="shared" si="9"/>
        <v/>
      </c>
      <c r="M96" s="47" t="str">
        <f>IF(L96="","",ROUND((L96)/VLOOKUP($F96,IF({1,0},站位样品信息!$A$3:INDEX(站位样品信息!$A:$A,COUNTA(站位样品信息!$A:$A)+1),站位样品信息!$H$3:INDEX(站位样品信息!$H:$H,COUNTA(站位样品信息!$H:$H)+1)),2,0),2))</f>
        <v/>
      </c>
      <c r="O96" s="49"/>
      <c r="P96" s="53" t="str">
        <f t="shared" si="7"/>
        <v/>
      </c>
      <c r="Q96" s="53" t="str">
        <f t="shared" si="8"/>
        <v/>
      </c>
    </row>
    <row r="97" spans="1:17" ht="19.5" customHeight="1">
      <c r="A97" s="38"/>
      <c r="B97" s="38"/>
      <c r="C97" s="38"/>
      <c r="D97" s="37"/>
      <c r="E97" s="37"/>
      <c r="F97" s="37"/>
      <c r="G97" s="37" t="str">
        <f>IF(F97="","",INDEX(站位样品信息!$B$3:INDEX(站位样品信息!$B:$B,COUNTA(站位样品信息!$B:$B)+1),MATCH($F97,站位样品信息!$A$3:INDEX(站位样品信息!$A:$A,COUNTA(站位样品信息!$A:$A)+1),),))</f>
        <v/>
      </c>
      <c r="H97" s="55" t="str">
        <f>IF(OR(A97&lt;&gt;"",B97&lt;&gt;"",C97&lt;&gt;""),IF($C97&lt;&gt;0,INDEX(生物种群!$A$3:INDEX(生物种群!$A:$A,COUNTA(生物种群!$A:$A)),MATCH($C97,生物种群!$F$3:INDEX(生物种群!$F:$F,COUNTA(生物种群!$F:$F)),),),IF($A97&lt;&gt;0,INDEX(生物种群!$A$3:INDEX(生物种群!$A:$A,COUNTA(生物种群!$A:$A)),MATCH($A97,生物种群!$C$3:INDEX(生物种群!$C:$C,COUNTA(生物种群!$C:$C)),),),INDEX(生物种群!$A$3:INDEX(生物种群!$A:$A,COUNTA(生物种群!$A:$A)),MATCH($B97,生物种群!$D$3:INDEX(生物种群!$D:$D,COUNTA(生物种群!$D:$D)),),))),"")</f>
        <v/>
      </c>
      <c r="I97" s="56" t="str">
        <f>IF(H97="","",INDEX(生物种群!$B$3:INDEX(生物种群!$B:$B,COUNTA(生物种群!$B:$B)),MATCH($H97,生物种群!$A$3:INDEX(生物种群!$A:$A,COUNTA(生物种群!$A:$A)),),))</f>
        <v/>
      </c>
      <c r="J97" s="55" t="str">
        <f>IF(H97="","",INDEX(生物种群!$I$3:INDEX(生物种群!$I:$I,COUNTA(生物种群!$I:$I)),MATCH($H97,生物种群!$A$3:INDEX(生物种群!$A:$A,COUNTA(生物种群!$A:$A)),),))</f>
        <v/>
      </c>
      <c r="K97" s="55" t="str">
        <f>IF(H97="","",INDEX(生物种群!$E$3:INDEX(生物种群!$E:$E,COUNTA(生物种群!$E:$E)),MATCH($H97,生物种群!$A$3:INDEX(生物种群!$A:$A,COUNTA(生物种群!$A:$A)),),))</f>
        <v/>
      </c>
      <c r="L97" s="46" t="str">
        <f t="shared" si="9"/>
        <v/>
      </c>
      <c r="M97" s="47" t="str">
        <f>IF(L97="","",ROUND((L97)/VLOOKUP($F97,IF({1,0},站位样品信息!$A$3:INDEX(站位样品信息!$A:$A,COUNTA(站位样品信息!$A:$A)+1),站位样品信息!$H$3:INDEX(站位样品信息!$H:$H,COUNTA(站位样品信息!$H:$H)+1)),2,0),2))</f>
        <v/>
      </c>
      <c r="O97" s="49"/>
      <c r="P97" s="53" t="str">
        <f t="shared" si="7"/>
        <v/>
      </c>
      <c r="Q97" s="53" t="str">
        <f t="shared" si="8"/>
        <v/>
      </c>
    </row>
    <row r="98" spans="1:17" ht="19.5" customHeight="1">
      <c r="A98" s="38"/>
      <c r="B98" s="38"/>
      <c r="C98" s="38"/>
      <c r="D98" s="37"/>
      <c r="E98" s="37"/>
      <c r="F98" s="37"/>
      <c r="G98" s="37" t="str">
        <f>IF(F98="","",INDEX(站位样品信息!$B$3:INDEX(站位样品信息!$B:$B,COUNTA(站位样品信息!$B:$B)+1),MATCH($F98,站位样品信息!$A$3:INDEX(站位样品信息!$A:$A,COUNTA(站位样品信息!$A:$A)+1),),))</f>
        <v/>
      </c>
      <c r="H98" s="55" t="str">
        <f>IF(OR(A98&lt;&gt;"",B98&lt;&gt;"",C98&lt;&gt;""),IF($C98&lt;&gt;0,INDEX(生物种群!$A$3:INDEX(生物种群!$A:$A,COUNTA(生物种群!$A:$A)),MATCH($C98,生物种群!$F$3:INDEX(生物种群!$F:$F,COUNTA(生物种群!$F:$F)),),),IF($A98&lt;&gt;0,INDEX(生物种群!$A$3:INDEX(生物种群!$A:$A,COUNTA(生物种群!$A:$A)),MATCH($A98,生物种群!$C$3:INDEX(生物种群!$C:$C,COUNTA(生物种群!$C:$C)),),),INDEX(生物种群!$A$3:INDEX(生物种群!$A:$A,COUNTA(生物种群!$A:$A)),MATCH($B98,生物种群!$D$3:INDEX(生物种群!$D:$D,COUNTA(生物种群!$D:$D)),),))),"")</f>
        <v/>
      </c>
      <c r="I98" s="56" t="str">
        <f>IF(H98="","",INDEX(生物种群!$B$3:INDEX(生物种群!$B:$B,COUNTA(生物种群!$B:$B)),MATCH($H98,生物种群!$A$3:INDEX(生物种群!$A:$A,COUNTA(生物种群!$A:$A)),),))</f>
        <v/>
      </c>
      <c r="J98" s="55" t="str">
        <f>IF(H98="","",INDEX(生物种群!$I$3:INDEX(生物种群!$I:$I,COUNTA(生物种群!$I:$I)),MATCH($H98,生物种群!$A$3:INDEX(生物种群!$A:$A,COUNTA(生物种群!$A:$A)),),))</f>
        <v/>
      </c>
      <c r="K98" s="55" t="str">
        <f>IF(H98="","",INDEX(生物种群!$E$3:INDEX(生物种群!$E:$E,COUNTA(生物种群!$E:$E)),MATCH($H98,生物种群!$A$3:INDEX(生物种群!$A:$A,COUNTA(生物种群!$A:$A)),),))</f>
        <v/>
      </c>
      <c r="L98" s="46" t="str">
        <f t="shared" si="9"/>
        <v/>
      </c>
      <c r="M98" s="47" t="str">
        <f>IF(L98="","",ROUND((L98)/VLOOKUP($F98,IF({1,0},站位样品信息!$A$3:INDEX(站位样品信息!$A:$A,COUNTA(站位样品信息!$A:$A)+1),站位样品信息!$H$3:INDEX(站位样品信息!$H:$H,COUNTA(站位样品信息!$H:$H)+1)),2,0),2))</f>
        <v/>
      </c>
      <c r="O98" s="49"/>
      <c r="P98" s="53" t="str">
        <f t="shared" si="7"/>
        <v/>
      </c>
      <c r="Q98" s="53" t="str">
        <f t="shared" si="8"/>
        <v/>
      </c>
    </row>
    <row r="99" spans="1:17" ht="19.5" customHeight="1">
      <c r="A99" s="38"/>
      <c r="B99" s="38"/>
      <c r="C99" s="38"/>
      <c r="D99" s="37"/>
      <c r="E99" s="37"/>
      <c r="F99" s="37"/>
      <c r="G99" s="37" t="str">
        <f>IF(F99="","",INDEX(站位样品信息!$B$3:INDEX(站位样品信息!$B:$B,COUNTA(站位样品信息!$B:$B)+1),MATCH($F99,站位样品信息!$A$3:INDEX(站位样品信息!$A:$A,COUNTA(站位样品信息!$A:$A)+1),),))</f>
        <v/>
      </c>
      <c r="H99" s="55" t="str">
        <f>IF(OR(A99&lt;&gt;"",B99&lt;&gt;"",C99&lt;&gt;""),IF($C99&lt;&gt;0,INDEX(生物种群!$A$3:INDEX(生物种群!$A:$A,COUNTA(生物种群!$A:$A)),MATCH($C99,生物种群!$F$3:INDEX(生物种群!$F:$F,COUNTA(生物种群!$F:$F)),),),IF($A99&lt;&gt;0,INDEX(生物种群!$A$3:INDEX(生物种群!$A:$A,COUNTA(生物种群!$A:$A)),MATCH($A99,生物种群!$C$3:INDEX(生物种群!$C:$C,COUNTA(生物种群!$C:$C)),),),INDEX(生物种群!$A$3:INDEX(生物种群!$A:$A,COUNTA(生物种群!$A:$A)),MATCH($B99,生物种群!$D$3:INDEX(生物种群!$D:$D,COUNTA(生物种群!$D:$D)),),))),"")</f>
        <v/>
      </c>
      <c r="I99" s="56" t="str">
        <f>IF(H99="","",INDEX(生物种群!$B$3:INDEX(生物种群!$B:$B,COUNTA(生物种群!$B:$B)),MATCH($H99,生物种群!$A$3:INDEX(生物种群!$A:$A,COUNTA(生物种群!$A:$A)),),))</f>
        <v/>
      </c>
      <c r="J99" s="55" t="str">
        <f>IF(H99="","",INDEX(生物种群!$I$3:INDEX(生物种群!$I:$I,COUNTA(生物种群!$I:$I)),MATCH($H99,生物种群!$A$3:INDEX(生物种群!$A:$A,COUNTA(生物种群!$A:$A)),),))</f>
        <v/>
      </c>
      <c r="K99" s="55" t="str">
        <f>IF(H99="","",INDEX(生物种群!$E$3:INDEX(生物种群!$E:$E,COUNTA(生物种群!$E:$E)),MATCH($H99,生物种群!$A$3:INDEX(生物种群!$A:$A,COUNTA(生物种群!$A:$A)),),))</f>
        <v/>
      </c>
      <c r="L99" s="46" t="str">
        <f t="shared" si="9"/>
        <v/>
      </c>
      <c r="M99" s="47" t="str">
        <f>IF(L99="","",ROUND((L99)/VLOOKUP($F99,IF({1,0},站位样品信息!$A$3:INDEX(站位样品信息!$A:$A,COUNTA(站位样品信息!$A:$A)+1),站位样品信息!$H$3:INDEX(站位样品信息!$H:$H,COUNTA(站位样品信息!$H:$H)+1)),2,0),2))</f>
        <v/>
      </c>
      <c r="O99" s="49"/>
      <c r="P99" s="53" t="str">
        <f t="shared" si="7"/>
        <v/>
      </c>
      <c r="Q99" s="53" t="str">
        <f t="shared" si="8"/>
        <v/>
      </c>
    </row>
    <row r="100" spans="1:17" ht="19.5" customHeight="1">
      <c r="A100" s="38"/>
      <c r="B100" s="38"/>
      <c r="C100" s="38"/>
      <c r="D100" s="37"/>
      <c r="E100" s="37"/>
      <c r="F100" s="37"/>
      <c r="G100" s="37" t="str">
        <f>IF(F100="","",INDEX(站位样品信息!$B$3:INDEX(站位样品信息!$B:$B,COUNTA(站位样品信息!$B:$B)+1),MATCH($F100,站位样品信息!$A$3:INDEX(站位样品信息!$A:$A,COUNTA(站位样品信息!$A:$A)+1),),))</f>
        <v/>
      </c>
      <c r="H100" s="55" t="str">
        <f>IF(OR(A100&lt;&gt;"",B100&lt;&gt;"",C100&lt;&gt;""),IF($C100&lt;&gt;0,INDEX(生物种群!$A$3:INDEX(生物种群!$A:$A,COUNTA(生物种群!$A:$A)),MATCH($C100,生物种群!$F$3:INDEX(生物种群!$F:$F,COUNTA(生物种群!$F:$F)),),),IF($A100&lt;&gt;0,INDEX(生物种群!$A$3:INDEX(生物种群!$A:$A,COUNTA(生物种群!$A:$A)),MATCH($A100,生物种群!$C$3:INDEX(生物种群!$C:$C,COUNTA(生物种群!$C:$C)),),),INDEX(生物种群!$A$3:INDEX(生物种群!$A:$A,COUNTA(生物种群!$A:$A)),MATCH($B100,生物种群!$D$3:INDEX(生物种群!$D:$D,COUNTA(生物种群!$D:$D)),),))),"")</f>
        <v/>
      </c>
      <c r="I100" s="56" t="str">
        <f>IF(H100="","",INDEX(生物种群!$B$3:INDEX(生物种群!$B:$B,COUNTA(生物种群!$B:$B)),MATCH($H100,生物种群!$A$3:INDEX(生物种群!$A:$A,COUNTA(生物种群!$A:$A)),),))</f>
        <v/>
      </c>
      <c r="J100" s="55" t="str">
        <f>IF(H100="","",INDEX(生物种群!$I$3:INDEX(生物种群!$I:$I,COUNTA(生物种群!$I:$I)),MATCH($H100,生物种群!$A$3:INDEX(生物种群!$A:$A,COUNTA(生物种群!$A:$A)),),))</f>
        <v/>
      </c>
      <c r="K100" s="55" t="str">
        <f>IF(H100="","",INDEX(生物种群!$E$3:INDEX(生物种群!$E:$E,COUNTA(生物种群!$E:$E)),MATCH($H100,生物种群!$A$3:INDEX(生物种群!$A:$A,COUNTA(生物种群!$A:$A)),),))</f>
        <v/>
      </c>
      <c r="L100" s="46" t="str">
        <f t="shared" si="9"/>
        <v/>
      </c>
      <c r="M100" s="47" t="str">
        <f>IF(L100="","",ROUND((L100)/VLOOKUP($F100,IF({1,0},站位样品信息!$A$3:INDEX(站位样品信息!$A:$A,COUNTA(站位样品信息!$A:$A)+1),站位样品信息!$H$3:INDEX(站位样品信息!$H:$H,COUNTA(站位样品信息!$H:$H)+1)),2,0),2))</f>
        <v/>
      </c>
      <c r="O100" s="49"/>
      <c r="P100" s="53" t="str">
        <f t="shared" si="7"/>
        <v/>
      </c>
      <c r="Q100" s="53" t="str">
        <f t="shared" si="8"/>
        <v/>
      </c>
    </row>
    <row r="101" spans="1:17" ht="19.5" customHeight="1">
      <c r="A101" s="38"/>
      <c r="B101" s="38"/>
      <c r="C101" s="38"/>
      <c r="D101" s="37"/>
      <c r="E101" s="37"/>
      <c r="F101" s="37"/>
      <c r="G101" s="37" t="str">
        <f>IF(F101="","",INDEX(站位样品信息!$B$3:INDEX(站位样品信息!$B:$B,COUNTA(站位样品信息!$B:$B)+1),MATCH($F101,站位样品信息!$A$3:INDEX(站位样品信息!$A:$A,COUNTA(站位样品信息!$A:$A)+1),),))</f>
        <v/>
      </c>
      <c r="H101" s="55" t="str">
        <f>IF(OR(A101&lt;&gt;"",B101&lt;&gt;"",C101&lt;&gt;""),IF($C101&lt;&gt;0,INDEX(生物种群!$A$3:INDEX(生物种群!$A:$A,COUNTA(生物种群!$A:$A)),MATCH($C101,生物种群!$F$3:INDEX(生物种群!$F:$F,COUNTA(生物种群!$F:$F)),),),IF($A101&lt;&gt;0,INDEX(生物种群!$A$3:INDEX(生物种群!$A:$A,COUNTA(生物种群!$A:$A)),MATCH($A101,生物种群!$C$3:INDEX(生物种群!$C:$C,COUNTA(生物种群!$C:$C)),),),INDEX(生物种群!$A$3:INDEX(生物种群!$A:$A,COUNTA(生物种群!$A:$A)),MATCH($B101,生物种群!$D$3:INDEX(生物种群!$D:$D,COUNTA(生物种群!$D:$D)),),))),"")</f>
        <v/>
      </c>
      <c r="I101" s="56" t="str">
        <f>IF(H101="","",INDEX(生物种群!$B$3:INDEX(生物种群!$B:$B,COUNTA(生物种群!$B:$B)),MATCH($H101,生物种群!$A$3:INDEX(生物种群!$A:$A,COUNTA(生物种群!$A:$A)),),))</f>
        <v/>
      </c>
      <c r="J101" s="55" t="str">
        <f>IF(H101="","",INDEX(生物种群!$I$3:INDEX(生物种群!$I:$I,COUNTA(生物种群!$I:$I)),MATCH($H101,生物种群!$A$3:INDEX(生物种群!$A:$A,COUNTA(生物种群!$A:$A)),),))</f>
        <v/>
      </c>
      <c r="K101" s="55" t="str">
        <f>IF(H101="","",INDEX(生物种群!$E$3:INDEX(生物种群!$E:$E,COUNTA(生物种群!$E:$E)),MATCH($H101,生物种群!$A$3:INDEX(生物种群!$A:$A,COUNTA(生物种群!$A:$A)),),))</f>
        <v/>
      </c>
      <c r="L101" s="46" t="str">
        <f t="shared" si="9"/>
        <v/>
      </c>
      <c r="M101" s="47" t="str">
        <f>IF(L101="","",ROUND((L101)/VLOOKUP($F101,IF({1,0},站位样品信息!$A$3:INDEX(站位样品信息!$A:$A,COUNTA(站位样品信息!$A:$A)+1),站位样品信息!$H$3:INDEX(站位样品信息!$H:$H,COUNTA(站位样品信息!$H:$H)+1)),2,0),2))</f>
        <v/>
      </c>
      <c r="O101" s="49"/>
      <c r="P101" s="53" t="str">
        <f t="shared" si="7"/>
        <v/>
      </c>
      <c r="Q101" s="53" t="str">
        <f t="shared" si="8"/>
        <v/>
      </c>
    </row>
    <row r="102" spans="1:17" ht="19.5" customHeight="1">
      <c r="A102" s="38"/>
      <c r="B102" s="38"/>
      <c r="C102" s="38"/>
      <c r="D102" s="37"/>
      <c r="E102" s="37"/>
      <c r="F102" s="37"/>
      <c r="G102" s="37" t="str">
        <f>IF(F102="","",INDEX(站位样品信息!$B$3:INDEX(站位样品信息!$B:$B,COUNTA(站位样品信息!$B:$B)+1),MATCH($F102,站位样品信息!$A$3:INDEX(站位样品信息!$A:$A,COUNTA(站位样品信息!$A:$A)+1),),))</f>
        <v/>
      </c>
      <c r="H102" s="55" t="str">
        <f>IF(OR(A102&lt;&gt;"",B102&lt;&gt;"",C102&lt;&gt;""),IF($C102&lt;&gt;0,INDEX(生物种群!$A$3:INDEX(生物种群!$A:$A,COUNTA(生物种群!$A:$A)),MATCH($C102,生物种群!$F$3:INDEX(生物种群!$F:$F,COUNTA(生物种群!$F:$F)),),),IF($A102&lt;&gt;0,INDEX(生物种群!$A$3:INDEX(生物种群!$A:$A,COUNTA(生物种群!$A:$A)),MATCH($A102,生物种群!$C$3:INDEX(生物种群!$C:$C,COUNTA(生物种群!$C:$C)),),),INDEX(生物种群!$A$3:INDEX(生物种群!$A:$A,COUNTA(生物种群!$A:$A)),MATCH($B102,生物种群!$D$3:INDEX(生物种群!$D:$D,COUNTA(生物种群!$D:$D)),),))),"")</f>
        <v/>
      </c>
      <c r="I102" s="56" t="str">
        <f>IF(H102="","",INDEX(生物种群!$B$3:INDEX(生物种群!$B:$B,COUNTA(生物种群!$B:$B)),MATCH($H102,生物种群!$A$3:INDEX(生物种群!$A:$A,COUNTA(生物种群!$A:$A)),),))</f>
        <v/>
      </c>
      <c r="J102" s="55" t="str">
        <f>IF(H102="","",INDEX(生物种群!$I$3:INDEX(生物种群!$I:$I,COUNTA(生物种群!$I:$I)),MATCH($H102,生物种群!$A$3:INDEX(生物种群!$A:$A,COUNTA(生物种群!$A:$A)),),))</f>
        <v/>
      </c>
      <c r="K102" s="55" t="str">
        <f>IF(H102="","",INDEX(生物种群!$E$3:INDEX(生物种群!$E:$E,COUNTA(生物种群!$E:$E)),MATCH($H102,生物种群!$A$3:INDEX(生物种群!$A:$A,COUNTA(生物种群!$A:$A)),),))</f>
        <v/>
      </c>
      <c r="L102" s="46" t="str">
        <f t="shared" si="9"/>
        <v/>
      </c>
      <c r="M102" s="47" t="str">
        <f>IF(L102="","",ROUND((L102)/VLOOKUP($F102,IF({1,0},站位样品信息!$A$3:INDEX(站位样品信息!$A:$A,COUNTA(站位样品信息!$A:$A)+1),站位样品信息!$H$3:INDEX(站位样品信息!$H:$H,COUNTA(站位样品信息!$H:$H)+1)),2,0),2))</f>
        <v/>
      </c>
      <c r="O102" s="49"/>
      <c r="P102" s="53" t="str">
        <f t="shared" si="7"/>
        <v/>
      </c>
      <c r="Q102" s="53" t="str">
        <f t="shared" si="8"/>
        <v/>
      </c>
    </row>
    <row r="103" spans="1:17" ht="19.5" customHeight="1">
      <c r="A103" s="38"/>
      <c r="B103" s="38"/>
      <c r="C103" s="38"/>
      <c r="D103" s="37"/>
      <c r="E103" s="37"/>
      <c r="F103" s="37"/>
      <c r="G103" s="37" t="str">
        <f>IF(F103="","",INDEX(站位样品信息!$B$3:INDEX(站位样品信息!$B:$B,COUNTA(站位样品信息!$B:$B)+1),MATCH($F103,站位样品信息!$A$3:INDEX(站位样品信息!$A:$A,COUNTA(站位样品信息!$A:$A)+1),),))</f>
        <v/>
      </c>
      <c r="H103" s="55" t="str">
        <f>IF(OR(A103&lt;&gt;"",B103&lt;&gt;"",C103&lt;&gt;""),IF($C103&lt;&gt;0,INDEX(生物种群!$A$3:INDEX(生物种群!$A:$A,COUNTA(生物种群!$A:$A)),MATCH($C103,生物种群!$F$3:INDEX(生物种群!$F:$F,COUNTA(生物种群!$F:$F)),),),IF($A103&lt;&gt;0,INDEX(生物种群!$A$3:INDEX(生物种群!$A:$A,COUNTA(生物种群!$A:$A)),MATCH($A103,生物种群!$C$3:INDEX(生物种群!$C:$C,COUNTA(生物种群!$C:$C)),),),INDEX(生物种群!$A$3:INDEX(生物种群!$A:$A,COUNTA(生物种群!$A:$A)),MATCH($B103,生物种群!$D$3:INDEX(生物种群!$D:$D,COUNTA(生物种群!$D:$D)),),))),"")</f>
        <v/>
      </c>
      <c r="I103" s="56" t="str">
        <f>IF(H103="","",INDEX(生物种群!$B$3:INDEX(生物种群!$B:$B,COUNTA(生物种群!$B:$B)),MATCH($H103,生物种群!$A$3:INDEX(生物种群!$A:$A,COUNTA(生物种群!$A:$A)),),))</f>
        <v/>
      </c>
      <c r="J103" s="55" t="str">
        <f>IF(H103="","",INDEX(生物种群!$I$3:INDEX(生物种群!$I:$I,COUNTA(生物种群!$I:$I)),MATCH($H103,生物种群!$A$3:INDEX(生物种群!$A:$A,COUNTA(生物种群!$A:$A)),),))</f>
        <v/>
      </c>
      <c r="K103" s="55" t="str">
        <f>IF(H103="","",INDEX(生物种群!$E$3:INDEX(生物种群!$E:$E,COUNTA(生物种群!$E:$E)),MATCH($H103,生物种群!$A$3:INDEX(生物种群!$A:$A,COUNTA(生物种群!$A:$A)),),))</f>
        <v/>
      </c>
      <c r="L103" s="46" t="str">
        <f t="shared" si="9"/>
        <v/>
      </c>
      <c r="M103" s="47" t="str">
        <f>IF(L103="","",ROUND((L103)/VLOOKUP($F103,IF({1,0},站位样品信息!$A$3:INDEX(站位样品信息!$A:$A,COUNTA(站位样品信息!$A:$A)+1),站位样品信息!$H$3:INDEX(站位样品信息!$H:$H,COUNTA(站位样品信息!$H:$H)+1)),2,0),2))</f>
        <v/>
      </c>
      <c r="O103" s="49"/>
      <c r="P103" s="53" t="str">
        <f t="shared" si="7"/>
        <v/>
      </c>
      <c r="Q103" s="53" t="str">
        <f t="shared" si="8"/>
        <v/>
      </c>
    </row>
    <row r="104" spans="1:17" ht="19.5" customHeight="1">
      <c r="A104" s="38"/>
      <c r="B104" s="38"/>
      <c r="C104" s="38"/>
      <c r="D104" s="37"/>
      <c r="E104" s="37"/>
      <c r="F104" s="37"/>
      <c r="G104" s="37" t="str">
        <f>IF(F104="","",INDEX(站位样品信息!$B$3:INDEX(站位样品信息!$B:$B,COUNTA(站位样品信息!$B:$B)+1),MATCH($F104,站位样品信息!$A$3:INDEX(站位样品信息!$A:$A,COUNTA(站位样品信息!$A:$A)+1),),))</f>
        <v/>
      </c>
      <c r="H104" s="55" t="str">
        <f>IF(OR(A104&lt;&gt;"",B104&lt;&gt;"",C104&lt;&gt;""),IF($C104&lt;&gt;0,INDEX(生物种群!$A$3:INDEX(生物种群!$A:$A,COUNTA(生物种群!$A:$A)),MATCH($C104,生物种群!$F$3:INDEX(生物种群!$F:$F,COUNTA(生物种群!$F:$F)),),),IF($A104&lt;&gt;0,INDEX(生物种群!$A$3:INDEX(生物种群!$A:$A,COUNTA(生物种群!$A:$A)),MATCH($A104,生物种群!$C$3:INDEX(生物种群!$C:$C,COUNTA(生物种群!$C:$C)),),),INDEX(生物种群!$A$3:INDEX(生物种群!$A:$A,COUNTA(生物种群!$A:$A)),MATCH($B104,生物种群!$D$3:INDEX(生物种群!$D:$D,COUNTA(生物种群!$D:$D)),),))),"")</f>
        <v/>
      </c>
      <c r="I104" s="56" t="str">
        <f>IF(H104="","",INDEX(生物种群!$B$3:INDEX(生物种群!$B:$B,COUNTA(生物种群!$B:$B)),MATCH($H104,生物种群!$A$3:INDEX(生物种群!$A:$A,COUNTA(生物种群!$A:$A)),),))</f>
        <v/>
      </c>
      <c r="J104" s="55" t="str">
        <f>IF(H104="","",INDEX(生物种群!$I$3:INDEX(生物种群!$I:$I,COUNTA(生物种群!$I:$I)),MATCH($H104,生物种群!$A$3:INDEX(生物种群!$A:$A,COUNTA(生物种群!$A:$A)),),))</f>
        <v/>
      </c>
      <c r="K104" s="55" t="str">
        <f>IF(H104="","",INDEX(生物种群!$E$3:INDEX(生物种群!$E:$E,COUNTA(生物种群!$E:$E)),MATCH($H104,生物种群!$A$3:INDEX(生物种群!$A:$A,COUNTA(生物种群!$A:$A)),),))</f>
        <v/>
      </c>
      <c r="L104" s="46" t="str">
        <f t="shared" si="9"/>
        <v/>
      </c>
      <c r="M104" s="47" t="str">
        <f>IF(L104="","",ROUND((L104)/VLOOKUP($F104,IF({1,0},站位样品信息!$A$3:INDEX(站位样品信息!$A:$A,COUNTA(站位样品信息!$A:$A)+1),站位样品信息!$H$3:INDEX(站位样品信息!$H:$H,COUNTA(站位样品信息!$H:$H)+1)),2,0),2))</f>
        <v/>
      </c>
      <c r="O104" s="49"/>
      <c r="P104" s="53" t="str">
        <f t="shared" si="7"/>
        <v/>
      </c>
      <c r="Q104" s="53" t="str">
        <f t="shared" si="8"/>
        <v/>
      </c>
    </row>
    <row r="105" spans="1:17" ht="19.5" customHeight="1">
      <c r="A105" s="38"/>
      <c r="B105" s="38"/>
      <c r="C105" s="38"/>
      <c r="D105" s="37"/>
      <c r="E105" s="37"/>
      <c r="F105" s="37"/>
      <c r="G105" s="37" t="str">
        <f>IF(F105="","",INDEX(站位样品信息!$B$3:INDEX(站位样品信息!$B:$B,COUNTA(站位样品信息!$B:$B)+1),MATCH($F105,站位样品信息!$A$3:INDEX(站位样品信息!$A:$A,COUNTA(站位样品信息!$A:$A)+1),),))</f>
        <v/>
      </c>
      <c r="H105" s="55" t="str">
        <f>IF(OR(A105&lt;&gt;"",B105&lt;&gt;"",C105&lt;&gt;""),IF($C105&lt;&gt;0,INDEX(生物种群!$A$3:INDEX(生物种群!$A:$A,COUNTA(生物种群!$A:$A)),MATCH($C105,生物种群!$F$3:INDEX(生物种群!$F:$F,COUNTA(生物种群!$F:$F)),),),IF($A105&lt;&gt;0,INDEX(生物种群!$A$3:INDEX(生物种群!$A:$A,COUNTA(生物种群!$A:$A)),MATCH($A105,生物种群!$C$3:INDEX(生物种群!$C:$C,COUNTA(生物种群!$C:$C)),),),INDEX(生物种群!$A$3:INDEX(生物种群!$A:$A,COUNTA(生物种群!$A:$A)),MATCH($B105,生物种群!$D$3:INDEX(生物种群!$D:$D,COUNTA(生物种群!$D:$D)),),))),"")</f>
        <v/>
      </c>
      <c r="I105" s="56" t="str">
        <f>IF(H105="","",INDEX(生物种群!$B$3:INDEX(生物种群!$B:$B,COUNTA(生物种群!$B:$B)),MATCH($H105,生物种群!$A$3:INDEX(生物种群!$A:$A,COUNTA(生物种群!$A:$A)),),))</f>
        <v/>
      </c>
      <c r="J105" s="55" t="str">
        <f>IF(H105="","",INDEX(生物种群!$I$3:INDEX(生物种群!$I:$I,COUNTA(生物种群!$I:$I)),MATCH($H105,生物种群!$A$3:INDEX(生物种群!$A:$A,COUNTA(生物种群!$A:$A)),),))</f>
        <v/>
      </c>
      <c r="K105" s="55" t="str">
        <f>IF(H105="","",INDEX(生物种群!$E$3:INDEX(生物种群!$E:$E,COUNTA(生物种群!$E:$E)),MATCH($H105,生物种群!$A$3:INDEX(生物种群!$A:$A,COUNTA(生物种群!$A:$A)),),))</f>
        <v/>
      </c>
      <c r="L105" s="46" t="str">
        <f t="shared" si="9"/>
        <v/>
      </c>
      <c r="M105" s="47" t="str">
        <f>IF(L105="","",ROUND((L105)/VLOOKUP($F105,IF({1,0},站位样品信息!$A$3:INDEX(站位样品信息!$A:$A,COUNTA(站位样品信息!$A:$A)+1),站位样品信息!$H$3:INDEX(站位样品信息!$H:$H,COUNTA(站位样品信息!$H:$H)+1)),2,0),2))</f>
        <v/>
      </c>
      <c r="O105" s="49"/>
      <c r="P105" s="53" t="str">
        <f t="shared" si="7"/>
        <v/>
      </c>
      <c r="Q105" s="53" t="str">
        <f t="shared" si="8"/>
        <v/>
      </c>
    </row>
    <row r="106" spans="1:17" ht="19.5" customHeight="1">
      <c r="A106" s="38"/>
      <c r="B106" s="38"/>
      <c r="C106" s="38"/>
      <c r="D106" s="37"/>
      <c r="E106" s="37"/>
      <c r="F106" s="37"/>
      <c r="G106" s="37" t="str">
        <f>IF(F106="","",INDEX(站位样品信息!$B$3:INDEX(站位样品信息!$B:$B,COUNTA(站位样品信息!$B:$B)+1),MATCH($F106,站位样品信息!$A$3:INDEX(站位样品信息!$A:$A,COUNTA(站位样品信息!$A:$A)+1),),))</f>
        <v/>
      </c>
      <c r="H106" s="55" t="str">
        <f>IF(OR(A106&lt;&gt;"",B106&lt;&gt;"",C106&lt;&gt;""),IF($C106&lt;&gt;0,INDEX(生物种群!$A$3:INDEX(生物种群!$A:$A,COUNTA(生物种群!$A:$A)),MATCH($C106,生物种群!$F$3:INDEX(生物种群!$F:$F,COUNTA(生物种群!$F:$F)),),),IF($A106&lt;&gt;0,INDEX(生物种群!$A$3:INDEX(生物种群!$A:$A,COUNTA(生物种群!$A:$A)),MATCH($A106,生物种群!$C$3:INDEX(生物种群!$C:$C,COUNTA(生物种群!$C:$C)),),),INDEX(生物种群!$A$3:INDEX(生物种群!$A:$A,COUNTA(生物种群!$A:$A)),MATCH($B106,生物种群!$D$3:INDEX(生物种群!$D:$D,COUNTA(生物种群!$D:$D)),),))),"")</f>
        <v/>
      </c>
      <c r="I106" s="56" t="str">
        <f>IF(H106="","",INDEX(生物种群!$B$3:INDEX(生物种群!$B:$B,COUNTA(生物种群!$B:$B)),MATCH($H106,生物种群!$A$3:INDEX(生物种群!$A:$A,COUNTA(生物种群!$A:$A)),),))</f>
        <v/>
      </c>
      <c r="J106" s="55" t="str">
        <f>IF(H106="","",INDEX(生物种群!$I$3:INDEX(生物种群!$I:$I,COUNTA(生物种群!$I:$I)),MATCH($H106,生物种群!$A$3:INDEX(生物种群!$A:$A,COUNTA(生物种群!$A:$A)),),))</f>
        <v/>
      </c>
      <c r="K106" s="55" t="str">
        <f>IF(H106="","",INDEX(生物种群!$E$3:INDEX(生物种群!$E:$E,COUNTA(生物种群!$E:$E)),MATCH($H106,生物种群!$A$3:INDEX(生物种群!$A:$A,COUNTA(生物种群!$A:$A)),),))</f>
        <v/>
      </c>
      <c r="L106" s="46" t="str">
        <f t="shared" si="9"/>
        <v/>
      </c>
      <c r="M106" s="47" t="str">
        <f>IF(L106="","",ROUND((L106)/VLOOKUP($F106,IF({1,0},站位样品信息!$A$3:INDEX(站位样品信息!$A:$A,COUNTA(站位样品信息!$A:$A)+1),站位样品信息!$H$3:INDEX(站位样品信息!$H:$H,COUNTA(站位样品信息!$H:$H)+1)),2,0),2))</f>
        <v/>
      </c>
      <c r="O106" s="49"/>
      <c r="P106" s="53" t="str">
        <f t="shared" si="7"/>
        <v/>
      </c>
      <c r="Q106" s="53" t="str">
        <f t="shared" si="8"/>
        <v/>
      </c>
    </row>
    <row r="107" spans="1:17" ht="19.5" customHeight="1">
      <c r="A107" s="38"/>
      <c r="B107" s="38"/>
      <c r="C107" s="38"/>
      <c r="D107" s="37"/>
      <c r="E107" s="37"/>
      <c r="F107" s="37"/>
      <c r="G107" s="37" t="str">
        <f>IF(F107="","",INDEX(站位样品信息!$B$3:INDEX(站位样品信息!$B:$B,COUNTA(站位样品信息!$B:$B)+1),MATCH($F107,站位样品信息!$A$3:INDEX(站位样品信息!$A:$A,COUNTA(站位样品信息!$A:$A)+1),),))</f>
        <v/>
      </c>
      <c r="H107" s="55" t="str">
        <f>IF(OR(A107&lt;&gt;"",B107&lt;&gt;"",C107&lt;&gt;""),IF($C107&lt;&gt;0,INDEX(生物种群!$A$3:INDEX(生物种群!$A:$A,COUNTA(生物种群!$A:$A)),MATCH($C107,生物种群!$F$3:INDEX(生物种群!$F:$F,COUNTA(生物种群!$F:$F)),),),IF($A107&lt;&gt;0,INDEX(生物种群!$A$3:INDEX(生物种群!$A:$A,COUNTA(生物种群!$A:$A)),MATCH($A107,生物种群!$C$3:INDEX(生物种群!$C:$C,COUNTA(生物种群!$C:$C)),),),INDEX(生物种群!$A$3:INDEX(生物种群!$A:$A,COUNTA(生物种群!$A:$A)),MATCH($B107,生物种群!$D$3:INDEX(生物种群!$D:$D,COUNTA(生物种群!$D:$D)),),))),"")</f>
        <v/>
      </c>
      <c r="I107" s="56" t="str">
        <f>IF(H107="","",INDEX(生物种群!$B$3:INDEX(生物种群!$B:$B,COUNTA(生物种群!$B:$B)),MATCH($H107,生物种群!$A$3:INDEX(生物种群!$A:$A,COUNTA(生物种群!$A:$A)),),))</f>
        <v/>
      </c>
      <c r="J107" s="55" t="str">
        <f>IF(H107="","",INDEX(生物种群!$I$3:INDEX(生物种群!$I:$I,COUNTA(生物种群!$I:$I)),MATCH($H107,生物种群!$A$3:INDEX(生物种群!$A:$A,COUNTA(生物种群!$A:$A)),),))</f>
        <v/>
      </c>
      <c r="K107" s="55" t="str">
        <f>IF(H107="","",INDEX(生物种群!$E$3:INDEX(生物种群!$E:$E,COUNTA(生物种群!$E:$E)),MATCH($H107,生物种群!$A$3:INDEX(生物种群!$A:$A,COUNTA(生物种群!$A:$A)),),))</f>
        <v/>
      </c>
      <c r="L107" s="46" t="str">
        <f t="shared" si="9"/>
        <v/>
      </c>
      <c r="M107" s="47" t="str">
        <f>IF(L107="","",ROUND((L107)/VLOOKUP($F107,IF({1,0},站位样品信息!$A$3:INDEX(站位样品信息!$A:$A,COUNTA(站位样品信息!$A:$A)+1),站位样品信息!$H$3:INDEX(站位样品信息!$H:$H,COUNTA(站位样品信息!$H:$H)+1)),2,0),2))</f>
        <v/>
      </c>
      <c r="O107" s="49"/>
      <c r="P107" s="53" t="str">
        <f t="shared" si="7"/>
        <v/>
      </c>
      <c r="Q107" s="53" t="str">
        <f t="shared" si="8"/>
        <v/>
      </c>
    </row>
    <row r="108" spans="1:17" ht="19.5" customHeight="1">
      <c r="A108" s="38"/>
      <c r="B108" s="38"/>
      <c r="C108" s="38"/>
      <c r="D108" s="37"/>
      <c r="E108" s="37"/>
      <c r="F108" s="37"/>
      <c r="G108" s="37" t="str">
        <f>IF(F108="","",INDEX(站位样品信息!$B$3:INDEX(站位样品信息!$B:$B,COUNTA(站位样品信息!$B:$B)+1),MATCH($F108,站位样品信息!$A$3:INDEX(站位样品信息!$A:$A,COUNTA(站位样品信息!$A:$A)+1),),))</f>
        <v/>
      </c>
      <c r="H108" s="55" t="str">
        <f>IF(OR(A108&lt;&gt;"",B108&lt;&gt;"",C108&lt;&gt;""),IF($C108&lt;&gt;0,INDEX(生物种群!$A$3:INDEX(生物种群!$A:$A,COUNTA(生物种群!$A:$A)),MATCH($C108,生物种群!$F$3:INDEX(生物种群!$F:$F,COUNTA(生物种群!$F:$F)),),),IF($A108&lt;&gt;0,INDEX(生物种群!$A$3:INDEX(生物种群!$A:$A,COUNTA(生物种群!$A:$A)),MATCH($A108,生物种群!$C$3:INDEX(生物种群!$C:$C,COUNTA(生物种群!$C:$C)),),),INDEX(生物种群!$A$3:INDEX(生物种群!$A:$A,COUNTA(生物种群!$A:$A)),MATCH($B108,生物种群!$D$3:INDEX(生物种群!$D:$D,COUNTA(生物种群!$D:$D)),),))),"")</f>
        <v/>
      </c>
      <c r="I108" s="56" t="str">
        <f>IF(H108="","",INDEX(生物种群!$B$3:INDEX(生物种群!$B:$B,COUNTA(生物种群!$B:$B)),MATCH($H108,生物种群!$A$3:INDEX(生物种群!$A:$A,COUNTA(生物种群!$A:$A)),),))</f>
        <v/>
      </c>
      <c r="J108" s="55" t="str">
        <f>IF(H108="","",INDEX(生物种群!$I$3:INDEX(生物种群!$I:$I,COUNTA(生物种群!$I:$I)),MATCH($H108,生物种群!$A$3:INDEX(生物种群!$A:$A,COUNTA(生物种群!$A:$A)),),))</f>
        <v/>
      </c>
      <c r="K108" s="55" t="str">
        <f>IF(H108="","",INDEX(生物种群!$E$3:INDEX(生物种群!$E:$E,COUNTA(生物种群!$E:$E)),MATCH($H108,生物种群!$A$3:INDEX(生物种群!$A:$A,COUNTA(生物种群!$A:$A)),),))</f>
        <v/>
      </c>
      <c r="L108" s="46" t="str">
        <f t="shared" si="9"/>
        <v/>
      </c>
      <c r="M108" s="47" t="str">
        <f>IF(L108="","",ROUND((L108)/VLOOKUP($F108,IF({1,0},站位样品信息!$A$3:INDEX(站位样品信息!$A:$A,COUNTA(站位样品信息!$A:$A)+1),站位样品信息!$H$3:INDEX(站位样品信息!$H:$H,COUNTA(站位样品信息!$H:$H)+1)),2,0),2))</f>
        <v/>
      </c>
      <c r="O108" s="49"/>
      <c r="P108" s="53" t="str">
        <f t="shared" si="7"/>
        <v/>
      </c>
      <c r="Q108" s="53" t="str">
        <f t="shared" si="8"/>
        <v/>
      </c>
    </row>
    <row r="109" spans="1:17" ht="19.5" customHeight="1">
      <c r="A109" s="38"/>
      <c r="B109" s="38"/>
      <c r="C109" s="38"/>
      <c r="D109" s="37"/>
      <c r="E109" s="37"/>
      <c r="F109" s="37"/>
      <c r="G109" s="37" t="str">
        <f>IF(F109="","",INDEX(站位样品信息!$B$3:INDEX(站位样品信息!$B:$B,COUNTA(站位样品信息!$B:$B)+1),MATCH($F109,站位样品信息!$A$3:INDEX(站位样品信息!$A:$A,COUNTA(站位样品信息!$A:$A)+1),),))</f>
        <v/>
      </c>
      <c r="H109" s="55" t="str">
        <f>IF(OR(A109&lt;&gt;"",B109&lt;&gt;"",C109&lt;&gt;""),IF($C109&lt;&gt;0,INDEX(生物种群!$A$3:INDEX(生物种群!$A:$A,COUNTA(生物种群!$A:$A)),MATCH($C109,生物种群!$F$3:INDEX(生物种群!$F:$F,COUNTA(生物种群!$F:$F)),),),IF($A109&lt;&gt;0,INDEX(生物种群!$A$3:INDEX(生物种群!$A:$A,COUNTA(生物种群!$A:$A)),MATCH($A109,生物种群!$C$3:INDEX(生物种群!$C:$C,COUNTA(生物种群!$C:$C)),),),INDEX(生物种群!$A$3:INDEX(生物种群!$A:$A,COUNTA(生物种群!$A:$A)),MATCH($B109,生物种群!$D$3:INDEX(生物种群!$D:$D,COUNTA(生物种群!$D:$D)),),))),"")</f>
        <v/>
      </c>
      <c r="I109" s="56" t="str">
        <f>IF(H109="","",INDEX(生物种群!$B$3:INDEX(生物种群!$B:$B,COUNTA(生物种群!$B:$B)),MATCH($H109,生物种群!$A$3:INDEX(生物种群!$A:$A,COUNTA(生物种群!$A:$A)),),))</f>
        <v/>
      </c>
      <c r="J109" s="55" t="str">
        <f>IF(H109="","",INDEX(生物种群!$I$3:INDEX(生物种群!$I:$I,COUNTA(生物种群!$I:$I)),MATCH($H109,生物种群!$A$3:INDEX(生物种群!$A:$A,COUNTA(生物种群!$A:$A)),),))</f>
        <v/>
      </c>
      <c r="K109" s="55" t="str">
        <f>IF(H109="","",INDEX(生物种群!$E$3:INDEX(生物种群!$E:$E,COUNTA(生物种群!$E:$E)),MATCH($H109,生物种群!$A$3:INDEX(生物种群!$A:$A,COUNTA(生物种群!$A:$A)),),))</f>
        <v/>
      </c>
      <c r="L109" s="46" t="str">
        <f t="shared" si="9"/>
        <v/>
      </c>
      <c r="M109" s="47" t="str">
        <f>IF(L109="","",ROUND((L109)/VLOOKUP($F109,IF({1,0},站位样品信息!$A$3:INDEX(站位样品信息!$A:$A,COUNTA(站位样品信息!$A:$A)+1),站位样品信息!$H$3:INDEX(站位样品信息!$H:$H,COUNTA(站位样品信息!$H:$H)+1)),2,0),2))</f>
        <v/>
      </c>
      <c r="O109" s="49"/>
      <c r="P109" s="53" t="str">
        <f t="shared" si="7"/>
        <v/>
      </c>
      <c r="Q109" s="53" t="str">
        <f t="shared" si="8"/>
        <v/>
      </c>
    </row>
    <row r="110" spans="1:17" ht="19.5" customHeight="1">
      <c r="A110" s="38"/>
      <c r="B110" s="38"/>
      <c r="C110" s="38"/>
      <c r="D110" s="37"/>
      <c r="E110" s="37"/>
      <c r="F110" s="37"/>
      <c r="G110" s="37" t="str">
        <f>IF(F110="","",INDEX(站位样品信息!$B$3:INDEX(站位样品信息!$B:$B,COUNTA(站位样品信息!$B:$B)+1),MATCH($F110,站位样品信息!$A$3:INDEX(站位样品信息!$A:$A,COUNTA(站位样品信息!$A:$A)+1),),))</f>
        <v/>
      </c>
      <c r="H110" s="55" t="str">
        <f>IF(OR(A110&lt;&gt;"",B110&lt;&gt;"",C110&lt;&gt;""),IF($C110&lt;&gt;0,INDEX(生物种群!$A$3:INDEX(生物种群!$A:$A,COUNTA(生物种群!$A:$A)),MATCH($C110,生物种群!$F$3:INDEX(生物种群!$F:$F,COUNTA(生物种群!$F:$F)),),),IF($A110&lt;&gt;0,INDEX(生物种群!$A$3:INDEX(生物种群!$A:$A,COUNTA(生物种群!$A:$A)),MATCH($A110,生物种群!$C$3:INDEX(生物种群!$C:$C,COUNTA(生物种群!$C:$C)),),),INDEX(生物种群!$A$3:INDEX(生物种群!$A:$A,COUNTA(生物种群!$A:$A)),MATCH($B110,生物种群!$D$3:INDEX(生物种群!$D:$D,COUNTA(生物种群!$D:$D)),),))),"")</f>
        <v/>
      </c>
      <c r="I110" s="56" t="str">
        <f>IF(H110="","",INDEX(生物种群!$B$3:INDEX(生物种群!$B:$B,COUNTA(生物种群!$B:$B)),MATCH($H110,生物种群!$A$3:INDEX(生物种群!$A:$A,COUNTA(生物种群!$A:$A)),),))</f>
        <v/>
      </c>
      <c r="J110" s="55" t="str">
        <f>IF(H110="","",INDEX(生物种群!$I$3:INDEX(生物种群!$I:$I,COUNTA(生物种群!$I:$I)),MATCH($H110,生物种群!$A$3:INDEX(生物种群!$A:$A,COUNTA(生物种群!$A:$A)),),))</f>
        <v/>
      </c>
      <c r="K110" s="55" t="str">
        <f>IF(H110="","",INDEX(生物种群!$E$3:INDEX(生物种群!$E:$E,COUNTA(生物种群!$E:$E)),MATCH($H110,生物种群!$A$3:INDEX(生物种群!$A:$A,COUNTA(生物种群!$A:$A)),),))</f>
        <v/>
      </c>
      <c r="L110" s="46" t="str">
        <f t="shared" si="9"/>
        <v/>
      </c>
      <c r="M110" s="47" t="str">
        <f>IF(L110="","",ROUND((L110)/VLOOKUP($F110,IF({1,0},站位样品信息!$A$3:INDEX(站位样品信息!$A:$A,COUNTA(站位样品信息!$A:$A)+1),站位样品信息!$H$3:INDEX(站位样品信息!$H:$H,COUNTA(站位样品信息!$H:$H)+1)),2,0),2))</f>
        <v/>
      </c>
      <c r="O110" s="49"/>
      <c r="P110" s="53" t="str">
        <f t="shared" si="7"/>
        <v/>
      </c>
      <c r="Q110" s="53" t="str">
        <f t="shared" si="8"/>
        <v/>
      </c>
    </row>
    <row r="111" spans="1:17" ht="19.5" customHeight="1">
      <c r="A111" s="38"/>
      <c r="B111" s="38"/>
      <c r="C111" s="38"/>
      <c r="D111" s="37"/>
      <c r="E111" s="37"/>
      <c r="F111" s="37"/>
      <c r="G111" s="37" t="str">
        <f>IF(F111="","",INDEX(站位样品信息!$B$3:INDEX(站位样品信息!$B:$B,COUNTA(站位样品信息!$B:$B)+1),MATCH($F111,站位样品信息!$A$3:INDEX(站位样品信息!$A:$A,COUNTA(站位样品信息!$A:$A)+1),),))</f>
        <v/>
      </c>
      <c r="H111" s="55" t="str">
        <f>IF(OR(A111&lt;&gt;"",B111&lt;&gt;"",C111&lt;&gt;""),IF($C111&lt;&gt;0,INDEX(生物种群!$A$3:INDEX(生物种群!$A:$A,COUNTA(生物种群!$A:$A)),MATCH($C111,生物种群!$F$3:INDEX(生物种群!$F:$F,COUNTA(生物种群!$F:$F)),),),IF($A111&lt;&gt;0,INDEX(生物种群!$A$3:INDEX(生物种群!$A:$A,COUNTA(生物种群!$A:$A)),MATCH($A111,生物种群!$C$3:INDEX(生物种群!$C:$C,COUNTA(生物种群!$C:$C)),),),INDEX(生物种群!$A$3:INDEX(生物种群!$A:$A,COUNTA(生物种群!$A:$A)),MATCH($B111,生物种群!$D$3:INDEX(生物种群!$D:$D,COUNTA(生物种群!$D:$D)),),))),"")</f>
        <v/>
      </c>
      <c r="I111" s="56" t="str">
        <f>IF(H111="","",INDEX(生物种群!$B$3:INDEX(生物种群!$B:$B,COUNTA(生物种群!$B:$B)),MATCH($H111,生物种群!$A$3:INDEX(生物种群!$A:$A,COUNTA(生物种群!$A:$A)),),))</f>
        <v/>
      </c>
      <c r="J111" s="55" t="str">
        <f>IF(H111="","",INDEX(生物种群!$I$3:INDEX(生物种群!$I:$I,COUNTA(生物种群!$I:$I)),MATCH($H111,生物种群!$A$3:INDEX(生物种群!$A:$A,COUNTA(生物种群!$A:$A)),),))</f>
        <v/>
      </c>
      <c r="K111" s="55" t="str">
        <f>IF(H111="","",INDEX(生物种群!$E$3:INDEX(生物种群!$E:$E,COUNTA(生物种群!$E:$E)),MATCH($H111,生物种群!$A$3:INDEX(生物种群!$A:$A,COUNTA(生物种群!$A:$A)),),))</f>
        <v/>
      </c>
      <c r="L111" s="46" t="str">
        <f t="shared" si="9"/>
        <v/>
      </c>
      <c r="M111" s="47" t="str">
        <f>IF(L111="","",ROUND((L111)/VLOOKUP($F111,IF({1,0},站位样品信息!$A$3:INDEX(站位样品信息!$A:$A,COUNTA(站位样品信息!$A:$A)+1),站位样品信息!$H$3:INDEX(站位样品信息!$H:$H,COUNTA(站位样品信息!$H:$H)+1)),2,0),2))</f>
        <v/>
      </c>
      <c r="O111" s="49"/>
      <c r="P111" s="53" t="str">
        <f t="shared" si="7"/>
        <v/>
      </c>
      <c r="Q111" s="53" t="str">
        <f t="shared" si="8"/>
        <v/>
      </c>
    </row>
    <row r="112" spans="1:17" ht="19.5" customHeight="1">
      <c r="A112" s="38"/>
      <c r="B112" s="38"/>
      <c r="C112" s="38"/>
      <c r="D112" s="37"/>
      <c r="E112" s="37"/>
      <c r="F112" s="37"/>
      <c r="G112" s="37" t="str">
        <f>IF(F112="","",INDEX(站位样品信息!$B$3:INDEX(站位样品信息!$B:$B,COUNTA(站位样品信息!$B:$B)+1),MATCH($F112,站位样品信息!$A$3:INDEX(站位样品信息!$A:$A,COUNTA(站位样品信息!$A:$A)+1),),))</f>
        <v/>
      </c>
      <c r="H112" s="55" t="str">
        <f>IF(OR(A112&lt;&gt;"",B112&lt;&gt;"",C112&lt;&gt;""),IF($C112&lt;&gt;0,INDEX(生物种群!$A$3:INDEX(生物种群!$A:$A,COUNTA(生物种群!$A:$A)),MATCH($C112,生物种群!$F$3:INDEX(生物种群!$F:$F,COUNTA(生物种群!$F:$F)),),),IF($A112&lt;&gt;0,INDEX(生物种群!$A$3:INDEX(生物种群!$A:$A,COUNTA(生物种群!$A:$A)),MATCH($A112,生物种群!$C$3:INDEX(生物种群!$C:$C,COUNTA(生物种群!$C:$C)),),),INDEX(生物种群!$A$3:INDEX(生物种群!$A:$A,COUNTA(生物种群!$A:$A)),MATCH($B112,生物种群!$D$3:INDEX(生物种群!$D:$D,COUNTA(生物种群!$D:$D)),),))),"")</f>
        <v/>
      </c>
      <c r="I112" s="56" t="str">
        <f>IF(H112="","",INDEX(生物种群!$B$3:INDEX(生物种群!$B:$B,COUNTA(生物种群!$B:$B)),MATCH($H112,生物种群!$A$3:INDEX(生物种群!$A:$A,COUNTA(生物种群!$A:$A)),),))</f>
        <v/>
      </c>
      <c r="J112" s="55" t="str">
        <f>IF(H112="","",INDEX(生物种群!$I$3:INDEX(生物种群!$I:$I,COUNTA(生物种群!$I:$I)),MATCH($H112,生物种群!$A$3:INDEX(生物种群!$A:$A,COUNTA(生物种群!$A:$A)),),))</f>
        <v/>
      </c>
      <c r="K112" s="55" t="str">
        <f>IF(H112="","",INDEX(生物种群!$E$3:INDEX(生物种群!$E:$E,COUNTA(生物种群!$E:$E)),MATCH($H112,生物种群!$A$3:INDEX(生物种群!$A:$A,COUNTA(生物种群!$A:$A)),),))</f>
        <v/>
      </c>
      <c r="L112" s="46" t="str">
        <f t="shared" si="9"/>
        <v/>
      </c>
      <c r="M112" s="47" t="str">
        <f>IF(L112="","",ROUND((L112)/VLOOKUP($F112,IF({1,0},站位样品信息!$A$3:INDEX(站位样品信息!$A:$A,COUNTA(站位样品信息!$A:$A)+1),站位样品信息!$H$3:INDEX(站位样品信息!$H:$H,COUNTA(站位样品信息!$H:$H)+1)),2,0),2))</f>
        <v/>
      </c>
      <c r="O112" s="49"/>
      <c r="P112" s="53" t="str">
        <f t="shared" si="7"/>
        <v/>
      </c>
      <c r="Q112" s="53" t="str">
        <f t="shared" si="8"/>
        <v/>
      </c>
    </row>
    <row r="113" spans="1:17" ht="19.5" customHeight="1">
      <c r="A113" s="38"/>
      <c r="B113" s="38"/>
      <c r="C113" s="38"/>
      <c r="D113" s="37"/>
      <c r="E113" s="37"/>
      <c r="F113" s="37"/>
      <c r="G113" s="37" t="str">
        <f>IF(F113="","",INDEX(站位样品信息!$B$3:INDEX(站位样品信息!$B:$B,COUNTA(站位样品信息!$B:$B)+1),MATCH($F113,站位样品信息!$A$3:INDEX(站位样品信息!$A:$A,COUNTA(站位样品信息!$A:$A)+1),),))</f>
        <v/>
      </c>
      <c r="H113" s="55" t="str">
        <f>IF(OR(A113&lt;&gt;"",B113&lt;&gt;"",C113&lt;&gt;""),IF($C113&lt;&gt;0,INDEX(生物种群!$A$3:INDEX(生物种群!$A:$A,COUNTA(生物种群!$A:$A)),MATCH($C113,生物种群!$F$3:INDEX(生物种群!$F:$F,COUNTA(生物种群!$F:$F)),),),IF($A113&lt;&gt;0,INDEX(生物种群!$A$3:INDEX(生物种群!$A:$A,COUNTA(生物种群!$A:$A)),MATCH($A113,生物种群!$C$3:INDEX(生物种群!$C:$C,COUNTA(生物种群!$C:$C)),),),INDEX(生物种群!$A$3:INDEX(生物种群!$A:$A,COUNTA(生物种群!$A:$A)),MATCH($B113,生物种群!$D$3:INDEX(生物种群!$D:$D,COUNTA(生物种群!$D:$D)),),))),"")</f>
        <v/>
      </c>
      <c r="I113" s="56" t="str">
        <f>IF(H113="","",INDEX(生物种群!$B$3:INDEX(生物种群!$B:$B,COUNTA(生物种群!$B:$B)),MATCH($H113,生物种群!$A$3:INDEX(生物种群!$A:$A,COUNTA(生物种群!$A:$A)),),))</f>
        <v/>
      </c>
      <c r="J113" s="55" t="str">
        <f>IF(H113="","",INDEX(生物种群!$I$3:INDEX(生物种群!$I:$I,COUNTA(生物种群!$I:$I)),MATCH($H113,生物种群!$A$3:INDEX(生物种群!$A:$A,COUNTA(生物种群!$A:$A)),),))</f>
        <v/>
      </c>
      <c r="K113" s="55" t="str">
        <f>IF(H113="","",INDEX(生物种群!$E$3:INDEX(生物种群!$E:$E,COUNTA(生物种群!$E:$E)),MATCH($H113,生物种群!$A$3:INDEX(生物种群!$A:$A,COUNTA(生物种群!$A:$A)),),))</f>
        <v/>
      </c>
      <c r="L113" s="46" t="str">
        <f t="shared" si="9"/>
        <v/>
      </c>
      <c r="M113" s="47" t="str">
        <f>IF(L113="","",ROUND((L113)/VLOOKUP($F113,IF({1,0},站位样品信息!$A$3:INDEX(站位样品信息!$A:$A,COUNTA(站位样品信息!$A:$A)+1),站位样品信息!$H$3:INDEX(站位样品信息!$H:$H,COUNTA(站位样品信息!$H:$H)+1)),2,0),2))</f>
        <v/>
      </c>
      <c r="O113" s="49"/>
      <c r="P113" s="53" t="str">
        <f t="shared" si="7"/>
        <v/>
      </c>
      <c r="Q113" s="53" t="str">
        <f t="shared" si="8"/>
        <v/>
      </c>
    </row>
    <row r="114" spans="1:17" ht="19.5" customHeight="1">
      <c r="A114" s="38"/>
      <c r="B114" s="38"/>
      <c r="C114" s="38"/>
      <c r="D114" s="37"/>
      <c r="E114" s="37"/>
      <c r="F114" s="37"/>
      <c r="G114" s="37" t="str">
        <f>IF(F114="","",INDEX(站位样品信息!$B$3:INDEX(站位样品信息!$B:$B,COUNTA(站位样品信息!$B:$B)+1),MATCH($F114,站位样品信息!$A$3:INDEX(站位样品信息!$A:$A,COUNTA(站位样品信息!$A:$A)+1),),))</f>
        <v/>
      </c>
      <c r="H114" s="55" t="str">
        <f>IF(OR(A114&lt;&gt;"",B114&lt;&gt;"",C114&lt;&gt;""),IF($C114&lt;&gt;0,INDEX(生物种群!$A$3:INDEX(生物种群!$A:$A,COUNTA(生物种群!$A:$A)),MATCH($C114,生物种群!$F$3:INDEX(生物种群!$F:$F,COUNTA(生物种群!$F:$F)),),),IF($A114&lt;&gt;0,INDEX(生物种群!$A$3:INDEX(生物种群!$A:$A,COUNTA(生物种群!$A:$A)),MATCH($A114,生物种群!$C$3:INDEX(生物种群!$C:$C,COUNTA(生物种群!$C:$C)),),),INDEX(生物种群!$A$3:INDEX(生物种群!$A:$A,COUNTA(生物种群!$A:$A)),MATCH($B114,生物种群!$D$3:INDEX(生物种群!$D:$D,COUNTA(生物种群!$D:$D)),),))),"")</f>
        <v/>
      </c>
      <c r="I114" s="56" t="str">
        <f>IF(H114="","",INDEX(生物种群!$B$3:INDEX(生物种群!$B:$B,COUNTA(生物种群!$B:$B)),MATCH($H114,生物种群!$A$3:INDEX(生物种群!$A:$A,COUNTA(生物种群!$A:$A)),),))</f>
        <v/>
      </c>
      <c r="J114" s="55" t="str">
        <f>IF(H114="","",INDEX(生物种群!$I$3:INDEX(生物种群!$I:$I,COUNTA(生物种群!$I:$I)),MATCH($H114,生物种群!$A$3:INDEX(生物种群!$A:$A,COUNTA(生物种群!$A:$A)),),))</f>
        <v/>
      </c>
      <c r="K114" s="55" t="str">
        <f>IF(H114="","",INDEX(生物种群!$E$3:INDEX(生物种群!$E:$E,COUNTA(生物种群!$E:$E)),MATCH($H114,生物种群!$A$3:INDEX(生物种群!$A:$A,COUNTA(生物种群!$A:$A)),),))</f>
        <v/>
      </c>
      <c r="L114" s="46" t="str">
        <f t="shared" si="9"/>
        <v/>
      </c>
      <c r="M114" s="47" t="str">
        <f>IF(L114="","",ROUND((L114)/VLOOKUP($F114,IF({1,0},站位样品信息!$A$3:INDEX(站位样品信息!$A:$A,COUNTA(站位样品信息!$A:$A)+1),站位样品信息!$H$3:INDEX(站位样品信息!$H:$H,COUNTA(站位样品信息!$H:$H)+1)),2,0),2))</f>
        <v/>
      </c>
      <c r="O114" s="49"/>
      <c r="P114" s="53" t="str">
        <f t="shared" si="7"/>
        <v/>
      </c>
      <c r="Q114" s="53" t="str">
        <f t="shared" si="8"/>
        <v/>
      </c>
    </row>
    <row r="115" spans="1:17" ht="19.5" customHeight="1">
      <c r="A115" s="38"/>
      <c r="B115" s="38"/>
      <c r="C115" s="38"/>
      <c r="D115" s="37"/>
      <c r="E115" s="37"/>
      <c r="F115" s="37"/>
      <c r="G115" s="37" t="str">
        <f>IF(F115="","",INDEX(站位样品信息!$B$3:INDEX(站位样品信息!$B:$B,COUNTA(站位样品信息!$B:$B)+1),MATCH($F115,站位样品信息!$A$3:INDEX(站位样品信息!$A:$A,COUNTA(站位样品信息!$A:$A)+1),),))</f>
        <v/>
      </c>
      <c r="H115" s="55" t="str">
        <f>IF(OR(A115&lt;&gt;"",B115&lt;&gt;"",C115&lt;&gt;""),IF($C115&lt;&gt;0,INDEX(生物种群!$A$3:INDEX(生物种群!$A:$A,COUNTA(生物种群!$A:$A)),MATCH($C115,生物种群!$F$3:INDEX(生物种群!$F:$F,COUNTA(生物种群!$F:$F)),),),IF($A115&lt;&gt;0,INDEX(生物种群!$A$3:INDEX(生物种群!$A:$A,COUNTA(生物种群!$A:$A)),MATCH($A115,生物种群!$C$3:INDEX(生物种群!$C:$C,COUNTA(生物种群!$C:$C)),),),INDEX(生物种群!$A$3:INDEX(生物种群!$A:$A,COUNTA(生物种群!$A:$A)),MATCH($B115,生物种群!$D$3:INDEX(生物种群!$D:$D,COUNTA(生物种群!$D:$D)),),))),"")</f>
        <v/>
      </c>
      <c r="I115" s="56" t="str">
        <f>IF(H115="","",INDEX(生物种群!$B$3:INDEX(生物种群!$B:$B,COUNTA(生物种群!$B:$B)),MATCH($H115,生物种群!$A$3:INDEX(生物种群!$A:$A,COUNTA(生物种群!$A:$A)),),))</f>
        <v/>
      </c>
      <c r="J115" s="55" t="str">
        <f>IF(H115="","",INDEX(生物种群!$I$3:INDEX(生物种群!$I:$I,COUNTA(生物种群!$I:$I)),MATCH($H115,生物种群!$A$3:INDEX(生物种群!$A:$A,COUNTA(生物种群!$A:$A)),),))</f>
        <v/>
      </c>
      <c r="K115" s="55" t="str">
        <f>IF(H115="","",INDEX(生物种群!$E$3:INDEX(生物种群!$E:$E,COUNTA(生物种群!$E:$E)),MATCH($H115,生物种群!$A$3:INDEX(生物种群!$A:$A,COUNTA(生物种群!$A:$A)),),))</f>
        <v/>
      </c>
      <c r="L115" s="46" t="str">
        <f t="shared" si="9"/>
        <v/>
      </c>
      <c r="M115" s="47" t="str">
        <f>IF(L115="","",ROUND((L115)/VLOOKUP($F115,IF({1,0},站位样品信息!$A$3:INDEX(站位样品信息!$A:$A,COUNTA(站位样品信息!$A:$A)+1),站位样品信息!$H$3:INDEX(站位样品信息!$H:$H,COUNTA(站位样品信息!$H:$H)+1)),2,0),2))</f>
        <v/>
      </c>
      <c r="O115" s="49"/>
      <c r="P115" s="53" t="str">
        <f t="shared" si="7"/>
        <v/>
      </c>
      <c r="Q115" s="53" t="str">
        <f t="shared" si="8"/>
        <v/>
      </c>
    </row>
    <row r="116" spans="1:17" ht="19.5" customHeight="1">
      <c r="A116" s="38"/>
      <c r="B116" s="38"/>
      <c r="C116" s="38"/>
      <c r="D116" s="37"/>
      <c r="E116" s="37"/>
      <c r="F116" s="37"/>
      <c r="G116" s="37" t="str">
        <f>IF(F116="","",INDEX(站位样品信息!$B$3:INDEX(站位样品信息!$B:$B,COUNTA(站位样品信息!$B:$B)+1),MATCH($F116,站位样品信息!$A$3:INDEX(站位样品信息!$A:$A,COUNTA(站位样品信息!$A:$A)+1),),))</f>
        <v/>
      </c>
      <c r="H116" s="55" t="str">
        <f>IF(OR(A116&lt;&gt;"",B116&lt;&gt;"",C116&lt;&gt;""),IF($C116&lt;&gt;0,INDEX(生物种群!$A$3:INDEX(生物种群!$A:$A,COUNTA(生物种群!$A:$A)),MATCH($C116,生物种群!$F$3:INDEX(生物种群!$F:$F,COUNTA(生物种群!$F:$F)),),),IF($A116&lt;&gt;0,INDEX(生物种群!$A$3:INDEX(生物种群!$A:$A,COUNTA(生物种群!$A:$A)),MATCH($A116,生物种群!$C$3:INDEX(生物种群!$C:$C,COUNTA(生物种群!$C:$C)),),),INDEX(生物种群!$A$3:INDEX(生物种群!$A:$A,COUNTA(生物种群!$A:$A)),MATCH($B116,生物种群!$D$3:INDEX(生物种群!$D:$D,COUNTA(生物种群!$D:$D)),),))),"")</f>
        <v/>
      </c>
      <c r="I116" s="56" t="str">
        <f>IF(H116="","",INDEX(生物种群!$B$3:INDEX(生物种群!$B:$B,COUNTA(生物种群!$B:$B)),MATCH($H116,生物种群!$A$3:INDEX(生物种群!$A:$A,COUNTA(生物种群!$A:$A)),),))</f>
        <v/>
      </c>
      <c r="J116" s="55" t="str">
        <f>IF(H116="","",INDEX(生物种群!$I$3:INDEX(生物种群!$I:$I,COUNTA(生物种群!$I:$I)),MATCH($H116,生物种群!$A$3:INDEX(生物种群!$A:$A,COUNTA(生物种群!$A:$A)),),))</f>
        <v/>
      </c>
      <c r="K116" s="55" t="str">
        <f>IF(H116="","",INDEX(生物种群!$E$3:INDEX(生物种群!$E:$E,COUNTA(生物种群!$E:$E)),MATCH($H116,生物种群!$A$3:INDEX(生物种群!$A:$A,COUNTA(生物种群!$A:$A)),),))</f>
        <v/>
      </c>
      <c r="L116" s="46" t="str">
        <f t="shared" si="9"/>
        <v/>
      </c>
      <c r="M116" s="47" t="str">
        <f>IF(L116="","",ROUND((L116)/VLOOKUP($F116,IF({1,0},站位样品信息!$A$3:INDEX(站位样品信息!$A:$A,COUNTA(站位样品信息!$A:$A)+1),站位样品信息!$H$3:INDEX(站位样品信息!$H:$H,COUNTA(站位样品信息!$H:$H)+1)),2,0),2))</f>
        <v/>
      </c>
      <c r="O116" s="49"/>
      <c r="P116" s="53" t="str">
        <f t="shared" si="7"/>
        <v/>
      </c>
      <c r="Q116" s="53" t="str">
        <f t="shared" si="8"/>
        <v/>
      </c>
    </row>
    <row r="117" spans="1:17" ht="19.5" customHeight="1">
      <c r="A117" s="38"/>
      <c r="B117" s="38"/>
      <c r="C117" s="38"/>
      <c r="D117" s="37"/>
      <c r="E117" s="37"/>
      <c r="F117" s="37"/>
      <c r="G117" s="37" t="str">
        <f>IF(F117="","",INDEX(站位样品信息!$B$3:INDEX(站位样品信息!$B:$B,COUNTA(站位样品信息!$B:$B)+1),MATCH($F117,站位样品信息!$A$3:INDEX(站位样品信息!$A:$A,COUNTA(站位样品信息!$A:$A)+1),),))</f>
        <v/>
      </c>
      <c r="H117" s="55" t="str">
        <f>IF(OR(A117&lt;&gt;"",B117&lt;&gt;"",C117&lt;&gt;""),IF($C117&lt;&gt;0,INDEX(生物种群!$A$3:INDEX(生物种群!$A:$A,COUNTA(生物种群!$A:$A)),MATCH($C117,生物种群!$F$3:INDEX(生物种群!$F:$F,COUNTA(生物种群!$F:$F)),),),IF($A117&lt;&gt;0,INDEX(生物种群!$A$3:INDEX(生物种群!$A:$A,COUNTA(生物种群!$A:$A)),MATCH($A117,生物种群!$C$3:INDEX(生物种群!$C:$C,COUNTA(生物种群!$C:$C)),),),INDEX(生物种群!$A$3:INDEX(生物种群!$A:$A,COUNTA(生物种群!$A:$A)),MATCH($B117,生物种群!$D$3:INDEX(生物种群!$D:$D,COUNTA(生物种群!$D:$D)),),))),"")</f>
        <v/>
      </c>
      <c r="I117" s="56" t="str">
        <f>IF(H117="","",INDEX(生物种群!$B$3:INDEX(生物种群!$B:$B,COUNTA(生物种群!$B:$B)),MATCH($H117,生物种群!$A$3:INDEX(生物种群!$A:$A,COUNTA(生物种群!$A:$A)),),))</f>
        <v/>
      </c>
      <c r="J117" s="55" t="str">
        <f>IF(H117="","",INDEX(生物种群!$I$3:INDEX(生物种群!$I:$I,COUNTA(生物种群!$I:$I)),MATCH($H117,生物种群!$A$3:INDEX(生物种群!$A:$A,COUNTA(生物种群!$A:$A)),),))</f>
        <v/>
      </c>
      <c r="K117" s="55" t="str">
        <f>IF(H117="","",INDEX(生物种群!$E$3:INDEX(生物种群!$E:$E,COUNTA(生物种群!$E:$E)),MATCH($H117,生物种群!$A$3:INDEX(生物种群!$A:$A,COUNTA(生物种群!$A:$A)),),))</f>
        <v/>
      </c>
      <c r="L117" s="46" t="str">
        <f t="shared" si="9"/>
        <v/>
      </c>
      <c r="M117" s="47" t="str">
        <f>IF(L117="","",ROUND((L117)/VLOOKUP($F117,IF({1,0},站位样品信息!$A$3:INDEX(站位样品信息!$A:$A,COUNTA(站位样品信息!$A:$A)+1),站位样品信息!$H$3:INDEX(站位样品信息!$H:$H,COUNTA(站位样品信息!$H:$H)+1)),2,0),2))</f>
        <v/>
      </c>
      <c r="O117" s="49"/>
      <c r="P117" s="53" t="str">
        <f t="shared" si="7"/>
        <v/>
      </c>
      <c r="Q117" s="53" t="str">
        <f t="shared" si="8"/>
        <v/>
      </c>
    </row>
    <row r="118" spans="1:17" ht="19.5" customHeight="1">
      <c r="A118" s="38"/>
      <c r="B118" s="38"/>
      <c r="C118" s="38"/>
      <c r="D118" s="37"/>
      <c r="E118" s="37"/>
      <c r="F118" s="37"/>
      <c r="G118" s="37" t="str">
        <f>IF(F118="","",INDEX(站位样品信息!$B$3:INDEX(站位样品信息!$B:$B,COUNTA(站位样品信息!$B:$B)+1),MATCH($F118,站位样品信息!$A$3:INDEX(站位样品信息!$A:$A,COUNTA(站位样品信息!$A:$A)+1),),))</f>
        <v/>
      </c>
      <c r="H118" s="55" t="str">
        <f>IF(OR(A118&lt;&gt;"",B118&lt;&gt;"",C118&lt;&gt;""),IF($C118&lt;&gt;0,INDEX(生物种群!$A$3:INDEX(生物种群!$A:$A,COUNTA(生物种群!$A:$A)),MATCH($C118,生物种群!$F$3:INDEX(生物种群!$F:$F,COUNTA(生物种群!$F:$F)),),),IF($A118&lt;&gt;0,INDEX(生物种群!$A$3:INDEX(生物种群!$A:$A,COUNTA(生物种群!$A:$A)),MATCH($A118,生物种群!$C$3:INDEX(生物种群!$C:$C,COUNTA(生物种群!$C:$C)),),),INDEX(生物种群!$A$3:INDEX(生物种群!$A:$A,COUNTA(生物种群!$A:$A)),MATCH($B118,生物种群!$D$3:INDEX(生物种群!$D:$D,COUNTA(生物种群!$D:$D)),),))),"")</f>
        <v/>
      </c>
      <c r="I118" s="56" t="str">
        <f>IF(H118="","",INDEX(生物种群!$B$3:INDEX(生物种群!$B:$B,COUNTA(生物种群!$B:$B)),MATCH($H118,生物种群!$A$3:INDEX(生物种群!$A:$A,COUNTA(生物种群!$A:$A)),),))</f>
        <v/>
      </c>
      <c r="J118" s="55" t="str">
        <f>IF(H118="","",INDEX(生物种群!$I$3:INDEX(生物种群!$I:$I,COUNTA(生物种群!$I:$I)),MATCH($H118,生物种群!$A$3:INDEX(生物种群!$A:$A,COUNTA(生物种群!$A:$A)),),))</f>
        <v/>
      </c>
      <c r="K118" s="55" t="str">
        <f>IF(H118="","",INDEX(生物种群!$E$3:INDEX(生物种群!$E:$E,COUNTA(生物种群!$E:$E)),MATCH($H118,生物种群!$A$3:INDEX(生物种群!$A:$A,COUNTA(生物种群!$A:$A)),),))</f>
        <v/>
      </c>
      <c r="L118" s="46" t="str">
        <f t="shared" si="9"/>
        <v/>
      </c>
      <c r="M118" s="47" t="str">
        <f>IF(L118="","",ROUND((L118)/VLOOKUP($F118,IF({1,0},站位样品信息!$A$3:INDEX(站位样品信息!$A:$A,COUNTA(站位样品信息!$A:$A)+1),站位样品信息!$H$3:INDEX(站位样品信息!$H:$H,COUNTA(站位样品信息!$H:$H)+1)),2,0),2))</f>
        <v/>
      </c>
      <c r="O118" s="49"/>
      <c r="P118" s="53" t="str">
        <f t="shared" si="7"/>
        <v/>
      </c>
      <c r="Q118" s="53" t="str">
        <f t="shared" si="8"/>
        <v/>
      </c>
    </row>
    <row r="119" spans="1:17" ht="19.5" customHeight="1">
      <c r="A119" s="38"/>
      <c r="B119" s="38"/>
      <c r="C119" s="38"/>
      <c r="D119" s="37"/>
      <c r="E119" s="37"/>
      <c r="F119" s="37"/>
      <c r="G119" s="37" t="str">
        <f>IF(F119="","",INDEX(站位样品信息!$B$3:INDEX(站位样品信息!$B:$B,COUNTA(站位样品信息!$B:$B)+1),MATCH($F119,站位样品信息!$A$3:INDEX(站位样品信息!$A:$A,COUNTA(站位样品信息!$A:$A)+1),),))</f>
        <v/>
      </c>
      <c r="H119" s="55" t="str">
        <f>IF(OR(A119&lt;&gt;"",B119&lt;&gt;"",C119&lt;&gt;""),IF($C119&lt;&gt;0,INDEX(生物种群!$A$3:INDEX(生物种群!$A:$A,COUNTA(生物种群!$A:$A)),MATCH($C119,生物种群!$F$3:INDEX(生物种群!$F:$F,COUNTA(生物种群!$F:$F)),),),IF($A119&lt;&gt;0,INDEX(生物种群!$A$3:INDEX(生物种群!$A:$A,COUNTA(生物种群!$A:$A)),MATCH($A119,生物种群!$C$3:INDEX(生物种群!$C:$C,COUNTA(生物种群!$C:$C)),),),INDEX(生物种群!$A$3:INDEX(生物种群!$A:$A,COUNTA(生物种群!$A:$A)),MATCH($B119,生物种群!$D$3:INDEX(生物种群!$D:$D,COUNTA(生物种群!$D:$D)),),))),"")</f>
        <v/>
      </c>
      <c r="I119" s="56" t="str">
        <f>IF(H119="","",INDEX(生物种群!$B$3:INDEX(生物种群!$B:$B,COUNTA(生物种群!$B:$B)),MATCH($H119,生物种群!$A$3:INDEX(生物种群!$A:$A,COUNTA(生物种群!$A:$A)),),))</f>
        <v/>
      </c>
      <c r="J119" s="55" t="str">
        <f>IF(H119="","",INDEX(生物种群!$I$3:INDEX(生物种群!$I:$I,COUNTA(生物种群!$I:$I)),MATCH($H119,生物种群!$A$3:INDEX(生物种群!$A:$A,COUNTA(生物种群!$A:$A)),),))</f>
        <v/>
      </c>
      <c r="K119" s="55" t="str">
        <f>IF(H119="","",INDEX(生物种群!$E$3:INDEX(生物种群!$E:$E,COUNTA(生物种群!$E:$E)),MATCH($H119,生物种群!$A$3:INDEX(生物种群!$A:$A,COUNTA(生物种群!$A:$A)),),))</f>
        <v/>
      </c>
      <c r="L119" s="46" t="str">
        <f t="shared" si="9"/>
        <v/>
      </c>
      <c r="M119" s="47" t="str">
        <f>IF(L119="","",ROUND((L119)/VLOOKUP($F119,IF({1,0},站位样品信息!$A$3:INDEX(站位样品信息!$A:$A,COUNTA(站位样品信息!$A:$A)+1),站位样品信息!$H$3:INDEX(站位样品信息!$H:$H,COUNTA(站位样品信息!$H:$H)+1)),2,0),2))</f>
        <v/>
      </c>
      <c r="O119" s="49"/>
      <c r="P119" s="53" t="str">
        <f t="shared" si="7"/>
        <v/>
      </c>
      <c r="Q119" s="53" t="str">
        <f t="shared" si="8"/>
        <v/>
      </c>
    </row>
    <row r="120" spans="1:17" ht="19.5" customHeight="1">
      <c r="A120" s="38"/>
      <c r="B120" s="38"/>
      <c r="C120" s="38"/>
      <c r="D120" s="37"/>
      <c r="E120" s="37"/>
      <c r="F120" s="37"/>
      <c r="G120" s="37" t="str">
        <f>IF(F120="","",INDEX(站位样品信息!$B$3:INDEX(站位样品信息!$B:$B,COUNTA(站位样品信息!$B:$B)+1),MATCH($F120,站位样品信息!$A$3:INDEX(站位样品信息!$A:$A,COUNTA(站位样品信息!$A:$A)+1),),))</f>
        <v/>
      </c>
      <c r="H120" s="55" t="str">
        <f>IF(OR(A120&lt;&gt;"",B120&lt;&gt;"",C120&lt;&gt;""),IF($C120&lt;&gt;0,INDEX(生物种群!$A$3:INDEX(生物种群!$A:$A,COUNTA(生物种群!$A:$A)),MATCH($C120,生物种群!$F$3:INDEX(生物种群!$F:$F,COUNTA(生物种群!$F:$F)),),),IF($A120&lt;&gt;0,INDEX(生物种群!$A$3:INDEX(生物种群!$A:$A,COUNTA(生物种群!$A:$A)),MATCH($A120,生物种群!$C$3:INDEX(生物种群!$C:$C,COUNTA(生物种群!$C:$C)),),),INDEX(生物种群!$A$3:INDEX(生物种群!$A:$A,COUNTA(生物种群!$A:$A)),MATCH($B120,生物种群!$D$3:INDEX(生物种群!$D:$D,COUNTA(生物种群!$D:$D)),),))),"")</f>
        <v/>
      </c>
      <c r="I120" s="56" t="str">
        <f>IF(H120="","",INDEX(生物种群!$B$3:INDEX(生物种群!$B:$B,COUNTA(生物种群!$B:$B)),MATCH($H120,生物种群!$A$3:INDEX(生物种群!$A:$A,COUNTA(生物种群!$A:$A)),),))</f>
        <v/>
      </c>
      <c r="J120" s="55" t="str">
        <f>IF(H120="","",INDEX(生物种群!$I$3:INDEX(生物种群!$I:$I,COUNTA(生物种群!$I:$I)),MATCH($H120,生物种群!$A$3:INDEX(生物种群!$A:$A,COUNTA(生物种群!$A:$A)),),))</f>
        <v/>
      </c>
      <c r="K120" s="55" t="str">
        <f>IF(H120="","",INDEX(生物种群!$E$3:INDEX(生物种群!$E:$E,COUNTA(生物种群!$E:$E)),MATCH($H120,生物种群!$A$3:INDEX(生物种群!$A:$A,COUNTA(生物种群!$A:$A)),),))</f>
        <v/>
      </c>
      <c r="L120" s="46" t="str">
        <f t="shared" si="9"/>
        <v/>
      </c>
      <c r="M120" s="47" t="str">
        <f>IF(L120="","",ROUND((L120)/VLOOKUP($F120,IF({1,0},站位样品信息!$A$3:INDEX(站位样品信息!$A:$A,COUNTA(站位样品信息!$A:$A)+1),站位样品信息!$H$3:INDEX(站位样品信息!$H:$H,COUNTA(站位样品信息!$H:$H)+1)),2,0),2))</f>
        <v/>
      </c>
      <c r="O120" s="49"/>
      <c r="P120" s="53" t="str">
        <f t="shared" si="7"/>
        <v/>
      </c>
      <c r="Q120" s="53" t="str">
        <f t="shared" si="8"/>
        <v/>
      </c>
    </row>
    <row r="121" spans="1:17" ht="19.5" customHeight="1">
      <c r="A121" s="38"/>
      <c r="B121" s="38"/>
      <c r="C121" s="38"/>
      <c r="D121" s="37"/>
      <c r="E121" s="37"/>
      <c r="F121" s="37"/>
      <c r="G121" s="37" t="str">
        <f>IF(F121="","",INDEX(站位样品信息!$B$3:INDEX(站位样品信息!$B:$B,COUNTA(站位样品信息!$B:$B)+1),MATCH($F121,站位样品信息!$A$3:INDEX(站位样品信息!$A:$A,COUNTA(站位样品信息!$A:$A)+1),),))</f>
        <v/>
      </c>
      <c r="H121" s="55" t="str">
        <f>IF(OR(A121&lt;&gt;"",B121&lt;&gt;"",C121&lt;&gt;""),IF($C121&lt;&gt;0,INDEX(生物种群!$A$3:INDEX(生物种群!$A:$A,COUNTA(生物种群!$A:$A)),MATCH($C121,生物种群!$F$3:INDEX(生物种群!$F:$F,COUNTA(生物种群!$F:$F)),),),IF($A121&lt;&gt;0,INDEX(生物种群!$A$3:INDEX(生物种群!$A:$A,COUNTA(生物种群!$A:$A)),MATCH($A121,生物种群!$C$3:INDEX(生物种群!$C:$C,COUNTA(生物种群!$C:$C)),),),INDEX(生物种群!$A$3:INDEX(生物种群!$A:$A,COUNTA(生物种群!$A:$A)),MATCH($B121,生物种群!$D$3:INDEX(生物种群!$D:$D,COUNTA(生物种群!$D:$D)),),))),"")</f>
        <v/>
      </c>
      <c r="I121" s="56" t="str">
        <f>IF(H121="","",INDEX(生物种群!$B$3:INDEX(生物种群!$B:$B,COUNTA(生物种群!$B:$B)),MATCH($H121,生物种群!$A$3:INDEX(生物种群!$A:$A,COUNTA(生物种群!$A:$A)),),))</f>
        <v/>
      </c>
      <c r="J121" s="55" t="str">
        <f>IF(H121="","",INDEX(生物种群!$I$3:INDEX(生物种群!$I:$I,COUNTA(生物种群!$I:$I)),MATCH($H121,生物种群!$A$3:INDEX(生物种群!$A:$A,COUNTA(生物种群!$A:$A)),),))</f>
        <v/>
      </c>
      <c r="K121" s="55" t="str">
        <f>IF(H121="","",INDEX(生物种群!$E$3:INDEX(生物种群!$E:$E,COUNTA(生物种群!$E:$E)),MATCH($H121,生物种群!$A$3:INDEX(生物种群!$A:$A,COUNTA(生物种群!$A:$A)),),))</f>
        <v/>
      </c>
      <c r="L121" s="46" t="str">
        <f t="shared" si="9"/>
        <v/>
      </c>
      <c r="M121" s="47" t="str">
        <f>IF(L121="","",ROUND((L121)/VLOOKUP($F121,IF({1,0},站位样品信息!$A$3:INDEX(站位样品信息!$A:$A,COUNTA(站位样品信息!$A:$A)+1),站位样品信息!$H$3:INDEX(站位样品信息!$H:$H,COUNTA(站位样品信息!$H:$H)+1)),2,0),2))</f>
        <v/>
      </c>
      <c r="O121" s="49"/>
      <c r="P121" s="53" t="str">
        <f t="shared" si="7"/>
        <v/>
      </c>
      <c r="Q121" s="53" t="str">
        <f t="shared" si="8"/>
        <v/>
      </c>
    </row>
    <row r="122" spans="1:17" ht="19.5" customHeight="1">
      <c r="A122" s="38"/>
      <c r="B122" s="38"/>
      <c r="C122" s="38"/>
      <c r="D122" s="37"/>
      <c r="E122" s="37"/>
      <c r="F122" s="37"/>
      <c r="G122" s="37" t="str">
        <f>IF(F122="","",INDEX(站位样品信息!$B$3:INDEX(站位样品信息!$B:$B,COUNTA(站位样品信息!$B:$B)+1),MATCH($F122,站位样品信息!$A$3:INDEX(站位样品信息!$A:$A,COUNTA(站位样品信息!$A:$A)+1),),))</f>
        <v/>
      </c>
      <c r="H122" s="55" t="str">
        <f>IF(OR(A122&lt;&gt;"",B122&lt;&gt;"",C122&lt;&gt;""),IF($C122&lt;&gt;0,INDEX(生物种群!$A$3:INDEX(生物种群!$A:$A,COUNTA(生物种群!$A:$A)),MATCH($C122,生物种群!$F$3:INDEX(生物种群!$F:$F,COUNTA(生物种群!$F:$F)),),),IF($A122&lt;&gt;0,INDEX(生物种群!$A$3:INDEX(生物种群!$A:$A,COUNTA(生物种群!$A:$A)),MATCH($A122,生物种群!$C$3:INDEX(生物种群!$C:$C,COUNTA(生物种群!$C:$C)),),),INDEX(生物种群!$A$3:INDEX(生物种群!$A:$A,COUNTA(生物种群!$A:$A)),MATCH($B122,生物种群!$D$3:INDEX(生物种群!$D:$D,COUNTA(生物种群!$D:$D)),),))),"")</f>
        <v/>
      </c>
      <c r="I122" s="56" t="str">
        <f>IF(H122="","",INDEX(生物种群!$B$3:INDEX(生物种群!$B:$B,COUNTA(生物种群!$B:$B)),MATCH($H122,生物种群!$A$3:INDEX(生物种群!$A:$A,COUNTA(生物种群!$A:$A)),),))</f>
        <v/>
      </c>
      <c r="J122" s="55" t="str">
        <f>IF(H122="","",INDEX(生物种群!$I$3:INDEX(生物种群!$I:$I,COUNTA(生物种群!$I:$I)),MATCH($H122,生物种群!$A$3:INDEX(生物种群!$A:$A,COUNTA(生物种群!$A:$A)),),))</f>
        <v/>
      </c>
      <c r="K122" s="55" t="str">
        <f>IF(H122="","",INDEX(生物种群!$E$3:INDEX(生物种群!$E:$E,COUNTA(生物种群!$E:$E)),MATCH($H122,生物种群!$A$3:INDEX(生物种群!$A:$A,COUNTA(生物种群!$A:$A)),),))</f>
        <v/>
      </c>
      <c r="L122" s="46" t="str">
        <f t="shared" si="9"/>
        <v/>
      </c>
      <c r="M122" s="47" t="str">
        <f>IF(L122="","",ROUND((L122)/VLOOKUP($F122,IF({1,0},站位样品信息!$A$3:INDEX(站位样品信息!$A:$A,COUNTA(站位样品信息!$A:$A)+1),站位样品信息!$H$3:INDEX(站位样品信息!$H:$H,COUNTA(站位样品信息!$H:$H)+1)),2,0),2))</f>
        <v/>
      </c>
      <c r="O122" s="49"/>
      <c r="P122" s="53" t="str">
        <f t="shared" si="7"/>
        <v/>
      </c>
      <c r="Q122" s="53" t="str">
        <f t="shared" si="8"/>
        <v/>
      </c>
    </row>
    <row r="123" spans="1:17" ht="19.5" customHeight="1">
      <c r="A123" s="38"/>
      <c r="B123" s="38"/>
      <c r="C123" s="38"/>
      <c r="D123" s="37"/>
      <c r="E123" s="37"/>
      <c r="F123" s="37"/>
      <c r="G123" s="37" t="str">
        <f>IF(F123="","",INDEX(站位样品信息!$B$3:INDEX(站位样品信息!$B:$B,COUNTA(站位样品信息!$B:$B)+1),MATCH($F123,站位样品信息!$A$3:INDEX(站位样品信息!$A:$A,COUNTA(站位样品信息!$A:$A)+1),),))</f>
        <v/>
      </c>
      <c r="H123" s="55" t="str">
        <f>IF(OR(A123&lt;&gt;"",B123&lt;&gt;"",C123&lt;&gt;""),IF($C123&lt;&gt;0,INDEX(生物种群!$A$3:INDEX(生物种群!$A:$A,COUNTA(生物种群!$A:$A)),MATCH($C123,生物种群!$F$3:INDEX(生物种群!$F:$F,COUNTA(生物种群!$F:$F)),),),IF($A123&lt;&gt;0,INDEX(生物种群!$A$3:INDEX(生物种群!$A:$A,COUNTA(生物种群!$A:$A)),MATCH($A123,生物种群!$C$3:INDEX(生物种群!$C:$C,COUNTA(生物种群!$C:$C)),),),INDEX(生物种群!$A$3:INDEX(生物种群!$A:$A,COUNTA(生物种群!$A:$A)),MATCH($B123,生物种群!$D$3:INDEX(生物种群!$D:$D,COUNTA(生物种群!$D:$D)),),))),"")</f>
        <v/>
      </c>
      <c r="I123" s="56" t="str">
        <f>IF(H123="","",INDEX(生物种群!$B$3:INDEX(生物种群!$B:$B,COUNTA(生物种群!$B:$B)),MATCH($H123,生物种群!$A$3:INDEX(生物种群!$A:$A,COUNTA(生物种群!$A:$A)),),))</f>
        <v/>
      </c>
      <c r="J123" s="55" t="str">
        <f>IF(H123="","",INDEX(生物种群!$I$3:INDEX(生物种群!$I:$I,COUNTA(生物种群!$I:$I)),MATCH($H123,生物种群!$A$3:INDEX(生物种群!$A:$A,COUNTA(生物种群!$A:$A)),),))</f>
        <v/>
      </c>
      <c r="K123" s="55" t="str">
        <f>IF(H123="","",INDEX(生物种群!$E$3:INDEX(生物种群!$E:$E,COUNTA(生物种群!$E:$E)),MATCH($H123,生物种群!$A$3:INDEX(生物种群!$A:$A,COUNTA(生物种群!$A:$A)),),))</f>
        <v/>
      </c>
      <c r="L123" s="46" t="str">
        <f t="shared" si="9"/>
        <v/>
      </c>
      <c r="M123" s="47" t="str">
        <f>IF(L123="","",ROUND((L123)/VLOOKUP($F123,IF({1,0},站位样品信息!$A$3:INDEX(站位样品信息!$A:$A,COUNTA(站位样品信息!$A:$A)+1),站位样品信息!$H$3:INDEX(站位样品信息!$H:$H,COUNTA(站位样品信息!$H:$H)+1)),2,0),2))</f>
        <v/>
      </c>
      <c r="O123" s="49"/>
      <c r="P123" s="53" t="str">
        <f t="shared" si="7"/>
        <v/>
      </c>
      <c r="Q123" s="53" t="str">
        <f t="shared" si="8"/>
        <v/>
      </c>
    </row>
    <row r="124" spans="1:17" ht="19.5" customHeight="1">
      <c r="A124" s="38"/>
      <c r="B124" s="38"/>
      <c r="C124" s="38"/>
      <c r="D124" s="37"/>
      <c r="E124" s="37"/>
      <c r="F124" s="37"/>
      <c r="G124" s="37" t="str">
        <f>IF(F124="","",INDEX(站位样品信息!$B$3:INDEX(站位样品信息!$B:$B,COUNTA(站位样品信息!$B:$B)+1),MATCH($F124,站位样品信息!$A$3:INDEX(站位样品信息!$A:$A,COUNTA(站位样品信息!$A:$A)+1),),))</f>
        <v/>
      </c>
      <c r="H124" s="55" t="str">
        <f>IF(OR(A124&lt;&gt;"",B124&lt;&gt;"",C124&lt;&gt;""),IF($C124&lt;&gt;0,INDEX(生物种群!$A$3:INDEX(生物种群!$A:$A,COUNTA(生物种群!$A:$A)),MATCH($C124,生物种群!$F$3:INDEX(生物种群!$F:$F,COUNTA(生物种群!$F:$F)),),),IF($A124&lt;&gt;0,INDEX(生物种群!$A$3:INDEX(生物种群!$A:$A,COUNTA(生物种群!$A:$A)),MATCH($A124,生物种群!$C$3:INDEX(生物种群!$C:$C,COUNTA(生物种群!$C:$C)),),),INDEX(生物种群!$A$3:INDEX(生物种群!$A:$A,COUNTA(生物种群!$A:$A)),MATCH($B124,生物种群!$D$3:INDEX(生物种群!$D:$D,COUNTA(生物种群!$D:$D)),),))),"")</f>
        <v/>
      </c>
      <c r="I124" s="56" t="str">
        <f>IF(H124="","",INDEX(生物种群!$B$3:INDEX(生物种群!$B:$B,COUNTA(生物种群!$B:$B)),MATCH($H124,生物种群!$A$3:INDEX(生物种群!$A:$A,COUNTA(生物种群!$A:$A)),),))</f>
        <v/>
      </c>
      <c r="J124" s="55" t="str">
        <f>IF(H124="","",INDEX(生物种群!$I$3:INDEX(生物种群!$I:$I,COUNTA(生物种群!$I:$I)),MATCH($H124,生物种群!$A$3:INDEX(生物种群!$A:$A,COUNTA(生物种群!$A:$A)),),))</f>
        <v/>
      </c>
      <c r="K124" s="55" t="str">
        <f>IF(H124="","",INDEX(生物种群!$E$3:INDEX(生物种群!$E:$E,COUNTA(生物种群!$E:$E)),MATCH($H124,生物种群!$A$3:INDEX(生物种群!$A:$A,COUNTA(生物种群!$A:$A)),),))</f>
        <v/>
      </c>
      <c r="L124" s="46" t="str">
        <f t="shared" si="9"/>
        <v/>
      </c>
      <c r="M124" s="47" t="str">
        <f>IF(L124="","",ROUND((L124)/VLOOKUP($F124,IF({1,0},站位样品信息!$A$3:INDEX(站位样品信息!$A:$A,COUNTA(站位样品信息!$A:$A)+1),站位样品信息!$H$3:INDEX(站位样品信息!$H:$H,COUNTA(站位样品信息!$H:$H)+1)),2,0),2))</f>
        <v/>
      </c>
      <c r="O124" s="49"/>
      <c r="P124" s="53" t="str">
        <f t="shared" si="7"/>
        <v/>
      </c>
      <c r="Q124" s="53" t="str">
        <f t="shared" si="8"/>
        <v/>
      </c>
    </row>
    <row r="125" spans="1:17" ht="19.5" customHeight="1">
      <c r="A125" s="38"/>
      <c r="B125" s="38"/>
      <c r="C125" s="38"/>
      <c r="D125" s="37"/>
      <c r="E125" s="37"/>
      <c r="F125" s="37"/>
      <c r="G125" s="37" t="str">
        <f>IF(F125="","",INDEX(站位样品信息!$B$3:INDEX(站位样品信息!$B:$B,COUNTA(站位样品信息!$B:$B)+1),MATCH($F125,站位样品信息!$A$3:INDEX(站位样品信息!$A:$A,COUNTA(站位样品信息!$A:$A)+1),),))</f>
        <v/>
      </c>
      <c r="H125" s="55" t="str">
        <f>IF(OR(A125&lt;&gt;"",B125&lt;&gt;"",C125&lt;&gt;""),IF($C125&lt;&gt;0,INDEX(生物种群!$A$3:INDEX(生物种群!$A:$A,COUNTA(生物种群!$A:$A)),MATCH($C125,生物种群!$F$3:INDEX(生物种群!$F:$F,COUNTA(生物种群!$F:$F)),),),IF($A125&lt;&gt;0,INDEX(生物种群!$A$3:INDEX(生物种群!$A:$A,COUNTA(生物种群!$A:$A)),MATCH($A125,生物种群!$C$3:INDEX(生物种群!$C:$C,COUNTA(生物种群!$C:$C)),),),INDEX(生物种群!$A$3:INDEX(生物种群!$A:$A,COUNTA(生物种群!$A:$A)),MATCH($B125,生物种群!$D$3:INDEX(生物种群!$D:$D,COUNTA(生物种群!$D:$D)),),))),"")</f>
        <v/>
      </c>
      <c r="I125" s="56" t="str">
        <f>IF(H125="","",INDEX(生物种群!$B$3:INDEX(生物种群!$B:$B,COUNTA(生物种群!$B:$B)),MATCH($H125,生物种群!$A$3:INDEX(生物种群!$A:$A,COUNTA(生物种群!$A:$A)),),))</f>
        <v/>
      </c>
      <c r="J125" s="55" t="str">
        <f>IF(H125="","",INDEX(生物种群!$I$3:INDEX(生物种群!$I:$I,COUNTA(生物种群!$I:$I)),MATCH($H125,生物种群!$A$3:INDEX(生物种群!$A:$A,COUNTA(生物种群!$A:$A)),),))</f>
        <v/>
      </c>
      <c r="K125" s="55" t="str">
        <f>IF(H125="","",INDEX(生物种群!$E$3:INDEX(生物种群!$E:$E,COUNTA(生物种群!$E:$E)),MATCH($H125,生物种群!$A$3:INDEX(生物种群!$A:$A,COUNTA(生物种群!$A:$A)),),))</f>
        <v/>
      </c>
      <c r="L125" s="46" t="str">
        <f t="shared" si="9"/>
        <v/>
      </c>
      <c r="M125" s="47" t="str">
        <f>IF(L125="","",ROUND((L125)/VLOOKUP($F125,IF({1,0},站位样品信息!$A$3:INDEX(站位样品信息!$A:$A,COUNTA(站位样品信息!$A:$A)+1),站位样品信息!$H$3:INDEX(站位样品信息!$H:$H,COUNTA(站位样品信息!$H:$H)+1)),2,0),2))</f>
        <v/>
      </c>
      <c r="O125" s="49"/>
      <c r="P125" s="53" t="str">
        <f t="shared" si="7"/>
        <v/>
      </c>
      <c r="Q125" s="53" t="str">
        <f t="shared" si="8"/>
        <v/>
      </c>
    </row>
    <row r="126" spans="1:17" ht="19.5" customHeight="1">
      <c r="A126" s="38"/>
      <c r="B126" s="38"/>
      <c r="C126" s="38"/>
      <c r="D126" s="37"/>
      <c r="E126" s="37"/>
      <c r="F126" s="37"/>
      <c r="G126" s="37" t="str">
        <f>IF(F126="","",INDEX(站位样品信息!$B$3:INDEX(站位样品信息!$B:$B,COUNTA(站位样品信息!$B:$B)+1),MATCH($F126,站位样品信息!$A$3:INDEX(站位样品信息!$A:$A,COUNTA(站位样品信息!$A:$A)+1),),))</f>
        <v/>
      </c>
      <c r="H126" s="55" t="str">
        <f>IF(OR(A126&lt;&gt;"",B126&lt;&gt;"",C126&lt;&gt;""),IF($C126&lt;&gt;0,INDEX(生物种群!$A$3:INDEX(生物种群!$A:$A,COUNTA(生物种群!$A:$A)),MATCH($C126,生物种群!$F$3:INDEX(生物种群!$F:$F,COUNTA(生物种群!$F:$F)),),),IF($A126&lt;&gt;0,INDEX(生物种群!$A$3:INDEX(生物种群!$A:$A,COUNTA(生物种群!$A:$A)),MATCH($A126,生物种群!$C$3:INDEX(生物种群!$C:$C,COUNTA(生物种群!$C:$C)),),),INDEX(生物种群!$A$3:INDEX(生物种群!$A:$A,COUNTA(生物种群!$A:$A)),MATCH($B126,生物种群!$D$3:INDEX(生物种群!$D:$D,COUNTA(生物种群!$D:$D)),),))),"")</f>
        <v/>
      </c>
      <c r="I126" s="56" t="str">
        <f>IF(H126="","",INDEX(生物种群!$B$3:INDEX(生物种群!$B:$B,COUNTA(生物种群!$B:$B)),MATCH($H126,生物种群!$A$3:INDEX(生物种群!$A:$A,COUNTA(生物种群!$A:$A)),),))</f>
        <v/>
      </c>
      <c r="J126" s="55" t="str">
        <f>IF(H126="","",INDEX(生物种群!$I$3:INDEX(生物种群!$I:$I,COUNTA(生物种群!$I:$I)),MATCH($H126,生物种群!$A$3:INDEX(生物种群!$A:$A,COUNTA(生物种群!$A:$A)),),))</f>
        <v/>
      </c>
      <c r="K126" s="55" t="str">
        <f>IF(H126="","",INDEX(生物种群!$E$3:INDEX(生物种群!$E:$E,COUNTA(生物种群!$E:$E)),MATCH($H126,生物种群!$A$3:INDEX(生物种群!$A:$A,COUNTA(生物种群!$A:$A)),),))</f>
        <v/>
      </c>
      <c r="L126" s="46" t="str">
        <f t="shared" si="9"/>
        <v/>
      </c>
      <c r="M126" s="47" t="str">
        <f>IF(L126="","",ROUND((L126)/VLOOKUP($F126,IF({1,0},站位样品信息!$A$3:INDEX(站位样品信息!$A:$A,COUNTA(站位样品信息!$A:$A)+1),站位样品信息!$H$3:INDEX(站位样品信息!$H:$H,COUNTA(站位样品信息!$H:$H)+1)),2,0),2))</f>
        <v/>
      </c>
      <c r="O126" s="49"/>
      <c r="P126" s="53" t="str">
        <f t="shared" si="7"/>
        <v/>
      </c>
      <c r="Q126" s="53" t="str">
        <f t="shared" si="8"/>
        <v/>
      </c>
    </row>
    <row r="127" spans="1:17" ht="19.5" customHeight="1">
      <c r="A127" s="38"/>
      <c r="B127" s="38"/>
      <c r="C127" s="38"/>
      <c r="D127" s="37"/>
      <c r="E127" s="37"/>
      <c r="F127" s="37"/>
      <c r="G127" s="37" t="str">
        <f>IF(F127="","",INDEX(站位样品信息!$B$3:INDEX(站位样品信息!$B:$B,COUNTA(站位样品信息!$B:$B)+1),MATCH($F127,站位样品信息!$A$3:INDEX(站位样品信息!$A:$A,COUNTA(站位样品信息!$A:$A)+1),),))</f>
        <v/>
      </c>
      <c r="H127" s="55" t="str">
        <f>IF(OR(A127&lt;&gt;"",B127&lt;&gt;"",C127&lt;&gt;""),IF($C127&lt;&gt;0,INDEX(生物种群!$A$3:INDEX(生物种群!$A:$A,COUNTA(生物种群!$A:$A)),MATCH($C127,生物种群!$F$3:INDEX(生物种群!$F:$F,COUNTA(生物种群!$F:$F)),),),IF($A127&lt;&gt;0,INDEX(生物种群!$A$3:INDEX(生物种群!$A:$A,COUNTA(生物种群!$A:$A)),MATCH($A127,生物种群!$C$3:INDEX(生物种群!$C:$C,COUNTA(生物种群!$C:$C)),),),INDEX(生物种群!$A$3:INDEX(生物种群!$A:$A,COUNTA(生物种群!$A:$A)),MATCH($B127,生物种群!$D$3:INDEX(生物种群!$D:$D,COUNTA(生物种群!$D:$D)),),))),"")</f>
        <v/>
      </c>
      <c r="I127" s="56" t="str">
        <f>IF(H127="","",INDEX(生物种群!$B$3:INDEX(生物种群!$B:$B,COUNTA(生物种群!$B:$B)),MATCH($H127,生物种群!$A$3:INDEX(生物种群!$A:$A,COUNTA(生物种群!$A:$A)),),))</f>
        <v/>
      </c>
      <c r="J127" s="55" t="str">
        <f>IF(H127="","",INDEX(生物种群!$I$3:INDEX(生物种群!$I:$I,COUNTA(生物种群!$I:$I)),MATCH($H127,生物种群!$A$3:INDEX(生物种群!$A:$A,COUNTA(生物种群!$A:$A)),),))</f>
        <v/>
      </c>
      <c r="K127" s="55" t="str">
        <f>IF(H127="","",INDEX(生物种群!$E$3:INDEX(生物种群!$E:$E,COUNTA(生物种群!$E:$E)),MATCH($H127,生物种群!$A$3:INDEX(生物种群!$A:$A,COUNTA(生物种群!$A:$A)),),))</f>
        <v/>
      </c>
      <c r="L127" s="46" t="str">
        <f t="shared" si="9"/>
        <v/>
      </c>
      <c r="M127" s="47" t="str">
        <f>IF(L127="","",ROUND((L127)/VLOOKUP($F127,IF({1,0},站位样品信息!$A$3:INDEX(站位样品信息!$A:$A,COUNTA(站位样品信息!$A:$A)+1),站位样品信息!$H$3:INDEX(站位样品信息!$H:$H,COUNTA(站位样品信息!$H:$H)+1)),2,0),2))</f>
        <v/>
      </c>
      <c r="O127" s="49"/>
      <c r="P127" s="53" t="str">
        <f t="shared" si="7"/>
        <v/>
      </c>
      <c r="Q127" s="53" t="str">
        <f t="shared" si="8"/>
        <v/>
      </c>
    </row>
    <row r="128" spans="1:17" ht="19.5" customHeight="1">
      <c r="A128" s="38"/>
      <c r="B128" s="38"/>
      <c r="C128" s="38"/>
      <c r="D128" s="37"/>
      <c r="E128" s="37"/>
      <c r="F128" s="37"/>
      <c r="G128" s="37" t="str">
        <f>IF(F128="","",INDEX(站位样品信息!$B$3:INDEX(站位样品信息!$B:$B,COUNTA(站位样品信息!$B:$B)+1),MATCH($F128,站位样品信息!$A$3:INDEX(站位样品信息!$A:$A,COUNTA(站位样品信息!$A:$A)+1),),))</f>
        <v/>
      </c>
      <c r="H128" s="55" t="str">
        <f>IF(OR(A128&lt;&gt;"",B128&lt;&gt;"",C128&lt;&gt;""),IF($C128&lt;&gt;0,INDEX(生物种群!$A$3:INDEX(生物种群!$A:$A,COUNTA(生物种群!$A:$A)),MATCH($C128,生物种群!$F$3:INDEX(生物种群!$F:$F,COUNTA(生物种群!$F:$F)),),),IF($A128&lt;&gt;0,INDEX(生物种群!$A$3:INDEX(生物种群!$A:$A,COUNTA(生物种群!$A:$A)),MATCH($A128,生物种群!$C$3:INDEX(生物种群!$C:$C,COUNTA(生物种群!$C:$C)),),),INDEX(生物种群!$A$3:INDEX(生物种群!$A:$A,COUNTA(生物种群!$A:$A)),MATCH($B128,生物种群!$D$3:INDEX(生物种群!$D:$D,COUNTA(生物种群!$D:$D)),),))),"")</f>
        <v/>
      </c>
      <c r="I128" s="56" t="str">
        <f>IF(H128="","",INDEX(生物种群!$B$3:INDEX(生物种群!$B:$B,COUNTA(生物种群!$B:$B)),MATCH($H128,生物种群!$A$3:INDEX(生物种群!$A:$A,COUNTA(生物种群!$A:$A)),),))</f>
        <v/>
      </c>
      <c r="J128" s="55" t="str">
        <f>IF(H128="","",INDEX(生物种群!$I$3:INDEX(生物种群!$I:$I,COUNTA(生物种群!$I:$I)),MATCH($H128,生物种群!$A$3:INDEX(生物种群!$A:$A,COUNTA(生物种群!$A:$A)),),))</f>
        <v/>
      </c>
      <c r="K128" s="55" t="str">
        <f>IF(H128="","",INDEX(生物种群!$E$3:INDEX(生物种群!$E:$E,COUNTA(生物种群!$E:$E)),MATCH($H128,生物种群!$A$3:INDEX(生物种群!$A:$A,COUNTA(生物种群!$A:$A)),),))</f>
        <v/>
      </c>
      <c r="L128" s="46" t="str">
        <f t="shared" si="9"/>
        <v/>
      </c>
      <c r="M128" s="47" t="str">
        <f>IF(L128="","",ROUND((L128)/VLOOKUP($F128,IF({1,0},站位样品信息!$A$3:INDEX(站位样品信息!$A:$A,COUNTA(站位样品信息!$A:$A)+1),站位样品信息!$H$3:INDEX(站位样品信息!$H:$H,COUNTA(站位样品信息!$H:$H)+1)),2,0),2))</f>
        <v/>
      </c>
      <c r="O128" s="49"/>
      <c r="P128" s="53" t="str">
        <f t="shared" si="7"/>
        <v/>
      </c>
      <c r="Q128" s="53" t="str">
        <f t="shared" si="8"/>
        <v/>
      </c>
    </row>
    <row r="129" spans="1:17" ht="19.5" customHeight="1">
      <c r="A129" s="38"/>
      <c r="B129" s="38"/>
      <c r="C129" s="38"/>
      <c r="D129" s="37"/>
      <c r="E129" s="37"/>
      <c r="F129" s="37"/>
      <c r="G129" s="37" t="str">
        <f>IF(F129="","",INDEX(站位样品信息!$B$3:INDEX(站位样品信息!$B:$B,COUNTA(站位样品信息!$B:$B)+1),MATCH($F129,站位样品信息!$A$3:INDEX(站位样品信息!$A:$A,COUNTA(站位样品信息!$A:$A)+1),),))</f>
        <v/>
      </c>
      <c r="H129" s="55" t="str">
        <f>IF(OR(A129&lt;&gt;"",B129&lt;&gt;"",C129&lt;&gt;""),IF($C129&lt;&gt;0,INDEX(生物种群!$A$3:INDEX(生物种群!$A:$A,COUNTA(生物种群!$A:$A)),MATCH($C129,生物种群!$F$3:INDEX(生物种群!$F:$F,COUNTA(生物种群!$F:$F)),),),IF($A129&lt;&gt;0,INDEX(生物种群!$A$3:INDEX(生物种群!$A:$A,COUNTA(生物种群!$A:$A)),MATCH($A129,生物种群!$C$3:INDEX(生物种群!$C:$C,COUNTA(生物种群!$C:$C)),),),INDEX(生物种群!$A$3:INDEX(生物种群!$A:$A,COUNTA(生物种群!$A:$A)),MATCH($B129,生物种群!$D$3:INDEX(生物种群!$D:$D,COUNTA(生物种群!$D:$D)),),))),"")</f>
        <v/>
      </c>
      <c r="I129" s="56" t="str">
        <f>IF(H129="","",INDEX(生物种群!$B$3:INDEX(生物种群!$B:$B,COUNTA(生物种群!$B:$B)),MATCH($H129,生物种群!$A$3:INDEX(生物种群!$A:$A,COUNTA(生物种群!$A:$A)),),))</f>
        <v/>
      </c>
      <c r="J129" s="55" t="str">
        <f>IF(H129="","",INDEX(生物种群!$I$3:INDEX(生物种群!$I:$I,COUNTA(生物种群!$I:$I)),MATCH($H129,生物种群!$A$3:INDEX(生物种群!$A:$A,COUNTA(生物种群!$A:$A)),),))</f>
        <v/>
      </c>
      <c r="K129" s="55" t="str">
        <f>IF(H129="","",INDEX(生物种群!$E$3:INDEX(生物种群!$E:$E,COUNTA(生物种群!$E:$E)),MATCH($H129,生物种群!$A$3:INDEX(生物种群!$A:$A,COUNTA(生物种群!$A:$A)),),))</f>
        <v/>
      </c>
      <c r="L129" s="46" t="str">
        <f t="shared" si="9"/>
        <v/>
      </c>
      <c r="M129" s="47" t="str">
        <f>IF(L129="","",ROUND((L129)/VLOOKUP($F129,IF({1,0},站位样品信息!$A$3:INDEX(站位样品信息!$A:$A,COUNTA(站位样品信息!$A:$A)+1),站位样品信息!$H$3:INDEX(站位样品信息!$H:$H,COUNTA(站位样品信息!$H:$H)+1)),2,0),2))</f>
        <v/>
      </c>
      <c r="O129" s="49"/>
      <c r="P129" s="53" t="str">
        <f t="shared" si="7"/>
        <v/>
      </c>
      <c r="Q129" s="53" t="str">
        <f t="shared" si="8"/>
        <v/>
      </c>
    </row>
    <row r="130" spans="1:17" ht="19.5" customHeight="1">
      <c r="A130" s="38"/>
      <c r="B130" s="38"/>
      <c r="C130" s="38"/>
      <c r="D130" s="37"/>
      <c r="E130" s="37"/>
      <c r="F130" s="37"/>
      <c r="G130" s="37" t="str">
        <f>IF(F130="","",INDEX(站位样品信息!$B$3:INDEX(站位样品信息!$B:$B,COUNTA(站位样品信息!$B:$B)+1),MATCH($F130,站位样品信息!$A$3:INDEX(站位样品信息!$A:$A,COUNTA(站位样品信息!$A:$A)+1),),))</f>
        <v/>
      </c>
      <c r="H130" s="55" t="str">
        <f>IF(OR(A130&lt;&gt;"",B130&lt;&gt;"",C130&lt;&gt;""),IF($C130&lt;&gt;0,INDEX(生物种群!$A$3:INDEX(生物种群!$A:$A,COUNTA(生物种群!$A:$A)),MATCH($C130,生物种群!$F$3:INDEX(生物种群!$F:$F,COUNTA(生物种群!$F:$F)),),),IF($A130&lt;&gt;0,INDEX(生物种群!$A$3:INDEX(生物种群!$A:$A,COUNTA(生物种群!$A:$A)),MATCH($A130,生物种群!$C$3:INDEX(生物种群!$C:$C,COUNTA(生物种群!$C:$C)),),),INDEX(生物种群!$A$3:INDEX(生物种群!$A:$A,COUNTA(生物种群!$A:$A)),MATCH($B130,生物种群!$D$3:INDEX(生物种群!$D:$D,COUNTA(生物种群!$D:$D)),),))),"")</f>
        <v/>
      </c>
      <c r="I130" s="56" t="str">
        <f>IF(H130="","",INDEX(生物种群!$B$3:INDEX(生物种群!$B:$B,COUNTA(生物种群!$B:$B)),MATCH($H130,生物种群!$A$3:INDEX(生物种群!$A:$A,COUNTA(生物种群!$A:$A)),),))</f>
        <v/>
      </c>
      <c r="J130" s="55" t="str">
        <f>IF(H130="","",INDEX(生物种群!$I$3:INDEX(生物种群!$I:$I,COUNTA(生物种群!$I:$I)),MATCH($H130,生物种群!$A$3:INDEX(生物种群!$A:$A,COUNTA(生物种群!$A:$A)),),))</f>
        <v/>
      </c>
      <c r="K130" s="55" t="str">
        <f>IF(H130="","",INDEX(生物种群!$E$3:INDEX(生物种群!$E:$E,COUNTA(生物种群!$E:$E)),MATCH($H130,生物种群!$A$3:INDEX(生物种群!$A:$A,COUNTA(生物种群!$A:$A)),),))</f>
        <v/>
      </c>
      <c r="L130" s="46" t="str">
        <f t="shared" si="9"/>
        <v/>
      </c>
      <c r="M130" s="47" t="str">
        <f>IF(L130="","",ROUND((L130)/VLOOKUP($F130,IF({1,0},站位样品信息!$A$3:INDEX(站位样品信息!$A:$A,COUNTA(站位样品信息!$A:$A)+1),站位样品信息!$H$3:INDEX(站位样品信息!$H:$H,COUNTA(站位样品信息!$H:$H)+1)),2,0),2))</f>
        <v/>
      </c>
      <c r="O130" s="49"/>
      <c r="P130" s="53" t="str">
        <f t="shared" si="7"/>
        <v/>
      </c>
      <c r="Q130" s="53" t="str">
        <f t="shared" si="8"/>
        <v/>
      </c>
    </row>
    <row r="131" spans="1:17" ht="19.5" customHeight="1">
      <c r="A131" s="38"/>
      <c r="B131" s="38"/>
      <c r="C131" s="38"/>
      <c r="D131" s="37"/>
      <c r="E131" s="37"/>
      <c r="F131" s="37"/>
      <c r="G131" s="37" t="str">
        <f>IF(F131="","",INDEX(站位样品信息!$B$3:INDEX(站位样品信息!$B:$B,COUNTA(站位样品信息!$B:$B)+1),MATCH($F131,站位样品信息!$A$3:INDEX(站位样品信息!$A:$A,COUNTA(站位样品信息!$A:$A)+1),),))</f>
        <v/>
      </c>
      <c r="H131" s="55" t="str">
        <f>IF(OR(A131&lt;&gt;"",B131&lt;&gt;"",C131&lt;&gt;""),IF($C131&lt;&gt;0,INDEX(生物种群!$A$3:INDEX(生物种群!$A:$A,COUNTA(生物种群!$A:$A)),MATCH($C131,生物种群!$F$3:INDEX(生物种群!$F:$F,COUNTA(生物种群!$F:$F)),),),IF($A131&lt;&gt;0,INDEX(生物种群!$A$3:INDEX(生物种群!$A:$A,COUNTA(生物种群!$A:$A)),MATCH($A131,生物种群!$C$3:INDEX(生物种群!$C:$C,COUNTA(生物种群!$C:$C)),),),INDEX(生物种群!$A$3:INDEX(生物种群!$A:$A,COUNTA(生物种群!$A:$A)),MATCH($B131,生物种群!$D$3:INDEX(生物种群!$D:$D,COUNTA(生物种群!$D:$D)),),))),"")</f>
        <v/>
      </c>
      <c r="I131" s="56" t="str">
        <f>IF(H131="","",INDEX(生物种群!$B$3:INDEX(生物种群!$B:$B,COUNTA(生物种群!$B:$B)),MATCH($H131,生物种群!$A$3:INDEX(生物种群!$A:$A,COUNTA(生物种群!$A:$A)),),))</f>
        <v/>
      </c>
      <c r="J131" s="55" t="str">
        <f>IF(H131="","",INDEX(生物种群!$I$3:INDEX(生物种群!$I:$I,COUNTA(生物种群!$I:$I)),MATCH($H131,生物种群!$A$3:INDEX(生物种群!$A:$A,COUNTA(生物种群!$A:$A)),),))</f>
        <v/>
      </c>
      <c r="K131" s="55" t="str">
        <f>IF(H131="","",INDEX(生物种群!$E$3:INDEX(生物种群!$E:$E,COUNTA(生物种群!$E:$E)),MATCH($H131,生物种群!$A$3:INDEX(生物种群!$A:$A,COUNTA(生物种群!$A:$A)),),))</f>
        <v/>
      </c>
      <c r="L131" s="46" t="str">
        <f t="shared" si="9"/>
        <v/>
      </c>
      <c r="M131" s="47" t="str">
        <f>IF(L131="","",ROUND((L131)/VLOOKUP($F131,IF({1,0},站位样品信息!$A$3:INDEX(站位样品信息!$A:$A,COUNTA(站位样品信息!$A:$A)+1),站位样品信息!$H$3:INDEX(站位样品信息!$H:$H,COUNTA(站位样品信息!$H:$H)+1)),2,0),2))</f>
        <v/>
      </c>
      <c r="O131" s="49"/>
      <c r="P131" s="53" t="str">
        <f t="shared" si="10" ref="P131:P194">IF(F131&gt;0,F131&amp;I131,"")</f>
        <v/>
      </c>
      <c r="Q131" s="53" t="str">
        <f t="shared" si="11" ref="Q131:Q194">IF(COUNTIF($P:$P,P131)=1,"",IF(A131&amp;B131&amp;C131="","","重复"))</f>
        <v/>
      </c>
    </row>
    <row r="132" spans="1:17" ht="19.5" customHeight="1">
      <c r="A132" s="38"/>
      <c r="B132" s="38"/>
      <c r="C132" s="38"/>
      <c r="D132" s="37"/>
      <c r="E132" s="37"/>
      <c r="F132" s="37"/>
      <c r="G132" s="37" t="str">
        <f>IF(F132="","",INDEX(站位样品信息!$B$3:INDEX(站位样品信息!$B:$B,COUNTA(站位样品信息!$B:$B)+1),MATCH($F132,站位样品信息!$A$3:INDEX(站位样品信息!$A:$A,COUNTA(站位样品信息!$A:$A)+1),),))</f>
        <v/>
      </c>
      <c r="H132" s="55" t="str">
        <f>IF(OR(A132&lt;&gt;"",B132&lt;&gt;"",C132&lt;&gt;""),IF($C132&lt;&gt;0,INDEX(生物种群!$A$3:INDEX(生物种群!$A:$A,COUNTA(生物种群!$A:$A)),MATCH($C132,生物种群!$F$3:INDEX(生物种群!$F:$F,COUNTA(生物种群!$F:$F)),),),IF($A132&lt;&gt;0,INDEX(生物种群!$A$3:INDEX(生物种群!$A:$A,COUNTA(生物种群!$A:$A)),MATCH($A132,生物种群!$C$3:INDEX(生物种群!$C:$C,COUNTA(生物种群!$C:$C)),),),INDEX(生物种群!$A$3:INDEX(生物种群!$A:$A,COUNTA(生物种群!$A:$A)),MATCH($B132,生物种群!$D$3:INDEX(生物种群!$D:$D,COUNTA(生物种群!$D:$D)),),))),"")</f>
        <v/>
      </c>
      <c r="I132" s="56" t="str">
        <f>IF(H132="","",INDEX(生物种群!$B$3:INDEX(生物种群!$B:$B,COUNTA(生物种群!$B:$B)),MATCH($H132,生物种群!$A$3:INDEX(生物种群!$A:$A,COUNTA(生物种群!$A:$A)),),))</f>
        <v/>
      </c>
      <c r="J132" s="55" t="str">
        <f>IF(H132="","",INDEX(生物种群!$I$3:INDEX(生物种群!$I:$I,COUNTA(生物种群!$I:$I)),MATCH($H132,生物种群!$A$3:INDEX(生物种群!$A:$A,COUNTA(生物种群!$A:$A)),),))</f>
        <v/>
      </c>
      <c r="K132" s="55" t="str">
        <f>IF(H132="","",INDEX(生物种群!$E$3:INDEX(生物种群!$E:$E,COUNTA(生物种群!$E:$E)),MATCH($H132,生物种群!$A$3:INDEX(生物种群!$A:$A,COUNTA(生物种群!$A:$A)),),))</f>
        <v/>
      </c>
      <c r="L132" s="46" t="str">
        <f t="shared" si="9"/>
        <v/>
      </c>
      <c r="M132" s="47" t="str">
        <f>IF(L132="","",ROUND((L132)/VLOOKUP($F132,IF({1,0},站位样品信息!$A$3:INDEX(站位样品信息!$A:$A,COUNTA(站位样品信息!$A:$A)+1),站位样品信息!$H$3:INDEX(站位样品信息!$H:$H,COUNTA(站位样品信息!$H:$H)+1)),2,0),2))</f>
        <v/>
      </c>
      <c r="O132" s="49"/>
      <c r="P132" s="53" t="str">
        <f t="shared" si="10"/>
        <v/>
      </c>
      <c r="Q132" s="53" t="str">
        <f t="shared" si="11"/>
        <v/>
      </c>
    </row>
    <row r="133" spans="1:17" ht="19.5" customHeight="1">
      <c r="A133" s="38"/>
      <c r="B133" s="38"/>
      <c r="C133" s="38"/>
      <c r="D133" s="37"/>
      <c r="E133" s="37"/>
      <c r="F133" s="37"/>
      <c r="G133" s="37" t="str">
        <f>IF(F133="","",INDEX(站位样品信息!$B$3:INDEX(站位样品信息!$B:$B,COUNTA(站位样品信息!$B:$B)+1),MATCH($F133,站位样品信息!$A$3:INDEX(站位样品信息!$A:$A,COUNTA(站位样品信息!$A:$A)+1),),))</f>
        <v/>
      </c>
      <c r="H133" s="55" t="str">
        <f>IF(OR(A133&lt;&gt;"",B133&lt;&gt;"",C133&lt;&gt;""),IF($C133&lt;&gt;0,INDEX(生物种群!$A$3:INDEX(生物种群!$A:$A,COUNTA(生物种群!$A:$A)),MATCH($C133,生物种群!$F$3:INDEX(生物种群!$F:$F,COUNTA(生物种群!$F:$F)),),),IF($A133&lt;&gt;0,INDEX(生物种群!$A$3:INDEX(生物种群!$A:$A,COUNTA(生物种群!$A:$A)),MATCH($A133,生物种群!$C$3:INDEX(生物种群!$C:$C,COUNTA(生物种群!$C:$C)),),),INDEX(生物种群!$A$3:INDEX(生物种群!$A:$A,COUNTA(生物种群!$A:$A)),MATCH($B133,生物种群!$D$3:INDEX(生物种群!$D:$D,COUNTA(生物种群!$D:$D)),),))),"")</f>
        <v/>
      </c>
      <c r="I133" s="56" t="str">
        <f>IF(H133="","",INDEX(生物种群!$B$3:INDEX(生物种群!$B:$B,COUNTA(生物种群!$B:$B)),MATCH($H133,生物种群!$A$3:INDEX(生物种群!$A:$A,COUNTA(生物种群!$A:$A)),),))</f>
        <v/>
      </c>
      <c r="J133" s="55" t="str">
        <f>IF(H133="","",INDEX(生物种群!$I$3:INDEX(生物种群!$I:$I,COUNTA(生物种群!$I:$I)),MATCH($H133,生物种群!$A$3:INDEX(生物种群!$A:$A,COUNTA(生物种群!$A:$A)),),))</f>
        <v/>
      </c>
      <c r="K133" s="55" t="str">
        <f>IF(H133="","",INDEX(生物种群!$E$3:INDEX(生物种群!$E:$E,COUNTA(生物种群!$E:$E)),MATCH($H133,生物种群!$A$3:INDEX(生物种群!$A:$A,COUNTA(生物种群!$A:$A)),),))</f>
        <v/>
      </c>
      <c r="L133" s="46" t="str">
        <f t="shared" si="9"/>
        <v/>
      </c>
      <c r="M133" s="47" t="str">
        <f>IF(L133="","",ROUND((L133)/VLOOKUP($F133,IF({1,0},站位样品信息!$A$3:INDEX(站位样品信息!$A:$A,COUNTA(站位样品信息!$A:$A)+1),站位样品信息!$H$3:INDEX(站位样品信息!$H:$H,COUNTA(站位样品信息!$H:$H)+1)),2,0),2))</f>
        <v/>
      </c>
      <c r="O133" s="49"/>
      <c r="P133" s="53" t="str">
        <f t="shared" si="10"/>
        <v/>
      </c>
      <c r="Q133" s="53" t="str">
        <f t="shared" si="11"/>
        <v/>
      </c>
    </row>
    <row r="134" spans="1:17" ht="19.5" customHeight="1">
      <c r="A134" s="38"/>
      <c r="B134" s="38"/>
      <c r="C134" s="38"/>
      <c r="D134" s="37"/>
      <c r="E134" s="37"/>
      <c r="F134" s="37"/>
      <c r="G134" s="37" t="str">
        <f>IF(F134="","",INDEX(站位样品信息!$B$3:INDEX(站位样品信息!$B:$B,COUNTA(站位样品信息!$B:$B)+1),MATCH($F134,站位样品信息!$A$3:INDEX(站位样品信息!$A:$A,COUNTA(站位样品信息!$A:$A)+1),),))</f>
        <v/>
      </c>
      <c r="H134" s="55" t="str">
        <f>IF(OR(A134&lt;&gt;"",B134&lt;&gt;"",C134&lt;&gt;""),IF($C134&lt;&gt;0,INDEX(生物种群!$A$3:INDEX(生物种群!$A:$A,COUNTA(生物种群!$A:$A)),MATCH($C134,生物种群!$F$3:INDEX(生物种群!$F:$F,COUNTA(生物种群!$F:$F)),),),IF($A134&lt;&gt;0,INDEX(生物种群!$A$3:INDEX(生物种群!$A:$A,COUNTA(生物种群!$A:$A)),MATCH($A134,生物种群!$C$3:INDEX(生物种群!$C:$C,COUNTA(生物种群!$C:$C)),),),INDEX(生物种群!$A$3:INDEX(生物种群!$A:$A,COUNTA(生物种群!$A:$A)),MATCH($B134,生物种群!$D$3:INDEX(生物种群!$D:$D,COUNTA(生物种群!$D:$D)),),))),"")</f>
        <v/>
      </c>
      <c r="I134" s="56" t="str">
        <f>IF(H134="","",INDEX(生物种群!$B$3:INDEX(生物种群!$B:$B,COUNTA(生物种群!$B:$B)),MATCH($H134,生物种群!$A$3:INDEX(生物种群!$A:$A,COUNTA(生物种群!$A:$A)),),))</f>
        <v/>
      </c>
      <c r="J134" s="55" t="str">
        <f>IF(H134="","",INDEX(生物种群!$I$3:INDEX(生物种群!$I:$I,COUNTA(生物种群!$I:$I)),MATCH($H134,生物种群!$A$3:INDEX(生物种群!$A:$A,COUNTA(生物种群!$A:$A)),),))</f>
        <v/>
      </c>
      <c r="K134" s="55" t="str">
        <f>IF(H134="","",INDEX(生物种群!$E$3:INDEX(生物种群!$E:$E,COUNTA(生物种群!$E:$E)),MATCH($H134,生物种群!$A$3:INDEX(生物种群!$A:$A,COUNTA(生物种群!$A:$A)),),))</f>
        <v/>
      </c>
      <c r="L134" s="46" t="str">
        <f t="shared" si="9"/>
        <v/>
      </c>
      <c r="M134" s="47" t="str">
        <f>IF(L134="","",ROUND((L134)/VLOOKUP($F134,IF({1,0},站位样品信息!$A$3:INDEX(站位样品信息!$A:$A,COUNTA(站位样品信息!$A:$A)+1),站位样品信息!$H$3:INDEX(站位样品信息!$H:$H,COUNTA(站位样品信息!$H:$H)+1)),2,0),2))</f>
        <v/>
      </c>
      <c r="O134" s="49"/>
      <c r="P134" s="53" t="str">
        <f t="shared" si="10"/>
        <v/>
      </c>
      <c r="Q134" s="53" t="str">
        <f t="shared" si="11"/>
        <v/>
      </c>
    </row>
    <row r="135" spans="1:17" ht="19.5" customHeight="1">
      <c r="A135" s="38"/>
      <c r="B135" s="38"/>
      <c r="C135" s="38"/>
      <c r="D135" s="37"/>
      <c r="E135" s="37"/>
      <c r="F135" s="37"/>
      <c r="G135" s="37" t="str">
        <f>IF(F135="","",INDEX(站位样品信息!$B$3:INDEX(站位样品信息!$B:$B,COUNTA(站位样品信息!$B:$B)+1),MATCH($F135,站位样品信息!$A$3:INDEX(站位样品信息!$A:$A,COUNTA(站位样品信息!$A:$A)+1),),))</f>
        <v/>
      </c>
      <c r="H135" s="55" t="str">
        <f>IF(OR(A135&lt;&gt;"",B135&lt;&gt;"",C135&lt;&gt;""),IF($C135&lt;&gt;0,INDEX(生物种群!$A$3:INDEX(生物种群!$A:$A,COUNTA(生物种群!$A:$A)),MATCH($C135,生物种群!$F$3:INDEX(生物种群!$F:$F,COUNTA(生物种群!$F:$F)),),),IF($A135&lt;&gt;0,INDEX(生物种群!$A$3:INDEX(生物种群!$A:$A,COUNTA(生物种群!$A:$A)),MATCH($A135,生物种群!$C$3:INDEX(生物种群!$C:$C,COUNTA(生物种群!$C:$C)),),),INDEX(生物种群!$A$3:INDEX(生物种群!$A:$A,COUNTA(生物种群!$A:$A)),MATCH($B135,生物种群!$D$3:INDEX(生物种群!$D:$D,COUNTA(生物种群!$D:$D)),),))),"")</f>
        <v/>
      </c>
      <c r="I135" s="56" t="str">
        <f>IF(H135="","",INDEX(生物种群!$B$3:INDEX(生物种群!$B:$B,COUNTA(生物种群!$B:$B)),MATCH($H135,生物种群!$A$3:INDEX(生物种群!$A:$A,COUNTA(生物种群!$A:$A)),),))</f>
        <v/>
      </c>
      <c r="J135" s="55" t="str">
        <f>IF(H135="","",INDEX(生物种群!$I$3:INDEX(生物种群!$I:$I,COUNTA(生物种群!$I:$I)),MATCH($H135,生物种群!$A$3:INDEX(生物种群!$A:$A,COUNTA(生物种群!$A:$A)),),))</f>
        <v/>
      </c>
      <c r="K135" s="55" t="str">
        <f>IF(H135="","",INDEX(生物种群!$E$3:INDEX(生物种群!$E:$E,COUNTA(生物种群!$E:$E)),MATCH($H135,生物种群!$A$3:INDEX(生物种群!$A:$A,COUNTA(生物种群!$A:$A)),),))</f>
        <v/>
      </c>
      <c r="L135" s="46" t="str">
        <f t="shared" si="9"/>
        <v/>
      </c>
      <c r="M135" s="47" t="str">
        <f>IF(L135="","",ROUND((L135)/VLOOKUP($F135,IF({1,0},站位样品信息!$A$3:INDEX(站位样品信息!$A:$A,COUNTA(站位样品信息!$A:$A)+1),站位样品信息!$H$3:INDEX(站位样品信息!$H:$H,COUNTA(站位样品信息!$H:$H)+1)),2,0),2))</f>
        <v/>
      </c>
      <c r="O135" s="49"/>
      <c r="P135" s="53" t="str">
        <f t="shared" si="10"/>
        <v/>
      </c>
      <c r="Q135" s="53" t="str">
        <f t="shared" si="11"/>
        <v/>
      </c>
    </row>
    <row r="136" spans="1:17" ht="19.5" customHeight="1">
      <c r="A136" s="38"/>
      <c r="B136" s="38"/>
      <c r="C136" s="38"/>
      <c r="D136" s="37"/>
      <c r="E136" s="37"/>
      <c r="F136" s="37"/>
      <c r="G136" s="37" t="str">
        <f>IF(F136="","",INDEX(站位样品信息!$B$3:INDEX(站位样品信息!$B:$B,COUNTA(站位样品信息!$B:$B)+1),MATCH($F136,站位样品信息!$A$3:INDEX(站位样品信息!$A:$A,COUNTA(站位样品信息!$A:$A)+1),),))</f>
        <v/>
      </c>
      <c r="H136" s="55" t="str">
        <f>IF(OR(A136&lt;&gt;"",B136&lt;&gt;"",C136&lt;&gt;""),IF($C136&lt;&gt;0,INDEX(生物种群!$A$3:INDEX(生物种群!$A:$A,COUNTA(生物种群!$A:$A)),MATCH($C136,生物种群!$F$3:INDEX(生物种群!$F:$F,COUNTA(生物种群!$F:$F)),),),IF($A136&lt;&gt;0,INDEX(生物种群!$A$3:INDEX(生物种群!$A:$A,COUNTA(生物种群!$A:$A)),MATCH($A136,生物种群!$C$3:INDEX(生物种群!$C:$C,COUNTA(生物种群!$C:$C)),),),INDEX(生物种群!$A$3:INDEX(生物种群!$A:$A,COUNTA(生物种群!$A:$A)),MATCH($B136,生物种群!$D$3:INDEX(生物种群!$D:$D,COUNTA(生物种群!$D:$D)),),))),"")</f>
        <v/>
      </c>
      <c r="I136" s="56" t="str">
        <f>IF(H136="","",INDEX(生物种群!$B$3:INDEX(生物种群!$B:$B,COUNTA(生物种群!$B:$B)),MATCH($H136,生物种群!$A$3:INDEX(生物种群!$A:$A,COUNTA(生物种群!$A:$A)),),))</f>
        <v/>
      </c>
      <c r="J136" s="55" t="str">
        <f>IF(H136="","",INDEX(生物种群!$I$3:INDEX(生物种群!$I:$I,COUNTA(生物种群!$I:$I)),MATCH($H136,生物种群!$A$3:INDEX(生物种群!$A:$A,COUNTA(生物种群!$A:$A)),),))</f>
        <v/>
      </c>
      <c r="K136" s="55" t="str">
        <f>IF(H136="","",INDEX(生物种群!$E$3:INDEX(生物种群!$E:$E,COUNTA(生物种群!$E:$E)),MATCH($H136,生物种群!$A$3:INDEX(生物种群!$A:$A,COUNTA(生物种群!$A:$A)),),))</f>
        <v/>
      </c>
      <c r="L136" s="46" t="str">
        <f t="shared" si="9"/>
        <v/>
      </c>
      <c r="M136" s="47" t="str">
        <f>IF(L136="","",ROUND((L136)/VLOOKUP($F136,IF({1,0},站位样品信息!$A$3:INDEX(站位样品信息!$A:$A,COUNTA(站位样品信息!$A:$A)+1),站位样品信息!$H$3:INDEX(站位样品信息!$H:$H,COUNTA(站位样品信息!$H:$H)+1)),2,0),2))</f>
        <v/>
      </c>
      <c r="O136" s="49"/>
      <c r="P136" s="53" t="str">
        <f t="shared" si="10"/>
        <v/>
      </c>
      <c r="Q136" s="53" t="str">
        <f t="shared" si="11"/>
        <v/>
      </c>
    </row>
    <row r="137" spans="1:17" ht="19.5" customHeight="1">
      <c r="A137" s="38"/>
      <c r="B137" s="38"/>
      <c r="C137" s="38"/>
      <c r="D137" s="37"/>
      <c r="E137" s="37"/>
      <c r="F137" s="37"/>
      <c r="G137" s="37" t="str">
        <f>IF(F137="","",INDEX(站位样品信息!$B$3:INDEX(站位样品信息!$B:$B,COUNTA(站位样品信息!$B:$B)+1),MATCH($F137,站位样品信息!$A$3:INDEX(站位样品信息!$A:$A,COUNTA(站位样品信息!$A:$A)+1),),))</f>
        <v/>
      </c>
      <c r="H137" s="55" t="str">
        <f>IF(OR(A137&lt;&gt;"",B137&lt;&gt;"",C137&lt;&gt;""),IF($C137&lt;&gt;0,INDEX(生物种群!$A$3:INDEX(生物种群!$A:$A,COUNTA(生物种群!$A:$A)),MATCH($C137,生物种群!$F$3:INDEX(生物种群!$F:$F,COUNTA(生物种群!$F:$F)),),),IF($A137&lt;&gt;0,INDEX(生物种群!$A$3:INDEX(生物种群!$A:$A,COUNTA(生物种群!$A:$A)),MATCH($A137,生物种群!$C$3:INDEX(生物种群!$C:$C,COUNTA(生物种群!$C:$C)),),),INDEX(生物种群!$A$3:INDEX(生物种群!$A:$A,COUNTA(生物种群!$A:$A)),MATCH($B137,生物种群!$D$3:INDEX(生物种群!$D:$D,COUNTA(生物种群!$D:$D)),),))),"")</f>
        <v/>
      </c>
      <c r="I137" s="56" t="str">
        <f>IF(H137="","",INDEX(生物种群!$B$3:INDEX(生物种群!$B:$B,COUNTA(生物种群!$B:$B)),MATCH($H137,生物种群!$A$3:INDEX(生物种群!$A:$A,COUNTA(生物种群!$A:$A)),),))</f>
        <v/>
      </c>
      <c r="J137" s="55" t="str">
        <f>IF(H137="","",INDEX(生物种群!$I$3:INDEX(生物种群!$I:$I,COUNTA(生物种群!$I:$I)),MATCH($H137,生物种群!$A$3:INDEX(生物种群!$A:$A,COUNTA(生物种群!$A:$A)),),))</f>
        <v/>
      </c>
      <c r="K137" s="55" t="str">
        <f>IF(H137="","",INDEX(生物种群!$E$3:INDEX(生物种群!$E:$E,COUNTA(生物种群!$E:$E)),MATCH($H137,生物种群!$A$3:INDEX(生物种群!$A:$A,COUNTA(生物种群!$A:$A)),),))</f>
        <v/>
      </c>
      <c r="L137" s="46" t="str">
        <f t="shared" si="9"/>
        <v/>
      </c>
      <c r="M137" s="47" t="str">
        <f>IF(L137="","",ROUND((L137)/VLOOKUP($F137,IF({1,0},站位样品信息!$A$3:INDEX(站位样品信息!$A:$A,COUNTA(站位样品信息!$A:$A)+1),站位样品信息!$H$3:INDEX(站位样品信息!$H:$H,COUNTA(站位样品信息!$H:$H)+1)),2,0),2))</f>
        <v/>
      </c>
      <c r="O137" s="49"/>
      <c r="P137" s="53" t="str">
        <f t="shared" si="10"/>
        <v/>
      </c>
      <c r="Q137" s="53" t="str">
        <f t="shared" si="11"/>
        <v/>
      </c>
    </row>
    <row r="138" spans="1:17" ht="19.5" customHeight="1">
      <c r="A138" s="38"/>
      <c r="B138" s="38"/>
      <c r="C138" s="38"/>
      <c r="D138" s="37"/>
      <c r="E138" s="37"/>
      <c r="F138" s="37"/>
      <c r="G138" s="37" t="str">
        <f>IF(F138="","",INDEX(站位样品信息!$B$3:INDEX(站位样品信息!$B:$B,COUNTA(站位样品信息!$B:$B)+1),MATCH($F138,站位样品信息!$A$3:INDEX(站位样品信息!$A:$A,COUNTA(站位样品信息!$A:$A)+1),),))</f>
        <v/>
      </c>
      <c r="H138" s="55" t="str">
        <f>IF(OR(A138&lt;&gt;"",B138&lt;&gt;"",C138&lt;&gt;""),IF($C138&lt;&gt;0,INDEX(生物种群!$A$3:INDEX(生物种群!$A:$A,COUNTA(生物种群!$A:$A)),MATCH($C138,生物种群!$F$3:INDEX(生物种群!$F:$F,COUNTA(生物种群!$F:$F)),),),IF($A138&lt;&gt;0,INDEX(生物种群!$A$3:INDEX(生物种群!$A:$A,COUNTA(生物种群!$A:$A)),MATCH($A138,生物种群!$C$3:INDEX(生物种群!$C:$C,COUNTA(生物种群!$C:$C)),),),INDEX(生物种群!$A$3:INDEX(生物种群!$A:$A,COUNTA(生物种群!$A:$A)),MATCH($B138,生物种群!$D$3:INDEX(生物种群!$D:$D,COUNTA(生物种群!$D:$D)),),))),"")</f>
        <v/>
      </c>
      <c r="I138" s="56" t="str">
        <f>IF(H138="","",INDEX(生物种群!$B$3:INDEX(生物种群!$B:$B,COUNTA(生物种群!$B:$B)),MATCH($H138,生物种群!$A$3:INDEX(生物种群!$A:$A,COUNTA(生物种群!$A:$A)),),))</f>
        <v/>
      </c>
      <c r="J138" s="55" t="str">
        <f>IF(H138="","",INDEX(生物种群!$I$3:INDEX(生物种群!$I:$I,COUNTA(生物种群!$I:$I)),MATCH($H138,生物种群!$A$3:INDEX(生物种群!$A:$A,COUNTA(生物种群!$A:$A)),),))</f>
        <v/>
      </c>
      <c r="K138" s="55" t="str">
        <f>IF(H138="","",INDEX(生物种群!$E$3:INDEX(生物种群!$E:$E,COUNTA(生物种群!$E:$E)),MATCH($H138,生物种群!$A$3:INDEX(生物种群!$A:$A,COUNTA(生物种群!$A:$A)),),))</f>
        <v/>
      </c>
      <c r="L138" s="46" t="str">
        <f t="shared" si="9"/>
        <v/>
      </c>
      <c r="M138" s="47" t="str">
        <f>IF(L138="","",ROUND((L138)/VLOOKUP($F138,IF({1,0},站位样品信息!$A$3:INDEX(站位样品信息!$A:$A,COUNTA(站位样品信息!$A:$A)+1),站位样品信息!$H$3:INDEX(站位样品信息!$H:$H,COUNTA(站位样品信息!$H:$H)+1)),2,0),2))</f>
        <v/>
      </c>
      <c r="O138" s="49"/>
      <c r="P138" s="53" t="str">
        <f t="shared" si="10"/>
        <v/>
      </c>
      <c r="Q138" s="53" t="str">
        <f t="shared" si="11"/>
        <v/>
      </c>
    </row>
    <row r="139" spans="1:17" ht="19.5" customHeight="1">
      <c r="A139" s="38"/>
      <c r="B139" s="38"/>
      <c r="C139" s="38"/>
      <c r="D139" s="37"/>
      <c r="E139" s="37"/>
      <c r="F139" s="37"/>
      <c r="G139" s="37" t="str">
        <f>IF(F139="","",INDEX(站位样品信息!$B$3:INDEX(站位样品信息!$B:$B,COUNTA(站位样品信息!$B:$B)+1),MATCH($F139,站位样品信息!$A$3:INDEX(站位样品信息!$A:$A,COUNTA(站位样品信息!$A:$A)+1),),))</f>
        <v/>
      </c>
      <c r="H139" s="55" t="str">
        <f>IF(OR(A139&lt;&gt;"",B139&lt;&gt;"",C139&lt;&gt;""),IF($C139&lt;&gt;0,INDEX(生物种群!$A$3:INDEX(生物种群!$A:$A,COUNTA(生物种群!$A:$A)),MATCH($C139,生物种群!$F$3:INDEX(生物种群!$F:$F,COUNTA(生物种群!$F:$F)),),),IF($A139&lt;&gt;0,INDEX(生物种群!$A$3:INDEX(生物种群!$A:$A,COUNTA(生物种群!$A:$A)),MATCH($A139,生物种群!$C$3:INDEX(生物种群!$C:$C,COUNTA(生物种群!$C:$C)),),),INDEX(生物种群!$A$3:INDEX(生物种群!$A:$A,COUNTA(生物种群!$A:$A)),MATCH($B139,生物种群!$D$3:INDEX(生物种群!$D:$D,COUNTA(生物种群!$D:$D)),),))),"")</f>
        <v/>
      </c>
      <c r="I139" s="56" t="str">
        <f>IF(H139="","",INDEX(生物种群!$B$3:INDEX(生物种群!$B:$B,COUNTA(生物种群!$B:$B)),MATCH($H139,生物种群!$A$3:INDEX(生物种群!$A:$A,COUNTA(生物种群!$A:$A)),),))</f>
        <v/>
      </c>
      <c r="J139" s="55" t="str">
        <f>IF(H139="","",INDEX(生物种群!$I$3:INDEX(生物种群!$I:$I,COUNTA(生物种群!$I:$I)),MATCH($H139,生物种群!$A$3:INDEX(生物种群!$A:$A,COUNTA(生物种群!$A:$A)),),))</f>
        <v/>
      </c>
      <c r="K139" s="55" t="str">
        <f>IF(H139="","",INDEX(生物种群!$E$3:INDEX(生物种群!$E:$E,COUNTA(生物种群!$E:$E)),MATCH($H139,生物种群!$A$3:INDEX(生物种群!$A:$A,COUNTA(生物种群!$A:$A)),),))</f>
        <v/>
      </c>
      <c r="L139" s="46" t="str">
        <f t="shared" si="9"/>
        <v/>
      </c>
      <c r="M139" s="47" t="str">
        <f>IF(L139="","",ROUND((L139)/VLOOKUP($F139,IF({1,0},站位样品信息!$A$3:INDEX(站位样品信息!$A:$A,COUNTA(站位样品信息!$A:$A)+1),站位样品信息!$H$3:INDEX(站位样品信息!$H:$H,COUNTA(站位样品信息!$H:$H)+1)),2,0),2))</f>
        <v/>
      </c>
      <c r="O139" s="49"/>
      <c r="P139" s="53" t="str">
        <f t="shared" si="10"/>
        <v/>
      </c>
      <c r="Q139" s="53" t="str">
        <f t="shared" si="11"/>
        <v/>
      </c>
    </row>
    <row r="140" spans="1:17" ht="19.5" customHeight="1">
      <c r="A140" s="38"/>
      <c r="B140" s="38"/>
      <c r="C140" s="38"/>
      <c r="D140" s="37"/>
      <c r="E140" s="37"/>
      <c r="F140" s="37"/>
      <c r="G140" s="37" t="str">
        <f>IF(F140="","",INDEX(站位样品信息!$B$3:INDEX(站位样品信息!$B:$B,COUNTA(站位样品信息!$B:$B)+1),MATCH($F140,站位样品信息!$A$3:INDEX(站位样品信息!$A:$A,COUNTA(站位样品信息!$A:$A)+1),),))</f>
        <v/>
      </c>
      <c r="H140" s="55" t="str">
        <f>IF(OR(A140&lt;&gt;"",B140&lt;&gt;"",C140&lt;&gt;""),IF($C140&lt;&gt;0,INDEX(生物种群!$A$3:INDEX(生物种群!$A:$A,COUNTA(生物种群!$A:$A)),MATCH($C140,生物种群!$F$3:INDEX(生物种群!$F:$F,COUNTA(生物种群!$F:$F)),),),IF($A140&lt;&gt;0,INDEX(生物种群!$A$3:INDEX(生物种群!$A:$A,COUNTA(生物种群!$A:$A)),MATCH($A140,生物种群!$C$3:INDEX(生物种群!$C:$C,COUNTA(生物种群!$C:$C)),),),INDEX(生物种群!$A$3:INDEX(生物种群!$A:$A,COUNTA(生物种群!$A:$A)),MATCH($B140,生物种群!$D$3:INDEX(生物种群!$D:$D,COUNTA(生物种群!$D:$D)),),))),"")</f>
        <v/>
      </c>
      <c r="I140" s="56" t="str">
        <f>IF(H140="","",INDEX(生物种群!$B$3:INDEX(生物种群!$B:$B,COUNTA(生物种群!$B:$B)),MATCH($H140,生物种群!$A$3:INDEX(生物种群!$A:$A,COUNTA(生物种群!$A:$A)),),))</f>
        <v/>
      </c>
      <c r="J140" s="55" t="str">
        <f>IF(H140="","",INDEX(生物种群!$I$3:INDEX(生物种群!$I:$I,COUNTA(生物种群!$I:$I)),MATCH($H140,生物种群!$A$3:INDEX(生物种群!$A:$A,COUNTA(生物种群!$A:$A)),),))</f>
        <v/>
      </c>
      <c r="K140" s="55" t="str">
        <f>IF(H140="","",INDEX(生物种群!$E$3:INDEX(生物种群!$E:$E,COUNTA(生物种群!$E:$E)),MATCH($H140,生物种群!$A$3:INDEX(生物种群!$A:$A,COUNTA(生物种群!$A:$A)),),))</f>
        <v/>
      </c>
      <c r="L140" s="46" t="str">
        <f t="shared" si="9"/>
        <v/>
      </c>
      <c r="M140" s="47" t="str">
        <f>IF(L140="","",ROUND((L140)/VLOOKUP($F140,IF({1,0},站位样品信息!$A$3:INDEX(站位样品信息!$A:$A,COUNTA(站位样品信息!$A:$A)+1),站位样品信息!$H$3:INDEX(站位样品信息!$H:$H,COUNTA(站位样品信息!$H:$H)+1)),2,0),2))</f>
        <v/>
      </c>
      <c r="O140" s="49"/>
      <c r="P140" s="53" t="str">
        <f t="shared" si="10"/>
        <v/>
      </c>
      <c r="Q140" s="53" t="str">
        <f t="shared" si="11"/>
        <v/>
      </c>
    </row>
    <row r="141" spans="1:17" ht="19.5" customHeight="1">
      <c r="A141" s="38"/>
      <c r="B141" s="38"/>
      <c r="C141" s="38"/>
      <c r="D141" s="37"/>
      <c r="E141" s="37"/>
      <c r="F141" s="37"/>
      <c r="G141" s="37" t="str">
        <f>IF(F141="","",INDEX(站位样品信息!$B$3:INDEX(站位样品信息!$B:$B,COUNTA(站位样品信息!$B:$B)+1),MATCH($F141,站位样品信息!$A$3:INDEX(站位样品信息!$A:$A,COUNTA(站位样品信息!$A:$A)+1),),))</f>
        <v/>
      </c>
      <c r="H141" s="55" t="str">
        <f>IF(OR(A141&lt;&gt;"",B141&lt;&gt;"",C141&lt;&gt;""),IF($C141&lt;&gt;0,INDEX(生物种群!$A$3:INDEX(生物种群!$A:$A,COUNTA(生物种群!$A:$A)),MATCH($C141,生物种群!$F$3:INDEX(生物种群!$F:$F,COUNTA(生物种群!$F:$F)),),),IF($A141&lt;&gt;0,INDEX(生物种群!$A$3:INDEX(生物种群!$A:$A,COUNTA(生物种群!$A:$A)),MATCH($A141,生物种群!$C$3:INDEX(生物种群!$C:$C,COUNTA(生物种群!$C:$C)),),),INDEX(生物种群!$A$3:INDEX(生物种群!$A:$A,COUNTA(生物种群!$A:$A)),MATCH($B141,生物种群!$D$3:INDEX(生物种群!$D:$D,COUNTA(生物种群!$D:$D)),),))),"")</f>
        <v/>
      </c>
      <c r="I141" s="56" t="str">
        <f>IF(H141="","",INDEX(生物种群!$B$3:INDEX(生物种群!$B:$B,COUNTA(生物种群!$B:$B)),MATCH($H141,生物种群!$A$3:INDEX(生物种群!$A:$A,COUNTA(生物种群!$A:$A)),),))</f>
        <v/>
      </c>
      <c r="J141" s="55" t="str">
        <f>IF(H141="","",INDEX(生物种群!$I$3:INDEX(生物种群!$I:$I,COUNTA(生物种群!$I:$I)),MATCH($H141,生物种群!$A$3:INDEX(生物种群!$A:$A,COUNTA(生物种群!$A:$A)),),))</f>
        <v/>
      </c>
      <c r="K141" s="55" t="str">
        <f>IF(H141="","",INDEX(生物种群!$E$3:INDEX(生物种群!$E:$E,COUNTA(生物种群!$E:$E)),MATCH($H141,生物种群!$A$3:INDEX(生物种群!$A:$A,COUNTA(生物种群!$A:$A)),),))</f>
        <v/>
      </c>
      <c r="L141" s="46" t="str">
        <f t="shared" si="12" ref="L141:L204">IFERROR(IF(OR(D141="",E141=""),"",D141/E141*100),"")</f>
        <v/>
      </c>
      <c r="M141" s="47" t="str">
        <f>IF(L141="","",ROUND((L141)/VLOOKUP($F141,IF({1,0},站位样品信息!$A$3:INDEX(站位样品信息!$A:$A,COUNTA(站位样品信息!$A:$A)+1),站位样品信息!$H$3:INDEX(站位样品信息!$H:$H,COUNTA(站位样品信息!$H:$H)+1)),2,0),2))</f>
        <v/>
      </c>
      <c r="O141" s="49"/>
      <c r="P141" s="53" t="str">
        <f t="shared" si="10"/>
        <v/>
      </c>
      <c r="Q141" s="53" t="str">
        <f t="shared" si="11"/>
        <v/>
      </c>
    </row>
    <row r="142" spans="1:17" ht="19.5" customHeight="1">
      <c r="A142" s="38"/>
      <c r="B142" s="38"/>
      <c r="C142" s="38"/>
      <c r="D142" s="37"/>
      <c r="E142" s="37"/>
      <c r="F142" s="37"/>
      <c r="G142" s="37" t="str">
        <f>IF(F142="","",INDEX(站位样品信息!$B$3:INDEX(站位样品信息!$B:$B,COUNTA(站位样品信息!$B:$B)+1),MATCH($F142,站位样品信息!$A$3:INDEX(站位样品信息!$A:$A,COUNTA(站位样品信息!$A:$A)+1),),))</f>
        <v/>
      </c>
      <c r="H142" s="55" t="str">
        <f>IF(OR(A142&lt;&gt;"",B142&lt;&gt;"",C142&lt;&gt;""),IF($C142&lt;&gt;0,INDEX(生物种群!$A$3:INDEX(生物种群!$A:$A,COUNTA(生物种群!$A:$A)),MATCH($C142,生物种群!$F$3:INDEX(生物种群!$F:$F,COUNTA(生物种群!$F:$F)),),),IF($A142&lt;&gt;0,INDEX(生物种群!$A$3:INDEX(生物种群!$A:$A,COUNTA(生物种群!$A:$A)),MATCH($A142,生物种群!$C$3:INDEX(生物种群!$C:$C,COUNTA(生物种群!$C:$C)),),),INDEX(生物种群!$A$3:INDEX(生物种群!$A:$A,COUNTA(生物种群!$A:$A)),MATCH($B142,生物种群!$D$3:INDEX(生物种群!$D:$D,COUNTA(生物种群!$D:$D)),),))),"")</f>
        <v/>
      </c>
      <c r="I142" s="56" t="str">
        <f>IF(H142="","",INDEX(生物种群!$B$3:INDEX(生物种群!$B:$B,COUNTA(生物种群!$B:$B)),MATCH($H142,生物种群!$A$3:INDEX(生物种群!$A:$A,COUNTA(生物种群!$A:$A)),),))</f>
        <v/>
      </c>
      <c r="J142" s="55" t="str">
        <f>IF(H142="","",INDEX(生物种群!$I$3:INDEX(生物种群!$I:$I,COUNTA(生物种群!$I:$I)),MATCH($H142,生物种群!$A$3:INDEX(生物种群!$A:$A,COUNTA(生物种群!$A:$A)),),))</f>
        <v/>
      </c>
      <c r="K142" s="55" t="str">
        <f>IF(H142="","",INDEX(生物种群!$E$3:INDEX(生物种群!$E:$E,COUNTA(生物种群!$E:$E)),MATCH($H142,生物种群!$A$3:INDEX(生物种群!$A:$A,COUNTA(生物种群!$A:$A)),),))</f>
        <v/>
      </c>
      <c r="L142" s="46" t="str">
        <f t="shared" si="12"/>
        <v/>
      </c>
      <c r="M142" s="47" t="str">
        <f>IF(L142="","",ROUND((L142)/VLOOKUP($F142,IF({1,0},站位样品信息!$A$3:INDEX(站位样品信息!$A:$A,COUNTA(站位样品信息!$A:$A)+1),站位样品信息!$H$3:INDEX(站位样品信息!$H:$H,COUNTA(站位样品信息!$H:$H)+1)),2,0),2))</f>
        <v/>
      </c>
      <c r="O142" s="49"/>
      <c r="P142" s="53" t="str">
        <f t="shared" si="10"/>
        <v/>
      </c>
      <c r="Q142" s="53" t="str">
        <f t="shared" si="11"/>
        <v/>
      </c>
    </row>
    <row r="143" spans="1:17" ht="19.5" customHeight="1">
      <c r="A143" s="38"/>
      <c r="B143" s="38"/>
      <c r="C143" s="38"/>
      <c r="D143" s="37"/>
      <c r="E143" s="37"/>
      <c r="F143" s="37"/>
      <c r="G143" s="37" t="str">
        <f>IF(F143="","",INDEX(站位样品信息!$B$3:INDEX(站位样品信息!$B:$B,COUNTA(站位样品信息!$B:$B)+1),MATCH($F143,站位样品信息!$A$3:INDEX(站位样品信息!$A:$A,COUNTA(站位样品信息!$A:$A)+1),),))</f>
        <v/>
      </c>
      <c r="H143" s="55" t="str">
        <f>IF(OR(A143&lt;&gt;"",B143&lt;&gt;"",C143&lt;&gt;""),IF($C143&lt;&gt;0,INDEX(生物种群!$A$3:INDEX(生物种群!$A:$A,COUNTA(生物种群!$A:$A)),MATCH($C143,生物种群!$F$3:INDEX(生物种群!$F:$F,COUNTA(生物种群!$F:$F)),),),IF($A143&lt;&gt;0,INDEX(生物种群!$A$3:INDEX(生物种群!$A:$A,COUNTA(生物种群!$A:$A)),MATCH($A143,生物种群!$C$3:INDEX(生物种群!$C:$C,COUNTA(生物种群!$C:$C)),),),INDEX(生物种群!$A$3:INDEX(生物种群!$A:$A,COUNTA(生物种群!$A:$A)),MATCH($B143,生物种群!$D$3:INDEX(生物种群!$D:$D,COUNTA(生物种群!$D:$D)),),))),"")</f>
        <v/>
      </c>
      <c r="I143" s="56" t="str">
        <f>IF(H143="","",INDEX(生物种群!$B$3:INDEX(生物种群!$B:$B,COUNTA(生物种群!$B:$B)),MATCH($H143,生物种群!$A$3:INDEX(生物种群!$A:$A,COUNTA(生物种群!$A:$A)),),))</f>
        <v/>
      </c>
      <c r="J143" s="55" t="str">
        <f>IF(H143="","",INDEX(生物种群!$I$3:INDEX(生物种群!$I:$I,COUNTA(生物种群!$I:$I)),MATCH($H143,生物种群!$A$3:INDEX(生物种群!$A:$A,COUNTA(生物种群!$A:$A)),),))</f>
        <v/>
      </c>
      <c r="K143" s="55" t="str">
        <f>IF(H143="","",INDEX(生物种群!$E$3:INDEX(生物种群!$E:$E,COUNTA(生物种群!$E:$E)),MATCH($H143,生物种群!$A$3:INDEX(生物种群!$A:$A,COUNTA(生物种群!$A:$A)),),))</f>
        <v/>
      </c>
      <c r="L143" s="46" t="str">
        <f t="shared" si="12"/>
        <v/>
      </c>
      <c r="M143" s="47" t="str">
        <f>IF(L143="","",ROUND((L143)/VLOOKUP($F143,IF({1,0},站位样品信息!$A$3:INDEX(站位样品信息!$A:$A,COUNTA(站位样品信息!$A:$A)+1),站位样品信息!$H$3:INDEX(站位样品信息!$H:$H,COUNTA(站位样品信息!$H:$H)+1)),2,0),2))</f>
        <v/>
      </c>
      <c r="O143" s="49"/>
      <c r="P143" s="53" t="str">
        <f t="shared" si="10"/>
        <v/>
      </c>
      <c r="Q143" s="53" t="str">
        <f t="shared" si="11"/>
        <v/>
      </c>
    </row>
    <row r="144" spans="1:17" ht="19.5" customHeight="1">
      <c r="A144" s="38"/>
      <c r="B144" s="38"/>
      <c r="C144" s="38"/>
      <c r="D144" s="37"/>
      <c r="E144" s="37"/>
      <c r="F144" s="37"/>
      <c r="G144" s="37" t="str">
        <f>IF(F144="","",INDEX(站位样品信息!$B$3:INDEX(站位样品信息!$B:$B,COUNTA(站位样品信息!$B:$B)+1),MATCH($F144,站位样品信息!$A$3:INDEX(站位样品信息!$A:$A,COUNTA(站位样品信息!$A:$A)+1),),))</f>
        <v/>
      </c>
      <c r="H144" s="55" t="str">
        <f>IF(OR(A144&lt;&gt;"",B144&lt;&gt;"",C144&lt;&gt;""),IF($C144&lt;&gt;0,INDEX(生物种群!$A$3:INDEX(生物种群!$A:$A,COUNTA(生物种群!$A:$A)),MATCH($C144,生物种群!$F$3:INDEX(生物种群!$F:$F,COUNTA(生物种群!$F:$F)),),),IF($A144&lt;&gt;0,INDEX(生物种群!$A$3:INDEX(生物种群!$A:$A,COUNTA(生物种群!$A:$A)),MATCH($A144,生物种群!$C$3:INDEX(生物种群!$C:$C,COUNTA(生物种群!$C:$C)),),),INDEX(生物种群!$A$3:INDEX(生物种群!$A:$A,COUNTA(生物种群!$A:$A)),MATCH($B144,生物种群!$D$3:INDEX(生物种群!$D:$D,COUNTA(生物种群!$D:$D)),),))),"")</f>
        <v/>
      </c>
      <c r="I144" s="56" t="str">
        <f>IF(H144="","",INDEX(生物种群!$B$3:INDEX(生物种群!$B:$B,COUNTA(生物种群!$B:$B)),MATCH($H144,生物种群!$A$3:INDEX(生物种群!$A:$A,COUNTA(生物种群!$A:$A)),),))</f>
        <v/>
      </c>
      <c r="J144" s="55" t="str">
        <f>IF(H144="","",INDEX(生物种群!$I$3:INDEX(生物种群!$I:$I,COUNTA(生物种群!$I:$I)),MATCH($H144,生物种群!$A$3:INDEX(生物种群!$A:$A,COUNTA(生物种群!$A:$A)),),))</f>
        <v/>
      </c>
      <c r="K144" s="55" t="str">
        <f>IF(H144="","",INDEX(生物种群!$E$3:INDEX(生物种群!$E:$E,COUNTA(生物种群!$E:$E)),MATCH($H144,生物种群!$A$3:INDEX(生物种群!$A:$A,COUNTA(生物种群!$A:$A)),),))</f>
        <v/>
      </c>
      <c r="L144" s="46" t="str">
        <f t="shared" si="12"/>
        <v/>
      </c>
      <c r="M144" s="47" t="str">
        <f>IF(L144="","",ROUND((L144)/VLOOKUP($F144,IF({1,0},站位样品信息!$A$3:INDEX(站位样品信息!$A:$A,COUNTA(站位样品信息!$A:$A)+1),站位样品信息!$H$3:INDEX(站位样品信息!$H:$H,COUNTA(站位样品信息!$H:$H)+1)),2,0),2))</f>
        <v/>
      </c>
      <c r="O144" s="49"/>
      <c r="P144" s="53" t="str">
        <f t="shared" si="10"/>
        <v/>
      </c>
      <c r="Q144" s="53" t="str">
        <f t="shared" si="11"/>
        <v/>
      </c>
    </row>
    <row r="145" spans="1:17" ht="19.5" customHeight="1">
      <c r="A145" s="38"/>
      <c r="B145" s="38"/>
      <c r="C145" s="38"/>
      <c r="D145" s="37"/>
      <c r="E145" s="37"/>
      <c r="F145" s="37"/>
      <c r="G145" s="37" t="str">
        <f>IF(F145="","",INDEX(站位样品信息!$B$3:INDEX(站位样品信息!$B:$B,COUNTA(站位样品信息!$B:$B)+1),MATCH($F145,站位样品信息!$A$3:INDEX(站位样品信息!$A:$A,COUNTA(站位样品信息!$A:$A)+1),),))</f>
        <v/>
      </c>
      <c r="H145" s="55" t="str">
        <f>IF(OR(A145&lt;&gt;"",B145&lt;&gt;"",C145&lt;&gt;""),IF($C145&lt;&gt;0,INDEX(生物种群!$A$3:INDEX(生物种群!$A:$A,COUNTA(生物种群!$A:$A)),MATCH($C145,生物种群!$F$3:INDEX(生物种群!$F:$F,COUNTA(生物种群!$F:$F)),),),IF($A145&lt;&gt;0,INDEX(生物种群!$A$3:INDEX(生物种群!$A:$A,COUNTA(生物种群!$A:$A)),MATCH($A145,生物种群!$C$3:INDEX(生物种群!$C:$C,COUNTA(生物种群!$C:$C)),),),INDEX(生物种群!$A$3:INDEX(生物种群!$A:$A,COUNTA(生物种群!$A:$A)),MATCH($B145,生物种群!$D$3:INDEX(生物种群!$D:$D,COUNTA(生物种群!$D:$D)),),))),"")</f>
        <v/>
      </c>
      <c r="I145" s="56" t="str">
        <f>IF(H145="","",INDEX(生物种群!$B$3:INDEX(生物种群!$B:$B,COUNTA(生物种群!$B:$B)),MATCH($H145,生物种群!$A$3:INDEX(生物种群!$A:$A,COUNTA(生物种群!$A:$A)),),))</f>
        <v/>
      </c>
      <c r="J145" s="55" t="str">
        <f>IF(H145="","",INDEX(生物种群!$I$3:INDEX(生物种群!$I:$I,COUNTA(生物种群!$I:$I)),MATCH($H145,生物种群!$A$3:INDEX(生物种群!$A:$A,COUNTA(生物种群!$A:$A)),),))</f>
        <v/>
      </c>
      <c r="K145" s="55" t="str">
        <f>IF(H145="","",INDEX(生物种群!$E$3:INDEX(生物种群!$E:$E,COUNTA(生物种群!$E:$E)),MATCH($H145,生物种群!$A$3:INDEX(生物种群!$A:$A,COUNTA(生物种群!$A:$A)),),))</f>
        <v/>
      </c>
      <c r="L145" s="46" t="str">
        <f t="shared" si="12"/>
        <v/>
      </c>
      <c r="M145" s="47" t="str">
        <f>IF(L145="","",ROUND((L145)/VLOOKUP($F145,IF({1,0},站位样品信息!$A$3:INDEX(站位样品信息!$A:$A,COUNTA(站位样品信息!$A:$A)+1),站位样品信息!$H$3:INDEX(站位样品信息!$H:$H,COUNTA(站位样品信息!$H:$H)+1)),2,0),2))</f>
        <v/>
      </c>
      <c r="O145" s="49"/>
      <c r="P145" s="53" t="str">
        <f t="shared" si="10"/>
        <v/>
      </c>
      <c r="Q145" s="53" t="str">
        <f t="shared" si="11"/>
        <v/>
      </c>
    </row>
    <row r="146" spans="1:17" ht="19.5" customHeight="1">
      <c r="A146" s="38"/>
      <c r="B146" s="38"/>
      <c r="C146" s="38"/>
      <c r="D146" s="37"/>
      <c r="E146" s="37"/>
      <c r="F146" s="37"/>
      <c r="G146" s="37" t="str">
        <f>IF(F146="","",INDEX(站位样品信息!$B$3:INDEX(站位样品信息!$B:$B,COUNTA(站位样品信息!$B:$B)+1),MATCH($F146,站位样品信息!$A$3:INDEX(站位样品信息!$A:$A,COUNTA(站位样品信息!$A:$A)+1),),))</f>
        <v/>
      </c>
      <c r="H146" s="55" t="str">
        <f>IF(OR(A146&lt;&gt;"",B146&lt;&gt;"",C146&lt;&gt;""),IF($C146&lt;&gt;0,INDEX(生物种群!$A$3:INDEX(生物种群!$A:$A,COUNTA(生物种群!$A:$A)),MATCH($C146,生物种群!$F$3:INDEX(生物种群!$F:$F,COUNTA(生物种群!$F:$F)),),),IF($A146&lt;&gt;0,INDEX(生物种群!$A$3:INDEX(生物种群!$A:$A,COUNTA(生物种群!$A:$A)),MATCH($A146,生物种群!$C$3:INDEX(生物种群!$C:$C,COUNTA(生物种群!$C:$C)),),),INDEX(生物种群!$A$3:INDEX(生物种群!$A:$A,COUNTA(生物种群!$A:$A)),MATCH($B146,生物种群!$D$3:INDEX(生物种群!$D:$D,COUNTA(生物种群!$D:$D)),),))),"")</f>
        <v/>
      </c>
      <c r="I146" s="56" t="str">
        <f>IF(H146="","",INDEX(生物种群!$B$3:INDEX(生物种群!$B:$B,COUNTA(生物种群!$B:$B)),MATCH($H146,生物种群!$A$3:INDEX(生物种群!$A:$A,COUNTA(生物种群!$A:$A)),),))</f>
        <v/>
      </c>
      <c r="J146" s="55" t="str">
        <f>IF(H146="","",INDEX(生物种群!$I$3:INDEX(生物种群!$I:$I,COUNTA(生物种群!$I:$I)),MATCH($H146,生物种群!$A$3:INDEX(生物种群!$A:$A,COUNTA(生物种群!$A:$A)),),))</f>
        <v/>
      </c>
      <c r="K146" s="55" t="str">
        <f>IF(H146="","",INDEX(生物种群!$E$3:INDEX(生物种群!$E:$E,COUNTA(生物种群!$E:$E)),MATCH($H146,生物种群!$A$3:INDEX(生物种群!$A:$A,COUNTA(生物种群!$A:$A)),),))</f>
        <v/>
      </c>
      <c r="L146" s="46" t="str">
        <f t="shared" si="12"/>
        <v/>
      </c>
      <c r="M146" s="47" t="str">
        <f>IF(L146="","",ROUND((L146)/VLOOKUP($F146,IF({1,0},站位样品信息!$A$3:INDEX(站位样品信息!$A:$A,COUNTA(站位样品信息!$A:$A)+1),站位样品信息!$H$3:INDEX(站位样品信息!$H:$H,COUNTA(站位样品信息!$H:$H)+1)),2,0),2))</f>
        <v/>
      </c>
      <c r="O146" s="49"/>
      <c r="P146" s="53" t="str">
        <f t="shared" si="10"/>
        <v/>
      </c>
      <c r="Q146" s="53" t="str">
        <f t="shared" si="11"/>
        <v/>
      </c>
    </row>
    <row r="147" spans="1:17" ht="19.5" customHeight="1">
      <c r="A147" s="38"/>
      <c r="B147" s="38"/>
      <c r="C147" s="38"/>
      <c r="D147" s="37"/>
      <c r="E147" s="37"/>
      <c r="F147" s="37"/>
      <c r="G147" s="37" t="str">
        <f>IF(F147="","",INDEX(站位样品信息!$B$3:INDEX(站位样品信息!$B:$B,COUNTA(站位样品信息!$B:$B)+1),MATCH($F147,站位样品信息!$A$3:INDEX(站位样品信息!$A:$A,COUNTA(站位样品信息!$A:$A)+1),),))</f>
        <v/>
      </c>
      <c r="H147" s="55" t="str">
        <f>IF(OR(A147&lt;&gt;"",B147&lt;&gt;"",C147&lt;&gt;""),IF($C147&lt;&gt;0,INDEX(生物种群!$A$3:INDEX(生物种群!$A:$A,COUNTA(生物种群!$A:$A)),MATCH($C147,生物种群!$F$3:INDEX(生物种群!$F:$F,COUNTA(生物种群!$F:$F)),),),IF($A147&lt;&gt;0,INDEX(生物种群!$A$3:INDEX(生物种群!$A:$A,COUNTA(生物种群!$A:$A)),MATCH($A147,生物种群!$C$3:INDEX(生物种群!$C:$C,COUNTA(生物种群!$C:$C)),),),INDEX(生物种群!$A$3:INDEX(生物种群!$A:$A,COUNTA(生物种群!$A:$A)),MATCH($B147,生物种群!$D$3:INDEX(生物种群!$D:$D,COUNTA(生物种群!$D:$D)),),))),"")</f>
        <v/>
      </c>
      <c r="I147" s="56" t="str">
        <f>IF(H147="","",INDEX(生物种群!$B$3:INDEX(生物种群!$B:$B,COUNTA(生物种群!$B:$B)),MATCH($H147,生物种群!$A$3:INDEX(生物种群!$A:$A,COUNTA(生物种群!$A:$A)),),))</f>
        <v/>
      </c>
      <c r="J147" s="55" t="str">
        <f>IF(H147="","",INDEX(生物种群!$I$3:INDEX(生物种群!$I:$I,COUNTA(生物种群!$I:$I)),MATCH($H147,生物种群!$A$3:INDEX(生物种群!$A:$A,COUNTA(生物种群!$A:$A)),),))</f>
        <v/>
      </c>
      <c r="K147" s="55" t="str">
        <f>IF(H147="","",INDEX(生物种群!$E$3:INDEX(生物种群!$E:$E,COUNTA(生物种群!$E:$E)),MATCH($H147,生物种群!$A$3:INDEX(生物种群!$A:$A,COUNTA(生物种群!$A:$A)),),))</f>
        <v/>
      </c>
      <c r="L147" s="46" t="str">
        <f t="shared" si="12"/>
        <v/>
      </c>
      <c r="M147" s="47" t="str">
        <f>IF(L147="","",ROUND((L147)/VLOOKUP($F147,IF({1,0},站位样品信息!$A$3:INDEX(站位样品信息!$A:$A,COUNTA(站位样品信息!$A:$A)+1),站位样品信息!$H$3:INDEX(站位样品信息!$H:$H,COUNTA(站位样品信息!$H:$H)+1)),2,0),2))</f>
        <v/>
      </c>
      <c r="O147" s="49"/>
      <c r="P147" s="53" t="str">
        <f t="shared" si="10"/>
        <v/>
      </c>
      <c r="Q147" s="53" t="str">
        <f t="shared" si="11"/>
        <v/>
      </c>
    </row>
    <row r="148" spans="1:17" ht="19.5" customHeight="1">
      <c r="A148" s="38"/>
      <c r="B148" s="38"/>
      <c r="C148" s="38"/>
      <c r="D148" s="37"/>
      <c r="E148" s="37"/>
      <c r="F148" s="37"/>
      <c r="G148" s="37" t="str">
        <f>IF(F148="","",INDEX(站位样品信息!$B$3:INDEX(站位样品信息!$B:$B,COUNTA(站位样品信息!$B:$B)+1),MATCH($F148,站位样品信息!$A$3:INDEX(站位样品信息!$A:$A,COUNTA(站位样品信息!$A:$A)+1),),))</f>
        <v/>
      </c>
      <c r="H148" s="55" t="str">
        <f>IF(OR(A148&lt;&gt;"",B148&lt;&gt;"",C148&lt;&gt;""),IF($C148&lt;&gt;0,INDEX(生物种群!$A$3:INDEX(生物种群!$A:$A,COUNTA(生物种群!$A:$A)),MATCH($C148,生物种群!$F$3:INDEX(生物种群!$F:$F,COUNTA(生物种群!$F:$F)),),),IF($A148&lt;&gt;0,INDEX(生物种群!$A$3:INDEX(生物种群!$A:$A,COUNTA(生物种群!$A:$A)),MATCH($A148,生物种群!$C$3:INDEX(生物种群!$C:$C,COUNTA(生物种群!$C:$C)),),),INDEX(生物种群!$A$3:INDEX(生物种群!$A:$A,COUNTA(生物种群!$A:$A)),MATCH($B148,生物种群!$D$3:INDEX(生物种群!$D:$D,COUNTA(生物种群!$D:$D)),),))),"")</f>
        <v/>
      </c>
      <c r="I148" s="56" t="str">
        <f>IF(H148="","",INDEX(生物种群!$B$3:INDEX(生物种群!$B:$B,COUNTA(生物种群!$B:$B)),MATCH($H148,生物种群!$A$3:INDEX(生物种群!$A:$A,COUNTA(生物种群!$A:$A)),),))</f>
        <v/>
      </c>
      <c r="J148" s="55" t="str">
        <f>IF(H148="","",INDEX(生物种群!$I$3:INDEX(生物种群!$I:$I,COUNTA(生物种群!$I:$I)),MATCH($H148,生物种群!$A$3:INDEX(生物种群!$A:$A,COUNTA(生物种群!$A:$A)),),))</f>
        <v/>
      </c>
      <c r="K148" s="55" t="str">
        <f>IF(H148="","",INDEX(生物种群!$E$3:INDEX(生物种群!$E:$E,COUNTA(生物种群!$E:$E)),MATCH($H148,生物种群!$A$3:INDEX(生物种群!$A:$A,COUNTA(生物种群!$A:$A)),),))</f>
        <v/>
      </c>
      <c r="L148" s="46" t="str">
        <f t="shared" si="12"/>
        <v/>
      </c>
      <c r="M148" s="47" t="str">
        <f>IF(L148="","",ROUND((L148)/VLOOKUP($F148,IF({1,0},站位样品信息!$A$3:INDEX(站位样品信息!$A:$A,COUNTA(站位样品信息!$A:$A)+1),站位样品信息!$H$3:INDEX(站位样品信息!$H:$H,COUNTA(站位样品信息!$H:$H)+1)),2,0),2))</f>
        <v/>
      </c>
      <c r="O148" s="49"/>
      <c r="P148" s="53" t="str">
        <f t="shared" si="10"/>
        <v/>
      </c>
      <c r="Q148" s="53" t="str">
        <f t="shared" si="11"/>
        <v/>
      </c>
    </row>
    <row r="149" spans="1:17" ht="19.5" customHeight="1">
      <c r="A149" s="38"/>
      <c r="B149" s="38"/>
      <c r="C149" s="38"/>
      <c r="D149" s="37"/>
      <c r="E149" s="37"/>
      <c r="F149" s="37"/>
      <c r="G149" s="37" t="str">
        <f>IF(F149="","",INDEX(站位样品信息!$B$3:INDEX(站位样品信息!$B:$B,COUNTA(站位样品信息!$B:$B)+1),MATCH($F149,站位样品信息!$A$3:INDEX(站位样品信息!$A:$A,COUNTA(站位样品信息!$A:$A)+1),),))</f>
        <v/>
      </c>
      <c r="H149" s="55" t="str">
        <f>IF(OR(A149&lt;&gt;"",B149&lt;&gt;"",C149&lt;&gt;""),IF($C149&lt;&gt;0,INDEX(生物种群!$A$3:INDEX(生物种群!$A:$A,COUNTA(生物种群!$A:$A)),MATCH($C149,生物种群!$F$3:INDEX(生物种群!$F:$F,COUNTA(生物种群!$F:$F)),),),IF($A149&lt;&gt;0,INDEX(生物种群!$A$3:INDEX(生物种群!$A:$A,COUNTA(生物种群!$A:$A)),MATCH($A149,生物种群!$C$3:INDEX(生物种群!$C:$C,COUNTA(生物种群!$C:$C)),),),INDEX(生物种群!$A$3:INDEX(生物种群!$A:$A,COUNTA(生物种群!$A:$A)),MATCH($B149,生物种群!$D$3:INDEX(生物种群!$D:$D,COUNTA(生物种群!$D:$D)),),))),"")</f>
        <v/>
      </c>
      <c r="I149" s="56" t="str">
        <f>IF(H149="","",INDEX(生物种群!$B$3:INDEX(生物种群!$B:$B,COUNTA(生物种群!$B:$B)),MATCH($H149,生物种群!$A$3:INDEX(生物种群!$A:$A,COUNTA(生物种群!$A:$A)),),))</f>
        <v/>
      </c>
      <c r="J149" s="55" t="str">
        <f>IF(H149="","",INDEX(生物种群!$I$3:INDEX(生物种群!$I:$I,COUNTA(生物种群!$I:$I)),MATCH($H149,生物种群!$A$3:INDEX(生物种群!$A:$A,COUNTA(生物种群!$A:$A)),),))</f>
        <v/>
      </c>
      <c r="K149" s="55" t="str">
        <f>IF(H149="","",INDEX(生物种群!$E$3:INDEX(生物种群!$E:$E,COUNTA(生物种群!$E:$E)),MATCH($H149,生物种群!$A$3:INDEX(生物种群!$A:$A,COUNTA(生物种群!$A:$A)),),))</f>
        <v/>
      </c>
      <c r="L149" s="46" t="str">
        <f t="shared" si="12"/>
        <v/>
      </c>
      <c r="M149" s="47" t="str">
        <f>IF(L149="","",ROUND((L149)/VLOOKUP($F149,IF({1,0},站位样品信息!$A$3:INDEX(站位样品信息!$A:$A,COUNTA(站位样品信息!$A:$A)+1),站位样品信息!$H$3:INDEX(站位样品信息!$H:$H,COUNTA(站位样品信息!$H:$H)+1)),2,0),2))</f>
        <v/>
      </c>
      <c r="O149" s="49"/>
      <c r="P149" s="53" t="str">
        <f t="shared" si="10"/>
        <v/>
      </c>
      <c r="Q149" s="53" t="str">
        <f t="shared" si="11"/>
        <v/>
      </c>
    </row>
    <row r="150" spans="1:17" ht="19.5" customHeight="1">
      <c r="A150" s="38"/>
      <c r="B150" s="38"/>
      <c r="C150" s="38"/>
      <c r="D150" s="37"/>
      <c r="E150" s="37"/>
      <c r="F150" s="37"/>
      <c r="G150" s="37" t="str">
        <f>IF(F150="","",INDEX(站位样品信息!$B$3:INDEX(站位样品信息!$B:$B,COUNTA(站位样品信息!$B:$B)+1),MATCH($F150,站位样品信息!$A$3:INDEX(站位样品信息!$A:$A,COUNTA(站位样品信息!$A:$A)+1),),))</f>
        <v/>
      </c>
      <c r="H150" s="55" t="str">
        <f>IF(OR(A150&lt;&gt;"",B150&lt;&gt;"",C150&lt;&gt;""),IF($C150&lt;&gt;0,INDEX(生物种群!$A$3:INDEX(生物种群!$A:$A,COUNTA(生物种群!$A:$A)),MATCH($C150,生物种群!$F$3:INDEX(生物种群!$F:$F,COUNTA(生物种群!$F:$F)),),),IF($A150&lt;&gt;0,INDEX(生物种群!$A$3:INDEX(生物种群!$A:$A,COUNTA(生物种群!$A:$A)),MATCH($A150,生物种群!$C$3:INDEX(生物种群!$C:$C,COUNTA(生物种群!$C:$C)),),),INDEX(生物种群!$A$3:INDEX(生物种群!$A:$A,COUNTA(生物种群!$A:$A)),MATCH($B150,生物种群!$D$3:INDEX(生物种群!$D:$D,COUNTA(生物种群!$D:$D)),),))),"")</f>
        <v/>
      </c>
      <c r="I150" s="56" t="str">
        <f>IF(H150="","",INDEX(生物种群!$B$3:INDEX(生物种群!$B:$B,COUNTA(生物种群!$B:$B)),MATCH($H150,生物种群!$A$3:INDEX(生物种群!$A:$A,COUNTA(生物种群!$A:$A)),),))</f>
        <v/>
      </c>
      <c r="J150" s="55" t="str">
        <f>IF(H150="","",INDEX(生物种群!$I$3:INDEX(生物种群!$I:$I,COUNTA(生物种群!$I:$I)),MATCH($H150,生物种群!$A$3:INDEX(生物种群!$A:$A,COUNTA(生物种群!$A:$A)),),))</f>
        <v/>
      </c>
      <c r="K150" s="55" t="str">
        <f>IF(H150="","",INDEX(生物种群!$E$3:INDEX(生物种群!$E:$E,COUNTA(生物种群!$E:$E)),MATCH($H150,生物种群!$A$3:INDEX(生物种群!$A:$A,COUNTA(生物种群!$A:$A)),),))</f>
        <v/>
      </c>
      <c r="L150" s="46" t="str">
        <f t="shared" si="12"/>
        <v/>
      </c>
      <c r="M150" s="47" t="str">
        <f>IF(L150="","",ROUND((L150)/VLOOKUP($F150,IF({1,0},站位样品信息!$A$3:INDEX(站位样品信息!$A:$A,COUNTA(站位样品信息!$A:$A)+1),站位样品信息!$H$3:INDEX(站位样品信息!$H:$H,COUNTA(站位样品信息!$H:$H)+1)),2,0),2))</f>
        <v/>
      </c>
      <c r="O150" s="49"/>
      <c r="P150" s="53" t="str">
        <f t="shared" si="10"/>
        <v/>
      </c>
      <c r="Q150" s="53" t="str">
        <f t="shared" si="11"/>
        <v/>
      </c>
    </row>
    <row r="151" spans="1:17" ht="19.5" customHeight="1">
      <c r="A151" s="38"/>
      <c r="B151" s="38"/>
      <c r="C151" s="38"/>
      <c r="D151" s="37"/>
      <c r="E151" s="37"/>
      <c r="F151" s="37"/>
      <c r="G151" s="37" t="str">
        <f>IF(F151="","",INDEX(站位样品信息!$B$3:INDEX(站位样品信息!$B:$B,COUNTA(站位样品信息!$B:$B)+1),MATCH($F151,站位样品信息!$A$3:INDEX(站位样品信息!$A:$A,COUNTA(站位样品信息!$A:$A)+1),),))</f>
        <v/>
      </c>
      <c r="H151" s="55" t="str">
        <f>IF(OR(A151&lt;&gt;"",B151&lt;&gt;"",C151&lt;&gt;""),IF($C151&lt;&gt;0,INDEX(生物种群!$A$3:INDEX(生物种群!$A:$A,COUNTA(生物种群!$A:$A)),MATCH($C151,生物种群!$F$3:INDEX(生物种群!$F:$F,COUNTA(生物种群!$F:$F)),),),IF($A151&lt;&gt;0,INDEX(生物种群!$A$3:INDEX(生物种群!$A:$A,COUNTA(生物种群!$A:$A)),MATCH($A151,生物种群!$C$3:INDEX(生物种群!$C:$C,COUNTA(生物种群!$C:$C)),),),INDEX(生物种群!$A$3:INDEX(生物种群!$A:$A,COUNTA(生物种群!$A:$A)),MATCH($B151,生物种群!$D$3:INDEX(生物种群!$D:$D,COUNTA(生物种群!$D:$D)),),))),"")</f>
        <v/>
      </c>
      <c r="I151" s="56" t="str">
        <f>IF(H151="","",INDEX(生物种群!$B$3:INDEX(生物种群!$B:$B,COUNTA(生物种群!$B:$B)),MATCH($H151,生物种群!$A$3:INDEX(生物种群!$A:$A,COUNTA(生物种群!$A:$A)),),))</f>
        <v/>
      </c>
      <c r="J151" s="55" t="str">
        <f>IF(H151="","",INDEX(生物种群!$I$3:INDEX(生物种群!$I:$I,COUNTA(生物种群!$I:$I)),MATCH($H151,生物种群!$A$3:INDEX(生物种群!$A:$A,COUNTA(生物种群!$A:$A)),),))</f>
        <v/>
      </c>
      <c r="K151" s="55" t="str">
        <f>IF(H151="","",INDEX(生物种群!$E$3:INDEX(生物种群!$E:$E,COUNTA(生物种群!$E:$E)),MATCH($H151,生物种群!$A$3:INDEX(生物种群!$A:$A,COUNTA(生物种群!$A:$A)),),))</f>
        <v/>
      </c>
      <c r="L151" s="46" t="str">
        <f t="shared" si="12"/>
        <v/>
      </c>
      <c r="M151" s="47" t="str">
        <f>IF(L151="","",ROUND((L151)/VLOOKUP($F151,IF({1,0},站位样品信息!$A$3:INDEX(站位样品信息!$A:$A,COUNTA(站位样品信息!$A:$A)+1),站位样品信息!$H$3:INDEX(站位样品信息!$H:$H,COUNTA(站位样品信息!$H:$H)+1)),2,0),2))</f>
        <v/>
      </c>
      <c r="O151" s="49"/>
      <c r="P151" s="53" t="str">
        <f t="shared" si="10"/>
        <v/>
      </c>
      <c r="Q151" s="53" t="str">
        <f t="shared" si="11"/>
        <v/>
      </c>
    </row>
    <row r="152" spans="1:17" ht="19.5" customHeight="1">
      <c r="A152" s="38"/>
      <c r="B152" s="38"/>
      <c r="C152" s="38"/>
      <c r="D152" s="37"/>
      <c r="E152" s="37"/>
      <c r="F152" s="37"/>
      <c r="G152" s="37" t="str">
        <f>IF(F152="","",INDEX(站位样品信息!$B$3:INDEX(站位样品信息!$B:$B,COUNTA(站位样品信息!$B:$B)+1),MATCH($F152,站位样品信息!$A$3:INDEX(站位样品信息!$A:$A,COUNTA(站位样品信息!$A:$A)+1),),))</f>
        <v/>
      </c>
      <c r="H152" s="55" t="str">
        <f>IF(OR(A152&lt;&gt;"",B152&lt;&gt;"",C152&lt;&gt;""),IF($C152&lt;&gt;0,INDEX(生物种群!$A$3:INDEX(生物种群!$A:$A,COUNTA(生物种群!$A:$A)),MATCH($C152,生物种群!$F$3:INDEX(生物种群!$F:$F,COUNTA(生物种群!$F:$F)),),),IF($A152&lt;&gt;0,INDEX(生物种群!$A$3:INDEX(生物种群!$A:$A,COUNTA(生物种群!$A:$A)),MATCH($A152,生物种群!$C$3:INDEX(生物种群!$C:$C,COUNTA(生物种群!$C:$C)),),),INDEX(生物种群!$A$3:INDEX(生物种群!$A:$A,COUNTA(生物种群!$A:$A)),MATCH($B152,生物种群!$D$3:INDEX(生物种群!$D:$D,COUNTA(生物种群!$D:$D)),),))),"")</f>
        <v/>
      </c>
      <c r="I152" s="56" t="str">
        <f>IF(H152="","",INDEX(生物种群!$B$3:INDEX(生物种群!$B:$B,COUNTA(生物种群!$B:$B)),MATCH($H152,生物种群!$A$3:INDEX(生物种群!$A:$A,COUNTA(生物种群!$A:$A)),),))</f>
        <v/>
      </c>
      <c r="J152" s="55" t="str">
        <f>IF(H152="","",INDEX(生物种群!$I$3:INDEX(生物种群!$I:$I,COUNTA(生物种群!$I:$I)),MATCH($H152,生物种群!$A$3:INDEX(生物种群!$A:$A,COUNTA(生物种群!$A:$A)),),))</f>
        <v/>
      </c>
      <c r="K152" s="55" t="str">
        <f>IF(H152="","",INDEX(生物种群!$E$3:INDEX(生物种群!$E:$E,COUNTA(生物种群!$E:$E)),MATCH($H152,生物种群!$A$3:INDEX(生物种群!$A:$A,COUNTA(生物种群!$A:$A)),),))</f>
        <v/>
      </c>
      <c r="L152" s="46" t="str">
        <f t="shared" si="12"/>
        <v/>
      </c>
      <c r="M152" s="47" t="str">
        <f>IF(L152="","",ROUND((L152)/VLOOKUP($F152,IF({1,0},站位样品信息!$A$3:INDEX(站位样品信息!$A:$A,COUNTA(站位样品信息!$A:$A)+1),站位样品信息!$H$3:INDEX(站位样品信息!$H:$H,COUNTA(站位样品信息!$H:$H)+1)),2,0),2))</f>
        <v/>
      </c>
      <c r="O152" s="49"/>
      <c r="P152" s="53" t="str">
        <f t="shared" si="10"/>
        <v/>
      </c>
      <c r="Q152" s="53" t="str">
        <f t="shared" si="11"/>
        <v/>
      </c>
    </row>
    <row r="153" spans="1:17" ht="19.5" customHeight="1">
      <c r="A153" s="38"/>
      <c r="B153" s="38"/>
      <c r="C153" s="38"/>
      <c r="D153" s="37"/>
      <c r="E153" s="37"/>
      <c r="F153" s="37"/>
      <c r="G153" s="37" t="str">
        <f>IF(F153="","",INDEX(站位样品信息!$B$3:INDEX(站位样品信息!$B:$B,COUNTA(站位样品信息!$B:$B)+1),MATCH($F153,站位样品信息!$A$3:INDEX(站位样品信息!$A:$A,COUNTA(站位样品信息!$A:$A)+1),),))</f>
        <v/>
      </c>
      <c r="H153" s="55" t="str">
        <f>IF(OR(A153&lt;&gt;"",B153&lt;&gt;"",C153&lt;&gt;""),IF($C153&lt;&gt;0,INDEX(生物种群!$A$3:INDEX(生物种群!$A:$A,COUNTA(生物种群!$A:$A)),MATCH($C153,生物种群!$F$3:INDEX(生物种群!$F:$F,COUNTA(生物种群!$F:$F)),),),IF($A153&lt;&gt;0,INDEX(生物种群!$A$3:INDEX(生物种群!$A:$A,COUNTA(生物种群!$A:$A)),MATCH($A153,生物种群!$C$3:INDEX(生物种群!$C:$C,COUNTA(生物种群!$C:$C)),),),INDEX(生物种群!$A$3:INDEX(生物种群!$A:$A,COUNTA(生物种群!$A:$A)),MATCH($B153,生物种群!$D$3:INDEX(生物种群!$D:$D,COUNTA(生物种群!$D:$D)),),))),"")</f>
        <v/>
      </c>
      <c r="I153" s="56" t="str">
        <f>IF(H153="","",INDEX(生物种群!$B$3:INDEX(生物种群!$B:$B,COUNTA(生物种群!$B:$B)),MATCH($H153,生物种群!$A$3:INDEX(生物种群!$A:$A,COUNTA(生物种群!$A:$A)),),))</f>
        <v/>
      </c>
      <c r="J153" s="55" t="str">
        <f>IF(H153="","",INDEX(生物种群!$I$3:INDEX(生物种群!$I:$I,COUNTA(生物种群!$I:$I)),MATCH($H153,生物种群!$A$3:INDEX(生物种群!$A:$A,COUNTA(生物种群!$A:$A)),),))</f>
        <v/>
      </c>
      <c r="K153" s="55" t="str">
        <f>IF(H153="","",INDEX(生物种群!$E$3:INDEX(生物种群!$E:$E,COUNTA(生物种群!$E:$E)),MATCH($H153,生物种群!$A$3:INDEX(生物种群!$A:$A,COUNTA(生物种群!$A:$A)),),))</f>
        <v/>
      </c>
      <c r="L153" s="46" t="str">
        <f t="shared" si="12"/>
        <v/>
      </c>
      <c r="M153" s="47" t="str">
        <f>IF(L153="","",ROUND((L153)/VLOOKUP($F153,IF({1,0},站位样品信息!$A$3:INDEX(站位样品信息!$A:$A,COUNTA(站位样品信息!$A:$A)+1),站位样品信息!$H$3:INDEX(站位样品信息!$H:$H,COUNTA(站位样品信息!$H:$H)+1)),2,0),2))</f>
        <v/>
      </c>
      <c r="O153" s="49"/>
      <c r="P153" s="53" t="str">
        <f t="shared" si="10"/>
        <v/>
      </c>
      <c r="Q153" s="53" t="str">
        <f t="shared" si="11"/>
        <v/>
      </c>
    </row>
    <row r="154" spans="1:17" ht="19.5" customHeight="1">
      <c r="A154" s="38"/>
      <c r="B154" s="38"/>
      <c r="C154" s="38"/>
      <c r="D154" s="37"/>
      <c r="E154" s="37"/>
      <c r="F154" s="37"/>
      <c r="G154" s="37" t="str">
        <f>IF(F154="","",INDEX(站位样品信息!$B$3:INDEX(站位样品信息!$B:$B,COUNTA(站位样品信息!$B:$B)+1),MATCH($F154,站位样品信息!$A$3:INDEX(站位样品信息!$A:$A,COUNTA(站位样品信息!$A:$A)+1),),))</f>
        <v/>
      </c>
      <c r="H154" s="55" t="str">
        <f>IF(OR(A154&lt;&gt;"",B154&lt;&gt;"",C154&lt;&gt;""),IF($C154&lt;&gt;0,INDEX(生物种群!$A$3:INDEX(生物种群!$A:$A,COUNTA(生物种群!$A:$A)),MATCH($C154,生物种群!$F$3:INDEX(生物种群!$F:$F,COUNTA(生物种群!$F:$F)),),),IF($A154&lt;&gt;0,INDEX(生物种群!$A$3:INDEX(生物种群!$A:$A,COUNTA(生物种群!$A:$A)),MATCH($A154,生物种群!$C$3:INDEX(生物种群!$C:$C,COUNTA(生物种群!$C:$C)),),),INDEX(生物种群!$A$3:INDEX(生物种群!$A:$A,COUNTA(生物种群!$A:$A)),MATCH($B154,生物种群!$D$3:INDEX(生物种群!$D:$D,COUNTA(生物种群!$D:$D)),),))),"")</f>
        <v/>
      </c>
      <c r="I154" s="56" t="str">
        <f>IF(H154="","",INDEX(生物种群!$B$3:INDEX(生物种群!$B:$B,COUNTA(生物种群!$B:$B)),MATCH($H154,生物种群!$A$3:INDEX(生物种群!$A:$A,COUNTA(生物种群!$A:$A)),),))</f>
        <v/>
      </c>
      <c r="J154" s="55" t="str">
        <f>IF(H154="","",INDEX(生物种群!$I$3:INDEX(生物种群!$I:$I,COUNTA(生物种群!$I:$I)),MATCH($H154,生物种群!$A$3:INDEX(生物种群!$A:$A,COUNTA(生物种群!$A:$A)),),))</f>
        <v/>
      </c>
      <c r="K154" s="55" t="str">
        <f>IF(H154="","",INDEX(生物种群!$E$3:INDEX(生物种群!$E:$E,COUNTA(生物种群!$E:$E)),MATCH($H154,生物种群!$A$3:INDEX(生物种群!$A:$A,COUNTA(生物种群!$A:$A)),),))</f>
        <v/>
      </c>
      <c r="L154" s="46" t="str">
        <f t="shared" si="12"/>
        <v/>
      </c>
      <c r="M154" s="47" t="str">
        <f>IF(L154="","",ROUND((L154)/VLOOKUP($F154,IF({1,0},站位样品信息!$A$3:INDEX(站位样品信息!$A:$A,COUNTA(站位样品信息!$A:$A)+1),站位样品信息!$H$3:INDEX(站位样品信息!$H:$H,COUNTA(站位样品信息!$H:$H)+1)),2,0),2))</f>
        <v/>
      </c>
      <c r="O154" s="49"/>
      <c r="P154" s="53" t="str">
        <f t="shared" si="10"/>
        <v/>
      </c>
      <c r="Q154" s="53" t="str">
        <f t="shared" si="11"/>
        <v/>
      </c>
    </row>
    <row r="155" spans="1:17" ht="19.5" customHeight="1">
      <c r="A155" s="38"/>
      <c r="B155" s="38"/>
      <c r="C155" s="38"/>
      <c r="D155" s="37"/>
      <c r="E155" s="37"/>
      <c r="F155" s="37"/>
      <c r="G155" s="37" t="str">
        <f>IF(F155="","",INDEX(站位样品信息!$B$3:INDEX(站位样品信息!$B:$B,COUNTA(站位样品信息!$B:$B)+1),MATCH($F155,站位样品信息!$A$3:INDEX(站位样品信息!$A:$A,COUNTA(站位样品信息!$A:$A)+1),),))</f>
        <v/>
      </c>
      <c r="H155" s="55" t="str">
        <f>IF(OR(A155&lt;&gt;"",B155&lt;&gt;"",C155&lt;&gt;""),IF($C155&lt;&gt;0,INDEX(生物种群!$A$3:INDEX(生物种群!$A:$A,COUNTA(生物种群!$A:$A)),MATCH($C155,生物种群!$F$3:INDEX(生物种群!$F:$F,COUNTA(生物种群!$F:$F)),),),IF($A155&lt;&gt;0,INDEX(生物种群!$A$3:INDEX(生物种群!$A:$A,COUNTA(生物种群!$A:$A)),MATCH($A155,生物种群!$C$3:INDEX(生物种群!$C:$C,COUNTA(生物种群!$C:$C)),),),INDEX(生物种群!$A$3:INDEX(生物种群!$A:$A,COUNTA(生物种群!$A:$A)),MATCH($B155,生物种群!$D$3:INDEX(生物种群!$D:$D,COUNTA(生物种群!$D:$D)),),))),"")</f>
        <v/>
      </c>
      <c r="I155" s="56" t="str">
        <f>IF(H155="","",INDEX(生物种群!$B$3:INDEX(生物种群!$B:$B,COUNTA(生物种群!$B:$B)),MATCH($H155,生物种群!$A$3:INDEX(生物种群!$A:$A,COUNTA(生物种群!$A:$A)),),))</f>
        <v/>
      </c>
      <c r="J155" s="55" t="str">
        <f>IF(H155="","",INDEX(生物种群!$I$3:INDEX(生物种群!$I:$I,COUNTA(生物种群!$I:$I)),MATCH($H155,生物种群!$A$3:INDEX(生物种群!$A:$A,COUNTA(生物种群!$A:$A)),),))</f>
        <v/>
      </c>
      <c r="K155" s="55" t="str">
        <f>IF(H155="","",INDEX(生物种群!$E$3:INDEX(生物种群!$E:$E,COUNTA(生物种群!$E:$E)),MATCH($H155,生物种群!$A$3:INDEX(生物种群!$A:$A,COUNTA(生物种群!$A:$A)),),))</f>
        <v/>
      </c>
      <c r="L155" s="46" t="str">
        <f t="shared" si="12"/>
        <v/>
      </c>
      <c r="M155" s="47" t="str">
        <f>IF(L155="","",ROUND((L155)/VLOOKUP($F155,IF({1,0},站位样品信息!$A$3:INDEX(站位样品信息!$A:$A,COUNTA(站位样品信息!$A:$A)+1),站位样品信息!$H$3:INDEX(站位样品信息!$H:$H,COUNTA(站位样品信息!$H:$H)+1)),2,0),2))</f>
        <v/>
      </c>
      <c r="O155" s="49"/>
      <c r="P155" s="53" t="str">
        <f t="shared" si="10"/>
        <v/>
      </c>
      <c r="Q155" s="53" t="str">
        <f t="shared" si="11"/>
        <v/>
      </c>
    </row>
    <row r="156" spans="1:17" ht="19.5" customHeight="1">
      <c r="A156" s="38"/>
      <c r="B156" s="38"/>
      <c r="C156" s="38"/>
      <c r="D156" s="37"/>
      <c r="E156" s="37"/>
      <c r="F156" s="37"/>
      <c r="G156" s="37" t="str">
        <f>IF(F156="","",INDEX(站位样品信息!$B$3:INDEX(站位样品信息!$B:$B,COUNTA(站位样品信息!$B:$B)+1),MATCH($F156,站位样品信息!$A$3:INDEX(站位样品信息!$A:$A,COUNTA(站位样品信息!$A:$A)+1),),))</f>
        <v/>
      </c>
      <c r="H156" s="55" t="str">
        <f>IF(OR(A156&lt;&gt;"",B156&lt;&gt;"",C156&lt;&gt;""),IF($C156&lt;&gt;0,INDEX(生物种群!$A$3:INDEX(生物种群!$A:$A,COUNTA(生物种群!$A:$A)),MATCH($C156,生物种群!$F$3:INDEX(生物种群!$F:$F,COUNTA(生物种群!$F:$F)),),),IF($A156&lt;&gt;0,INDEX(生物种群!$A$3:INDEX(生物种群!$A:$A,COUNTA(生物种群!$A:$A)),MATCH($A156,生物种群!$C$3:INDEX(生物种群!$C:$C,COUNTA(生物种群!$C:$C)),),),INDEX(生物种群!$A$3:INDEX(生物种群!$A:$A,COUNTA(生物种群!$A:$A)),MATCH($B156,生物种群!$D$3:INDEX(生物种群!$D:$D,COUNTA(生物种群!$D:$D)),),))),"")</f>
        <v/>
      </c>
      <c r="I156" s="56" t="str">
        <f>IF(H156="","",INDEX(生物种群!$B$3:INDEX(生物种群!$B:$B,COUNTA(生物种群!$B:$B)),MATCH($H156,生物种群!$A$3:INDEX(生物种群!$A:$A,COUNTA(生物种群!$A:$A)),),))</f>
        <v/>
      </c>
      <c r="J156" s="55" t="str">
        <f>IF(H156="","",INDEX(生物种群!$I$3:INDEX(生物种群!$I:$I,COUNTA(生物种群!$I:$I)),MATCH($H156,生物种群!$A$3:INDEX(生物种群!$A:$A,COUNTA(生物种群!$A:$A)),),))</f>
        <v/>
      </c>
      <c r="K156" s="55" t="str">
        <f>IF(H156="","",INDEX(生物种群!$E$3:INDEX(生物种群!$E:$E,COUNTA(生物种群!$E:$E)),MATCH($H156,生物种群!$A$3:INDEX(生物种群!$A:$A,COUNTA(生物种群!$A:$A)),),))</f>
        <v/>
      </c>
      <c r="L156" s="46" t="str">
        <f t="shared" si="12"/>
        <v/>
      </c>
      <c r="M156" s="47" t="str">
        <f>IF(L156="","",ROUND((L156)/VLOOKUP($F156,IF({1,0},站位样品信息!$A$3:INDEX(站位样品信息!$A:$A,COUNTA(站位样品信息!$A:$A)+1),站位样品信息!$H$3:INDEX(站位样品信息!$H:$H,COUNTA(站位样品信息!$H:$H)+1)),2,0),2))</f>
        <v/>
      </c>
      <c r="O156" s="49"/>
      <c r="P156" s="53" t="str">
        <f t="shared" si="10"/>
        <v/>
      </c>
      <c r="Q156" s="53" t="str">
        <f t="shared" si="11"/>
        <v/>
      </c>
    </row>
    <row r="157" spans="1:17" ht="19.5" customHeight="1">
      <c r="A157" s="38"/>
      <c r="B157" s="38"/>
      <c r="C157" s="38"/>
      <c r="D157" s="37"/>
      <c r="E157" s="37"/>
      <c r="F157" s="37"/>
      <c r="G157" s="37" t="str">
        <f>IF(F157="","",INDEX(站位样品信息!$B$3:INDEX(站位样品信息!$B:$B,COUNTA(站位样品信息!$B:$B)+1),MATCH($F157,站位样品信息!$A$3:INDEX(站位样品信息!$A:$A,COUNTA(站位样品信息!$A:$A)+1),),))</f>
        <v/>
      </c>
      <c r="H157" s="55" t="str">
        <f>IF(OR(A157&lt;&gt;"",B157&lt;&gt;"",C157&lt;&gt;""),IF($C157&lt;&gt;0,INDEX(生物种群!$A$3:INDEX(生物种群!$A:$A,COUNTA(生物种群!$A:$A)),MATCH($C157,生物种群!$F$3:INDEX(生物种群!$F:$F,COUNTA(生物种群!$F:$F)),),),IF($A157&lt;&gt;0,INDEX(生物种群!$A$3:INDEX(生物种群!$A:$A,COUNTA(生物种群!$A:$A)),MATCH($A157,生物种群!$C$3:INDEX(生物种群!$C:$C,COUNTA(生物种群!$C:$C)),),),INDEX(生物种群!$A$3:INDEX(生物种群!$A:$A,COUNTA(生物种群!$A:$A)),MATCH($B157,生物种群!$D$3:INDEX(生物种群!$D:$D,COUNTA(生物种群!$D:$D)),),))),"")</f>
        <v/>
      </c>
      <c r="I157" s="56" t="str">
        <f>IF(H157="","",INDEX(生物种群!$B$3:INDEX(生物种群!$B:$B,COUNTA(生物种群!$B:$B)),MATCH($H157,生物种群!$A$3:INDEX(生物种群!$A:$A,COUNTA(生物种群!$A:$A)),),))</f>
        <v/>
      </c>
      <c r="J157" s="55" t="str">
        <f>IF(H157="","",INDEX(生物种群!$I$3:INDEX(生物种群!$I:$I,COUNTA(生物种群!$I:$I)),MATCH($H157,生物种群!$A$3:INDEX(生物种群!$A:$A,COUNTA(生物种群!$A:$A)),),))</f>
        <v/>
      </c>
      <c r="K157" s="55" t="str">
        <f>IF(H157="","",INDEX(生物种群!$E$3:INDEX(生物种群!$E:$E,COUNTA(生物种群!$E:$E)),MATCH($H157,生物种群!$A$3:INDEX(生物种群!$A:$A,COUNTA(生物种群!$A:$A)),),))</f>
        <v/>
      </c>
      <c r="L157" s="46" t="str">
        <f t="shared" si="12"/>
        <v/>
      </c>
      <c r="M157" s="47" t="str">
        <f>IF(L157="","",ROUND((L157)/VLOOKUP($F157,IF({1,0},站位样品信息!$A$3:INDEX(站位样品信息!$A:$A,COUNTA(站位样品信息!$A:$A)+1),站位样品信息!$H$3:INDEX(站位样品信息!$H:$H,COUNTA(站位样品信息!$H:$H)+1)),2,0),2))</f>
        <v/>
      </c>
      <c r="O157" s="49"/>
      <c r="P157" s="53" t="str">
        <f t="shared" si="10"/>
        <v/>
      </c>
      <c r="Q157" s="53" t="str">
        <f t="shared" si="11"/>
        <v/>
      </c>
    </row>
    <row r="158" spans="1:17" ht="19.5" customHeight="1">
      <c r="A158" s="38"/>
      <c r="B158" s="38"/>
      <c r="C158" s="38"/>
      <c r="D158" s="37"/>
      <c r="E158" s="37"/>
      <c r="F158" s="37"/>
      <c r="G158" s="37" t="str">
        <f>IF(F158="","",INDEX(站位样品信息!$B$3:INDEX(站位样品信息!$B:$B,COUNTA(站位样品信息!$B:$B)+1),MATCH($F158,站位样品信息!$A$3:INDEX(站位样品信息!$A:$A,COUNTA(站位样品信息!$A:$A)+1),),))</f>
        <v/>
      </c>
      <c r="H158" s="55" t="str">
        <f>IF(OR(A158&lt;&gt;"",B158&lt;&gt;"",C158&lt;&gt;""),IF($C158&lt;&gt;0,INDEX(生物种群!$A$3:INDEX(生物种群!$A:$A,COUNTA(生物种群!$A:$A)),MATCH($C158,生物种群!$F$3:INDEX(生物种群!$F:$F,COUNTA(生物种群!$F:$F)),),),IF($A158&lt;&gt;0,INDEX(生物种群!$A$3:INDEX(生物种群!$A:$A,COUNTA(生物种群!$A:$A)),MATCH($A158,生物种群!$C$3:INDEX(生物种群!$C:$C,COUNTA(生物种群!$C:$C)),),),INDEX(生物种群!$A$3:INDEX(生物种群!$A:$A,COUNTA(生物种群!$A:$A)),MATCH($B158,生物种群!$D$3:INDEX(生物种群!$D:$D,COUNTA(生物种群!$D:$D)),),))),"")</f>
        <v/>
      </c>
      <c r="I158" s="56" t="str">
        <f>IF(H158="","",INDEX(生物种群!$B$3:INDEX(生物种群!$B:$B,COUNTA(生物种群!$B:$B)),MATCH($H158,生物种群!$A$3:INDEX(生物种群!$A:$A,COUNTA(生物种群!$A:$A)),),))</f>
        <v/>
      </c>
      <c r="J158" s="55" t="str">
        <f>IF(H158="","",INDEX(生物种群!$I$3:INDEX(生物种群!$I:$I,COUNTA(生物种群!$I:$I)),MATCH($H158,生物种群!$A$3:INDEX(生物种群!$A:$A,COUNTA(生物种群!$A:$A)),),))</f>
        <v/>
      </c>
      <c r="K158" s="55" t="str">
        <f>IF(H158="","",INDEX(生物种群!$E$3:INDEX(生物种群!$E:$E,COUNTA(生物种群!$E:$E)),MATCH($H158,生物种群!$A$3:INDEX(生物种群!$A:$A,COUNTA(生物种群!$A:$A)),),))</f>
        <v/>
      </c>
      <c r="L158" s="46" t="str">
        <f t="shared" si="12"/>
        <v/>
      </c>
      <c r="M158" s="47" t="str">
        <f>IF(L158="","",ROUND((L158)/VLOOKUP($F158,IF({1,0},站位样品信息!$A$3:INDEX(站位样品信息!$A:$A,COUNTA(站位样品信息!$A:$A)+1),站位样品信息!$H$3:INDEX(站位样品信息!$H:$H,COUNTA(站位样品信息!$H:$H)+1)),2,0),2))</f>
        <v/>
      </c>
      <c r="O158" s="49"/>
      <c r="P158" s="53" t="str">
        <f t="shared" si="10"/>
        <v/>
      </c>
      <c r="Q158" s="53" t="str">
        <f t="shared" si="11"/>
        <v/>
      </c>
    </row>
    <row r="159" spans="1:17" ht="19.5" customHeight="1">
      <c r="A159" s="38"/>
      <c r="B159" s="38"/>
      <c r="C159" s="38"/>
      <c r="D159" s="37"/>
      <c r="E159" s="37"/>
      <c r="F159" s="37"/>
      <c r="G159" s="37" t="str">
        <f>IF(F159="","",INDEX(站位样品信息!$B$3:INDEX(站位样品信息!$B:$B,COUNTA(站位样品信息!$B:$B)+1),MATCH($F159,站位样品信息!$A$3:INDEX(站位样品信息!$A:$A,COUNTA(站位样品信息!$A:$A)+1),),))</f>
        <v/>
      </c>
      <c r="H159" s="55" t="str">
        <f>IF(OR(A159&lt;&gt;"",B159&lt;&gt;"",C159&lt;&gt;""),IF($C159&lt;&gt;0,INDEX(生物种群!$A$3:INDEX(生物种群!$A:$A,COUNTA(生物种群!$A:$A)),MATCH($C159,生物种群!$F$3:INDEX(生物种群!$F:$F,COUNTA(生物种群!$F:$F)),),),IF($A159&lt;&gt;0,INDEX(生物种群!$A$3:INDEX(生物种群!$A:$A,COUNTA(生物种群!$A:$A)),MATCH($A159,生物种群!$C$3:INDEX(生物种群!$C:$C,COUNTA(生物种群!$C:$C)),),),INDEX(生物种群!$A$3:INDEX(生物种群!$A:$A,COUNTA(生物种群!$A:$A)),MATCH($B159,生物种群!$D$3:INDEX(生物种群!$D:$D,COUNTA(生物种群!$D:$D)),),))),"")</f>
        <v/>
      </c>
      <c r="I159" s="56" t="str">
        <f>IF(H159="","",INDEX(生物种群!$B$3:INDEX(生物种群!$B:$B,COUNTA(生物种群!$B:$B)),MATCH($H159,生物种群!$A$3:INDEX(生物种群!$A:$A,COUNTA(生物种群!$A:$A)),),))</f>
        <v/>
      </c>
      <c r="J159" s="55" t="str">
        <f>IF(H159="","",INDEX(生物种群!$I$3:INDEX(生物种群!$I:$I,COUNTA(生物种群!$I:$I)),MATCH($H159,生物种群!$A$3:INDEX(生物种群!$A:$A,COUNTA(生物种群!$A:$A)),),))</f>
        <v/>
      </c>
      <c r="K159" s="55" t="str">
        <f>IF(H159="","",INDEX(生物种群!$E$3:INDEX(生物种群!$E:$E,COUNTA(生物种群!$E:$E)),MATCH($H159,生物种群!$A$3:INDEX(生物种群!$A:$A,COUNTA(生物种群!$A:$A)),),))</f>
        <v/>
      </c>
      <c r="L159" s="46" t="str">
        <f t="shared" si="12"/>
        <v/>
      </c>
      <c r="M159" s="47" t="str">
        <f>IF(L159="","",ROUND((L159)/VLOOKUP($F159,IF({1,0},站位样品信息!$A$3:INDEX(站位样品信息!$A:$A,COUNTA(站位样品信息!$A:$A)+1),站位样品信息!$H$3:INDEX(站位样品信息!$H:$H,COUNTA(站位样品信息!$H:$H)+1)),2,0),2))</f>
        <v/>
      </c>
      <c r="O159" s="49"/>
      <c r="P159" s="53" t="str">
        <f t="shared" si="10"/>
        <v/>
      </c>
      <c r="Q159" s="53" t="str">
        <f t="shared" si="11"/>
        <v/>
      </c>
    </row>
    <row r="160" spans="1:17" ht="19.5" customHeight="1">
      <c r="A160" s="38"/>
      <c r="B160" s="38"/>
      <c r="C160" s="38"/>
      <c r="D160" s="37"/>
      <c r="E160" s="37"/>
      <c r="F160" s="37"/>
      <c r="G160" s="37" t="str">
        <f>IF(F160="","",INDEX(站位样品信息!$B$3:INDEX(站位样品信息!$B:$B,COUNTA(站位样品信息!$B:$B)+1),MATCH($F160,站位样品信息!$A$3:INDEX(站位样品信息!$A:$A,COUNTA(站位样品信息!$A:$A)+1),),))</f>
        <v/>
      </c>
      <c r="H160" s="55" t="str">
        <f>IF(OR(A160&lt;&gt;"",B160&lt;&gt;"",C160&lt;&gt;""),IF($C160&lt;&gt;0,INDEX(生物种群!$A$3:INDEX(生物种群!$A:$A,COUNTA(生物种群!$A:$A)),MATCH($C160,生物种群!$F$3:INDEX(生物种群!$F:$F,COUNTA(生物种群!$F:$F)),),),IF($A160&lt;&gt;0,INDEX(生物种群!$A$3:INDEX(生物种群!$A:$A,COUNTA(生物种群!$A:$A)),MATCH($A160,生物种群!$C$3:INDEX(生物种群!$C:$C,COUNTA(生物种群!$C:$C)),),),INDEX(生物种群!$A$3:INDEX(生物种群!$A:$A,COUNTA(生物种群!$A:$A)),MATCH($B160,生物种群!$D$3:INDEX(生物种群!$D:$D,COUNTA(生物种群!$D:$D)),),))),"")</f>
        <v/>
      </c>
      <c r="I160" s="56" t="str">
        <f>IF(H160="","",INDEX(生物种群!$B$3:INDEX(生物种群!$B:$B,COUNTA(生物种群!$B:$B)),MATCH($H160,生物种群!$A$3:INDEX(生物种群!$A:$A,COUNTA(生物种群!$A:$A)),),))</f>
        <v/>
      </c>
      <c r="J160" s="55" t="str">
        <f>IF(H160="","",INDEX(生物种群!$I$3:INDEX(生物种群!$I:$I,COUNTA(生物种群!$I:$I)),MATCH($H160,生物种群!$A$3:INDEX(生物种群!$A:$A,COUNTA(生物种群!$A:$A)),),))</f>
        <v/>
      </c>
      <c r="K160" s="55" t="str">
        <f>IF(H160="","",INDEX(生物种群!$E$3:INDEX(生物种群!$E:$E,COUNTA(生物种群!$E:$E)),MATCH($H160,生物种群!$A$3:INDEX(生物种群!$A:$A,COUNTA(生物种群!$A:$A)),),))</f>
        <v/>
      </c>
      <c r="L160" s="46" t="str">
        <f t="shared" si="12"/>
        <v/>
      </c>
      <c r="M160" s="47" t="str">
        <f>IF(L160="","",ROUND((L160)/VLOOKUP($F160,IF({1,0},站位样品信息!$A$3:INDEX(站位样品信息!$A:$A,COUNTA(站位样品信息!$A:$A)+1),站位样品信息!$H$3:INDEX(站位样品信息!$H:$H,COUNTA(站位样品信息!$H:$H)+1)),2,0),2))</f>
        <v/>
      </c>
      <c r="O160" s="49"/>
      <c r="P160" s="53" t="str">
        <f t="shared" si="10"/>
        <v/>
      </c>
      <c r="Q160" s="53" t="str">
        <f t="shared" si="11"/>
        <v/>
      </c>
    </row>
    <row r="161" spans="1:17" ht="19.5" customHeight="1">
      <c r="A161" s="38"/>
      <c r="B161" s="38"/>
      <c r="C161" s="38"/>
      <c r="D161" s="37"/>
      <c r="E161" s="37"/>
      <c r="F161" s="37"/>
      <c r="G161" s="37" t="str">
        <f>IF(F161="","",INDEX(站位样品信息!$B$3:INDEX(站位样品信息!$B:$B,COUNTA(站位样品信息!$B:$B)+1),MATCH($F161,站位样品信息!$A$3:INDEX(站位样品信息!$A:$A,COUNTA(站位样品信息!$A:$A)+1),),))</f>
        <v/>
      </c>
      <c r="H161" s="55" t="str">
        <f>IF(OR(A161&lt;&gt;"",B161&lt;&gt;"",C161&lt;&gt;""),IF($C161&lt;&gt;0,INDEX(生物种群!$A$3:INDEX(生物种群!$A:$A,COUNTA(生物种群!$A:$A)),MATCH($C161,生物种群!$F$3:INDEX(生物种群!$F:$F,COUNTA(生物种群!$F:$F)),),),IF($A161&lt;&gt;0,INDEX(生物种群!$A$3:INDEX(生物种群!$A:$A,COUNTA(生物种群!$A:$A)),MATCH($A161,生物种群!$C$3:INDEX(生物种群!$C:$C,COUNTA(生物种群!$C:$C)),),),INDEX(生物种群!$A$3:INDEX(生物种群!$A:$A,COUNTA(生物种群!$A:$A)),MATCH($B161,生物种群!$D$3:INDEX(生物种群!$D:$D,COUNTA(生物种群!$D:$D)),),))),"")</f>
        <v/>
      </c>
      <c r="I161" s="56" t="str">
        <f>IF(H161="","",INDEX(生物种群!$B$3:INDEX(生物种群!$B:$B,COUNTA(生物种群!$B:$B)),MATCH($H161,生物种群!$A$3:INDEX(生物种群!$A:$A,COUNTA(生物种群!$A:$A)),),))</f>
        <v/>
      </c>
      <c r="J161" s="55" t="str">
        <f>IF(H161="","",INDEX(生物种群!$I$3:INDEX(生物种群!$I:$I,COUNTA(生物种群!$I:$I)),MATCH($H161,生物种群!$A$3:INDEX(生物种群!$A:$A,COUNTA(生物种群!$A:$A)),),))</f>
        <v/>
      </c>
      <c r="K161" s="55" t="str">
        <f>IF(H161="","",INDEX(生物种群!$E$3:INDEX(生物种群!$E:$E,COUNTA(生物种群!$E:$E)),MATCH($H161,生物种群!$A$3:INDEX(生物种群!$A:$A,COUNTA(生物种群!$A:$A)),),))</f>
        <v/>
      </c>
      <c r="L161" s="46" t="str">
        <f t="shared" si="12"/>
        <v/>
      </c>
      <c r="M161" s="47" t="str">
        <f>IF(L161="","",ROUND((L161)/VLOOKUP($F161,IF({1,0},站位样品信息!$A$3:INDEX(站位样品信息!$A:$A,COUNTA(站位样品信息!$A:$A)+1),站位样品信息!$H$3:INDEX(站位样品信息!$H:$H,COUNTA(站位样品信息!$H:$H)+1)),2,0),2))</f>
        <v/>
      </c>
      <c r="O161" s="49"/>
      <c r="P161" s="53" t="str">
        <f t="shared" si="10"/>
        <v/>
      </c>
      <c r="Q161" s="53" t="str">
        <f t="shared" si="11"/>
        <v/>
      </c>
    </row>
    <row r="162" spans="1:17" ht="19.5" customHeight="1">
      <c r="A162" s="38"/>
      <c r="B162" s="38"/>
      <c r="C162" s="38"/>
      <c r="D162" s="37"/>
      <c r="E162" s="37"/>
      <c r="F162" s="37"/>
      <c r="G162" s="37" t="str">
        <f>IF(F162="","",INDEX(站位样品信息!$B$3:INDEX(站位样品信息!$B:$B,COUNTA(站位样品信息!$B:$B)+1),MATCH($F162,站位样品信息!$A$3:INDEX(站位样品信息!$A:$A,COUNTA(站位样品信息!$A:$A)+1),),))</f>
        <v/>
      </c>
      <c r="H162" s="55" t="str">
        <f>IF(OR(A162&lt;&gt;"",B162&lt;&gt;"",C162&lt;&gt;""),IF($C162&lt;&gt;0,INDEX(生物种群!$A$3:INDEX(生物种群!$A:$A,COUNTA(生物种群!$A:$A)),MATCH($C162,生物种群!$F$3:INDEX(生物种群!$F:$F,COUNTA(生物种群!$F:$F)),),),IF($A162&lt;&gt;0,INDEX(生物种群!$A$3:INDEX(生物种群!$A:$A,COUNTA(生物种群!$A:$A)),MATCH($A162,生物种群!$C$3:INDEX(生物种群!$C:$C,COUNTA(生物种群!$C:$C)),),),INDEX(生物种群!$A$3:INDEX(生物种群!$A:$A,COUNTA(生物种群!$A:$A)),MATCH($B162,生物种群!$D$3:INDEX(生物种群!$D:$D,COUNTA(生物种群!$D:$D)),),))),"")</f>
        <v/>
      </c>
      <c r="I162" s="56" t="str">
        <f>IF(H162="","",INDEX(生物种群!$B$3:INDEX(生物种群!$B:$B,COUNTA(生物种群!$B:$B)),MATCH($H162,生物种群!$A$3:INDEX(生物种群!$A:$A,COUNTA(生物种群!$A:$A)),),))</f>
        <v/>
      </c>
      <c r="J162" s="55" t="str">
        <f>IF(H162="","",INDEX(生物种群!$I$3:INDEX(生物种群!$I:$I,COUNTA(生物种群!$I:$I)),MATCH($H162,生物种群!$A$3:INDEX(生物种群!$A:$A,COUNTA(生物种群!$A:$A)),),))</f>
        <v/>
      </c>
      <c r="K162" s="55" t="str">
        <f>IF(H162="","",INDEX(生物种群!$E$3:INDEX(生物种群!$E:$E,COUNTA(生物种群!$E:$E)),MATCH($H162,生物种群!$A$3:INDEX(生物种群!$A:$A,COUNTA(生物种群!$A:$A)),),))</f>
        <v/>
      </c>
      <c r="L162" s="46" t="str">
        <f t="shared" si="12"/>
        <v/>
      </c>
      <c r="M162" s="47" t="str">
        <f>IF(L162="","",ROUND((L162)/VLOOKUP($F162,IF({1,0},站位样品信息!$A$3:INDEX(站位样品信息!$A:$A,COUNTA(站位样品信息!$A:$A)+1),站位样品信息!$H$3:INDEX(站位样品信息!$H:$H,COUNTA(站位样品信息!$H:$H)+1)),2,0),2))</f>
        <v/>
      </c>
      <c r="O162" s="49"/>
      <c r="P162" s="53" t="str">
        <f t="shared" si="10"/>
        <v/>
      </c>
      <c r="Q162" s="53" t="str">
        <f t="shared" si="11"/>
        <v/>
      </c>
    </row>
    <row r="163" spans="1:17" ht="19.5" customHeight="1">
      <c r="A163" s="38"/>
      <c r="B163" s="38"/>
      <c r="C163" s="38"/>
      <c r="D163" s="37"/>
      <c r="E163" s="37"/>
      <c r="F163" s="37"/>
      <c r="G163" s="37" t="str">
        <f>IF(F163="","",INDEX(站位样品信息!$B$3:INDEX(站位样品信息!$B:$B,COUNTA(站位样品信息!$B:$B)+1),MATCH($F163,站位样品信息!$A$3:INDEX(站位样品信息!$A:$A,COUNTA(站位样品信息!$A:$A)+1),),))</f>
        <v/>
      </c>
      <c r="H163" s="55" t="str">
        <f>IF(OR(A163&lt;&gt;"",B163&lt;&gt;"",C163&lt;&gt;""),IF($C163&lt;&gt;0,INDEX(生物种群!$A$3:INDEX(生物种群!$A:$A,COUNTA(生物种群!$A:$A)),MATCH($C163,生物种群!$F$3:INDEX(生物种群!$F:$F,COUNTA(生物种群!$F:$F)),),),IF($A163&lt;&gt;0,INDEX(生物种群!$A$3:INDEX(生物种群!$A:$A,COUNTA(生物种群!$A:$A)),MATCH($A163,生物种群!$C$3:INDEX(生物种群!$C:$C,COUNTA(生物种群!$C:$C)),),),INDEX(生物种群!$A$3:INDEX(生物种群!$A:$A,COUNTA(生物种群!$A:$A)),MATCH($B163,生物种群!$D$3:INDEX(生物种群!$D:$D,COUNTA(生物种群!$D:$D)),),))),"")</f>
        <v/>
      </c>
      <c r="I163" s="56" t="str">
        <f>IF(H163="","",INDEX(生物种群!$B$3:INDEX(生物种群!$B:$B,COUNTA(生物种群!$B:$B)),MATCH($H163,生物种群!$A$3:INDEX(生物种群!$A:$A,COUNTA(生物种群!$A:$A)),),))</f>
        <v/>
      </c>
      <c r="J163" s="55" t="str">
        <f>IF(H163="","",INDEX(生物种群!$I$3:INDEX(生物种群!$I:$I,COUNTA(生物种群!$I:$I)),MATCH($H163,生物种群!$A$3:INDEX(生物种群!$A:$A,COUNTA(生物种群!$A:$A)),),))</f>
        <v/>
      </c>
      <c r="K163" s="55" t="str">
        <f>IF(H163="","",INDEX(生物种群!$E$3:INDEX(生物种群!$E:$E,COUNTA(生物种群!$E:$E)),MATCH($H163,生物种群!$A$3:INDEX(生物种群!$A:$A,COUNTA(生物种群!$A:$A)),),))</f>
        <v/>
      </c>
      <c r="L163" s="46" t="str">
        <f t="shared" si="12"/>
        <v/>
      </c>
      <c r="M163" s="47" t="str">
        <f>IF(L163="","",ROUND((L163)/VLOOKUP($F163,IF({1,0},站位样品信息!$A$3:INDEX(站位样品信息!$A:$A,COUNTA(站位样品信息!$A:$A)+1),站位样品信息!$H$3:INDEX(站位样品信息!$H:$H,COUNTA(站位样品信息!$H:$H)+1)),2,0),2))</f>
        <v/>
      </c>
      <c r="O163" s="49"/>
      <c r="P163" s="53" t="str">
        <f t="shared" si="10"/>
        <v/>
      </c>
      <c r="Q163" s="53" t="str">
        <f t="shared" si="11"/>
        <v/>
      </c>
    </row>
    <row r="164" spans="1:17" ht="19.5" customHeight="1">
      <c r="A164" s="38"/>
      <c r="B164" s="38"/>
      <c r="C164" s="38"/>
      <c r="D164" s="37"/>
      <c r="E164" s="37"/>
      <c r="F164" s="37"/>
      <c r="G164" s="37" t="str">
        <f>IF(F164="","",INDEX(站位样品信息!$B$3:INDEX(站位样品信息!$B:$B,COUNTA(站位样品信息!$B:$B)+1),MATCH($F164,站位样品信息!$A$3:INDEX(站位样品信息!$A:$A,COUNTA(站位样品信息!$A:$A)+1),),))</f>
        <v/>
      </c>
      <c r="H164" s="55" t="str">
        <f>IF(OR(A164&lt;&gt;"",B164&lt;&gt;"",C164&lt;&gt;""),IF($C164&lt;&gt;0,INDEX(生物种群!$A$3:INDEX(生物种群!$A:$A,COUNTA(生物种群!$A:$A)),MATCH($C164,生物种群!$F$3:INDEX(生物种群!$F:$F,COUNTA(生物种群!$F:$F)),),),IF($A164&lt;&gt;0,INDEX(生物种群!$A$3:INDEX(生物种群!$A:$A,COUNTA(生物种群!$A:$A)),MATCH($A164,生物种群!$C$3:INDEX(生物种群!$C:$C,COUNTA(生物种群!$C:$C)),),),INDEX(生物种群!$A$3:INDEX(生物种群!$A:$A,COUNTA(生物种群!$A:$A)),MATCH($B164,生物种群!$D$3:INDEX(生物种群!$D:$D,COUNTA(生物种群!$D:$D)),),))),"")</f>
        <v/>
      </c>
      <c r="I164" s="56" t="str">
        <f>IF(H164="","",INDEX(生物种群!$B$3:INDEX(生物种群!$B:$B,COUNTA(生物种群!$B:$B)),MATCH($H164,生物种群!$A$3:INDEX(生物种群!$A:$A,COUNTA(生物种群!$A:$A)),),))</f>
        <v/>
      </c>
      <c r="J164" s="55" t="str">
        <f>IF(H164="","",INDEX(生物种群!$I$3:INDEX(生物种群!$I:$I,COUNTA(生物种群!$I:$I)),MATCH($H164,生物种群!$A$3:INDEX(生物种群!$A:$A,COUNTA(生物种群!$A:$A)),),))</f>
        <v/>
      </c>
      <c r="K164" s="55" t="str">
        <f>IF(H164="","",INDEX(生物种群!$E$3:INDEX(生物种群!$E:$E,COUNTA(生物种群!$E:$E)),MATCH($H164,生物种群!$A$3:INDEX(生物种群!$A:$A,COUNTA(生物种群!$A:$A)),),))</f>
        <v/>
      </c>
      <c r="L164" s="46" t="str">
        <f t="shared" si="12"/>
        <v/>
      </c>
      <c r="M164" s="47" t="str">
        <f>IF(L164="","",ROUND((L164)/VLOOKUP($F164,IF({1,0},站位样品信息!$A$3:INDEX(站位样品信息!$A:$A,COUNTA(站位样品信息!$A:$A)+1),站位样品信息!$H$3:INDEX(站位样品信息!$H:$H,COUNTA(站位样品信息!$H:$H)+1)),2,0),2))</f>
        <v/>
      </c>
      <c r="O164" s="49"/>
      <c r="P164" s="53" t="str">
        <f t="shared" si="10"/>
        <v/>
      </c>
      <c r="Q164" s="53" t="str">
        <f t="shared" si="11"/>
        <v/>
      </c>
    </row>
    <row r="165" spans="1:17" ht="19.5" customHeight="1">
      <c r="A165" s="38"/>
      <c r="B165" s="38"/>
      <c r="C165" s="38"/>
      <c r="D165" s="37"/>
      <c r="E165" s="37"/>
      <c r="F165" s="37"/>
      <c r="G165" s="37" t="str">
        <f>IF(F165="","",INDEX(站位样品信息!$B$3:INDEX(站位样品信息!$B:$B,COUNTA(站位样品信息!$B:$B)+1),MATCH($F165,站位样品信息!$A$3:INDEX(站位样品信息!$A:$A,COUNTA(站位样品信息!$A:$A)+1),),))</f>
        <v/>
      </c>
      <c r="H165" s="55" t="str">
        <f>IF(OR(A165&lt;&gt;"",B165&lt;&gt;"",C165&lt;&gt;""),IF($C165&lt;&gt;0,INDEX(生物种群!$A$3:INDEX(生物种群!$A:$A,COUNTA(生物种群!$A:$A)),MATCH($C165,生物种群!$F$3:INDEX(生物种群!$F:$F,COUNTA(生物种群!$F:$F)),),),IF($A165&lt;&gt;0,INDEX(生物种群!$A$3:INDEX(生物种群!$A:$A,COUNTA(生物种群!$A:$A)),MATCH($A165,生物种群!$C$3:INDEX(生物种群!$C:$C,COUNTA(生物种群!$C:$C)),),),INDEX(生物种群!$A$3:INDEX(生物种群!$A:$A,COUNTA(生物种群!$A:$A)),MATCH($B165,生物种群!$D$3:INDEX(生物种群!$D:$D,COUNTA(生物种群!$D:$D)),),))),"")</f>
        <v/>
      </c>
      <c r="I165" s="56" t="str">
        <f>IF(H165="","",INDEX(生物种群!$B$3:INDEX(生物种群!$B:$B,COUNTA(生物种群!$B:$B)),MATCH($H165,生物种群!$A$3:INDEX(生物种群!$A:$A,COUNTA(生物种群!$A:$A)),),))</f>
        <v/>
      </c>
      <c r="J165" s="55" t="str">
        <f>IF(H165="","",INDEX(生物种群!$I$3:INDEX(生物种群!$I:$I,COUNTA(生物种群!$I:$I)),MATCH($H165,生物种群!$A$3:INDEX(生物种群!$A:$A,COUNTA(生物种群!$A:$A)),),))</f>
        <v/>
      </c>
      <c r="K165" s="55" t="str">
        <f>IF(H165="","",INDEX(生物种群!$E$3:INDEX(生物种群!$E:$E,COUNTA(生物种群!$E:$E)),MATCH($H165,生物种群!$A$3:INDEX(生物种群!$A:$A,COUNTA(生物种群!$A:$A)),),))</f>
        <v/>
      </c>
      <c r="L165" s="46" t="str">
        <f t="shared" si="12"/>
        <v/>
      </c>
      <c r="M165" s="47" t="str">
        <f>IF(L165="","",ROUND((L165)/VLOOKUP($F165,IF({1,0},站位样品信息!$A$3:INDEX(站位样品信息!$A:$A,COUNTA(站位样品信息!$A:$A)+1),站位样品信息!$H$3:INDEX(站位样品信息!$H:$H,COUNTA(站位样品信息!$H:$H)+1)),2,0),2))</f>
        <v/>
      </c>
      <c r="O165" s="49"/>
      <c r="P165" s="53" t="str">
        <f t="shared" si="10"/>
        <v/>
      </c>
      <c r="Q165" s="53" t="str">
        <f t="shared" si="11"/>
        <v/>
      </c>
    </row>
    <row r="166" spans="1:17" ht="19.5" customHeight="1">
      <c r="A166" s="38"/>
      <c r="B166" s="38"/>
      <c r="C166" s="38"/>
      <c r="D166" s="37"/>
      <c r="E166" s="37"/>
      <c r="F166" s="37"/>
      <c r="G166" s="37" t="str">
        <f>IF(F166="","",INDEX(站位样品信息!$B$3:INDEX(站位样品信息!$B:$B,COUNTA(站位样品信息!$B:$B)+1),MATCH($F166,站位样品信息!$A$3:INDEX(站位样品信息!$A:$A,COUNTA(站位样品信息!$A:$A)+1),),))</f>
        <v/>
      </c>
      <c r="H166" s="55" t="str">
        <f>IF(OR(A166&lt;&gt;"",B166&lt;&gt;"",C166&lt;&gt;""),IF($C166&lt;&gt;0,INDEX(生物种群!$A$3:INDEX(生物种群!$A:$A,COUNTA(生物种群!$A:$A)),MATCH($C166,生物种群!$F$3:INDEX(生物种群!$F:$F,COUNTA(生物种群!$F:$F)),),),IF($A166&lt;&gt;0,INDEX(生物种群!$A$3:INDEX(生物种群!$A:$A,COUNTA(生物种群!$A:$A)),MATCH($A166,生物种群!$C$3:INDEX(生物种群!$C:$C,COUNTA(生物种群!$C:$C)),),),INDEX(生物种群!$A$3:INDEX(生物种群!$A:$A,COUNTA(生物种群!$A:$A)),MATCH($B166,生物种群!$D$3:INDEX(生物种群!$D:$D,COUNTA(生物种群!$D:$D)),),))),"")</f>
        <v/>
      </c>
      <c r="I166" s="56" t="str">
        <f>IF(H166="","",INDEX(生物种群!$B$3:INDEX(生物种群!$B:$B,COUNTA(生物种群!$B:$B)),MATCH($H166,生物种群!$A$3:INDEX(生物种群!$A:$A,COUNTA(生物种群!$A:$A)),),))</f>
        <v/>
      </c>
      <c r="J166" s="55" t="str">
        <f>IF(H166="","",INDEX(生物种群!$I$3:INDEX(生物种群!$I:$I,COUNTA(生物种群!$I:$I)),MATCH($H166,生物种群!$A$3:INDEX(生物种群!$A:$A,COUNTA(生物种群!$A:$A)),),))</f>
        <v/>
      </c>
      <c r="K166" s="55" t="str">
        <f>IF(H166="","",INDEX(生物种群!$E$3:INDEX(生物种群!$E:$E,COUNTA(生物种群!$E:$E)),MATCH($H166,生物种群!$A$3:INDEX(生物种群!$A:$A,COUNTA(生物种群!$A:$A)),),))</f>
        <v/>
      </c>
      <c r="L166" s="46" t="str">
        <f t="shared" si="12"/>
        <v/>
      </c>
      <c r="M166" s="47" t="str">
        <f>IF(L166="","",ROUND((L166)/VLOOKUP($F166,IF({1,0},站位样品信息!$A$3:INDEX(站位样品信息!$A:$A,COUNTA(站位样品信息!$A:$A)+1),站位样品信息!$H$3:INDEX(站位样品信息!$H:$H,COUNTA(站位样品信息!$H:$H)+1)),2,0),2))</f>
        <v/>
      </c>
      <c r="O166" s="49"/>
      <c r="P166" s="53" t="str">
        <f t="shared" si="10"/>
        <v/>
      </c>
      <c r="Q166" s="53" t="str">
        <f t="shared" si="11"/>
        <v/>
      </c>
    </row>
    <row r="167" spans="1:17" ht="19.5" customHeight="1">
      <c r="A167" s="38"/>
      <c r="B167" s="38"/>
      <c r="C167" s="38"/>
      <c r="D167" s="37"/>
      <c r="E167" s="37"/>
      <c r="F167" s="37"/>
      <c r="G167" s="37" t="str">
        <f>IF(F167="","",INDEX(站位样品信息!$B$3:INDEX(站位样品信息!$B:$B,COUNTA(站位样品信息!$B:$B)+1),MATCH($F167,站位样品信息!$A$3:INDEX(站位样品信息!$A:$A,COUNTA(站位样品信息!$A:$A)+1),),))</f>
        <v/>
      </c>
      <c r="H167" s="55" t="str">
        <f>IF(OR(A167&lt;&gt;"",B167&lt;&gt;"",C167&lt;&gt;""),IF($C167&lt;&gt;0,INDEX(生物种群!$A$3:INDEX(生物种群!$A:$A,COUNTA(生物种群!$A:$A)),MATCH($C167,生物种群!$F$3:INDEX(生物种群!$F:$F,COUNTA(生物种群!$F:$F)),),),IF($A167&lt;&gt;0,INDEX(生物种群!$A$3:INDEX(生物种群!$A:$A,COUNTA(生物种群!$A:$A)),MATCH($A167,生物种群!$C$3:INDEX(生物种群!$C:$C,COUNTA(生物种群!$C:$C)),),),INDEX(生物种群!$A$3:INDEX(生物种群!$A:$A,COUNTA(生物种群!$A:$A)),MATCH($B167,生物种群!$D$3:INDEX(生物种群!$D:$D,COUNTA(生物种群!$D:$D)),),))),"")</f>
        <v/>
      </c>
      <c r="I167" s="56" t="str">
        <f>IF(H167="","",INDEX(生物种群!$B$3:INDEX(生物种群!$B:$B,COUNTA(生物种群!$B:$B)),MATCH($H167,生物种群!$A$3:INDEX(生物种群!$A:$A,COUNTA(生物种群!$A:$A)),),))</f>
        <v/>
      </c>
      <c r="J167" s="55" t="str">
        <f>IF(H167="","",INDEX(生物种群!$I$3:INDEX(生物种群!$I:$I,COUNTA(生物种群!$I:$I)),MATCH($H167,生物种群!$A$3:INDEX(生物种群!$A:$A,COUNTA(生物种群!$A:$A)),),))</f>
        <v/>
      </c>
      <c r="K167" s="55" t="str">
        <f>IF(H167="","",INDEX(生物种群!$E$3:INDEX(生物种群!$E:$E,COUNTA(生物种群!$E:$E)),MATCH($H167,生物种群!$A$3:INDEX(生物种群!$A:$A,COUNTA(生物种群!$A:$A)),),))</f>
        <v/>
      </c>
      <c r="L167" s="46" t="str">
        <f t="shared" si="12"/>
        <v/>
      </c>
      <c r="M167" s="47" t="str">
        <f>IF(L167="","",ROUND((L167)/VLOOKUP($F167,IF({1,0},站位样品信息!$A$3:INDEX(站位样品信息!$A:$A,COUNTA(站位样品信息!$A:$A)+1),站位样品信息!$H$3:INDEX(站位样品信息!$H:$H,COUNTA(站位样品信息!$H:$H)+1)),2,0),2))</f>
        <v/>
      </c>
      <c r="O167" s="49"/>
      <c r="P167" s="53" t="str">
        <f t="shared" si="10"/>
        <v/>
      </c>
      <c r="Q167" s="53" t="str">
        <f t="shared" si="11"/>
        <v/>
      </c>
    </row>
    <row r="168" spans="1:17" ht="19.5" customHeight="1">
      <c r="A168" s="38"/>
      <c r="B168" s="38"/>
      <c r="C168" s="38"/>
      <c r="D168" s="37"/>
      <c r="E168" s="37"/>
      <c r="F168" s="37"/>
      <c r="G168" s="37" t="str">
        <f>IF(F168="","",INDEX(站位样品信息!$B$3:INDEX(站位样品信息!$B:$B,COUNTA(站位样品信息!$B:$B)+1),MATCH($F168,站位样品信息!$A$3:INDEX(站位样品信息!$A:$A,COUNTA(站位样品信息!$A:$A)+1),),))</f>
        <v/>
      </c>
      <c r="H168" s="55" t="str">
        <f>IF(OR(A168&lt;&gt;"",B168&lt;&gt;"",C168&lt;&gt;""),IF($C168&lt;&gt;0,INDEX(生物种群!$A$3:INDEX(生物种群!$A:$A,COUNTA(生物种群!$A:$A)),MATCH($C168,生物种群!$F$3:INDEX(生物种群!$F:$F,COUNTA(生物种群!$F:$F)),),),IF($A168&lt;&gt;0,INDEX(生物种群!$A$3:INDEX(生物种群!$A:$A,COUNTA(生物种群!$A:$A)),MATCH($A168,生物种群!$C$3:INDEX(生物种群!$C:$C,COUNTA(生物种群!$C:$C)),),),INDEX(生物种群!$A$3:INDEX(生物种群!$A:$A,COUNTA(生物种群!$A:$A)),MATCH($B168,生物种群!$D$3:INDEX(生物种群!$D:$D,COUNTA(生物种群!$D:$D)),),))),"")</f>
        <v/>
      </c>
      <c r="I168" s="56" t="str">
        <f>IF(H168="","",INDEX(生物种群!$B$3:INDEX(生物种群!$B:$B,COUNTA(生物种群!$B:$B)),MATCH($H168,生物种群!$A$3:INDEX(生物种群!$A:$A,COUNTA(生物种群!$A:$A)),),))</f>
        <v/>
      </c>
      <c r="J168" s="55" t="str">
        <f>IF(H168="","",INDEX(生物种群!$I$3:INDEX(生物种群!$I:$I,COUNTA(生物种群!$I:$I)),MATCH($H168,生物种群!$A$3:INDEX(生物种群!$A:$A,COUNTA(生物种群!$A:$A)),),))</f>
        <v/>
      </c>
      <c r="K168" s="55" t="str">
        <f>IF(H168="","",INDEX(生物种群!$E$3:INDEX(生物种群!$E:$E,COUNTA(生物种群!$E:$E)),MATCH($H168,生物种群!$A$3:INDEX(生物种群!$A:$A,COUNTA(生物种群!$A:$A)),),))</f>
        <v/>
      </c>
      <c r="L168" s="46" t="str">
        <f t="shared" si="12"/>
        <v/>
      </c>
      <c r="M168" s="47" t="str">
        <f>IF(L168="","",ROUND((L168)/VLOOKUP($F168,IF({1,0},站位样品信息!$A$3:INDEX(站位样品信息!$A:$A,COUNTA(站位样品信息!$A:$A)+1),站位样品信息!$H$3:INDEX(站位样品信息!$H:$H,COUNTA(站位样品信息!$H:$H)+1)),2,0),2))</f>
        <v/>
      </c>
      <c r="O168" s="49"/>
      <c r="P168" s="53" t="str">
        <f t="shared" si="10"/>
        <v/>
      </c>
      <c r="Q168" s="53" t="str">
        <f t="shared" si="11"/>
        <v/>
      </c>
    </row>
    <row r="169" spans="1:17" ht="19.5" customHeight="1">
      <c r="A169" s="38"/>
      <c r="B169" s="38"/>
      <c r="C169" s="38"/>
      <c r="D169" s="37"/>
      <c r="E169" s="37"/>
      <c r="F169" s="37"/>
      <c r="G169" s="37" t="str">
        <f>IF(F169="","",INDEX(站位样品信息!$B$3:INDEX(站位样品信息!$B:$B,COUNTA(站位样品信息!$B:$B)+1),MATCH($F169,站位样品信息!$A$3:INDEX(站位样品信息!$A:$A,COUNTA(站位样品信息!$A:$A)+1),),))</f>
        <v/>
      </c>
      <c r="H169" s="55" t="str">
        <f>IF(OR(A169&lt;&gt;"",B169&lt;&gt;"",C169&lt;&gt;""),IF($C169&lt;&gt;0,INDEX(生物种群!$A$3:INDEX(生物种群!$A:$A,COUNTA(生物种群!$A:$A)),MATCH($C169,生物种群!$F$3:INDEX(生物种群!$F:$F,COUNTA(生物种群!$F:$F)),),),IF($A169&lt;&gt;0,INDEX(生物种群!$A$3:INDEX(生物种群!$A:$A,COUNTA(生物种群!$A:$A)),MATCH($A169,生物种群!$C$3:INDEX(生物种群!$C:$C,COUNTA(生物种群!$C:$C)),),),INDEX(生物种群!$A$3:INDEX(生物种群!$A:$A,COUNTA(生物种群!$A:$A)),MATCH($B169,生物种群!$D$3:INDEX(生物种群!$D:$D,COUNTA(生物种群!$D:$D)),),))),"")</f>
        <v/>
      </c>
      <c r="I169" s="56" t="str">
        <f>IF(H169="","",INDEX(生物种群!$B$3:INDEX(生物种群!$B:$B,COUNTA(生物种群!$B:$B)),MATCH($H169,生物种群!$A$3:INDEX(生物种群!$A:$A,COUNTA(生物种群!$A:$A)),),))</f>
        <v/>
      </c>
      <c r="J169" s="55" t="str">
        <f>IF(H169="","",INDEX(生物种群!$I$3:INDEX(生物种群!$I:$I,COUNTA(生物种群!$I:$I)),MATCH($H169,生物种群!$A$3:INDEX(生物种群!$A:$A,COUNTA(生物种群!$A:$A)),),))</f>
        <v/>
      </c>
      <c r="K169" s="55" t="str">
        <f>IF(H169="","",INDEX(生物种群!$E$3:INDEX(生物种群!$E:$E,COUNTA(生物种群!$E:$E)),MATCH($H169,生物种群!$A$3:INDEX(生物种群!$A:$A,COUNTA(生物种群!$A:$A)),),))</f>
        <v/>
      </c>
      <c r="L169" s="46" t="str">
        <f t="shared" si="12"/>
        <v/>
      </c>
      <c r="M169" s="47" t="str">
        <f>IF(L169="","",ROUND((L169)/VLOOKUP($F169,IF({1,0},站位样品信息!$A$3:INDEX(站位样品信息!$A:$A,COUNTA(站位样品信息!$A:$A)+1),站位样品信息!$H$3:INDEX(站位样品信息!$H:$H,COUNTA(站位样品信息!$H:$H)+1)),2,0),2))</f>
        <v/>
      </c>
      <c r="O169" s="49"/>
      <c r="P169" s="53" t="str">
        <f t="shared" si="10"/>
        <v/>
      </c>
      <c r="Q169" s="53" t="str">
        <f t="shared" si="11"/>
        <v/>
      </c>
    </row>
    <row r="170" spans="1:17" ht="19.5" customHeight="1">
      <c r="A170" s="38"/>
      <c r="B170" s="38"/>
      <c r="C170" s="38"/>
      <c r="D170" s="37"/>
      <c r="E170" s="37"/>
      <c r="F170" s="37"/>
      <c r="G170" s="37" t="str">
        <f>IF(F170="","",INDEX(站位样品信息!$B$3:INDEX(站位样品信息!$B:$B,COUNTA(站位样品信息!$B:$B)+1),MATCH($F170,站位样品信息!$A$3:INDEX(站位样品信息!$A:$A,COUNTA(站位样品信息!$A:$A)+1),),))</f>
        <v/>
      </c>
      <c r="H170" s="55" t="str">
        <f>IF(OR(A170&lt;&gt;"",B170&lt;&gt;"",C170&lt;&gt;""),IF($C170&lt;&gt;0,INDEX(生物种群!$A$3:INDEX(生物种群!$A:$A,COUNTA(生物种群!$A:$A)),MATCH($C170,生物种群!$F$3:INDEX(生物种群!$F:$F,COUNTA(生物种群!$F:$F)),),),IF($A170&lt;&gt;0,INDEX(生物种群!$A$3:INDEX(生物种群!$A:$A,COUNTA(生物种群!$A:$A)),MATCH($A170,生物种群!$C$3:INDEX(生物种群!$C:$C,COUNTA(生物种群!$C:$C)),),),INDEX(生物种群!$A$3:INDEX(生物种群!$A:$A,COUNTA(生物种群!$A:$A)),MATCH($B170,生物种群!$D$3:INDEX(生物种群!$D:$D,COUNTA(生物种群!$D:$D)),),))),"")</f>
        <v/>
      </c>
      <c r="I170" s="56" t="str">
        <f>IF(H170="","",INDEX(生物种群!$B$3:INDEX(生物种群!$B:$B,COUNTA(生物种群!$B:$B)),MATCH($H170,生物种群!$A$3:INDEX(生物种群!$A:$A,COUNTA(生物种群!$A:$A)),),))</f>
        <v/>
      </c>
      <c r="J170" s="55" t="str">
        <f>IF(H170="","",INDEX(生物种群!$I$3:INDEX(生物种群!$I:$I,COUNTA(生物种群!$I:$I)),MATCH($H170,生物种群!$A$3:INDEX(生物种群!$A:$A,COUNTA(生物种群!$A:$A)),),))</f>
        <v/>
      </c>
      <c r="K170" s="55" t="str">
        <f>IF(H170="","",INDEX(生物种群!$E$3:INDEX(生物种群!$E:$E,COUNTA(生物种群!$E:$E)),MATCH($H170,生物种群!$A$3:INDEX(生物种群!$A:$A,COUNTA(生物种群!$A:$A)),),))</f>
        <v/>
      </c>
      <c r="L170" s="46" t="str">
        <f t="shared" si="12"/>
        <v/>
      </c>
      <c r="M170" s="47" t="str">
        <f>IF(L170="","",ROUND((L170)/VLOOKUP($F170,IF({1,0},站位样品信息!$A$3:INDEX(站位样品信息!$A:$A,COUNTA(站位样品信息!$A:$A)+1),站位样品信息!$H$3:INDEX(站位样品信息!$H:$H,COUNTA(站位样品信息!$H:$H)+1)),2,0),2))</f>
        <v/>
      </c>
      <c r="O170" s="49"/>
      <c r="P170" s="53" t="str">
        <f t="shared" si="10"/>
        <v/>
      </c>
      <c r="Q170" s="53" t="str">
        <f t="shared" si="11"/>
        <v/>
      </c>
    </row>
    <row r="171" spans="1:17" ht="19.5" customHeight="1">
      <c r="A171" s="38"/>
      <c r="B171" s="38"/>
      <c r="C171" s="38"/>
      <c r="D171" s="37"/>
      <c r="E171" s="37"/>
      <c r="F171" s="37"/>
      <c r="G171" s="37" t="str">
        <f>IF(F171="","",INDEX(站位样品信息!$B$3:INDEX(站位样品信息!$B:$B,COUNTA(站位样品信息!$B:$B)+1),MATCH($F171,站位样品信息!$A$3:INDEX(站位样品信息!$A:$A,COUNTA(站位样品信息!$A:$A)+1),),))</f>
        <v/>
      </c>
      <c r="H171" s="55" t="str">
        <f>IF(OR(A171&lt;&gt;"",B171&lt;&gt;"",C171&lt;&gt;""),IF($C171&lt;&gt;0,INDEX(生物种群!$A$3:INDEX(生物种群!$A:$A,COUNTA(生物种群!$A:$A)),MATCH($C171,生物种群!$F$3:INDEX(生物种群!$F:$F,COUNTA(生物种群!$F:$F)),),),IF($A171&lt;&gt;0,INDEX(生物种群!$A$3:INDEX(生物种群!$A:$A,COUNTA(生物种群!$A:$A)),MATCH($A171,生物种群!$C$3:INDEX(生物种群!$C:$C,COUNTA(生物种群!$C:$C)),),),INDEX(生物种群!$A$3:INDEX(生物种群!$A:$A,COUNTA(生物种群!$A:$A)),MATCH($B171,生物种群!$D$3:INDEX(生物种群!$D:$D,COUNTA(生物种群!$D:$D)),),))),"")</f>
        <v/>
      </c>
      <c r="I171" s="56" t="str">
        <f>IF(H171="","",INDEX(生物种群!$B$3:INDEX(生物种群!$B:$B,COUNTA(生物种群!$B:$B)),MATCH($H171,生物种群!$A$3:INDEX(生物种群!$A:$A,COUNTA(生物种群!$A:$A)),),))</f>
        <v/>
      </c>
      <c r="J171" s="55" t="str">
        <f>IF(H171="","",INDEX(生物种群!$I$3:INDEX(生物种群!$I:$I,COUNTA(生物种群!$I:$I)),MATCH($H171,生物种群!$A$3:INDEX(生物种群!$A:$A,COUNTA(生物种群!$A:$A)),),))</f>
        <v/>
      </c>
      <c r="K171" s="55" t="str">
        <f>IF(H171="","",INDEX(生物种群!$E$3:INDEX(生物种群!$E:$E,COUNTA(生物种群!$E:$E)),MATCH($H171,生物种群!$A$3:INDEX(生物种群!$A:$A,COUNTA(生物种群!$A:$A)),),))</f>
        <v/>
      </c>
      <c r="L171" s="46" t="str">
        <f t="shared" si="12"/>
        <v/>
      </c>
      <c r="M171" s="47" t="str">
        <f>IF(L171="","",ROUND((L171)/VLOOKUP($F171,IF({1,0},站位样品信息!$A$3:INDEX(站位样品信息!$A:$A,COUNTA(站位样品信息!$A:$A)+1),站位样品信息!$H$3:INDEX(站位样品信息!$H:$H,COUNTA(站位样品信息!$H:$H)+1)),2,0),2))</f>
        <v/>
      </c>
      <c r="O171" s="49"/>
      <c r="P171" s="53" t="str">
        <f t="shared" si="10"/>
        <v/>
      </c>
      <c r="Q171" s="53" t="str">
        <f t="shared" si="11"/>
        <v/>
      </c>
    </row>
    <row r="172" spans="1:17" ht="19.5" customHeight="1">
      <c r="A172" s="38"/>
      <c r="B172" s="38"/>
      <c r="C172" s="38"/>
      <c r="D172" s="37"/>
      <c r="E172" s="37"/>
      <c r="F172" s="37"/>
      <c r="G172" s="37" t="str">
        <f>IF(F172="","",INDEX(站位样品信息!$B$3:INDEX(站位样品信息!$B:$B,COUNTA(站位样品信息!$B:$B)+1),MATCH($F172,站位样品信息!$A$3:INDEX(站位样品信息!$A:$A,COUNTA(站位样品信息!$A:$A)+1),),))</f>
        <v/>
      </c>
      <c r="H172" s="55" t="str">
        <f>IF(OR(A172&lt;&gt;"",B172&lt;&gt;"",C172&lt;&gt;""),IF($C172&lt;&gt;0,INDEX(生物种群!$A$3:INDEX(生物种群!$A:$A,COUNTA(生物种群!$A:$A)),MATCH($C172,生物种群!$F$3:INDEX(生物种群!$F:$F,COUNTA(生物种群!$F:$F)),),),IF($A172&lt;&gt;0,INDEX(生物种群!$A$3:INDEX(生物种群!$A:$A,COUNTA(生物种群!$A:$A)),MATCH($A172,生物种群!$C$3:INDEX(生物种群!$C:$C,COUNTA(生物种群!$C:$C)),),),INDEX(生物种群!$A$3:INDEX(生物种群!$A:$A,COUNTA(生物种群!$A:$A)),MATCH($B172,生物种群!$D$3:INDEX(生物种群!$D:$D,COUNTA(生物种群!$D:$D)),),))),"")</f>
        <v/>
      </c>
      <c r="I172" s="56" t="str">
        <f>IF(H172="","",INDEX(生物种群!$B$3:INDEX(生物种群!$B:$B,COUNTA(生物种群!$B:$B)),MATCH($H172,生物种群!$A$3:INDEX(生物种群!$A:$A,COUNTA(生物种群!$A:$A)),),))</f>
        <v/>
      </c>
      <c r="J172" s="55" t="str">
        <f>IF(H172="","",INDEX(生物种群!$I$3:INDEX(生物种群!$I:$I,COUNTA(生物种群!$I:$I)),MATCH($H172,生物种群!$A$3:INDEX(生物种群!$A:$A,COUNTA(生物种群!$A:$A)),),))</f>
        <v/>
      </c>
      <c r="K172" s="55" t="str">
        <f>IF(H172="","",INDEX(生物种群!$E$3:INDEX(生物种群!$E:$E,COUNTA(生物种群!$E:$E)),MATCH($H172,生物种群!$A$3:INDEX(生物种群!$A:$A,COUNTA(生物种群!$A:$A)),),))</f>
        <v/>
      </c>
      <c r="L172" s="46" t="str">
        <f t="shared" si="12"/>
        <v/>
      </c>
      <c r="M172" s="47" t="str">
        <f>IF(L172="","",ROUND((L172)/VLOOKUP($F172,IF({1,0},站位样品信息!$A$3:INDEX(站位样品信息!$A:$A,COUNTA(站位样品信息!$A:$A)+1),站位样品信息!$H$3:INDEX(站位样品信息!$H:$H,COUNTA(站位样品信息!$H:$H)+1)),2,0),2))</f>
        <v/>
      </c>
      <c r="O172" s="49"/>
      <c r="P172" s="53" t="str">
        <f t="shared" si="10"/>
        <v/>
      </c>
      <c r="Q172" s="53" t="str">
        <f t="shared" si="11"/>
        <v/>
      </c>
    </row>
    <row r="173" spans="1:17" ht="19.5" customHeight="1">
      <c r="A173" s="38"/>
      <c r="B173" s="38"/>
      <c r="C173" s="38"/>
      <c r="D173" s="37"/>
      <c r="E173" s="37"/>
      <c r="F173" s="37"/>
      <c r="G173" s="37" t="str">
        <f>IF(F173="","",INDEX(站位样品信息!$B$3:INDEX(站位样品信息!$B:$B,COUNTA(站位样品信息!$B:$B)+1),MATCH($F173,站位样品信息!$A$3:INDEX(站位样品信息!$A:$A,COUNTA(站位样品信息!$A:$A)+1),),))</f>
        <v/>
      </c>
      <c r="H173" s="55" t="str">
        <f>IF(OR(A173&lt;&gt;"",B173&lt;&gt;"",C173&lt;&gt;""),IF($C173&lt;&gt;0,INDEX(生物种群!$A$3:INDEX(生物种群!$A:$A,COUNTA(生物种群!$A:$A)),MATCH($C173,生物种群!$F$3:INDEX(生物种群!$F:$F,COUNTA(生物种群!$F:$F)),),),IF($A173&lt;&gt;0,INDEX(生物种群!$A$3:INDEX(生物种群!$A:$A,COUNTA(生物种群!$A:$A)),MATCH($A173,生物种群!$C$3:INDEX(生物种群!$C:$C,COUNTA(生物种群!$C:$C)),),),INDEX(生物种群!$A$3:INDEX(生物种群!$A:$A,COUNTA(生物种群!$A:$A)),MATCH($B173,生物种群!$D$3:INDEX(生物种群!$D:$D,COUNTA(生物种群!$D:$D)),),))),"")</f>
        <v/>
      </c>
      <c r="I173" s="56" t="str">
        <f>IF(H173="","",INDEX(生物种群!$B$3:INDEX(生物种群!$B:$B,COUNTA(生物种群!$B:$B)),MATCH($H173,生物种群!$A$3:INDEX(生物种群!$A:$A,COUNTA(生物种群!$A:$A)),),))</f>
        <v/>
      </c>
      <c r="J173" s="55" t="str">
        <f>IF(H173="","",INDEX(生物种群!$I$3:INDEX(生物种群!$I:$I,COUNTA(生物种群!$I:$I)),MATCH($H173,生物种群!$A$3:INDEX(生物种群!$A:$A,COUNTA(生物种群!$A:$A)),),))</f>
        <v/>
      </c>
      <c r="K173" s="55" t="str">
        <f>IF(H173="","",INDEX(生物种群!$E$3:INDEX(生物种群!$E:$E,COUNTA(生物种群!$E:$E)),MATCH($H173,生物种群!$A$3:INDEX(生物种群!$A:$A,COUNTA(生物种群!$A:$A)),),))</f>
        <v/>
      </c>
      <c r="L173" s="46" t="str">
        <f t="shared" si="12"/>
        <v/>
      </c>
      <c r="M173" s="47" t="str">
        <f>IF(L173="","",ROUND((L173)/VLOOKUP($F173,IF({1,0},站位样品信息!$A$3:INDEX(站位样品信息!$A:$A,COUNTA(站位样品信息!$A:$A)+1),站位样品信息!$H$3:INDEX(站位样品信息!$H:$H,COUNTA(站位样品信息!$H:$H)+1)),2,0),2))</f>
        <v/>
      </c>
      <c r="O173" s="49"/>
      <c r="P173" s="53" t="str">
        <f t="shared" si="10"/>
        <v/>
      </c>
      <c r="Q173" s="53" t="str">
        <f t="shared" si="11"/>
        <v/>
      </c>
    </row>
    <row r="174" spans="1:17" ht="19.5" customHeight="1">
      <c r="A174" s="38"/>
      <c r="B174" s="38"/>
      <c r="C174" s="38"/>
      <c r="D174" s="37"/>
      <c r="E174" s="37"/>
      <c r="F174" s="37"/>
      <c r="G174" s="37" t="str">
        <f>IF(F174="","",INDEX(站位样品信息!$B$3:INDEX(站位样品信息!$B:$B,COUNTA(站位样品信息!$B:$B)+1),MATCH($F174,站位样品信息!$A$3:INDEX(站位样品信息!$A:$A,COUNTA(站位样品信息!$A:$A)+1),),))</f>
        <v/>
      </c>
      <c r="H174" s="55" t="str">
        <f>IF(OR(A174&lt;&gt;"",B174&lt;&gt;"",C174&lt;&gt;""),IF($C174&lt;&gt;0,INDEX(生物种群!$A$3:INDEX(生物种群!$A:$A,COUNTA(生物种群!$A:$A)),MATCH($C174,生物种群!$F$3:INDEX(生物种群!$F:$F,COUNTA(生物种群!$F:$F)),),),IF($A174&lt;&gt;0,INDEX(生物种群!$A$3:INDEX(生物种群!$A:$A,COUNTA(生物种群!$A:$A)),MATCH($A174,生物种群!$C$3:INDEX(生物种群!$C:$C,COUNTA(生物种群!$C:$C)),),),INDEX(生物种群!$A$3:INDEX(生物种群!$A:$A,COUNTA(生物种群!$A:$A)),MATCH($B174,生物种群!$D$3:INDEX(生物种群!$D:$D,COUNTA(生物种群!$D:$D)),),))),"")</f>
        <v/>
      </c>
      <c r="I174" s="56" t="str">
        <f>IF(H174="","",INDEX(生物种群!$B$3:INDEX(生物种群!$B:$B,COUNTA(生物种群!$B:$B)),MATCH($H174,生物种群!$A$3:INDEX(生物种群!$A:$A,COUNTA(生物种群!$A:$A)),),))</f>
        <v/>
      </c>
      <c r="J174" s="55" t="str">
        <f>IF(H174="","",INDEX(生物种群!$I$3:INDEX(生物种群!$I:$I,COUNTA(生物种群!$I:$I)),MATCH($H174,生物种群!$A$3:INDEX(生物种群!$A:$A,COUNTA(生物种群!$A:$A)),),))</f>
        <v/>
      </c>
      <c r="K174" s="55" t="str">
        <f>IF(H174="","",INDEX(生物种群!$E$3:INDEX(生物种群!$E:$E,COUNTA(生物种群!$E:$E)),MATCH($H174,生物种群!$A$3:INDEX(生物种群!$A:$A,COUNTA(生物种群!$A:$A)),),))</f>
        <v/>
      </c>
      <c r="L174" s="46" t="str">
        <f t="shared" si="12"/>
        <v/>
      </c>
      <c r="M174" s="47" t="str">
        <f>IF(L174="","",ROUND((L174)/VLOOKUP($F174,IF({1,0},站位样品信息!$A$3:INDEX(站位样品信息!$A:$A,COUNTA(站位样品信息!$A:$A)+1),站位样品信息!$H$3:INDEX(站位样品信息!$H:$H,COUNTA(站位样品信息!$H:$H)+1)),2,0),2))</f>
        <v/>
      </c>
      <c r="O174" s="49"/>
      <c r="P174" s="53" t="str">
        <f t="shared" si="10"/>
        <v/>
      </c>
      <c r="Q174" s="53" t="str">
        <f t="shared" si="11"/>
        <v/>
      </c>
    </row>
    <row r="175" spans="1:17" ht="19.5" customHeight="1">
      <c r="A175" s="38"/>
      <c r="B175" s="38"/>
      <c r="C175" s="38"/>
      <c r="D175" s="37"/>
      <c r="E175" s="37"/>
      <c r="F175" s="37"/>
      <c r="G175" s="37" t="str">
        <f>IF(F175="","",INDEX(站位样品信息!$B$3:INDEX(站位样品信息!$B:$B,COUNTA(站位样品信息!$B:$B)+1),MATCH($F175,站位样品信息!$A$3:INDEX(站位样品信息!$A:$A,COUNTA(站位样品信息!$A:$A)+1),),))</f>
        <v/>
      </c>
      <c r="H175" s="55" t="str">
        <f>IF(OR(A175&lt;&gt;"",B175&lt;&gt;"",C175&lt;&gt;""),IF($C175&lt;&gt;0,INDEX(生物种群!$A$3:INDEX(生物种群!$A:$A,COUNTA(生物种群!$A:$A)),MATCH($C175,生物种群!$F$3:INDEX(生物种群!$F:$F,COUNTA(生物种群!$F:$F)),),),IF($A175&lt;&gt;0,INDEX(生物种群!$A$3:INDEX(生物种群!$A:$A,COUNTA(生物种群!$A:$A)),MATCH($A175,生物种群!$C$3:INDEX(生物种群!$C:$C,COUNTA(生物种群!$C:$C)),),),INDEX(生物种群!$A$3:INDEX(生物种群!$A:$A,COUNTA(生物种群!$A:$A)),MATCH($B175,生物种群!$D$3:INDEX(生物种群!$D:$D,COUNTA(生物种群!$D:$D)),),))),"")</f>
        <v/>
      </c>
      <c r="I175" s="56" t="str">
        <f>IF(H175="","",INDEX(生物种群!$B$3:INDEX(生物种群!$B:$B,COUNTA(生物种群!$B:$B)),MATCH($H175,生物种群!$A$3:INDEX(生物种群!$A:$A,COUNTA(生物种群!$A:$A)),),))</f>
        <v/>
      </c>
      <c r="J175" s="55" t="str">
        <f>IF(H175="","",INDEX(生物种群!$I$3:INDEX(生物种群!$I:$I,COUNTA(生物种群!$I:$I)),MATCH($H175,生物种群!$A$3:INDEX(生物种群!$A:$A,COUNTA(生物种群!$A:$A)),),))</f>
        <v/>
      </c>
      <c r="K175" s="55" t="str">
        <f>IF(H175="","",INDEX(生物种群!$E$3:INDEX(生物种群!$E:$E,COUNTA(生物种群!$E:$E)),MATCH($H175,生物种群!$A$3:INDEX(生物种群!$A:$A,COUNTA(生物种群!$A:$A)),),))</f>
        <v/>
      </c>
      <c r="L175" s="46" t="str">
        <f t="shared" si="12"/>
        <v/>
      </c>
      <c r="M175" s="47" t="str">
        <f>IF(L175="","",ROUND((L175)/VLOOKUP($F175,IF({1,0},站位样品信息!$A$3:INDEX(站位样品信息!$A:$A,COUNTA(站位样品信息!$A:$A)+1),站位样品信息!$H$3:INDEX(站位样品信息!$H:$H,COUNTA(站位样品信息!$H:$H)+1)),2,0),2))</f>
        <v/>
      </c>
      <c r="O175" s="49"/>
      <c r="P175" s="53" t="str">
        <f t="shared" si="10"/>
        <v/>
      </c>
      <c r="Q175" s="53" t="str">
        <f t="shared" si="11"/>
        <v/>
      </c>
    </row>
    <row r="176" spans="1:17" ht="19.5" customHeight="1">
      <c r="A176" s="38"/>
      <c r="B176" s="38"/>
      <c r="C176" s="38"/>
      <c r="D176" s="37"/>
      <c r="E176" s="37"/>
      <c r="F176" s="37"/>
      <c r="G176" s="37" t="str">
        <f>IF(F176="","",INDEX(站位样品信息!$B$3:INDEX(站位样品信息!$B:$B,COUNTA(站位样品信息!$B:$B)+1),MATCH($F176,站位样品信息!$A$3:INDEX(站位样品信息!$A:$A,COUNTA(站位样品信息!$A:$A)+1),),))</f>
        <v/>
      </c>
      <c r="H176" s="55" t="str">
        <f>IF(OR(A176&lt;&gt;"",B176&lt;&gt;"",C176&lt;&gt;""),IF($C176&lt;&gt;0,INDEX(生物种群!$A$3:INDEX(生物种群!$A:$A,COUNTA(生物种群!$A:$A)),MATCH($C176,生物种群!$F$3:INDEX(生物种群!$F:$F,COUNTA(生物种群!$F:$F)),),),IF($A176&lt;&gt;0,INDEX(生物种群!$A$3:INDEX(生物种群!$A:$A,COUNTA(生物种群!$A:$A)),MATCH($A176,生物种群!$C$3:INDEX(生物种群!$C:$C,COUNTA(生物种群!$C:$C)),),),INDEX(生物种群!$A$3:INDEX(生物种群!$A:$A,COUNTA(生物种群!$A:$A)),MATCH($B176,生物种群!$D$3:INDEX(生物种群!$D:$D,COUNTA(生物种群!$D:$D)),),))),"")</f>
        <v/>
      </c>
      <c r="I176" s="56" t="str">
        <f>IF(H176="","",INDEX(生物种群!$B$3:INDEX(生物种群!$B:$B,COUNTA(生物种群!$B:$B)),MATCH($H176,生物种群!$A$3:INDEX(生物种群!$A:$A,COUNTA(生物种群!$A:$A)),),))</f>
        <v/>
      </c>
      <c r="J176" s="55" t="str">
        <f>IF(H176="","",INDEX(生物种群!$I$3:INDEX(生物种群!$I:$I,COUNTA(生物种群!$I:$I)),MATCH($H176,生物种群!$A$3:INDEX(生物种群!$A:$A,COUNTA(生物种群!$A:$A)),),))</f>
        <v/>
      </c>
      <c r="K176" s="55" t="str">
        <f>IF(H176="","",INDEX(生物种群!$E$3:INDEX(生物种群!$E:$E,COUNTA(生物种群!$E:$E)),MATCH($H176,生物种群!$A$3:INDEX(生物种群!$A:$A,COUNTA(生物种群!$A:$A)),),))</f>
        <v/>
      </c>
      <c r="L176" s="46" t="str">
        <f t="shared" si="12"/>
        <v/>
      </c>
      <c r="M176" s="47" t="str">
        <f>IF(L176="","",ROUND((L176)/VLOOKUP($F176,IF({1,0},站位样品信息!$A$3:INDEX(站位样品信息!$A:$A,COUNTA(站位样品信息!$A:$A)+1),站位样品信息!$H$3:INDEX(站位样品信息!$H:$H,COUNTA(站位样品信息!$H:$H)+1)),2,0),2))</f>
        <v/>
      </c>
      <c r="O176" s="49"/>
      <c r="P176" s="53" t="str">
        <f t="shared" si="10"/>
        <v/>
      </c>
      <c r="Q176" s="53" t="str">
        <f t="shared" si="11"/>
        <v/>
      </c>
    </row>
    <row r="177" spans="1:17" ht="19.5" customHeight="1">
      <c r="A177" s="38"/>
      <c r="B177" s="38"/>
      <c r="C177" s="38"/>
      <c r="D177" s="37"/>
      <c r="E177" s="37"/>
      <c r="F177" s="37"/>
      <c r="G177" s="37" t="str">
        <f>IF(F177="","",INDEX(站位样品信息!$B$3:INDEX(站位样品信息!$B:$B,COUNTA(站位样品信息!$B:$B)+1),MATCH($F177,站位样品信息!$A$3:INDEX(站位样品信息!$A:$A,COUNTA(站位样品信息!$A:$A)+1),),))</f>
        <v/>
      </c>
      <c r="H177" s="55" t="str">
        <f>IF(OR(A177&lt;&gt;"",B177&lt;&gt;"",C177&lt;&gt;""),IF($C177&lt;&gt;0,INDEX(生物种群!$A$3:INDEX(生物种群!$A:$A,COUNTA(生物种群!$A:$A)),MATCH($C177,生物种群!$F$3:INDEX(生物种群!$F:$F,COUNTA(生物种群!$F:$F)),),),IF($A177&lt;&gt;0,INDEX(生物种群!$A$3:INDEX(生物种群!$A:$A,COUNTA(生物种群!$A:$A)),MATCH($A177,生物种群!$C$3:INDEX(生物种群!$C:$C,COUNTA(生物种群!$C:$C)),),),INDEX(生物种群!$A$3:INDEX(生物种群!$A:$A,COUNTA(生物种群!$A:$A)),MATCH($B177,生物种群!$D$3:INDEX(生物种群!$D:$D,COUNTA(生物种群!$D:$D)),),))),"")</f>
        <v/>
      </c>
      <c r="I177" s="56" t="str">
        <f>IF(H177="","",INDEX(生物种群!$B$3:INDEX(生物种群!$B:$B,COUNTA(生物种群!$B:$B)),MATCH($H177,生物种群!$A$3:INDEX(生物种群!$A:$A,COUNTA(生物种群!$A:$A)),),))</f>
        <v/>
      </c>
      <c r="J177" s="55" t="str">
        <f>IF(H177="","",INDEX(生物种群!$I$3:INDEX(生物种群!$I:$I,COUNTA(生物种群!$I:$I)),MATCH($H177,生物种群!$A$3:INDEX(生物种群!$A:$A,COUNTA(生物种群!$A:$A)),),))</f>
        <v/>
      </c>
      <c r="K177" s="55" t="str">
        <f>IF(H177="","",INDEX(生物种群!$E$3:INDEX(生物种群!$E:$E,COUNTA(生物种群!$E:$E)),MATCH($H177,生物种群!$A$3:INDEX(生物种群!$A:$A,COUNTA(生物种群!$A:$A)),),))</f>
        <v/>
      </c>
      <c r="L177" s="46" t="str">
        <f t="shared" si="12"/>
        <v/>
      </c>
      <c r="M177" s="47" t="str">
        <f>IF(L177="","",ROUND((L177)/VLOOKUP($F177,IF({1,0},站位样品信息!$A$3:INDEX(站位样品信息!$A:$A,COUNTA(站位样品信息!$A:$A)+1),站位样品信息!$H$3:INDEX(站位样品信息!$H:$H,COUNTA(站位样品信息!$H:$H)+1)),2,0),2))</f>
        <v/>
      </c>
      <c r="O177" s="49"/>
      <c r="P177" s="53" t="str">
        <f t="shared" si="10"/>
        <v/>
      </c>
      <c r="Q177" s="53" t="str">
        <f t="shared" si="11"/>
        <v/>
      </c>
    </row>
    <row r="178" spans="1:17" ht="19.5" customHeight="1">
      <c r="A178" s="38"/>
      <c r="B178" s="38"/>
      <c r="C178" s="38"/>
      <c r="D178" s="37"/>
      <c r="E178" s="37"/>
      <c r="F178" s="37"/>
      <c r="G178" s="37" t="str">
        <f>IF(F178="","",INDEX(站位样品信息!$B$3:INDEX(站位样品信息!$B:$B,COUNTA(站位样品信息!$B:$B)+1),MATCH($F178,站位样品信息!$A$3:INDEX(站位样品信息!$A:$A,COUNTA(站位样品信息!$A:$A)+1),),))</f>
        <v/>
      </c>
      <c r="H178" s="55" t="str">
        <f>IF(OR(A178&lt;&gt;"",B178&lt;&gt;"",C178&lt;&gt;""),IF($C178&lt;&gt;0,INDEX(生物种群!$A$3:INDEX(生物种群!$A:$A,COUNTA(生物种群!$A:$A)),MATCH($C178,生物种群!$F$3:INDEX(生物种群!$F:$F,COUNTA(生物种群!$F:$F)),),),IF($A178&lt;&gt;0,INDEX(生物种群!$A$3:INDEX(生物种群!$A:$A,COUNTA(生物种群!$A:$A)),MATCH($A178,生物种群!$C$3:INDEX(生物种群!$C:$C,COUNTA(生物种群!$C:$C)),),),INDEX(生物种群!$A$3:INDEX(生物种群!$A:$A,COUNTA(生物种群!$A:$A)),MATCH($B178,生物种群!$D$3:INDEX(生物种群!$D:$D,COUNTA(生物种群!$D:$D)),),))),"")</f>
        <v/>
      </c>
      <c r="I178" s="56" t="str">
        <f>IF(H178="","",INDEX(生物种群!$B$3:INDEX(生物种群!$B:$B,COUNTA(生物种群!$B:$B)),MATCH($H178,生物种群!$A$3:INDEX(生物种群!$A:$A,COUNTA(生物种群!$A:$A)),),))</f>
        <v/>
      </c>
      <c r="J178" s="55" t="str">
        <f>IF(H178="","",INDEX(生物种群!$I$3:INDEX(生物种群!$I:$I,COUNTA(生物种群!$I:$I)),MATCH($H178,生物种群!$A$3:INDEX(生物种群!$A:$A,COUNTA(生物种群!$A:$A)),),))</f>
        <v/>
      </c>
      <c r="K178" s="55" t="str">
        <f>IF(H178="","",INDEX(生物种群!$E$3:INDEX(生物种群!$E:$E,COUNTA(生物种群!$E:$E)),MATCH($H178,生物种群!$A$3:INDEX(生物种群!$A:$A,COUNTA(生物种群!$A:$A)),),))</f>
        <v/>
      </c>
      <c r="L178" s="46" t="str">
        <f t="shared" si="12"/>
        <v/>
      </c>
      <c r="M178" s="47" t="str">
        <f>IF(L178="","",ROUND((L178)/VLOOKUP($F178,IF({1,0},站位样品信息!$A$3:INDEX(站位样品信息!$A:$A,COUNTA(站位样品信息!$A:$A)+1),站位样品信息!$H$3:INDEX(站位样品信息!$H:$H,COUNTA(站位样品信息!$H:$H)+1)),2,0),2))</f>
        <v/>
      </c>
      <c r="O178" s="49"/>
      <c r="P178" s="53" t="str">
        <f t="shared" si="10"/>
        <v/>
      </c>
      <c r="Q178" s="53" t="str">
        <f t="shared" si="11"/>
        <v/>
      </c>
    </row>
    <row r="179" spans="1:17" ht="19.5" customHeight="1">
      <c r="A179" s="38"/>
      <c r="B179" s="38"/>
      <c r="C179" s="38"/>
      <c r="D179" s="37"/>
      <c r="E179" s="37"/>
      <c r="F179" s="37"/>
      <c r="G179" s="37" t="str">
        <f>IF(F179="","",INDEX(站位样品信息!$B$3:INDEX(站位样品信息!$B:$B,COUNTA(站位样品信息!$B:$B)+1),MATCH($F179,站位样品信息!$A$3:INDEX(站位样品信息!$A:$A,COUNTA(站位样品信息!$A:$A)+1),),))</f>
        <v/>
      </c>
      <c r="H179" s="55" t="str">
        <f>IF(OR(A179&lt;&gt;"",B179&lt;&gt;"",C179&lt;&gt;""),IF($C179&lt;&gt;0,INDEX(生物种群!$A$3:INDEX(生物种群!$A:$A,COUNTA(生物种群!$A:$A)),MATCH($C179,生物种群!$F$3:INDEX(生物种群!$F:$F,COUNTA(生物种群!$F:$F)),),),IF($A179&lt;&gt;0,INDEX(生物种群!$A$3:INDEX(生物种群!$A:$A,COUNTA(生物种群!$A:$A)),MATCH($A179,生物种群!$C$3:INDEX(生物种群!$C:$C,COUNTA(生物种群!$C:$C)),),),INDEX(生物种群!$A$3:INDEX(生物种群!$A:$A,COUNTA(生物种群!$A:$A)),MATCH($B179,生物种群!$D$3:INDEX(生物种群!$D:$D,COUNTA(生物种群!$D:$D)),),))),"")</f>
        <v/>
      </c>
      <c r="I179" s="56" t="str">
        <f>IF(H179="","",INDEX(生物种群!$B$3:INDEX(生物种群!$B:$B,COUNTA(生物种群!$B:$B)),MATCH($H179,生物种群!$A$3:INDEX(生物种群!$A:$A,COUNTA(生物种群!$A:$A)),),))</f>
        <v/>
      </c>
      <c r="J179" s="55" t="str">
        <f>IF(H179="","",INDEX(生物种群!$I$3:INDEX(生物种群!$I:$I,COUNTA(生物种群!$I:$I)),MATCH($H179,生物种群!$A$3:INDEX(生物种群!$A:$A,COUNTA(生物种群!$A:$A)),),))</f>
        <v/>
      </c>
      <c r="K179" s="55" t="str">
        <f>IF(H179="","",INDEX(生物种群!$E$3:INDEX(生物种群!$E:$E,COUNTA(生物种群!$E:$E)),MATCH($H179,生物种群!$A$3:INDEX(生物种群!$A:$A,COUNTA(生物种群!$A:$A)),),))</f>
        <v/>
      </c>
      <c r="L179" s="46" t="str">
        <f t="shared" si="12"/>
        <v/>
      </c>
      <c r="M179" s="47" t="str">
        <f>IF(L179="","",ROUND((L179)/VLOOKUP($F179,IF({1,0},站位样品信息!$A$3:INDEX(站位样品信息!$A:$A,COUNTA(站位样品信息!$A:$A)+1),站位样品信息!$H$3:INDEX(站位样品信息!$H:$H,COUNTA(站位样品信息!$H:$H)+1)),2,0),2))</f>
        <v/>
      </c>
      <c r="O179" s="49"/>
      <c r="P179" s="53" t="str">
        <f t="shared" si="10"/>
        <v/>
      </c>
      <c r="Q179" s="53" t="str">
        <f t="shared" si="11"/>
        <v/>
      </c>
    </row>
    <row r="180" spans="1:17" ht="19.5" customHeight="1">
      <c r="A180" s="38"/>
      <c r="B180" s="38"/>
      <c r="C180" s="38"/>
      <c r="D180" s="37"/>
      <c r="E180" s="37"/>
      <c r="F180" s="37"/>
      <c r="G180" s="37" t="str">
        <f>IF(F180="","",INDEX(站位样品信息!$B$3:INDEX(站位样品信息!$B:$B,COUNTA(站位样品信息!$B:$B)+1),MATCH($F180,站位样品信息!$A$3:INDEX(站位样品信息!$A:$A,COUNTA(站位样品信息!$A:$A)+1),),))</f>
        <v/>
      </c>
      <c r="H180" s="55" t="str">
        <f>IF(OR(A180&lt;&gt;"",B180&lt;&gt;"",C180&lt;&gt;""),IF($C180&lt;&gt;0,INDEX(生物种群!$A$3:INDEX(生物种群!$A:$A,COUNTA(生物种群!$A:$A)),MATCH($C180,生物种群!$F$3:INDEX(生物种群!$F:$F,COUNTA(生物种群!$F:$F)),),),IF($A180&lt;&gt;0,INDEX(生物种群!$A$3:INDEX(生物种群!$A:$A,COUNTA(生物种群!$A:$A)),MATCH($A180,生物种群!$C$3:INDEX(生物种群!$C:$C,COUNTA(生物种群!$C:$C)),),),INDEX(生物种群!$A$3:INDEX(生物种群!$A:$A,COUNTA(生物种群!$A:$A)),MATCH($B180,生物种群!$D$3:INDEX(生物种群!$D:$D,COUNTA(生物种群!$D:$D)),),))),"")</f>
        <v/>
      </c>
      <c r="I180" s="56" t="str">
        <f>IF(H180="","",INDEX(生物种群!$B$3:INDEX(生物种群!$B:$B,COUNTA(生物种群!$B:$B)),MATCH($H180,生物种群!$A$3:INDEX(生物种群!$A:$A,COUNTA(生物种群!$A:$A)),),))</f>
        <v/>
      </c>
      <c r="J180" s="55" t="str">
        <f>IF(H180="","",INDEX(生物种群!$I$3:INDEX(生物种群!$I:$I,COUNTA(生物种群!$I:$I)),MATCH($H180,生物种群!$A$3:INDEX(生物种群!$A:$A,COUNTA(生物种群!$A:$A)),),))</f>
        <v/>
      </c>
      <c r="K180" s="55" t="str">
        <f>IF(H180="","",INDEX(生物种群!$E$3:INDEX(生物种群!$E:$E,COUNTA(生物种群!$E:$E)),MATCH($H180,生物种群!$A$3:INDEX(生物种群!$A:$A,COUNTA(生物种群!$A:$A)),),))</f>
        <v/>
      </c>
      <c r="L180" s="46" t="str">
        <f t="shared" si="12"/>
        <v/>
      </c>
      <c r="M180" s="47" t="str">
        <f>IF(L180="","",ROUND((L180)/VLOOKUP($F180,IF({1,0},站位样品信息!$A$3:INDEX(站位样品信息!$A:$A,COUNTA(站位样品信息!$A:$A)+1),站位样品信息!$H$3:INDEX(站位样品信息!$H:$H,COUNTA(站位样品信息!$H:$H)+1)),2,0),2))</f>
        <v/>
      </c>
      <c r="O180" s="49"/>
      <c r="P180" s="53" t="str">
        <f t="shared" si="10"/>
        <v/>
      </c>
      <c r="Q180" s="53" t="str">
        <f t="shared" si="11"/>
        <v/>
      </c>
    </row>
    <row r="181" spans="1:17" ht="19.5" customHeight="1">
      <c r="A181" s="38"/>
      <c r="B181" s="38"/>
      <c r="C181" s="38"/>
      <c r="D181" s="37"/>
      <c r="E181" s="37"/>
      <c r="F181" s="37"/>
      <c r="G181" s="37" t="str">
        <f>IF(F181="","",INDEX(站位样品信息!$B$3:INDEX(站位样品信息!$B:$B,COUNTA(站位样品信息!$B:$B)+1),MATCH($F181,站位样品信息!$A$3:INDEX(站位样品信息!$A:$A,COUNTA(站位样品信息!$A:$A)+1),),))</f>
        <v/>
      </c>
      <c r="H181" s="55" t="str">
        <f>IF(OR(A181&lt;&gt;"",B181&lt;&gt;"",C181&lt;&gt;""),IF($C181&lt;&gt;0,INDEX(生物种群!$A$3:INDEX(生物种群!$A:$A,COUNTA(生物种群!$A:$A)),MATCH($C181,生物种群!$F$3:INDEX(生物种群!$F:$F,COUNTA(生物种群!$F:$F)),),),IF($A181&lt;&gt;0,INDEX(生物种群!$A$3:INDEX(生物种群!$A:$A,COUNTA(生物种群!$A:$A)),MATCH($A181,生物种群!$C$3:INDEX(生物种群!$C:$C,COUNTA(生物种群!$C:$C)),),),INDEX(生物种群!$A$3:INDEX(生物种群!$A:$A,COUNTA(生物种群!$A:$A)),MATCH($B181,生物种群!$D$3:INDEX(生物种群!$D:$D,COUNTA(生物种群!$D:$D)),),))),"")</f>
        <v/>
      </c>
      <c r="I181" s="56" t="str">
        <f>IF(H181="","",INDEX(生物种群!$B$3:INDEX(生物种群!$B:$B,COUNTA(生物种群!$B:$B)),MATCH($H181,生物种群!$A$3:INDEX(生物种群!$A:$A,COUNTA(生物种群!$A:$A)),),))</f>
        <v/>
      </c>
      <c r="J181" s="55" t="str">
        <f>IF(H181="","",INDEX(生物种群!$I$3:INDEX(生物种群!$I:$I,COUNTA(生物种群!$I:$I)),MATCH($H181,生物种群!$A$3:INDEX(生物种群!$A:$A,COUNTA(生物种群!$A:$A)),),))</f>
        <v/>
      </c>
      <c r="K181" s="55" t="str">
        <f>IF(H181="","",INDEX(生物种群!$E$3:INDEX(生物种群!$E:$E,COUNTA(生物种群!$E:$E)),MATCH($H181,生物种群!$A$3:INDEX(生物种群!$A:$A,COUNTA(生物种群!$A:$A)),),))</f>
        <v/>
      </c>
      <c r="L181" s="46" t="str">
        <f t="shared" si="12"/>
        <v/>
      </c>
      <c r="M181" s="47" t="str">
        <f>IF(L181="","",ROUND((L181)/VLOOKUP($F181,IF({1,0},站位样品信息!$A$3:INDEX(站位样品信息!$A:$A,COUNTA(站位样品信息!$A:$A)+1),站位样品信息!$H$3:INDEX(站位样品信息!$H:$H,COUNTA(站位样品信息!$H:$H)+1)),2,0),2))</f>
        <v/>
      </c>
      <c r="O181" s="49"/>
      <c r="P181" s="53" t="str">
        <f t="shared" si="10"/>
        <v/>
      </c>
      <c r="Q181" s="53" t="str">
        <f t="shared" si="11"/>
        <v/>
      </c>
    </row>
    <row r="182" spans="1:17" ht="19.5" customHeight="1">
      <c r="A182" s="38"/>
      <c r="B182" s="38"/>
      <c r="C182" s="38"/>
      <c r="D182" s="37"/>
      <c r="E182" s="37"/>
      <c r="F182" s="37"/>
      <c r="G182" s="37" t="str">
        <f>IF(F182="","",INDEX(站位样品信息!$B$3:INDEX(站位样品信息!$B:$B,COUNTA(站位样品信息!$B:$B)+1),MATCH($F182,站位样品信息!$A$3:INDEX(站位样品信息!$A:$A,COUNTA(站位样品信息!$A:$A)+1),),))</f>
        <v/>
      </c>
      <c r="H182" s="55" t="str">
        <f>IF(OR(A182&lt;&gt;"",B182&lt;&gt;"",C182&lt;&gt;""),IF($C182&lt;&gt;0,INDEX(生物种群!$A$3:INDEX(生物种群!$A:$A,COUNTA(生物种群!$A:$A)),MATCH($C182,生物种群!$F$3:INDEX(生物种群!$F:$F,COUNTA(生物种群!$F:$F)),),),IF($A182&lt;&gt;0,INDEX(生物种群!$A$3:INDEX(生物种群!$A:$A,COUNTA(生物种群!$A:$A)),MATCH($A182,生物种群!$C$3:INDEX(生物种群!$C:$C,COUNTA(生物种群!$C:$C)),),),INDEX(生物种群!$A$3:INDEX(生物种群!$A:$A,COUNTA(生物种群!$A:$A)),MATCH($B182,生物种群!$D$3:INDEX(生物种群!$D:$D,COUNTA(生物种群!$D:$D)),),))),"")</f>
        <v/>
      </c>
      <c r="I182" s="56" t="str">
        <f>IF(H182="","",INDEX(生物种群!$B$3:INDEX(生物种群!$B:$B,COUNTA(生物种群!$B:$B)),MATCH($H182,生物种群!$A$3:INDEX(生物种群!$A:$A,COUNTA(生物种群!$A:$A)),),))</f>
        <v/>
      </c>
      <c r="J182" s="55" t="str">
        <f>IF(H182="","",INDEX(生物种群!$I$3:INDEX(生物种群!$I:$I,COUNTA(生物种群!$I:$I)),MATCH($H182,生物种群!$A$3:INDEX(生物种群!$A:$A,COUNTA(生物种群!$A:$A)),),))</f>
        <v/>
      </c>
      <c r="K182" s="55" t="str">
        <f>IF(H182="","",INDEX(生物种群!$E$3:INDEX(生物种群!$E:$E,COUNTA(生物种群!$E:$E)),MATCH($H182,生物种群!$A$3:INDEX(生物种群!$A:$A,COUNTA(生物种群!$A:$A)),),))</f>
        <v/>
      </c>
      <c r="L182" s="46" t="str">
        <f t="shared" si="12"/>
        <v/>
      </c>
      <c r="M182" s="47" t="str">
        <f>IF(L182="","",ROUND((L182)/VLOOKUP($F182,IF({1,0},站位样品信息!$A$3:INDEX(站位样品信息!$A:$A,COUNTA(站位样品信息!$A:$A)+1),站位样品信息!$H$3:INDEX(站位样品信息!$H:$H,COUNTA(站位样品信息!$H:$H)+1)),2,0),2))</f>
        <v/>
      </c>
      <c r="O182" s="49"/>
      <c r="P182" s="53" t="str">
        <f t="shared" si="10"/>
        <v/>
      </c>
      <c r="Q182" s="53" t="str">
        <f t="shared" si="11"/>
        <v/>
      </c>
    </row>
    <row r="183" spans="1:17" ht="19.5" customHeight="1">
      <c r="A183" s="38"/>
      <c r="B183" s="38"/>
      <c r="C183" s="38"/>
      <c r="D183" s="37"/>
      <c r="E183" s="37"/>
      <c r="F183" s="37"/>
      <c r="G183" s="37" t="str">
        <f>IF(F183="","",INDEX(站位样品信息!$B$3:INDEX(站位样品信息!$B:$B,COUNTA(站位样品信息!$B:$B)+1),MATCH($F183,站位样品信息!$A$3:INDEX(站位样品信息!$A:$A,COUNTA(站位样品信息!$A:$A)+1),),))</f>
        <v/>
      </c>
      <c r="H183" s="55" t="str">
        <f>IF(OR(A183&lt;&gt;"",B183&lt;&gt;"",C183&lt;&gt;""),IF($C183&lt;&gt;0,INDEX(生物种群!$A$3:INDEX(生物种群!$A:$A,COUNTA(生物种群!$A:$A)),MATCH($C183,生物种群!$F$3:INDEX(生物种群!$F:$F,COUNTA(生物种群!$F:$F)),),),IF($A183&lt;&gt;0,INDEX(生物种群!$A$3:INDEX(生物种群!$A:$A,COUNTA(生物种群!$A:$A)),MATCH($A183,生物种群!$C$3:INDEX(生物种群!$C:$C,COUNTA(生物种群!$C:$C)),),),INDEX(生物种群!$A$3:INDEX(生物种群!$A:$A,COUNTA(生物种群!$A:$A)),MATCH($B183,生物种群!$D$3:INDEX(生物种群!$D:$D,COUNTA(生物种群!$D:$D)),),))),"")</f>
        <v/>
      </c>
      <c r="I183" s="56" t="str">
        <f>IF(H183="","",INDEX(生物种群!$B$3:INDEX(生物种群!$B:$B,COUNTA(生物种群!$B:$B)),MATCH($H183,生物种群!$A$3:INDEX(生物种群!$A:$A,COUNTA(生物种群!$A:$A)),),))</f>
        <v/>
      </c>
      <c r="J183" s="55" t="str">
        <f>IF(H183="","",INDEX(生物种群!$I$3:INDEX(生物种群!$I:$I,COUNTA(生物种群!$I:$I)),MATCH($H183,生物种群!$A$3:INDEX(生物种群!$A:$A,COUNTA(生物种群!$A:$A)),),))</f>
        <v/>
      </c>
      <c r="K183" s="55" t="str">
        <f>IF(H183="","",INDEX(生物种群!$E$3:INDEX(生物种群!$E:$E,COUNTA(生物种群!$E:$E)),MATCH($H183,生物种群!$A$3:INDEX(生物种群!$A:$A,COUNTA(生物种群!$A:$A)),),))</f>
        <v/>
      </c>
      <c r="L183" s="46" t="str">
        <f t="shared" si="12"/>
        <v/>
      </c>
      <c r="M183" s="47" t="str">
        <f>IF(L183="","",ROUND((L183)/VLOOKUP($F183,IF({1,0},站位样品信息!$A$3:INDEX(站位样品信息!$A:$A,COUNTA(站位样品信息!$A:$A)+1),站位样品信息!$H$3:INDEX(站位样品信息!$H:$H,COUNTA(站位样品信息!$H:$H)+1)),2,0),2))</f>
        <v/>
      </c>
      <c r="O183" s="49"/>
      <c r="P183" s="53" t="str">
        <f t="shared" si="10"/>
        <v/>
      </c>
      <c r="Q183" s="53" t="str">
        <f t="shared" si="11"/>
        <v/>
      </c>
    </row>
    <row r="184" spans="1:17" ht="19.5" customHeight="1">
      <c r="A184" s="38"/>
      <c r="B184" s="38"/>
      <c r="C184" s="38"/>
      <c r="D184" s="37"/>
      <c r="E184" s="37"/>
      <c r="F184" s="37"/>
      <c r="G184" s="37" t="str">
        <f>IF(F184="","",INDEX(站位样品信息!$B$3:INDEX(站位样品信息!$B:$B,COUNTA(站位样品信息!$B:$B)+1),MATCH($F184,站位样品信息!$A$3:INDEX(站位样品信息!$A:$A,COUNTA(站位样品信息!$A:$A)+1),),))</f>
        <v/>
      </c>
      <c r="H184" s="55" t="str">
        <f>IF(OR(A184&lt;&gt;"",B184&lt;&gt;"",C184&lt;&gt;""),IF($C184&lt;&gt;0,INDEX(生物种群!$A$3:INDEX(生物种群!$A:$A,COUNTA(生物种群!$A:$A)),MATCH($C184,生物种群!$F$3:INDEX(生物种群!$F:$F,COUNTA(生物种群!$F:$F)),),),IF($A184&lt;&gt;0,INDEX(生物种群!$A$3:INDEX(生物种群!$A:$A,COUNTA(生物种群!$A:$A)),MATCH($A184,生物种群!$C$3:INDEX(生物种群!$C:$C,COUNTA(生物种群!$C:$C)),),),INDEX(生物种群!$A$3:INDEX(生物种群!$A:$A,COUNTA(生物种群!$A:$A)),MATCH($B184,生物种群!$D$3:INDEX(生物种群!$D:$D,COUNTA(生物种群!$D:$D)),),))),"")</f>
        <v/>
      </c>
      <c r="I184" s="56" t="str">
        <f>IF(H184="","",INDEX(生物种群!$B$3:INDEX(生物种群!$B:$B,COUNTA(生物种群!$B:$B)),MATCH($H184,生物种群!$A$3:INDEX(生物种群!$A:$A,COUNTA(生物种群!$A:$A)),),))</f>
        <v/>
      </c>
      <c r="J184" s="55" t="str">
        <f>IF(H184="","",INDEX(生物种群!$I$3:INDEX(生物种群!$I:$I,COUNTA(生物种群!$I:$I)),MATCH($H184,生物种群!$A$3:INDEX(生物种群!$A:$A,COUNTA(生物种群!$A:$A)),),))</f>
        <v/>
      </c>
      <c r="K184" s="55" t="str">
        <f>IF(H184="","",INDEX(生物种群!$E$3:INDEX(生物种群!$E:$E,COUNTA(生物种群!$E:$E)),MATCH($H184,生物种群!$A$3:INDEX(生物种群!$A:$A,COUNTA(生物种群!$A:$A)),),))</f>
        <v/>
      </c>
      <c r="L184" s="46" t="str">
        <f t="shared" si="12"/>
        <v/>
      </c>
      <c r="M184" s="47" t="str">
        <f>IF(L184="","",ROUND((L184)/VLOOKUP($F184,IF({1,0},站位样品信息!$A$3:INDEX(站位样品信息!$A:$A,COUNTA(站位样品信息!$A:$A)+1),站位样品信息!$H$3:INDEX(站位样品信息!$H:$H,COUNTA(站位样品信息!$H:$H)+1)),2,0),2))</f>
        <v/>
      </c>
      <c r="O184" s="49"/>
      <c r="P184" s="53" t="str">
        <f t="shared" si="10"/>
        <v/>
      </c>
      <c r="Q184" s="53" t="str">
        <f t="shared" si="11"/>
        <v/>
      </c>
    </row>
    <row r="185" spans="1:17" ht="19.5" customHeight="1">
      <c r="A185" s="38"/>
      <c r="B185" s="38"/>
      <c r="C185" s="38"/>
      <c r="D185" s="37"/>
      <c r="E185" s="37"/>
      <c r="F185" s="37"/>
      <c r="G185" s="37" t="str">
        <f>IF(F185="","",INDEX(站位样品信息!$B$3:INDEX(站位样品信息!$B:$B,COUNTA(站位样品信息!$B:$B)+1),MATCH($F185,站位样品信息!$A$3:INDEX(站位样品信息!$A:$A,COUNTA(站位样品信息!$A:$A)+1),),))</f>
        <v/>
      </c>
      <c r="H185" s="55" t="str">
        <f>IF(OR(A185&lt;&gt;"",B185&lt;&gt;"",C185&lt;&gt;""),IF($C185&lt;&gt;0,INDEX(生物种群!$A$3:INDEX(生物种群!$A:$A,COUNTA(生物种群!$A:$A)),MATCH($C185,生物种群!$F$3:INDEX(生物种群!$F:$F,COUNTA(生物种群!$F:$F)),),),IF($A185&lt;&gt;0,INDEX(生物种群!$A$3:INDEX(生物种群!$A:$A,COUNTA(生物种群!$A:$A)),MATCH($A185,生物种群!$C$3:INDEX(生物种群!$C:$C,COUNTA(生物种群!$C:$C)),),),INDEX(生物种群!$A$3:INDEX(生物种群!$A:$A,COUNTA(生物种群!$A:$A)),MATCH($B185,生物种群!$D$3:INDEX(生物种群!$D:$D,COUNTA(生物种群!$D:$D)),),))),"")</f>
        <v/>
      </c>
      <c r="I185" s="56" t="str">
        <f>IF(H185="","",INDEX(生物种群!$B$3:INDEX(生物种群!$B:$B,COUNTA(生物种群!$B:$B)),MATCH($H185,生物种群!$A$3:INDEX(生物种群!$A:$A,COUNTA(生物种群!$A:$A)),),))</f>
        <v/>
      </c>
      <c r="J185" s="55" t="str">
        <f>IF(H185="","",INDEX(生物种群!$I$3:INDEX(生物种群!$I:$I,COUNTA(生物种群!$I:$I)),MATCH($H185,生物种群!$A$3:INDEX(生物种群!$A:$A,COUNTA(生物种群!$A:$A)),),))</f>
        <v/>
      </c>
      <c r="K185" s="55" t="str">
        <f>IF(H185="","",INDEX(生物种群!$E$3:INDEX(生物种群!$E:$E,COUNTA(生物种群!$E:$E)),MATCH($H185,生物种群!$A$3:INDEX(生物种群!$A:$A,COUNTA(生物种群!$A:$A)),),))</f>
        <v/>
      </c>
      <c r="L185" s="46" t="str">
        <f t="shared" si="12"/>
        <v/>
      </c>
      <c r="M185" s="47" t="str">
        <f>IF(L185="","",ROUND((L185)/VLOOKUP($F185,IF({1,0},站位样品信息!$A$3:INDEX(站位样品信息!$A:$A,COUNTA(站位样品信息!$A:$A)+1),站位样品信息!$H$3:INDEX(站位样品信息!$H:$H,COUNTA(站位样品信息!$H:$H)+1)),2,0),2))</f>
        <v/>
      </c>
      <c r="O185" s="49"/>
      <c r="P185" s="53" t="str">
        <f t="shared" si="10"/>
        <v/>
      </c>
      <c r="Q185" s="53" t="str">
        <f t="shared" si="11"/>
        <v/>
      </c>
    </row>
    <row r="186" spans="1:17" ht="19.5" customHeight="1">
      <c r="A186" s="38"/>
      <c r="B186" s="38"/>
      <c r="C186" s="38"/>
      <c r="D186" s="37"/>
      <c r="E186" s="37"/>
      <c r="F186" s="37"/>
      <c r="G186" s="37" t="str">
        <f>IF(F186="","",INDEX(站位样品信息!$B$3:INDEX(站位样品信息!$B:$B,COUNTA(站位样品信息!$B:$B)+1),MATCH($F186,站位样品信息!$A$3:INDEX(站位样品信息!$A:$A,COUNTA(站位样品信息!$A:$A)+1),),))</f>
        <v/>
      </c>
      <c r="H186" s="55" t="str">
        <f>IF(OR(A186&lt;&gt;"",B186&lt;&gt;"",C186&lt;&gt;""),IF($C186&lt;&gt;0,INDEX(生物种群!$A$3:INDEX(生物种群!$A:$A,COUNTA(生物种群!$A:$A)),MATCH($C186,生物种群!$F$3:INDEX(生物种群!$F:$F,COUNTA(生物种群!$F:$F)),),),IF($A186&lt;&gt;0,INDEX(生物种群!$A$3:INDEX(生物种群!$A:$A,COUNTA(生物种群!$A:$A)),MATCH($A186,生物种群!$C$3:INDEX(生物种群!$C:$C,COUNTA(生物种群!$C:$C)),),),INDEX(生物种群!$A$3:INDEX(生物种群!$A:$A,COUNTA(生物种群!$A:$A)),MATCH($B186,生物种群!$D$3:INDEX(生物种群!$D:$D,COUNTA(生物种群!$D:$D)),),))),"")</f>
        <v/>
      </c>
      <c r="I186" s="56" t="str">
        <f>IF(H186="","",INDEX(生物种群!$B$3:INDEX(生物种群!$B:$B,COUNTA(生物种群!$B:$B)),MATCH($H186,生物种群!$A$3:INDEX(生物种群!$A:$A,COUNTA(生物种群!$A:$A)),),))</f>
        <v/>
      </c>
      <c r="J186" s="55" t="str">
        <f>IF(H186="","",INDEX(生物种群!$I$3:INDEX(生物种群!$I:$I,COUNTA(生物种群!$I:$I)),MATCH($H186,生物种群!$A$3:INDEX(生物种群!$A:$A,COUNTA(生物种群!$A:$A)),),))</f>
        <v/>
      </c>
      <c r="K186" s="55" t="str">
        <f>IF(H186="","",INDEX(生物种群!$E$3:INDEX(生物种群!$E:$E,COUNTA(生物种群!$E:$E)),MATCH($H186,生物种群!$A$3:INDEX(生物种群!$A:$A,COUNTA(生物种群!$A:$A)),),))</f>
        <v/>
      </c>
      <c r="L186" s="46" t="str">
        <f t="shared" si="12"/>
        <v/>
      </c>
      <c r="M186" s="47" t="str">
        <f>IF(L186="","",ROUND((L186)/VLOOKUP($F186,IF({1,0},站位样品信息!$A$3:INDEX(站位样品信息!$A:$A,COUNTA(站位样品信息!$A:$A)+1),站位样品信息!$H$3:INDEX(站位样品信息!$H:$H,COUNTA(站位样品信息!$H:$H)+1)),2,0),2))</f>
        <v/>
      </c>
      <c r="O186" s="49"/>
      <c r="P186" s="53" t="str">
        <f t="shared" si="10"/>
        <v/>
      </c>
      <c r="Q186" s="53" t="str">
        <f t="shared" si="11"/>
        <v/>
      </c>
    </row>
    <row r="187" spans="1:17" ht="19.5" customHeight="1">
      <c r="A187" s="38"/>
      <c r="B187" s="38"/>
      <c r="C187" s="38"/>
      <c r="D187" s="37"/>
      <c r="E187" s="37"/>
      <c r="F187" s="37"/>
      <c r="G187" s="37" t="str">
        <f>IF(F187="","",INDEX(站位样品信息!$B$3:INDEX(站位样品信息!$B:$B,COUNTA(站位样品信息!$B:$B)+1),MATCH($F187,站位样品信息!$A$3:INDEX(站位样品信息!$A:$A,COUNTA(站位样品信息!$A:$A)+1),),))</f>
        <v/>
      </c>
      <c r="H187" s="55" t="str">
        <f>IF(OR(A187&lt;&gt;"",B187&lt;&gt;"",C187&lt;&gt;""),IF($C187&lt;&gt;0,INDEX(生物种群!$A$3:INDEX(生物种群!$A:$A,COUNTA(生物种群!$A:$A)),MATCH($C187,生物种群!$F$3:INDEX(生物种群!$F:$F,COUNTA(生物种群!$F:$F)),),),IF($A187&lt;&gt;0,INDEX(生物种群!$A$3:INDEX(生物种群!$A:$A,COUNTA(生物种群!$A:$A)),MATCH($A187,生物种群!$C$3:INDEX(生物种群!$C:$C,COUNTA(生物种群!$C:$C)),),),INDEX(生物种群!$A$3:INDEX(生物种群!$A:$A,COUNTA(生物种群!$A:$A)),MATCH($B187,生物种群!$D$3:INDEX(生物种群!$D:$D,COUNTA(生物种群!$D:$D)),),))),"")</f>
        <v/>
      </c>
      <c r="I187" s="56" t="str">
        <f>IF(H187="","",INDEX(生物种群!$B$3:INDEX(生物种群!$B:$B,COUNTA(生物种群!$B:$B)),MATCH($H187,生物种群!$A$3:INDEX(生物种群!$A:$A,COUNTA(生物种群!$A:$A)),),))</f>
        <v/>
      </c>
      <c r="J187" s="55" t="str">
        <f>IF(H187="","",INDEX(生物种群!$I$3:INDEX(生物种群!$I:$I,COUNTA(生物种群!$I:$I)),MATCH($H187,生物种群!$A$3:INDEX(生物种群!$A:$A,COUNTA(生物种群!$A:$A)),),))</f>
        <v/>
      </c>
      <c r="K187" s="55" t="str">
        <f>IF(H187="","",INDEX(生物种群!$E$3:INDEX(生物种群!$E:$E,COUNTA(生物种群!$E:$E)),MATCH($H187,生物种群!$A$3:INDEX(生物种群!$A:$A,COUNTA(生物种群!$A:$A)),),))</f>
        <v/>
      </c>
      <c r="L187" s="46" t="str">
        <f t="shared" si="12"/>
        <v/>
      </c>
      <c r="M187" s="47" t="str">
        <f>IF(L187="","",ROUND((L187)/VLOOKUP($F187,IF({1,0},站位样品信息!$A$3:INDEX(站位样品信息!$A:$A,COUNTA(站位样品信息!$A:$A)+1),站位样品信息!$H$3:INDEX(站位样品信息!$H:$H,COUNTA(站位样品信息!$H:$H)+1)),2,0),2))</f>
        <v/>
      </c>
      <c r="O187" s="49"/>
      <c r="P187" s="53" t="str">
        <f t="shared" si="10"/>
        <v/>
      </c>
      <c r="Q187" s="53" t="str">
        <f t="shared" si="11"/>
        <v/>
      </c>
    </row>
    <row r="188" spans="1:17" ht="19.5" customHeight="1">
      <c r="A188" s="38"/>
      <c r="B188" s="38"/>
      <c r="C188" s="38"/>
      <c r="D188" s="37"/>
      <c r="E188" s="37"/>
      <c r="F188" s="37"/>
      <c r="G188" s="37" t="str">
        <f>IF(F188="","",INDEX(站位样品信息!$B$3:INDEX(站位样品信息!$B:$B,COUNTA(站位样品信息!$B:$B)+1),MATCH($F188,站位样品信息!$A$3:INDEX(站位样品信息!$A:$A,COUNTA(站位样品信息!$A:$A)+1),),))</f>
        <v/>
      </c>
      <c r="H188" s="55" t="str">
        <f>IF(OR(A188&lt;&gt;"",B188&lt;&gt;"",C188&lt;&gt;""),IF($C188&lt;&gt;0,INDEX(生物种群!$A$3:INDEX(生物种群!$A:$A,COUNTA(生物种群!$A:$A)),MATCH($C188,生物种群!$F$3:INDEX(生物种群!$F:$F,COUNTA(生物种群!$F:$F)),),),IF($A188&lt;&gt;0,INDEX(生物种群!$A$3:INDEX(生物种群!$A:$A,COUNTA(生物种群!$A:$A)),MATCH($A188,生物种群!$C$3:INDEX(生物种群!$C:$C,COUNTA(生物种群!$C:$C)),),),INDEX(生物种群!$A$3:INDEX(生物种群!$A:$A,COUNTA(生物种群!$A:$A)),MATCH($B188,生物种群!$D$3:INDEX(生物种群!$D:$D,COUNTA(生物种群!$D:$D)),),))),"")</f>
        <v/>
      </c>
      <c r="I188" s="56" t="str">
        <f>IF(H188="","",INDEX(生物种群!$B$3:INDEX(生物种群!$B:$B,COUNTA(生物种群!$B:$B)),MATCH($H188,生物种群!$A$3:INDEX(生物种群!$A:$A,COUNTA(生物种群!$A:$A)),),))</f>
        <v/>
      </c>
      <c r="J188" s="55" t="str">
        <f>IF(H188="","",INDEX(生物种群!$I$3:INDEX(生物种群!$I:$I,COUNTA(生物种群!$I:$I)),MATCH($H188,生物种群!$A$3:INDEX(生物种群!$A:$A,COUNTA(生物种群!$A:$A)),),))</f>
        <v/>
      </c>
      <c r="K188" s="55" t="str">
        <f>IF(H188="","",INDEX(生物种群!$E$3:INDEX(生物种群!$E:$E,COUNTA(生物种群!$E:$E)),MATCH($H188,生物种群!$A$3:INDEX(生物种群!$A:$A,COUNTA(生物种群!$A:$A)),),))</f>
        <v/>
      </c>
      <c r="L188" s="46" t="str">
        <f t="shared" si="12"/>
        <v/>
      </c>
      <c r="M188" s="47" t="str">
        <f>IF(L188="","",ROUND((L188)/VLOOKUP($F188,IF({1,0},站位样品信息!$A$3:INDEX(站位样品信息!$A:$A,COUNTA(站位样品信息!$A:$A)+1),站位样品信息!$H$3:INDEX(站位样品信息!$H:$H,COUNTA(站位样品信息!$H:$H)+1)),2,0),2))</f>
        <v/>
      </c>
      <c r="O188" s="49"/>
      <c r="P188" s="53" t="str">
        <f t="shared" si="10"/>
        <v/>
      </c>
      <c r="Q188" s="53" t="str">
        <f t="shared" si="11"/>
        <v/>
      </c>
    </row>
    <row r="189" spans="1:17" ht="19.5" customHeight="1">
      <c r="A189" s="38"/>
      <c r="B189" s="38"/>
      <c r="C189" s="38"/>
      <c r="D189" s="37"/>
      <c r="E189" s="37"/>
      <c r="F189" s="37"/>
      <c r="G189" s="37" t="str">
        <f>IF(F189="","",INDEX(站位样品信息!$B$3:INDEX(站位样品信息!$B:$B,COUNTA(站位样品信息!$B:$B)+1),MATCH($F189,站位样品信息!$A$3:INDEX(站位样品信息!$A:$A,COUNTA(站位样品信息!$A:$A)+1),),))</f>
        <v/>
      </c>
      <c r="H189" s="55" t="str">
        <f>IF(OR(A189&lt;&gt;"",B189&lt;&gt;"",C189&lt;&gt;""),IF($C189&lt;&gt;0,INDEX(生物种群!$A$3:INDEX(生物种群!$A:$A,COUNTA(生物种群!$A:$A)),MATCH($C189,生物种群!$F$3:INDEX(生物种群!$F:$F,COUNTA(生物种群!$F:$F)),),),IF($A189&lt;&gt;0,INDEX(生物种群!$A$3:INDEX(生物种群!$A:$A,COUNTA(生物种群!$A:$A)),MATCH($A189,生物种群!$C$3:INDEX(生物种群!$C:$C,COUNTA(生物种群!$C:$C)),),),INDEX(生物种群!$A$3:INDEX(生物种群!$A:$A,COUNTA(生物种群!$A:$A)),MATCH($B189,生物种群!$D$3:INDEX(生物种群!$D:$D,COUNTA(生物种群!$D:$D)),),))),"")</f>
        <v/>
      </c>
      <c r="I189" s="56" t="str">
        <f>IF(H189="","",INDEX(生物种群!$B$3:INDEX(生物种群!$B:$B,COUNTA(生物种群!$B:$B)),MATCH($H189,生物种群!$A$3:INDEX(生物种群!$A:$A,COUNTA(生物种群!$A:$A)),),))</f>
        <v/>
      </c>
      <c r="J189" s="55" t="str">
        <f>IF(H189="","",INDEX(生物种群!$I$3:INDEX(生物种群!$I:$I,COUNTA(生物种群!$I:$I)),MATCH($H189,生物种群!$A$3:INDEX(生物种群!$A:$A,COUNTA(生物种群!$A:$A)),),))</f>
        <v/>
      </c>
      <c r="K189" s="55" t="str">
        <f>IF(H189="","",INDEX(生物种群!$E$3:INDEX(生物种群!$E:$E,COUNTA(生物种群!$E:$E)),MATCH($H189,生物种群!$A$3:INDEX(生物种群!$A:$A,COUNTA(生物种群!$A:$A)),),))</f>
        <v/>
      </c>
      <c r="L189" s="46" t="str">
        <f t="shared" si="12"/>
        <v/>
      </c>
      <c r="M189" s="47" t="str">
        <f>IF(L189="","",ROUND((L189)/VLOOKUP($F189,IF({1,0},站位样品信息!$A$3:INDEX(站位样品信息!$A:$A,COUNTA(站位样品信息!$A:$A)+1),站位样品信息!$H$3:INDEX(站位样品信息!$H:$H,COUNTA(站位样品信息!$H:$H)+1)),2,0),2))</f>
        <v/>
      </c>
      <c r="O189" s="49"/>
      <c r="P189" s="53" t="str">
        <f t="shared" si="10"/>
        <v/>
      </c>
      <c r="Q189" s="53" t="str">
        <f t="shared" si="11"/>
        <v/>
      </c>
    </row>
    <row r="190" spans="1:17" ht="19.5" customHeight="1">
      <c r="A190" s="38"/>
      <c r="B190" s="38"/>
      <c r="C190" s="38"/>
      <c r="D190" s="37"/>
      <c r="E190" s="37"/>
      <c r="F190" s="37"/>
      <c r="G190" s="37" t="str">
        <f>IF(F190="","",INDEX(站位样品信息!$B$3:INDEX(站位样品信息!$B:$B,COUNTA(站位样品信息!$B:$B)+1),MATCH($F190,站位样品信息!$A$3:INDEX(站位样品信息!$A:$A,COUNTA(站位样品信息!$A:$A)+1),),))</f>
        <v/>
      </c>
      <c r="H190" s="55" t="str">
        <f>IF(OR(A190&lt;&gt;"",B190&lt;&gt;"",C190&lt;&gt;""),IF($C190&lt;&gt;0,INDEX(生物种群!$A$3:INDEX(生物种群!$A:$A,COUNTA(生物种群!$A:$A)),MATCH($C190,生物种群!$F$3:INDEX(生物种群!$F:$F,COUNTA(生物种群!$F:$F)),),),IF($A190&lt;&gt;0,INDEX(生物种群!$A$3:INDEX(生物种群!$A:$A,COUNTA(生物种群!$A:$A)),MATCH($A190,生物种群!$C$3:INDEX(生物种群!$C:$C,COUNTA(生物种群!$C:$C)),),),INDEX(生物种群!$A$3:INDEX(生物种群!$A:$A,COUNTA(生物种群!$A:$A)),MATCH($B190,生物种群!$D$3:INDEX(生物种群!$D:$D,COUNTA(生物种群!$D:$D)),),))),"")</f>
        <v/>
      </c>
      <c r="I190" s="56" t="str">
        <f>IF(H190="","",INDEX(生物种群!$B$3:INDEX(生物种群!$B:$B,COUNTA(生物种群!$B:$B)),MATCH($H190,生物种群!$A$3:INDEX(生物种群!$A:$A,COUNTA(生物种群!$A:$A)),),))</f>
        <v/>
      </c>
      <c r="J190" s="55" t="str">
        <f>IF(H190="","",INDEX(生物种群!$I$3:INDEX(生物种群!$I:$I,COUNTA(生物种群!$I:$I)),MATCH($H190,生物种群!$A$3:INDEX(生物种群!$A:$A,COUNTA(生物种群!$A:$A)),),))</f>
        <v/>
      </c>
      <c r="K190" s="55" t="str">
        <f>IF(H190="","",INDEX(生物种群!$E$3:INDEX(生物种群!$E:$E,COUNTA(生物种群!$E:$E)),MATCH($H190,生物种群!$A$3:INDEX(生物种群!$A:$A,COUNTA(生物种群!$A:$A)),),))</f>
        <v/>
      </c>
      <c r="L190" s="46" t="str">
        <f t="shared" si="12"/>
        <v/>
      </c>
      <c r="M190" s="47" t="str">
        <f>IF(L190="","",ROUND((L190)/VLOOKUP($F190,IF({1,0},站位样品信息!$A$3:INDEX(站位样品信息!$A:$A,COUNTA(站位样品信息!$A:$A)+1),站位样品信息!$H$3:INDEX(站位样品信息!$H:$H,COUNTA(站位样品信息!$H:$H)+1)),2,0),2))</f>
        <v/>
      </c>
      <c r="O190" s="49"/>
      <c r="P190" s="53" t="str">
        <f t="shared" si="10"/>
        <v/>
      </c>
      <c r="Q190" s="53" t="str">
        <f t="shared" si="11"/>
        <v/>
      </c>
    </row>
    <row r="191" spans="1:17" ht="19.5" customHeight="1">
      <c r="A191" s="38"/>
      <c r="B191" s="38"/>
      <c r="C191" s="38"/>
      <c r="D191" s="37"/>
      <c r="E191" s="37"/>
      <c r="F191" s="37"/>
      <c r="G191" s="37" t="str">
        <f>IF(F191="","",INDEX(站位样品信息!$B$3:INDEX(站位样品信息!$B:$B,COUNTA(站位样品信息!$B:$B)+1),MATCH($F191,站位样品信息!$A$3:INDEX(站位样品信息!$A:$A,COUNTA(站位样品信息!$A:$A)+1),),))</f>
        <v/>
      </c>
      <c r="H191" s="55" t="str">
        <f>IF(OR(A191&lt;&gt;"",B191&lt;&gt;"",C191&lt;&gt;""),IF($C191&lt;&gt;0,INDEX(生物种群!$A$3:INDEX(生物种群!$A:$A,COUNTA(生物种群!$A:$A)),MATCH($C191,生物种群!$F$3:INDEX(生物种群!$F:$F,COUNTA(生物种群!$F:$F)),),),IF($A191&lt;&gt;0,INDEX(生物种群!$A$3:INDEX(生物种群!$A:$A,COUNTA(生物种群!$A:$A)),MATCH($A191,生物种群!$C$3:INDEX(生物种群!$C:$C,COUNTA(生物种群!$C:$C)),),),INDEX(生物种群!$A$3:INDEX(生物种群!$A:$A,COUNTA(生物种群!$A:$A)),MATCH($B191,生物种群!$D$3:INDEX(生物种群!$D:$D,COUNTA(生物种群!$D:$D)),),))),"")</f>
        <v/>
      </c>
      <c r="I191" s="56" t="str">
        <f>IF(H191="","",INDEX(生物种群!$B$3:INDEX(生物种群!$B:$B,COUNTA(生物种群!$B:$B)),MATCH($H191,生物种群!$A$3:INDEX(生物种群!$A:$A,COUNTA(生物种群!$A:$A)),),))</f>
        <v/>
      </c>
      <c r="J191" s="55" t="str">
        <f>IF(H191="","",INDEX(生物种群!$I$3:INDEX(生物种群!$I:$I,COUNTA(生物种群!$I:$I)),MATCH($H191,生物种群!$A$3:INDEX(生物种群!$A:$A,COUNTA(生物种群!$A:$A)),),))</f>
        <v/>
      </c>
      <c r="K191" s="55" t="str">
        <f>IF(H191="","",INDEX(生物种群!$E$3:INDEX(生物种群!$E:$E,COUNTA(生物种群!$E:$E)),MATCH($H191,生物种群!$A$3:INDEX(生物种群!$A:$A,COUNTA(生物种群!$A:$A)),),))</f>
        <v/>
      </c>
      <c r="L191" s="46" t="str">
        <f t="shared" si="12"/>
        <v/>
      </c>
      <c r="M191" s="47" t="str">
        <f>IF(L191="","",ROUND((L191)/VLOOKUP($F191,IF({1,0},站位样品信息!$A$3:INDEX(站位样品信息!$A:$A,COUNTA(站位样品信息!$A:$A)+1),站位样品信息!$H$3:INDEX(站位样品信息!$H:$H,COUNTA(站位样品信息!$H:$H)+1)),2,0),2))</f>
        <v/>
      </c>
      <c r="O191" s="49"/>
      <c r="P191" s="53" t="str">
        <f t="shared" si="10"/>
        <v/>
      </c>
      <c r="Q191" s="53" t="str">
        <f t="shared" si="11"/>
        <v/>
      </c>
    </row>
    <row r="192" spans="1:17" ht="19.5" customHeight="1">
      <c r="A192" s="38"/>
      <c r="B192" s="38"/>
      <c r="C192" s="38"/>
      <c r="D192" s="37"/>
      <c r="E192" s="37"/>
      <c r="F192" s="37"/>
      <c r="G192" s="37" t="str">
        <f>IF(F192="","",INDEX(站位样品信息!$B$3:INDEX(站位样品信息!$B:$B,COUNTA(站位样品信息!$B:$B)+1),MATCH($F192,站位样品信息!$A$3:INDEX(站位样品信息!$A:$A,COUNTA(站位样品信息!$A:$A)+1),),))</f>
        <v/>
      </c>
      <c r="H192" s="55" t="str">
        <f>IF(OR(A192&lt;&gt;"",B192&lt;&gt;"",C192&lt;&gt;""),IF($C192&lt;&gt;0,INDEX(生物种群!$A$3:INDEX(生物种群!$A:$A,COUNTA(生物种群!$A:$A)),MATCH($C192,生物种群!$F$3:INDEX(生物种群!$F:$F,COUNTA(生物种群!$F:$F)),),),IF($A192&lt;&gt;0,INDEX(生物种群!$A$3:INDEX(生物种群!$A:$A,COUNTA(生物种群!$A:$A)),MATCH($A192,生物种群!$C$3:INDEX(生物种群!$C:$C,COUNTA(生物种群!$C:$C)),),),INDEX(生物种群!$A$3:INDEX(生物种群!$A:$A,COUNTA(生物种群!$A:$A)),MATCH($B192,生物种群!$D$3:INDEX(生物种群!$D:$D,COUNTA(生物种群!$D:$D)),),))),"")</f>
        <v/>
      </c>
      <c r="I192" s="56" t="str">
        <f>IF(H192="","",INDEX(生物种群!$B$3:INDEX(生物种群!$B:$B,COUNTA(生物种群!$B:$B)),MATCH($H192,生物种群!$A$3:INDEX(生物种群!$A:$A,COUNTA(生物种群!$A:$A)),),))</f>
        <v/>
      </c>
      <c r="J192" s="55" t="str">
        <f>IF(H192="","",INDEX(生物种群!$I$3:INDEX(生物种群!$I:$I,COUNTA(生物种群!$I:$I)),MATCH($H192,生物种群!$A$3:INDEX(生物种群!$A:$A,COUNTA(生物种群!$A:$A)),),))</f>
        <v/>
      </c>
      <c r="K192" s="55" t="str">
        <f>IF(H192="","",INDEX(生物种群!$E$3:INDEX(生物种群!$E:$E,COUNTA(生物种群!$E:$E)),MATCH($H192,生物种群!$A$3:INDEX(生物种群!$A:$A,COUNTA(生物种群!$A:$A)),),))</f>
        <v/>
      </c>
      <c r="L192" s="46" t="str">
        <f t="shared" si="12"/>
        <v/>
      </c>
      <c r="M192" s="47" t="str">
        <f>IF(L192="","",ROUND((L192)/VLOOKUP($F192,IF({1,0},站位样品信息!$A$3:INDEX(站位样品信息!$A:$A,COUNTA(站位样品信息!$A:$A)+1),站位样品信息!$H$3:INDEX(站位样品信息!$H:$H,COUNTA(站位样品信息!$H:$H)+1)),2,0),2))</f>
        <v/>
      </c>
      <c r="O192" s="49"/>
      <c r="P192" s="53" t="str">
        <f t="shared" si="10"/>
        <v/>
      </c>
      <c r="Q192" s="53" t="str">
        <f t="shared" si="11"/>
        <v/>
      </c>
    </row>
    <row r="193" spans="1:17" ht="19.5" customHeight="1">
      <c r="A193" s="38"/>
      <c r="B193" s="38"/>
      <c r="C193" s="38"/>
      <c r="D193" s="37"/>
      <c r="E193" s="37"/>
      <c r="F193" s="37"/>
      <c r="G193" s="37" t="str">
        <f>IF(F193="","",INDEX(站位样品信息!$B$3:INDEX(站位样品信息!$B:$B,COUNTA(站位样品信息!$B:$B)+1),MATCH($F193,站位样品信息!$A$3:INDEX(站位样品信息!$A:$A,COUNTA(站位样品信息!$A:$A)+1),),))</f>
        <v/>
      </c>
      <c r="H193" s="55" t="str">
        <f>IF(OR(A193&lt;&gt;"",B193&lt;&gt;"",C193&lt;&gt;""),IF($C193&lt;&gt;0,INDEX(生物种群!$A$3:INDEX(生物种群!$A:$A,COUNTA(生物种群!$A:$A)),MATCH($C193,生物种群!$F$3:INDEX(生物种群!$F:$F,COUNTA(生物种群!$F:$F)),),),IF($A193&lt;&gt;0,INDEX(生物种群!$A$3:INDEX(生物种群!$A:$A,COUNTA(生物种群!$A:$A)),MATCH($A193,生物种群!$C$3:INDEX(生物种群!$C:$C,COUNTA(生物种群!$C:$C)),),),INDEX(生物种群!$A$3:INDEX(生物种群!$A:$A,COUNTA(生物种群!$A:$A)),MATCH($B193,生物种群!$D$3:INDEX(生物种群!$D:$D,COUNTA(生物种群!$D:$D)),),))),"")</f>
        <v/>
      </c>
      <c r="I193" s="56" t="str">
        <f>IF(H193="","",INDEX(生物种群!$B$3:INDEX(生物种群!$B:$B,COUNTA(生物种群!$B:$B)),MATCH($H193,生物种群!$A$3:INDEX(生物种群!$A:$A,COUNTA(生物种群!$A:$A)),),))</f>
        <v/>
      </c>
      <c r="J193" s="55" t="str">
        <f>IF(H193="","",INDEX(生物种群!$I$3:INDEX(生物种群!$I:$I,COUNTA(生物种群!$I:$I)),MATCH($H193,生物种群!$A$3:INDEX(生物种群!$A:$A,COUNTA(生物种群!$A:$A)),),))</f>
        <v/>
      </c>
      <c r="K193" s="55" t="str">
        <f>IF(H193="","",INDEX(生物种群!$E$3:INDEX(生物种群!$E:$E,COUNTA(生物种群!$E:$E)),MATCH($H193,生物种群!$A$3:INDEX(生物种群!$A:$A,COUNTA(生物种群!$A:$A)),),))</f>
        <v/>
      </c>
      <c r="L193" s="46" t="str">
        <f t="shared" si="12"/>
        <v/>
      </c>
      <c r="M193" s="47" t="str">
        <f>IF(L193="","",ROUND((L193)/VLOOKUP($F193,IF({1,0},站位样品信息!$A$3:INDEX(站位样品信息!$A:$A,COUNTA(站位样品信息!$A:$A)+1),站位样品信息!$H$3:INDEX(站位样品信息!$H:$H,COUNTA(站位样品信息!$H:$H)+1)),2,0),2))</f>
        <v/>
      </c>
      <c r="O193" s="49"/>
      <c r="P193" s="53" t="str">
        <f t="shared" si="10"/>
        <v/>
      </c>
      <c r="Q193" s="53" t="str">
        <f t="shared" si="11"/>
        <v/>
      </c>
    </row>
    <row r="194" spans="1:17" ht="19.5" customHeight="1">
      <c r="A194" s="38"/>
      <c r="B194" s="38"/>
      <c r="C194" s="38"/>
      <c r="D194" s="37"/>
      <c r="E194" s="37"/>
      <c r="F194" s="37"/>
      <c r="G194" s="37" t="str">
        <f>IF(F194="","",INDEX(站位样品信息!$B$3:INDEX(站位样品信息!$B:$B,COUNTA(站位样品信息!$B:$B)+1),MATCH($F194,站位样品信息!$A$3:INDEX(站位样品信息!$A:$A,COUNTA(站位样品信息!$A:$A)+1),),))</f>
        <v/>
      </c>
      <c r="H194" s="55" t="str">
        <f>IF(OR(A194&lt;&gt;"",B194&lt;&gt;"",C194&lt;&gt;""),IF($C194&lt;&gt;0,INDEX(生物种群!$A$3:INDEX(生物种群!$A:$A,COUNTA(生物种群!$A:$A)),MATCH($C194,生物种群!$F$3:INDEX(生物种群!$F:$F,COUNTA(生物种群!$F:$F)),),),IF($A194&lt;&gt;0,INDEX(生物种群!$A$3:INDEX(生物种群!$A:$A,COUNTA(生物种群!$A:$A)),MATCH($A194,生物种群!$C$3:INDEX(生物种群!$C:$C,COUNTA(生物种群!$C:$C)),),),INDEX(生物种群!$A$3:INDEX(生物种群!$A:$A,COUNTA(生物种群!$A:$A)),MATCH($B194,生物种群!$D$3:INDEX(生物种群!$D:$D,COUNTA(生物种群!$D:$D)),),))),"")</f>
        <v/>
      </c>
      <c r="I194" s="56" t="str">
        <f>IF(H194="","",INDEX(生物种群!$B$3:INDEX(生物种群!$B:$B,COUNTA(生物种群!$B:$B)),MATCH($H194,生物种群!$A$3:INDEX(生物种群!$A:$A,COUNTA(生物种群!$A:$A)),),))</f>
        <v/>
      </c>
      <c r="J194" s="55" t="str">
        <f>IF(H194="","",INDEX(生物种群!$I$3:INDEX(生物种群!$I:$I,COUNTA(生物种群!$I:$I)),MATCH($H194,生物种群!$A$3:INDEX(生物种群!$A:$A,COUNTA(生物种群!$A:$A)),),))</f>
        <v/>
      </c>
      <c r="K194" s="55" t="str">
        <f>IF(H194="","",INDEX(生物种群!$E$3:INDEX(生物种群!$E:$E,COUNTA(生物种群!$E:$E)),MATCH($H194,生物种群!$A$3:INDEX(生物种群!$A:$A,COUNTA(生物种群!$A:$A)),),))</f>
        <v/>
      </c>
      <c r="L194" s="46" t="str">
        <f t="shared" si="12"/>
        <v/>
      </c>
      <c r="M194" s="47" t="str">
        <f>IF(L194="","",ROUND((L194)/VLOOKUP($F194,IF({1,0},站位样品信息!$A$3:INDEX(站位样品信息!$A:$A,COUNTA(站位样品信息!$A:$A)+1),站位样品信息!$H$3:INDEX(站位样品信息!$H:$H,COUNTA(站位样品信息!$H:$H)+1)),2,0),2))</f>
        <v/>
      </c>
      <c r="O194" s="49"/>
      <c r="P194" s="53" t="str">
        <f t="shared" si="10"/>
        <v/>
      </c>
      <c r="Q194" s="53" t="str">
        <f t="shared" si="11"/>
        <v/>
      </c>
    </row>
    <row r="195" spans="1:17" ht="19.5" customHeight="1">
      <c r="A195" s="38"/>
      <c r="B195" s="38"/>
      <c r="C195" s="38"/>
      <c r="D195" s="37"/>
      <c r="E195" s="37"/>
      <c r="F195" s="37"/>
      <c r="G195" s="37" t="str">
        <f>IF(F195="","",INDEX(站位样品信息!$B$3:INDEX(站位样品信息!$B:$B,COUNTA(站位样品信息!$B:$B)+1),MATCH($F195,站位样品信息!$A$3:INDEX(站位样品信息!$A:$A,COUNTA(站位样品信息!$A:$A)+1),),))</f>
        <v/>
      </c>
      <c r="H195" s="55" t="str">
        <f>IF(OR(A195&lt;&gt;"",B195&lt;&gt;"",C195&lt;&gt;""),IF($C195&lt;&gt;0,INDEX(生物种群!$A$3:INDEX(生物种群!$A:$A,COUNTA(生物种群!$A:$A)),MATCH($C195,生物种群!$F$3:INDEX(生物种群!$F:$F,COUNTA(生物种群!$F:$F)),),),IF($A195&lt;&gt;0,INDEX(生物种群!$A$3:INDEX(生物种群!$A:$A,COUNTA(生物种群!$A:$A)),MATCH($A195,生物种群!$C$3:INDEX(生物种群!$C:$C,COUNTA(生物种群!$C:$C)),),),INDEX(生物种群!$A$3:INDEX(生物种群!$A:$A,COUNTA(生物种群!$A:$A)),MATCH($B195,生物种群!$D$3:INDEX(生物种群!$D:$D,COUNTA(生物种群!$D:$D)),),))),"")</f>
        <v/>
      </c>
      <c r="I195" s="56" t="str">
        <f>IF(H195="","",INDEX(生物种群!$B$3:INDEX(生物种群!$B:$B,COUNTA(生物种群!$B:$B)),MATCH($H195,生物种群!$A$3:INDEX(生物种群!$A:$A,COUNTA(生物种群!$A:$A)),),))</f>
        <v/>
      </c>
      <c r="J195" s="55" t="str">
        <f>IF(H195="","",INDEX(生物种群!$I$3:INDEX(生物种群!$I:$I,COUNTA(生物种群!$I:$I)),MATCH($H195,生物种群!$A$3:INDEX(生物种群!$A:$A,COUNTA(生物种群!$A:$A)),),))</f>
        <v/>
      </c>
      <c r="K195" s="55" t="str">
        <f>IF(H195="","",INDEX(生物种群!$E$3:INDEX(生物种群!$E:$E,COUNTA(生物种群!$E:$E)),MATCH($H195,生物种群!$A$3:INDEX(生物种群!$A:$A,COUNTA(生物种群!$A:$A)),),))</f>
        <v/>
      </c>
      <c r="L195" s="46" t="str">
        <f t="shared" si="12"/>
        <v/>
      </c>
      <c r="M195" s="47" t="str">
        <f>IF(L195="","",ROUND((L195)/VLOOKUP($F195,IF({1,0},站位样品信息!$A$3:INDEX(站位样品信息!$A:$A,COUNTA(站位样品信息!$A:$A)+1),站位样品信息!$H$3:INDEX(站位样品信息!$H:$H,COUNTA(站位样品信息!$H:$H)+1)),2,0),2))</f>
        <v/>
      </c>
      <c r="O195" s="49"/>
      <c r="P195" s="53" t="str">
        <f t="shared" si="13" ref="P195:P258">IF(F195&gt;0,F195&amp;I195,"")</f>
        <v/>
      </c>
      <c r="Q195" s="53" t="str">
        <f t="shared" si="14" ref="Q195:Q258">IF(COUNTIF($P:$P,P195)=1,"",IF(A195&amp;B195&amp;C195="","","重复"))</f>
        <v/>
      </c>
    </row>
    <row r="196" spans="1:17" ht="19.5" customHeight="1">
      <c r="A196" s="38"/>
      <c r="B196" s="38"/>
      <c r="C196" s="38"/>
      <c r="D196" s="37"/>
      <c r="E196" s="37"/>
      <c r="F196" s="37"/>
      <c r="G196" s="37" t="str">
        <f>IF(F196="","",INDEX(站位样品信息!$B$3:INDEX(站位样品信息!$B:$B,COUNTA(站位样品信息!$B:$B)+1),MATCH($F196,站位样品信息!$A$3:INDEX(站位样品信息!$A:$A,COUNTA(站位样品信息!$A:$A)+1),),))</f>
        <v/>
      </c>
      <c r="H196" s="55" t="str">
        <f>IF(OR(A196&lt;&gt;"",B196&lt;&gt;"",C196&lt;&gt;""),IF($C196&lt;&gt;0,INDEX(生物种群!$A$3:INDEX(生物种群!$A:$A,COUNTA(生物种群!$A:$A)),MATCH($C196,生物种群!$F$3:INDEX(生物种群!$F:$F,COUNTA(生物种群!$F:$F)),),),IF($A196&lt;&gt;0,INDEX(生物种群!$A$3:INDEX(生物种群!$A:$A,COUNTA(生物种群!$A:$A)),MATCH($A196,生物种群!$C$3:INDEX(生物种群!$C:$C,COUNTA(生物种群!$C:$C)),),),INDEX(生物种群!$A$3:INDEX(生物种群!$A:$A,COUNTA(生物种群!$A:$A)),MATCH($B196,生物种群!$D$3:INDEX(生物种群!$D:$D,COUNTA(生物种群!$D:$D)),),))),"")</f>
        <v/>
      </c>
      <c r="I196" s="56" t="str">
        <f>IF(H196="","",INDEX(生物种群!$B$3:INDEX(生物种群!$B:$B,COUNTA(生物种群!$B:$B)),MATCH($H196,生物种群!$A$3:INDEX(生物种群!$A:$A,COUNTA(生物种群!$A:$A)),),))</f>
        <v/>
      </c>
      <c r="J196" s="55" t="str">
        <f>IF(H196="","",INDEX(生物种群!$I$3:INDEX(生物种群!$I:$I,COUNTA(生物种群!$I:$I)),MATCH($H196,生物种群!$A$3:INDEX(生物种群!$A:$A,COUNTA(生物种群!$A:$A)),),))</f>
        <v/>
      </c>
      <c r="K196" s="55" t="str">
        <f>IF(H196="","",INDEX(生物种群!$E$3:INDEX(生物种群!$E:$E,COUNTA(生物种群!$E:$E)),MATCH($H196,生物种群!$A$3:INDEX(生物种群!$A:$A,COUNTA(生物种群!$A:$A)),),))</f>
        <v/>
      </c>
      <c r="L196" s="46" t="str">
        <f t="shared" si="12"/>
        <v/>
      </c>
      <c r="M196" s="47" t="str">
        <f>IF(L196="","",ROUND((L196)/VLOOKUP($F196,IF({1,0},站位样品信息!$A$3:INDEX(站位样品信息!$A:$A,COUNTA(站位样品信息!$A:$A)+1),站位样品信息!$H$3:INDEX(站位样品信息!$H:$H,COUNTA(站位样品信息!$H:$H)+1)),2,0),2))</f>
        <v/>
      </c>
      <c r="O196" s="49"/>
      <c r="P196" s="53" t="str">
        <f t="shared" si="13"/>
        <v/>
      </c>
      <c r="Q196" s="53" t="str">
        <f t="shared" si="14"/>
        <v/>
      </c>
    </row>
    <row r="197" spans="1:17" ht="19.5" customHeight="1">
      <c r="A197" s="38"/>
      <c r="B197" s="38"/>
      <c r="C197" s="38"/>
      <c r="D197" s="37"/>
      <c r="E197" s="37"/>
      <c r="F197" s="37"/>
      <c r="G197" s="37" t="str">
        <f>IF(F197="","",INDEX(站位样品信息!$B$3:INDEX(站位样品信息!$B:$B,COUNTA(站位样品信息!$B:$B)+1),MATCH($F197,站位样品信息!$A$3:INDEX(站位样品信息!$A:$A,COUNTA(站位样品信息!$A:$A)+1),),))</f>
        <v/>
      </c>
      <c r="H197" s="55" t="str">
        <f>IF(OR(A197&lt;&gt;"",B197&lt;&gt;"",C197&lt;&gt;""),IF($C197&lt;&gt;0,INDEX(生物种群!$A$3:INDEX(生物种群!$A:$A,COUNTA(生物种群!$A:$A)),MATCH($C197,生物种群!$F$3:INDEX(生物种群!$F:$F,COUNTA(生物种群!$F:$F)),),),IF($A197&lt;&gt;0,INDEX(生物种群!$A$3:INDEX(生物种群!$A:$A,COUNTA(生物种群!$A:$A)),MATCH($A197,生物种群!$C$3:INDEX(生物种群!$C:$C,COUNTA(生物种群!$C:$C)),),),INDEX(生物种群!$A$3:INDEX(生物种群!$A:$A,COUNTA(生物种群!$A:$A)),MATCH($B197,生物种群!$D$3:INDEX(生物种群!$D:$D,COUNTA(生物种群!$D:$D)),),))),"")</f>
        <v/>
      </c>
      <c r="I197" s="56" t="str">
        <f>IF(H197="","",INDEX(生物种群!$B$3:INDEX(生物种群!$B:$B,COUNTA(生物种群!$B:$B)),MATCH($H197,生物种群!$A$3:INDEX(生物种群!$A:$A,COUNTA(生物种群!$A:$A)),),))</f>
        <v/>
      </c>
      <c r="J197" s="55" t="str">
        <f>IF(H197="","",INDEX(生物种群!$I$3:INDEX(生物种群!$I:$I,COUNTA(生物种群!$I:$I)),MATCH($H197,生物种群!$A$3:INDEX(生物种群!$A:$A,COUNTA(生物种群!$A:$A)),),))</f>
        <v/>
      </c>
      <c r="K197" s="55" t="str">
        <f>IF(H197="","",INDEX(生物种群!$E$3:INDEX(生物种群!$E:$E,COUNTA(生物种群!$E:$E)),MATCH($H197,生物种群!$A$3:INDEX(生物种群!$A:$A,COUNTA(生物种群!$A:$A)),),))</f>
        <v/>
      </c>
      <c r="L197" s="46" t="str">
        <f t="shared" si="12"/>
        <v/>
      </c>
      <c r="M197" s="47" t="str">
        <f>IF(L197="","",ROUND((L197)/VLOOKUP($F197,IF({1,0},站位样品信息!$A$3:INDEX(站位样品信息!$A:$A,COUNTA(站位样品信息!$A:$A)+1),站位样品信息!$H$3:INDEX(站位样品信息!$H:$H,COUNTA(站位样品信息!$H:$H)+1)),2,0),2))</f>
        <v/>
      </c>
      <c r="O197" s="49"/>
      <c r="P197" s="53" t="str">
        <f t="shared" si="13"/>
        <v/>
      </c>
      <c r="Q197" s="53" t="str">
        <f t="shared" si="14"/>
        <v/>
      </c>
    </row>
    <row r="198" spans="1:17" ht="19.5" customHeight="1">
      <c r="A198" s="38"/>
      <c r="B198" s="38"/>
      <c r="C198" s="38"/>
      <c r="D198" s="37"/>
      <c r="E198" s="37"/>
      <c r="F198" s="37"/>
      <c r="G198" s="37" t="str">
        <f>IF(F198="","",INDEX(站位样品信息!$B$3:INDEX(站位样品信息!$B:$B,COUNTA(站位样品信息!$B:$B)+1),MATCH($F198,站位样品信息!$A$3:INDEX(站位样品信息!$A:$A,COUNTA(站位样品信息!$A:$A)+1),),))</f>
        <v/>
      </c>
      <c r="H198" s="55" t="str">
        <f>IF(OR(A198&lt;&gt;"",B198&lt;&gt;"",C198&lt;&gt;""),IF($C198&lt;&gt;0,INDEX(生物种群!$A$3:INDEX(生物种群!$A:$A,COUNTA(生物种群!$A:$A)),MATCH($C198,生物种群!$F$3:INDEX(生物种群!$F:$F,COUNTA(生物种群!$F:$F)),),),IF($A198&lt;&gt;0,INDEX(生物种群!$A$3:INDEX(生物种群!$A:$A,COUNTA(生物种群!$A:$A)),MATCH($A198,生物种群!$C$3:INDEX(生物种群!$C:$C,COUNTA(生物种群!$C:$C)),),),INDEX(生物种群!$A$3:INDEX(生物种群!$A:$A,COUNTA(生物种群!$A:$A)),MATCH($B198,生物种群!$D$3:INDEX(生物种群!$D:$D,COUNTA(生物种群!$D:$D)),),))),"")</f>
        <v/>
      </c>
      <c r="I198" s="56" t="str">
        <f>IF(H198="","",INDEX(生物种群!$B$3:INDEX(生物种群!$B:$B,COUNTA(生物种群!$B:$B)),MATCH($H198,生物种群!$A$3:INDEX(生物种群!$A:$A,COUNTA(生物种群!$A:$A)),),))</f>
        <v/>
      </c>
      <c r="J198" s="55" t="str">
        <f>IF(H198="","",INDEX(生物种群!$I$3:INDEX(生物种群!$I:$I,COUNTA(生物种群!$I:$I)),MATCH($H198,生物种群!$A$3:INDEX(生物种群!$A:$A,COUNTA(生物种群!$A:$A)),),))</f>
        <v/>
      </c>
      <c r="K198" s="55" t="str">
        <f>IF(H198="","",INDEX(生物种群!$E$3:INDEX(生物种群!$E:$E,COUNTA(生物种群!$E:$E)),MATCH($H198,生物种群!$A$3:INDEX(生物种群!$A:$A,COUNTA(生物种群!$A:$A)),),))</f>
        <v/>
      </c>
      <c r="L198" s="46" t="str">
        <f t="shared" si="12"/>
        <v/>
      </c>
      <c r="M198" s="47" t="str">
        <f>IF(L198="","",ROUND((L198)/VLOOKUP($F198,IF({1,0},站位样品信息!$A$3:INDEX(站位样品信息!$A:$A,COUNTA(站位样品信息!$A:$A)+1),站位样品信息!$H$3:INDEX(站位样品信息!$H:$H,COUNTA(站位样品信息!$H:$H)+1)),2,0),2))</f>
        <v/>
      </c>
      <c r="O198" s="49"/>
      <c r="P198" s="53" t="str">
        <f t="shared" si="13"/>
        <v/>
      </c>
      <c r="Q198" s="53" t="str">
        <f t="shared" si="14"/>
        <v/>
      </c>
    </row>
    <row r="199" spans="1:17" ht="19.5" customHeight="1">
      <c r="A199" s="38"/>
      <c r="B199" s="38"/>
      <c r="C199" s="38"/>
      <c r="D199" s="37"/>
      <c r="E199" s="37"/>
      <c r="F199" s="37"/>
      <c r="G199" s="37" t="str">
        <f>IF(F199="","",INDEX(站位样品信息!$B$3:INDEX(站位样品信息!$B:$B,COUNTA(站位样品信息!$B:$B)+1),MATCH($F199,站位样品信息!$A$3:INDEX(站位样品信息!$A:$A,COUNTA(站位样品信息!$A:$A)+1),),))</f>
        <v/>
      </c>
      <c r="H199" s="55" t="str">
        <f>IF(OR(A199&lt;&gt;"",B199&lt;&gt;"",C199&lt;&gt;""),IF($C199&lt;&gt;0,INDEX(生物种群!$A$3:INDEX(生物种群!$A:$A,COUNTA(生物种群!$A:$A)),MATCH($C199,生物种群!$F$3:INDEX(生物种群!$F:$F,COUNTA(生物种群!$F:$F)),),),IF($A199&lt;&gt;0,INDEX(生物种群!$A$3:INDEX(生物种群!$A:$A,COUNTA(生物种群!$A:$A)),MATCH($A199,生物种群!$C$3:INDEX(生物种群!$C:$C,COUNTA(生物种群!$C:$C)),),),INDEX(生物种群!$A$3:INDEX(生物种群!$A:$A,COUNTA(生物种群!$A:$A)),MATCH($B199,生物种群!$D$3:INDEX(生物种群!$D:$D,COUNTA(生物种群!$D:$D)),),))),"")</f>
        <v/>
      </c>
      <c r="I199" s="56" t="str">
        <f>IF(H199="","",INDEX(生物种群!$B$3:INDEX(生物种群!$B:$B,COUNTA(生物种群!$B:$B)),MATCH($H199,生物种群!$A$3:INDEX(生物种群!$A:$A,COUNTA(生物种群!$A:$A)),),))</f>
        <v/>
      </c>
      <c r="J199" s="55" t="str">
        <f>IF(H199="","",INDEX(生物种群!$I$3:INDEX(生物种群!$I:$I,COUNTA(生物种群!$I:$I)),MATCH($H199,生物种群!$A$3:INDEX(生物种群!$A:$A,COUNTA(生物种群!$A:$A)),),))</f>
        <v/>
      </c>
      <c r="K199" s="55" t="str">
        <f>IF(H199="","",INDEX(生物种群!$E$3:INDEX(生物种群!$E:$E,COUNTA(生物种群!$E:$E)),MATCH($H199,生物种群!$A$3:INDEX(生物种群!$A:$A,COUNTA(生物种群!$A:$A)),),))</f>
        <v/>
      </c>
      <c r="L199" s="46" t="str">
        <f t="shared" si="12"/>
        <v/>
      </c>
      <c r="M199" s="47" t="str">
        <f>IF(L199="","",ROUND((L199)/VLOOKUP($F199,IF({1,0},站位样品信息!$A$3:INDEX(站位样品信息!$A:$A,COUNTA(站位样品信息!$A:$A)+1),站位样品信息!$H$3:INDEX(站位样品信息!$H:$H,COUNTA(站位样品信息!$H:$H)+1)),2,0),2))</f>
        <v/>
      </c>
      <c r="O199" s="49"/>
      <c r="P199" s="53" t="str">
        <f t="shared" si="13"/>
        <v/>
      </c>
      <c r="Q199" s="53" t="str">
        <f t="shared" si="14"/>
        <v/>
      </c>
    </row>
    <row r="200" spans="1:17" ht="19.5" customHeight="1">
      <c r="A200" s="38"/>
      <c r="B200" s="38"/>
      <c r="C200" s="38"/>
      <c r="D200" s="37"/>
      <c r="E200" s="37"/>
      <c r="F200" s="37"/>
      <c r="G200" s="37" t="str">
        <f>IF(F200="","",INDEX(站位样品信息!$B$3:INDEX(站位样品信息!$B:$B,COUNTA(站位样品信息!$B:$B)+1),MATCH($F200,站位样品信息!$A$3:INDEX(站位样品信息!$A:$A,COUNTA(站位样品信息!$A:$A)+1),),))</f>
        <v/>
      </c>
      <c r="H200" s="55" t="str">
        <f>IF(OR(A200&lt;&gt;"",B200&lt;&gt;"",C200&lt;&gt;""),IF($C200&lt;&gt;0,INDEX(生物种群!$A$3:INDEX(生物种群!$A:$A,COUNTA(生物种群!$A:$A)),MATCH($C200,生物种群!$F$3:INDEX(生物种群!$F:$F,COUNTA(生物种群!$F:$F)),),),IF($A200&lt;&gt;0,INDEX(生物种群!$A$3:INDEX(生物种群!$A:$A,COUNTA(生物种群!$A:$A)),MATCH($A200,生物种群!$C$3:INDEX(生物种群!$C:$C,COUNTA(生物种群!$C:$C)),),),INDEX(生物种群!$A$3:INDEX(生物种群!$A:$A,COUNTA(生物种群!$A:$A)),MATCH($B200,生物种群!$D$3:INDEX(生物种群!$D:$D,COUNTA(生物种群!$D:$D)),),))),"")</f>
        <v/>
      </c>
      <c r="I200" s="56" t="str">
        <f>IF(H200="","",INDEX(生物种群!$B$3:INDEX(生物种群!$B:$B,COUNTA(生物种群!$B:$B)),MATCH($H200,生物种群!$A$3:INDEX(生物种群!$A:$A,COUNTA(生物种群!$A:$A)),),))</f>
        <v/>
      </c>
      <c r="J200" s="55" t="str">
        <f>IF(H200="","",INDEX(生物种群!$I$3:INDEX(生物种群!$I:$I,COUNTA(生物种群!$I:$I)),MATCH($H200,生物种群!$A$3:INDEX(生物种群!$A:$A,COUNTA(生物种群!$A:$A)),),))</f>
        <v/>
      </c>
      <c r="K200" s="55" t="str">
        <f>IF(H200="","",INDEX(生物种群!$E$3:INDEX(生物种群!$E:$E,COUNTA(生物种群!$E:$E)),MATCH($H200,生物种群!$A$3:INDEX(生物种群!$A:$A,COUNTA(生物种群!$A:$A)),),))</f>
        <v/>
      </c>
      <c r="L200" s="46" t="str">
        <f t="shared" si="12"/>
        <v/>
      </c>
      <c r="M200" s="47" t="str">
        <f>IF(L200="","",ROUND((L200)/VLOOKUP($F200,IF({1,0},站位样品信息!$A$3:INDEX(站位样品信息!$A:$A,COUNTA(站位样品信息!$A:$A)+1),站位样品信息!$H$3:INDEX(站位样品信息!$H:$H,COUNTA(站位样品信息!$H:$H)+1)),2,0),2))</f>
        <v/>
      </c>
      <c r="O200" s="49"/>
      <c r="P200" s="53" t="str">
        <f t="shared" si="13"/>
        <v/>
      </c>
      <c r="Q200" s="53" t="str">
        <f t="shared" si="14"/>
        <v/>
      </c>
    </row>
    <row r="201" spans="1:17" ht="19.5" customHeight="1">
      <c r="A201" s="38"/>
      <c r="B201" s="38"/>
      <c r="C201" s="38"/>
      <c r="D201" s="37"/>
      <c r="E201" s="37"/>
      <c r="F201" s="37"/>
      <c r="G201" s="37" t="str">
        <f>IF(F201="","",INDEX(站位样品信息!$B$3:INDEX(站位样品信息!$B:$B,COUNTA(站位样品信息!$B:$B)+1),MATCH($F201,站位样品信息!$A$3:INDEX(站位样品信息!$A:$A,COUNTA(站位样品信息!$A:$A)+1),),))</f>
        <v/>
      </c>
      <c r="H201" s="55" t="str">
        <f>IF(OR(A201&lt;&gt;"",B201&lt;&gt;"",C201&lt;&gt;""),IF($C201&lt;&gt;0,INDEX(生物种群!$A$3:INDEX(生物种群!$A:$A,COUNTA(生物种群!$A:$A)),MATCH($C201,生物种群!$F$3:INDEX(生物种群!$F:$F,COUNTA(生物种群!$F:$F)),),),IF($A201&lt;&gt;0,INDEX(生物种群!$A$3:INDEX(生物种群!$A:$A,COUNTA(生物种群!$A:$A)),MATCH($A201,生物种群!$C$3:INDEX(生物种群!$C:$C,COUNTA(生物种群!$C:$C)),),),INDEX(生物种群!$A$3:INDEX(生物种群!$A:$A,COUNTA(生物种群!$A:$A)),MATCH($B201,生物种群!$D$3:INDEX(生物种群!$D:$D,COUNTA(生物种群!$D:$D)),),))),"")</f>
        <v/>
      </c>
      <c r="I201" s="56" t="str">
        <f>IF(H201="","",INDEX(生物种群!$B$3:INDEX(生物种群!$B:$B,COUNTA(生物种群!$B:$B)),MATCH($H201,生物种群!$A$3:INDEX(生物种群!$A:$A,COUNTA(生物种群!$A:$A)),),))</f>
        <v/>
      </c>
      <c r="J201" s="55" t="str">
        <f>IF(H201="","",INDEX(生物种群!$I$3:INDEX(生物种群!$I:$I,COUNTA(生物种群!$I:$I)),MATCH($H201,生物种群!$A$3:INDEX(生物种群!$A:$A,COUNTA(生物种群!$A:$A)),),))</f>
        <v/>
      </c>
      <c r="K201" s="55" t="str">
        <f>IF(H201="","",INDEX(生物种群!$E$3:INDEX(生物种群!$E:$E,COUNTA(生物种群!$E:$E)),MATCH($H201,生物种群!$A$3:INDEX(生物种群!$A:$A,COUNTA(生物种群!$A:$A)),),))</f>
        <v/>
      </c>
      <c r="L201" s="46" t="str">
        <f t="shared" si="12"/>
        <v/>
      </c>
      <c r="M201" s="47" t="str">
        <f>IF(L201="","",ROUND((L201)/VLOOKUP($F201,IF({1,0},站位样品信息!$A$3:INDEX(站位样品信息!$A:$A,COUNTA(站位样品信息!$A:$A)+1),站位样品信息!$H$3:INDEX(站位样品信息!$H:$H,COUNTA(站位样品信息!$H:$H)+1)),2,0),2))</f>
        <v/>
      </c>
      <c r="O201" s="49"/>
      <c r="P201" s="53" t="str">
        <f t="shared" si="13"/>
        <v/>
      </c>
      <c r="Q201" s="53" t="str">
        <f t="shared" si="14"/>
        <v/>
      </c>
    </row>
    <row r="202" spans="1:17" ht="19.5" customHeight="1">
      <c r="A202" s="38"/>
      <c r="B202" s="38"/>
      <c r="C202" s="38"/>
      <c r="D202" s="37"/>
      <c r="E202" s="37"/>
      <c r="F202" s="37"/>
      <c r="G202" s="37" t="str">
        <f>IF(F202="","",INDEX(站位样品信息!$B$3:INDEX(站位样品信息!$B:$B,COUNTA(站位样品信息!$B:$B)+1),MATCH($F202,站位样品信息!$A$3:INDEX(站位样品信息!$A:$A,COUNTA(站位样品信息!$A:$A)+1),),))</f>
        <v/>
      </c>
      <c r="H202" s="55" t="str">
        <f>IF(OR(A202&lt;&gt;"",B202&lt;&gt;"",C202&lt;&gt;""),IF($C202&lt;&gt;0,INDEX(生物种群!$A$3:INDEX(生物种群!$A:$A,COUNTA(生物种群!$A:$A)),MATCH($C202,生物种群!$F$3:INDEX(生物种群!$F:$F,COUNTA(生物种群!$F:$F)),),),IF($A202&lt;&gt;0,INDEX(生物种群!$A$3:INDEX(生物种群!$A:$A,COUNTA(生物种群!$A:$A)),MATCH($A202,生物种群!$C$3:INDEX(生物种群!$C:$C,COUNTA(生物种群!$C:$C)),),),INDEX(生物种群!$A$3:INDEX(生物种群!$A:$A,COUNTA(生物种群!$A:$A)),MATCH($B202,生物种群!$D$3:INDEX(生物种群!$D:$D,COUNTA(生物种群!$D:$D)),),))),"")</f>
        <v/>
      </c>
      <c r="I202" s="56" t="str">
        <f>IF(H202="","",INDEX(生物种群!$B$3:INDEX(生物种群!$B:$B,COUNTA(生物种群!$B:$B)),MATCH($H202,生物种群!$A$3:INDEX(生物种群!$A:$A,COUNTA(生物种群!$A:$A)),),))</f>
        <v/>
      </c>
      <c r="J202" s="55" t="str">
        <f>IF(H202="","",INDEX(生物种群!$I$3:INDEX(生物种群!$I:$I,COUNTA(生物种群!$I:$I)),MATCH($H202,生物种群!$A$3:INDEX(生物种群!$A:$A,COUNTA(生物种群!$A:$A)),),))</f>
        <v/>
      </c>
      <c r="K202" s="55" t="str">
        <f>IF(H202="","",INDEX(生物种群!$E$3:INDEX(生物种群!$E:$E,COUNTA(生物种群!$E:$E)),MATCH($H202,生物种群!$A$3:INDEX(生物种群!$A:$A,COUNTA(生物种群!$A:$A)),),))</f>
        <v/>
      </c>
      <c r="L202" s="46" t="str">
        <f t="shared" si="12"/>
        <v/>
      </c>
      <c r="M202" s="47" t="str">
        <f>IF(L202="","",ROUND((L202)/VLOOKUP($F202,IF({1,0},站位样品信息!$A$3:INDEX(站位样品信息!$A:$A,COUNTA(站位样品信息!$A:$A)+1),站位样品信息!$H$3:INDEX(站位样品信息!$H:$H,COUNTA(站位样品信息!$H:$H)+1)),2,0),2))</f>
        <v/>
      </c>
      <c r="O202" s="49"/>
      <c r="P202" s="53" t="str">
        <f t="shared" si="13"/>
        <v/>
      </c>
      <c r="Q202" s="53" t="str">
        <f t="shared" si="14"/>
        <v/>
      </c>
    </row>
    <row r="203" spans="1:17" ht="19.5" customHeight="1">
      <c r="A203" s="38"/>
      <c r="B203" s="38"/>
      <c r="C203" s="38"/>
      <c r="D203" s="37"/>
      <c r="E203" s="37"/>
      <c r="F203" s="37"/>
      <c r="G203" s="37" t="str">
        <f>IF(F203="","",INDEX(站位样品信息!$B$3:INDEX(站位样品信息!$B:$B,COUNTA(站位样品信息!$B:$B)+1),MATCH($F203,站位样品信息!$A$3:INDEX(站位样品信息!$A:$A,COUNTA(站位样品信息!$A:$A)+1),),))</f>
        <v/>
      </c>
      <c r="H203" s="55" t="str">
        <f>IF(OR(A203&lt;&gt;"",B203&lt;&gt;"",C203&lt;&gt;""),IF($C203&lt;&gt;0,INDEX(生物种群!$A$3:INDEX(生物种群!$A:$A,COUNTA(生物种群!$A:$A)),MATCH($C203,生物种群!$F$3:INDEX(生物种群!$F:$F,COUNTA(生物种群!$F:$F)),),),IF($A203&lt;&gt;0,INDEX(生物种群!$A$3:INDEX(生物种群!$A:$A,COUNTA(生物种群!$A:$A)),MATCH($A203,生物种群!$C$3:INDEX(生物种群!$C:$C,COUNTA(生物种群!$C:$C)),),),INDEX(生物种群!$A$3:INDEX(生物种群!$A:$A,COUNTA(生物种群!$A:$A)),MATCH($B203,生物种群!$D$3:INDEX(生物种群!$D:$D,COUNTA(生物种群!$D:$D)),),))),"")</f>
        <v/>
      </c>
      <c r="I203" s="56" t="str">
        <f>IF(H203="","",INDEX(生物种群!$B$3:INDEX(生物种群!$B:$B,COUNTA(生物种群!$B:$B)),MATCH($H203,生物种群!$A$3:INDEX(生物种群!$A:$A,COUNTA(生物种群!$A:$A)),),))</f>
        <v/>
      </c>
      <c r="J203" s="55" t="str">
        <f>IF(H203="","",INDEX(生物种群!$I$3:INDEX(生物种群!$I:$I,COUNTA(生物种群!$I:$I)),MATCH($H203,生物种群!$A$3:INDEX(生物种群!$A:$A,COUNTA(生物种群!$A:$A)),),))</f>
        <v/>
      </c>
      <c r="K203" s="55" t="str">
        <f>IF(H203="","",INDEX(生物种群!$E$3:INDEX(生物种群!$E:$E,COUNTA(生物种群!$E:$E)),MATCH($H203,生物种群!$A$3:INDEX(生物种群!$A:$A,COUNTA(生物种群!$A:$A)),),))</f>
        <v/>
      </c>
      <c r="L203" s="46" t="str">
        <f t="shared" si="12"/>
        <v/>
      </c>
      <c r="M203" s="47" t="str">
        <f>IF(L203="","",ROUND((L203)/VLOOKUP($F203,IF({1,0},站位样品信息!$A$3:INDEX(站位样品信息!$A:$A,COUNTA(站位样品信息!$A:$A)+1),站位样品信息!$H$3:INDEX(站位样品信息!$H:$H,COUNTA(站位样品信息!$H:$H)+1)),2,0),2))</f>
        <v/>
      </c>
      <c r="O203" s="49"/>
      <c r="P203" s="53" t="str">
        <f t="shared" si="13"/>
        <v/>
      </c>
      <c r="Q203" s="53" t="str">
        <f t="shared" si="14"/>
        <v/>
      </c>
    </row>
    <row r="204" spans="1:17" ht="19.5" customHeight="1">
      <c r="A204" s="38"/>
      <c r="B204" s="38"/>
      <c r="C204" s="38"/>
      <c r="D204" s="37"/>
      <c r="E204" s="37"/>
      <c r="F204" s="37"/>
      <c r="G204" s="37" t="str">
        <f>IF(F204="","",INDEX(站位样品信息!$B$3:INDEX(站位样品信息!$B:$B,COUNTA(站位样品信息!$B:$B)+1),MATCH($F204,站位样品信息!$A$3:INDEX(站位样品信息!$A:$A,COUNTA(站位样品信息!$A:$A)+1),),))</f>
        <v/>
      </c>
      <c r="H204" s="55" t="str">
        <f>IF(OR(A204&lt;&gt;"",B204&lt;&gt;"",C204&lt;&gt;""),IF($C204&lt;&gt;0,INDEX(生物种群!$A$3:INDEX(生物种群!$A:$A,COUNTA(生物种群!$A:$A)),MATCH($C204,生物种群!$F$3:INDEX(生物种群!$F:$F,COUNTA(生物种群!$F:$F)),),),IF($A204&lt;&gt;0,INDEX(生物种群!$A$3:INDEX(生物种群!$A:$A,COUNTA(生物种群!$A:$A)),MATCH($A204,生物种群!$C$3:INDEX(生物种群!$C:$C,COUNTA(生物种群!$C:$C)),),),INDEX(生物种群!$A$3:INDEX(生物种群!$A:$A,COUNTA(生物种群!$A:$A)),MATCH($B204,生物种群!$D$3:INDEX(生物种群!$D:$D,COUNTA(生物种群!$D:$D)),),))),"")</f>
        <v/>
      </c>
      <c r="I204" s="56" t="str">
        <f>IF(H204="","",INDEX(生物种群!$B$3:INDEX(生物种群!$B:$B,COUNTA(生物种群!$B:$B)),MATCH($H204,生物种群!$A$3:INDEX(生物种群!$A:$A,COUNTA(生物种群!$A:$A)),),))</f>
        <v/>
      </c>
      <c r="J204" s="55" t="str">
        <f>IF(H204="","",INDEX(生物种群!$I$3:INDEX(生物种群!$I:$I,COUNTA(生物种群!$I:$I)),MATCH($H204,生物种群!$A$3:INDEX(生物种群!$A:$A,COUNTA(生物种群!$A:$A)),),))</f>
        <v/>
      </c>
      <c r="K204" s="55" t="str">
        <f>IF(H204="","",INDEX(生物种群!$E$3:INDEX(生物种群!$E:$E,COUNTA(生物种群!$E:$E)),MATCH($H204,生物种群!$A$3:INDEX(生物种群!$A:$A,COUNTA(生物种群!$A:$A)),),))</f>
        <v/>
      </c>
      <c r="L204" s="46" t="str">
        <f t="shared" si="12"/>
        <v/>
      </c>
      <c r="M204" s="47" t="str">
        <f>IF(L204="","",ROUND((L204)/VLOOKUP($F204,IF({1,0},站位样品信息!$A$3:INDEX(站位样品信息!$A:$A,COUNTA(站位样品信息!$A:$A)+1),站位样品信息!$H$3:INDEX(站位样品信息!$H:$H,COUNTA(站位样品信息!$H:$H)+1)),2,0),2))</f>
        <v/>
      </c>
      <c r="O204" s="49"/>
      <c r="P204" s="53" t="str">
        <f t="shared" si="13"/>
        <v/>
      </c>
      <c r="Q204" s="53" t="str">
        <f t="shared" si="14"/>
        <v/>
      </c>
    </row>
    <row r="205" spans="1:17" ht="19.5" customHeight="1">
      <c r="A205" s="38"/>
      <c r="B205" s="38"/>
      <c r="C205" s="38"/>
      <c r="D205" s="37"/>
      <c r="E205" s="37"/>
      <c r="F205" s="37"/>
      <c r="G205" s="37" t="str">
        <f>IF(F205="","",INDEX(站位样品信息!$B$3:INDEX(站位样品信息!$B:$B,COUNTA(站位样品信息!$B:$B)+1),MATCH($F205,站位样品信息!$A$3:INDEX(站位样品信息!$A:$A,COUNTA(站位样品信息!$A:$A)+1),),))</f>
        <v/>
      </c>
      <c r="H205" s="55" t="str">
        <f>IF(OR(A205&lt;&gt;"",B205&lt;&gt;"",C205&lt;&gt;""),IF($C205&lt;&gt;0,INDEX(生物种群!$A$3:INDEX(生物种群!$A:$A,COUNTA(生物种群!$A:$A)),MATCH($C205,生物种群!$F$3:INDEX(生物种群!$F:$F,COUNTA(生物种群!$F:$F)),),),IF($A205&lt;&gt;0,INDEX(生物种群!$A$3:INDEX(生物种群!$A:$A,COUNTA(生物种群!$A:$A)),MATCH($A205,生物种群!$C$3:INDEX(生物种群!$C:$C,COUNTA(生物种群!$C:$C)),),),INDEX(生物种群!$A$3:INDEX(生物种群!$A:$A,COUNTA(生物种群!$A:$A)),MATCH($B205,生物种群!$D$3:INDEX(生物种群!$D:$D,COUNTA(生物种群!$D:$D)),),))),"")</f>
        <v/>
      </c>
      <c r="I205" s="56" t="str">
        <f>IF(H205="","",INDEX(生物种群!$B$3:INDEX(生物种群!$B:$B,COUNTA(生物种群!$B:$B)),MATCH($H205,生物种群!$A$3:INDEX(生物种群!$A:$A,COUNTA(生物种群!$A:$A)),),))</f>
        <v/>
      </c>
      <c r="J205" s="55" t="str">
        <f>IF(H205="","",INDEX(生物种群!$I$3:INDEX(生物种群!$I:$I,COUNTA(生物种群!$I:$I)),MATCH($H205,生物种群!$A$3:INDEX(生物种群!$A:$A,COUNTA(生物种群!$A:$A)),),))</f>
        <v/>
      </c>
      <c r="K205" s="55" t="str">
        <f>IF(H205="","",INDEX(生物种群!$E$3:INDEX(生物种群!$E:$E,COUNTA(生物种群!$E:$E)),MATCH($H205,生物种群!$A$3:INDEX(生物种群!$A:$A,COUNTA(生物种群!$A:$A)),),))</f>
        <v/>
      </c>
      <c r="L205" s="46" t="str">
        <f t="shared" si="15" ref="L205:L268">IFERROR(IF(OR(D205="",E205=""),"",D205/E205*100),"")</f>
        <v/>
      </c>
      <c r="M205" s="47" t="str">
        <f>IF(L205="","",ROUND((L205)/VLOOKUP($F205,IF({1,0},站位样品信息!$A$3:INDEX(站位样品信息!$A:$A,COUNTA(站位样品信息!$A:$A)+1),站位样品信息!$H$3:INDEX(站位样品信息!$H:$H,COUNTA(站位样品信息!$H:$H)+1)),2,0),2))</f>
        <v/>
      </c>
      <c r="O205" s="49"/>
      <c r="P205" s="53" t="str">
        <f t="shared" si="13"/>
        <v/>
      </c>
      <c r="Q205" s="53" t="str">
        <f t="shared" si="14"/>
        <v/>
      </c>
    </row>
    <row r="206" spans="1:17" ht="19.5" customHeight="1">
      <c r="A206" s="38"/>
      <c r="B206" s="38"/>
      <c r="C206" s="38"/>
      <c r="D206" s="37"/>
      <c r="E206" s="37"/>
      <c r="F206" s="37"/>
      <c r="G206" s="37" t="str">
        <f>IF(F206="","",INDEX(站位样品信息!$B$3:INDEX(站位样品信息!$B:$B,COUNTA(站位样品信息!$B:$B)+1),MATCH($F206,站位样品信息!$A$3:INDEX(站位样品信息!$A:$A,COUNTA(站位样品信息!$A:$A)+1),),))</f>
        <v/>
      </c>
      <c r="H206" s="55" t="str">
        <f>IF(OR(A206&lt;&gt;"",B206&lt;&gt;"",C206&lt;&gt;""),IF($C206&lt;&gt;0,INDEX(生物种群!$A$3:INDEX(生物种群!$A:$A,COUNTA(生物种群!$A:$A)),MATCH($C206,生物种群!$F$3:INDEX(生物种群!$F:$F,COUNTA(生物种群!$F:$F)),),),IF($A206&lt;&gt;0,INDEX(生物种群!$A$3:INDEX(生物种群!$A:$A,COUNTA(生物种群!$A:$A)),MATCH($A206,生物种群!$C$3:INDEX(生物种群!$C:$C,COUNTA(生物种群!$C:$C)),),),INDEX(生物种群!$A$3:INDEX(生物种群!$A:$A,COUNTA(生物种群!$A:$A)),MATCH($B206,生物种群!$D$3:INDEX(生物种群!$D:$D,COUNTA(生物种群!$D:$D)),),))),"")</f>
        <v/>
      </c>
      <c r="I206" s="56" t="str">
        <f>IF(H206="","",INDEX(生物种群!$B$3:INDEX(生物种群!$B:$B,COUNTA(生物种群!$B:$B)),MATCH($H206,生物种群!$A$3:INDEX(生物种群!$A:$A,COUNTA(生物种群!$A:$A)),),))</f>
        <v/>
      </c>
      <c r="J206" s="55" t="str">
        <f>IF(H206="","",INDEX(生物种群!$I$3:INDEX(生物种群!$I:$I,COUNTA(生物种群!$I:$I)),MATCH($H206,生物种群!$A$3:INDEX(生物种群!$A:$A,COUNTA(生物种群!$A:$A)),),))</f>
        <v/>
      </c>
      <c r="K206" s="55" t="str">
        <f>IF(H206="","",INDEX(生物种群!$E$3:INDEX(生物种群!$E:$E,COUNTA(生物种群!$E:$E)),MATCH($H206,生物种群!$A$3:INDEX(生物种群!$A:$A,COUNTA(生物种群!$A:$A)),),))</f>
        <v/>
      </c>
      <c r="L206" s="46" t="str">
        <f t="shared" si="15"/>
        <v/>
      </c>
      <c r="M206" s="47" t="str">
        <f>IF(L206="","",ROUND((L206)/VLOOKUP($F206,IF({1,0},站位样品信息!$A$3:INDEX(站位样品信息!$A:$A,COUNTA(站位样品信息!$A:$A)+1),站位样品信息!$H$3:INDEX(站位样品信息!$H:$H,COUNTA(站位样品信息!$H:$H)+1)),2,0),2))</f>
        <v/>
      </c>
      <c r="O206" s="49"/>
      <c r="P206" s="53" t="str">
        <f t="shared" si="13"/>
        <v/>
      </c>
      <c r="Q206" s="53" t="str">
        <f t="shared" si="14"/>
        <v/>
      </c>
    </row>
    <row r="207" spans="1:17" ht="19.5" customHeight="1">
      <c r="A207" s="38"/>
      <c r="B207" s="38"/>
      <c r="C207" s="38"/>
      <c r="D207" s="37"/>
      <c r="E207" s="37"/>
      <c r="F207" s="37"/>
      <c r="G207" s="37" t="str">
        <f>IF(F207="","",INDEX(站位样品信息!$B$3:INDEX(站位样品信息!$B:$B,COUNTA(站位样品信息!$B:$B)+1),MATCH($F207,站位样品信息!$A$3:INDEX(站位样品信息!$A:$A,COUNTA(站位样品信息!$A:$A)+1),),))</f>
        <v/>
      </c>
      <c r="H207" s="55" t="str">
        <f>IF(OR(A207&lt;&gt;"",B207&lt;&gt;"",C207&lt;&gt;""),IF($C207&lt;&gt;0,INDEX(生物种群!$A$3:INDEX(生物种群!$A:$A,COUNTA(生物种群!$A:$A)),MATCH($C207,生物种群!$F$3:INDEX(生物种群!$F:$F,COUNTA(生物种群!$F:$F)),),),IF($A207&lt;&gt;0,INDEX(生物种群!$A$3:INDEX(生物种群!$A:$A,COUNTA(生物种群!$A:$A)),MATCH($A207,生物种群!$C$3:INDEX(生物种群!$C:$C,COUNTA(生物种群!$C:$C)),),),INDEX(生物种群!$A$3:INDEX(生物种群!$A:$A,COUNTA(生物种群!$A:$A)),MATCH($B207,生物种群!$D$3:INDEX(生物种群!$D:$D,COUNTA(生物种群!$D:$D)),),))),"")</f>
        <v/>
      </c>
      <c r="I207" s="56" t="str">
        <f>IF(H207="","",INDEX(生物种群!$B$3:INDEX(生物种群!$B:$B,COUNTA(生物种群!$B:$B)),MATCH($H207,生物种群!$A$3:INDEX(生物种群!$A:$A,COUNTA(生物种群!$A:$A)),),))</f>
        <v/>
      </c>
      <c r="J207" s="55" t="str">
        <f>IF(H207="","",INDEX(生物种群!$I$3:INDEX(生物种群!$I:$I,COUNTA(生物种群!$I:$I)),MATCH($H207,生物种群!$A$3:INDEX(生物种群!$A:$A,COUNTA(生物种群!$A:$A)),),))</f>
        <v/>
      </c>
      <c r="K207" s="55" t="str">
        <f>IF(H207="","",INDEX(生物种群!$E$3:INDEX(生物种群!$E:$E,COUNTA(生物种群!$E:$E)),MATCH($H207,生物种群!$A$3:INDEX(生物种群!$A:$A,COUNTA(生物种群!$A:$A)),),))</f>
        <v/>
      </c>
      <c r="L207" s="46" t="str">
        <f t="shared" si="15"/>
        <v/>
      </c>
      <c r="M207" s="47" t="str">
        <f>IF(L207="","",ROUND((L207)/VLOOKUP($F207,IF({1,0},站位样品信息!$A$3:INDEX(站位样品信息!$A:$A,COUNTA(站位样品信息!$A:$A)+1),站位样品信息!$H$3:INDEX(站位样品信息!$H:$H,COUNTA(站位样品信息!$H:$H)+1)),2,0),2))</f>
        <v/>
      </c>
      <c r="O207" s="49"/>
      <c r="P207" s="53" t="str">
        <f t="shared" si="13"/>
        <v/>
      </c>
      <c r="Q207" s="53" t="str">
        <f t="shared" si="14"/>
        <v/>
      </c>
    </row>
    <row r="208" spans="1:17" ht="19.5" customHeight="1">
      <c r="A208" s="38"/>
      <c r="B208" s="38"/>
      <c r="C208" s="38"/>
      <c r="D208" s="37"/>
      <c r="E208" s="37"/>
      <c r="F208" s="37"/>
      <c r="G208" s="37" t="str">
        <f>IF(F208="","",INDEX(站位样品信息!$B$3:INDEX(站位样品信息!$B:$B,COUNTA(站位样品信息!$B:$B)+1),MATCH($F208,站位样品信息!$A$3:INDEX(站位样品信息!$A:$A,COUNTA(站位样品信息!$A:$A)+1),),))</f>
        <v/>
      </c>
      <c r="H208" s="55" t="str">
        <f>IF(OR(A208&lt;&gt;"",B208&lt;&gt;"",C208&lt;&gt;""),IF($C208&lt;&gt;0,INDEX(生物种群!$A$3:INDEX(生物种群!$A:$A,COUNTA(生物种群!$A:$A)),MATCH($C208,生物种群!$F$3:INDEX(生物种群!$F:$F,COUNTA(生物种群!$F:$F)),),),IF($A208&lt;&gt;0,INDEX(生物种群!$A$3:INDEX(生物种群!$A:$A,COUNTA(生物种群!$A:$A)),MATCH($A208,生物种群!$C$3:INDEX(生物种群!$C:$C,COUNTA(生物种群!$C:$C)),),),INDEX(生物种群!$A$3:INDEX(生物种群!$A:$A,COUNTA(生物种群!$A:$A)),MATCH($B208,生物种群!$D$3:INDEX(生物种群!$D:$D,COUNTA(生物种群!$D:$D)),),))),"")</f>
        <v/>
      </c>
      <c r="I208" s="56" t="str">
        <f>IF(H208="","",INDEX(生物种群!$B$3:INDEX(生物种群!$B:$B,COUNTA(生物种群!$B:$B)),MATCH($H208,生物种群!$A$3:INDEX(生物种群!$A:$A,COUNTA(生物种群!$A:$A)),),))</f>
        <v/>
      </c>
      <c r="J208" s="55" t="str">
        <f>IF(H208="","",INDEX(生物种群!$I$3:INDEX(生物种群!$I:$I,COUNTA(生物种群!$I:$I)),MATCH($H208,生物种群!$A$3:INDEX(生物种群!$A:$A,COUNTA(生物种群!$A:$A)),),))</f>
        <v/>
      </c>
      <c r="K208" s="55" t="str">
        <f>IF(H208="","",INDEX(生物种群!$E$3:INDEX(生物种群!$E:$E,COUNTA(生物种群!$E:$E)),MATCH($H208,生物种群!$A$3:INDEX(生物种群!$A:$A,COUNTA(生物种群!$A:$A)),),))</f>
        <v/>
      </c>
      <c r="L208" s="46" t="str">
        <f t="shared" si="15"/>
        <v/>
      </c>
      <c r="M208" s="47" t="str">
        <f>IF(L208="","",ROUND((L208)/VLOOKUP($F208,IF({1,0},站位样品信息!$A$3:INDEX(站位样品信息!$A:$A,COUNTA(站位样品信息!$A:$A)+1),站位样品信息!$H$3:INDEX(站位样品信息!$H:$H,COUNTA(站位样品信息!$H:$H)+1)),2,0),2))</f>
        <v/>
      </c>
      <c r="O208" s="49"/>
      <c r="P208" s="53" t="str">
        <f t="shared" si="13"/>
        <v/>
      </c>
      <c r="Q208" s="53" t="str">
        <f t="shared" si="14"/>
        <v/>
      </c>
    </row>
    <row r="209" spans="1:17" ht="19.5" customHeight="1">
      <c r="A209" s="38"/>
      <c r="B209" s="38"/>
      <c r="C209" s="38"/>
      <c r="D209" s="37"/>
      <c r="E209" s="37"/>
      <c r="F209" s="37"/>
      <c r="G209" s="37" t="str">
        <f>IF(F209="","",INDEX(站位样品信息!$B$3:INDEX(站位样品信息!$B:$B,COUNTA(站位样品信息!$B:$B)+1),MATCH($F209,站位样品信息!$A$3:INDEX(站位样品信息!$A:$A,COUNTA(站位样品信息!$A:$A)+1),),))</f>
        <v/>
      </c>
      <c r="H209" s="55" t="str">
        <f>IF(OR(A209&lt;&gt;"",B209&lt;&gt;"",C209&lt;&gt;""),IF($C209&lt;&gt;0,INDEX(生物种群!$A$3:INDEX(生物种群!$A:$A,COUNTA(生物种群!$A:$A)),MATCH($C209,生物种群!$F$3:INDEX(生物种群!$F:$F,COUNTA(生物种群!$F:$F)),),),IF($A209&lt;&gt;0,INDEX(生物种群!$A$3:INDEX(生物种群!$A:$A,COUNTA(生物种群!$A:$A)),MATCH($A209,生物种群!$C$3:INDEX(生物种群!$C:$C,COUNTA(生物种群!$C:$C)),),),INDEX(生物种群!$A$3:INDEX(生物种群!$A:$A,COUNTA(生物种群!$A:$A)),MATCH($B209,生物种群!$D$3:INDEX(生物种群!$D:$D,COUNTA(生物种群!$D:$D)),),))),"")</f>
        <v/>
      </c>
      <c r="I209" s="56" t="str">
        <f>IF(H209="","",INDEX(生物种群!$B$3:INDEX(生物种群!$B:$B,COUNTA(生物种群!$B:$B)),MATCH($H209,生物种群!$A$3:INDEX(生物种群!$A:$A,COUNTA(生物种群!$A:$A)),),))</f>
        <v/>
      </c>
      <c r="J209" s="55" t="str">
        <f>IF(H209="","",INDEX(生物种群!$I$3:INDEX(生物种群!$I:$I,COUNTA(生物种群!$I:$I)),MATCH($H209,生物种群!$A$3:INDEX(生物种群!$A:$A,COUNTA(生物种群!$A:$A)),),))</f>
        <v/>
      </c>
      <c r="K209" s="55" t="str">
        <f>IF(H209="","",INDEX(生物种群!$E$3:INDEX(生物种群!$E:$E,COUNTA(生物种群!$E:$E)),MATCH($H209,生物种群!$A$3:INDEX(生物种群!$A:$A,COUNTA(生物种群!$A:$A)),),))</f>
        <v/>
      </c>
      <c r="L209" s="46" t="str">
        <f t="shared" si="15"/>
        <v/>
      </c>
      <c r="M209" s="47" t="str">
        <f>IF(L209="","",ROUND((L209)/VLOOKUP($F209,IF({1,0},站位样品信息!$A$3:INDEX(站位样品信息!$A:$A,COUNTA(站位样品信息!$A:$A)+1),站位样品信息!$H$3:INDEX(站位样品信息!$H:$H,COUNTA(站位样品信息!$H:$H)+1)),2,0),2))</f>
        <v/>
      </c>
      <c r="O209" s="49"/>
      <c r="P209" s="53" t="str">
        <f t="shared" si="13"/>
        <v/>
      </c>
      <c r="Q209" s="53" t="str">
        <f t="shared" si="14"/>
        <v/>
      </c>
    </row>
    <row r="210" spans="1:17" ht="19.5" customHeight="1">
      <c r="A210" s="38"/>
      <c r="B210" s="38"/>
      <c r="C210" s="38"/>
      <c r="D210" s="37"/>
      <c r="E210" s="37"/>
      <c r="F210" s="37"/>
      <c r="G210" s="37" t="str">
        <f>IF(F210="","",INDEX(站位样品信息!$B$3:INDEX(站位样品信息!$B:$B,COUNTA(站位样品信息!$B:$B)+1),MATCH($F210,站位样品信息!$A$3:INDEX(站位样品信息!$A:$A,COUNTA(站位样品信息!$A:$A)+1),),))</f>
        <v/>
      </c>
      <c r="H210" s="55" t="str">
        <f>IF(OR(A210&lt;&gt;"",B210&lt;&gt;"",C210&lt;&gt;""),IF($C210&lt;&gt;0,INDEX(生物种群!$A$3:INDEX(生物种群!$A:$A,COUNTA(生物种群!$A:$A)),MATCH($C210,生物种群!$F$3:INDEX(生物种群!$F:$F,COUNTA(生物种群!$F:$F)),),),IF($A210&lt;&gt;0,INDEX(生物种群!$A$3:INDEX(生物种群!$A:$A,COUNTA(生物种群!$A:$A)),MATCH($A210,生物种群!$C$3:INDEX(生物种群!$C:$C,COUNTA(生物种群!$C:$C)),),),INDEX(生物种群!$A$3:INDEX(生物种群!$A:$A,COUNTA(生物种群!$A:$A)),MATCH($B210,生物种群!$D$3:INDEX(生物种群!$D:$D,COUNTA(生物种群!$D:$D)),),))),"")</f>
        <v/>
      </c>
      <c r="I210" s="56" t="str">
        <f>IF(H210="","",INDEX(生物种群!$B$3:INDEX(生物种群!$B:$B,COUNTA(生物种群!$B:$B)),MATCH($H210,生物种群!$A$3:INDEX(生物种群!$A:$A,COUNTA(生物种群!$A:$A)),),))</f>
        <v/>
      </c>
      <c r="J210" s="55" t="str">
        <f>IF(H210="","",INDEX(生物种群!$I$3:INDEX(生物种群!$I:$I,COUNTA(生物种群!$I:$I)),MATCH($H210,生物种群!$A$3:INDEX(生物种群!$A:$A,COUNTA(生物种群!$A:$A)),),))</f>
        <v/>
      </c>
      <c r="K210" s="55" t="str">
        <f>IF(H210="","",INDEX(生物种群!$E$3:INDEX(生物种群!$E:$E,COUNTA(生物种群!$E:$E)),MATCH($H210,生物种群!$A$3:INDEX(生物种群!$A:$A,COUNTA(生物种群!$A:$A)),),))</f>
        <v/>
      </c>
      <c r="L210" s="46" t="str">
        <f t="shared" si="15"/>
        <v/>
      </c>
      <c r="M210" s="47" t="str">
        <f>IF(L210="","",ROUND((L210)/VLOOKUP($F210,IF({1,0},站位样品信息!$A$3:INDEX(站位样品信息!$A:$A,COUNTA(站位样品信息!$A:$A)+1),站位样品信息!$H$3:INDEX(站位样品信息!$H:$H,COUNTA(站位样品信息!$H:$H)+1)),2,0),2))</f>
        <v/>
      </c>
      <c r="O210" s="49"/>
      <c r="P210" s="53" t="str">
        <f t="shared" si="13"/>
        <v/>
      </c>
      <c r="Q210" s="53" t="str">
        <f t="shared" si="14"/>
        <v/>
      </c>
    </row>
    <row r="211" spans="1:17" ht="19.5" customHeight="1">
      <c r="A211" s="38"/>
      <c r="B211" s="38"/>
      <c r="C211" s="38"/>
      <c r="D211" s="37"/>
      <c r="E211" s="37"/>
      <c r="F211" s="37"/>
      <c r="G211" s="37" t="str">
        <f>IF(F211="","",INDEX(站位样品信息!$B$3:INDEX(站位样品信息!$B:$B,COUNTA(站位样品信息!$B:$B)+1),MATCH($F211,站位样品信息!$A$3:INDEX(站位样品信息!$A:$A,COUNTA(站位样品信息!$A:$A)+1),),))</f>
        <v/>
      </c>
      <c r="H211" s="55" t="str">
        <f>IF(OR(A211&lt;&gt;"",B211&lt;&gt;"",C211&lt;&gt;""),IF($C211&lt;&gt;0,INDEX(生物种群!$A$3:INDEX(生物种群!$A:$A,COUNTA(生物种群!$A:$A)),MATCH($C211,生物种群!$F$3:INDEX(生物种群!$F:$F,COUNTA(生物种群!$F:$F)),),),IF($A211&lt;&gt;0,INDEX(生物种群!$A$3:INDEX(生物种群!$A:$A,COUNTA(生物种群!$A:$A)),MATCH($A211,生物种群!$C$3:INDEX(生物种群!$C:$C,COUNTA(生物种群!$C:$C)),),),INDEX(生物种群!$A$3:INDEX(生物种群!$A:$A,COUNTA(生物种群!$A:$A)),MATCH($B211,生物种群!$D$3:INDEX(生物种群!$D:$D,COUNTA(生物种群!$D:$D)),),))),"")</f>
        <v/>
      </c>
      <c r="I211" s="56" t="str">
        <f>IF(H211="","",INDEX(生物种群!$B$3:INDEX(生物种群!$B:$B,COUNTA(生物种群!$B:$B)),MATCH($H211,生物种群!$A$3:INDEX(生物种群!$A:$A,COUNTA(生物种群!$A:$A)),),))</f>
        <v/>
      </c>
      <c r="J211" s="55" t="str">
        <f>IF(H211="","",INDEX(生物种群!$I$3:INDEX(生物种群!$I:$I,COUNTA(生物种群!$I:$I)),MATCH($H211,生物种群!$A$3:INDEX(生物种群!$A:$A,COUNTA(生物种群!$A:$A)),),))</f>
        <v/>
      </c>
      <c r="K211" s="55" t="str">
        <f>IF(H211="","",INDEX(生物种群!$E$3:INDEX(生物种群!$E:$E,COUNTA(生物种群!$E:$E)),MATCH($H211,生物种群!$A$3:INDEX(生物种群!$A:$A,COUNTA(生物种群!$A:$A)),),))</f>
        <v/>
      </c>
      <c r="L211" s="46" t="str">
        <f t="shared" si="15"/>
        <v/>
      </c>
      <c r="M211" s="47" t="str">
        <f>IF(L211="","",ROUND((L211)/VLOOKUP($F211,IF({1,0},站位样品信息!$A$3:INDEX(站位样品信息!$A:$A,COUNTA(站位样品信息!$A:$A)+1),站位样品信息!$H$3:INDEX(站位样品信息!$H:$H,COUNTA(站位样品信息!$H:$H)+1)),2,0),2))</f>
        <v/>
      </c>
      <c r="O211" s="49"/>
      <c r="P211" s="53" t="str">
        <f t="shared" si="13"/>
        <v/>
      </c>
      <c r="Q211" s="53" t="str">
        <f t="shared" si="14"/>
        <v/>
      </c>
    </row>
    <row r="212" spans="1:17" ht="19.5" customHeight="1">
      <c r="A212" s="38"/>
      <c r="B212" s="38"/>
      <c r="C212" s="38"/>
      <c r="D212" s="37"/>
      <c r="E212" s="37"/>
      <c r="F212" s="37"/>
      <c r="G212" s="37" t="str">
        <f>IF(F212="","",INDEX(站位样品信息!$B$3:INDEX(站位样品信息!$B:$B,COUNTA(站位样品信息!$B:$B)+1),MATCH($F212,站位样品信息!$A$3:INDEX(站位样品信息!$A:$A,COUNTA(站位样品信息!$A:$A)+1),),))</f>
        <v/>
      </c>
      <c r="H212" s="55" t="str">
        <f>IF(OR(A212&lt;&gt;"",B212&lt;&gt;"",C212&lt;&gt;""),IF($C212&lt;&gt;0,INDEX(生物种群!$A$3:INDEX(生物种群!$A:$A,COUNTA(生物种群!$A:$A)),MATCH($C212,生物种群!$F$3:INDEX(生物种群!$F:$F,COUNTA(生物种群!$F:$F)),),),IF($A212&lt;&gt;0,INDEX(生物种群!$A$3:INDEX(生物种群!$A:$A,COUNTA(生物种群!$A:$A)),MATCH($A212,生物种群!$C$3:INDEX(生物种群!$C:$C,COUNTA(生物种群!$C:$C)),),),INDEX(生物种群!$A$3:INDEX(生物种群!$A:$A,COUNTA(生物种群!$A:$A)),MATCH($B212,生物种群!$D$3:INDEX(生物种群!$D:$D,COUNTA(生物种群!$D:$D)),),))),"")</f>
        <v/>
      </c>
      <c r="I212" s="56" t="str">
        <f>IF(H212="","",INDEX(生物种群!$B$3:INDEX(生物种群!$B:$B,COUNTA(生物种群!$B:$B)),MATCH($H212,生物种群!$A$3:INDEX(生物种群!$A:$A,COUNTA(生物种群!$A:$A)),),))</f>
        <v/>
      </c>
      <c r="J212" s="55" t="str">
        <f>IF(H212="","",INDEX(生物种群!$I$3:INDEX(生物种群!$I:$I,COUNTA(生物种群!$I:$I)),MATCH($H212,生物种群!$A$3:INDEX(生物种群!$A:$A,COUNTA(生物种群!$A:$A)),),))</f>
        <v/>
      </c>
      <c r="K212" s="55" t="str">
        <f>IF(H212="","",INDEX(生物种群!$E$3:INDEX(生物种群!$E:$E,COUNTA(生物种群!$E:$E)),MATCH($H212,生物种群!$A$3:INDEX(生物种群!$A:$A,COUNTA(生物种群!$A:$A)),),))</f>
        <v/>
      </c>
      <c r="L212" s="46" t="str">
        <f t="shared" si="15"/>
        <v/>
      </c>
      <c r="M212" s="47" t="str">
        <f>IF(L212="","",ROUND((L212)/VLOOKUP($F212,IF({1,0},站位样品信息!$A$3:INDEX(站位样品信息!$A:$A,COUNTA(站位样品信息!$A:$A)+1),站位样品信息!$H$3:INDEX(站位样品信息!$H:$H,COUNTA(站位样品信息!$H:$H)+1)),2,0),2))</f>
        <v/>
      </c>
      <c r="O212" s="49"/>
      <c r="P212" s="53" t="str">
        <f t="shared" si="13"/>
        <v/>
      </c>
      <c r="Q212" s="53" t="str">
        <f t="shared" si="14"/>
        <v/>
      </c>
    </row>
    <row r="213" spans="1:17" ht="19.5" customHeight="1">
      <c r="A213" s="38"/>
      <c r="B213" s="38"/>
      <c r="C213" s="38"/>
      <c r="D213" s="37"/>
      <c r="E213" s="37"/>
      <c r="F213" s="37"/>
      <c r="G213" s="37" t="str">
        <f>IF(F213="","",INDEX(站位样品信息!$B$3:INDEX(站位样品信息!$B:$B,COUNTA(站位样品信息!$B:$B)+1),MATCH($F213,站位样品信息!$A$3:INDEX(站位样品信息!$A:$A,COUNTA(站位样品信息!$A:$A)+1),),))</f>
        <v/>
      </c>
      <c r="H213" s="55" t="str">
        <f>IF(OR(A213&lt;&gt;"",B213&lt;&gt;"",C213&lt;&gt;""),IF($C213&lt;&gt;0,INDEX(生物种群!$A$3:INDEX(生物种群!$A:$A,COUNTA(生物种群!$A:$A)),MATCH($C213,生物种群!$F$3:INDEX(生物种群!$F:$F,COUNTA(生物种群!$F:$F)),),),IF($A213&lt;&gt;0,INDEX(生物种群!$A$3:INDEX(生物种群!$A:$A,COUNTA(生物种群!$A:$A)),MATCH($A213,生物种群!$C$3:INDEX(生物种群!$C:$C,COUNTA(生物种群!$C:$C)),),),INDEX(生物种群!$A$3:INDEX(生物种群!$A:$A,COUNTA(生物种群!$A:$A)),MATCH($B213,生物种群!$D$3:INDEX(生物种群!$D:$D,COUNTA(生物种群!$D:$D)),),))),"")</f>
        <v/>
      </c>
      <c r="I213" s="56" t="str">
        <f>IF(H213="","",INDEX(生物种群!$B$3:INDEX(生物种群!$B:$B,COUNTA(生物种群!$B:$B)),MATCH($H213,生物种群!$A$3:INDEX(生物种群!$A:$A,COUNTA(生物种群!$A:$A)),),))</f>
        <v/>
      </c>
      <c r="J213" s="55" t="str">
        <f>IF(H213="","",INDEX(生物种群!$I$3:INDEX(生物种群!$I:$I,COUNTA(生物种群!$I:$I)),MATCH($H213,生物种群!$A$3:INDEX(生物种群!$A:$A,COUNTA(生物种群!$A:$A)),),))</f>
        <v/>
      </c>
      <c r="K213" s="55" t="str">
        <f>IF(H213="","",INDEX(生物种群!$E$3:INDEX(生物种群!$E:$E,COUNTA(生物种群!$E:$E)),MATCH($H213,生物种群!$A$3:INDEX(生物种群!$A:$A,COUNTA(生物种群!$A:$A)),),))</f>
        <v/>
      </c>
      <c r="L213" s="46" t="str">
        <f t="shared" si="15"/>
        <v/>
      </c>
      <c r="M213" s="47" t="str">
        <f>IF(L213="","",ROUND((L213)/VLOOKUP($F213,IF({1,0},站位样品信息!$A$3:INDEX(站位样品信息!$A:$A,COUNTA(站位样品信息!$A:$A)+1),站位样品信息!$H$3:INDEX(站位样品信息!$H:$H,COUNTA(站位样品信息!$H:$H)+1)),2,0),2))</f>
        <v/>
      </c>
      <c r="O213" s="49"/>
      <c r="P213" s="53" t="str">
        <f t="shared" si="13"/>
        <v/>
      </c>
      <c r="Q213" s="53" t="str">
        <f t="shared" si="14"/>
        <v/>
      </c>
    </row>
    <row r="214" spans="1:17" ht="19.5" customHeight="1">
      <c r="A214" s="38"/>
      <c r="B214" s="38"/>
      <c r="C214" s="38"/>
      <c r="D214" s="37"/>
      <c r="E214" s="37"/>
      <c r="F214" s="37"/>
      <c r="G214" s="37" t="str">
        <f>IF(F214="","",INDEX(站位样品信息!$B$3:INDEX(站位样品信息!$B:$B,COUNTA(站位样品信息!$B:$B)+1),MATCH($F214,站位样品信息!$A$3:INDEX(站位样品信息!$A:$A,COUNTA(站位样品信息!$A:$A)+1),),))</f>
        <v/>
      </c>
      <c r="H214" s="55" t="str">
        <f>IF(OR(A214&lt;&gt;"",B214&lt;&gt;"",C214&lt;&gt;""),IF($C214&lt;&gt;0,INDEX(生物种群!$A$3:INDEX(生物种群!$A:$A,COUNTA(生物种群!$A:$A)),MATCH($C214,生物种群!$F$3:INDEX(生物种群!$F:$F,COUNTA(生物种群!$F:$F)),),),IF($A214&lt;&gt;0,INDEX(生物种群!$A$3:INDEX(生物种群!$A:$A,COUNTA(生物种群!$A:$A)),MATCH($A214,生物种群!$C$3:INDEX(生物种群!$C:$C,COUNTA(生物种群!$C:$C)),),),INDEX(生物种群!$A$3:INDEX(生物种群!$A:$A,COUNTA(生物种群!$A:$A)),MATCH($B214,生物种群!$D$3:INDEX(生物种群!$D:$D,COUNTA(生物种群!$D:$D)),),))),"")</f>
        <v/>
      </c>
      <c r="I214" s="56" t="str">
        <f>IF(H214="","",INDEX(生物种群!$B$3:INDEX(生物种群!$B:$B,COUNTA(生物种群!$B:$B)),MATCH($H214,生物种群!$A$3:INDEX(生物种群!$A:$A,COUNTA(生物种群!$A:$A)),),))</f>
        <v/>
      </c>
      <c r="J214" s="55" t="str">
        <f>IF(H214="","",INDEX(生物种群!$I$3:INDEX(生物种群!$I:$I,COUNTA(生物种群!$I:$I)),MATCH($H214,生物种群!$A$3:INDEX(生物种群!$A:$A,COUNTA(生物种群!$A:$A)),),))</f>
        <v/>
      </c>
      <c r="K214" s="55" t="str">
        <f>IF(H214="","",INDEX(生物种群!$E$3:INDEX(生物种群!$E:$E,COUNTA(生物种群!$E:$E)),MATCH($H214,生物种群!$A$3:INDEX(生物种群!$A:$A,COUNTA(生物种群!$A:$A)),),))</f>
        <v/>
      </c>
      <c r="L214" s="46" t="str">
        <f t="shared" si="15"/>
        <v/>
      </c>
      <c r="M214" s="47" t="str">
        <f>IF(L214="","",ROUND((L214)/VLOOKUP($F214,IF({1,0},站位样品信息!$A$3:INDEX(站位样品信息!$A:$A,COUNTA(站位样品信息!$A:$A)+1),站位样品信息!$H$3:INDEX(站位样品信息!$H:$H,COUNTA(站位样品信息!$H:$H)+1)),2,0),2))</f>
        <v/>
      </c>
      <c r="O214" s="49"/>
      <c r="P214" s="53" t="str">
        <f t="shared" si="13"/>
        <v/>
      </c>
      <c r="Q214" s="53" t="str">
        <f t="shared" si="14"/>
        <v/>
      </c>
    </row>
    <row r="215" spans="1:17" ht="19.5" customHeight="1">
      <c r="A215" s="38"/>
      <c r="B215" s="38"/>
      <c r="C215" s="38"/>
      <c r="D215" s="37"/>
      <c r="E215" s="37"/>
      <c r="F215" s="37"/>
      <c r="G215" s="37" t="str">
        <f>IF(F215="","",INDEX(站位样品信息!$B$3:INDEX(站位样品信息!$B:$B,COUNTA(站位样品信息!$B:$B)+1),MATCH($F215,站位样品信息!$A$3:INDEX(站位样品信息!$A:$A,COUNTA(站位样品信息!$A:$A)+1),),))</f>
        <v/>
      </c>
      <c r="H215" s="55" t="str">
        <f>IF(OR(A215&lt;&gt;"",B215&lt;&gt;"",C215&lt;&gt;""),IF($C215&lt;&gt;0,INDEX(生物种群!$A$3:INDEX(生物种群!$A:$A,COUNTA(生物种群!$A:$A)),MATCH($C215,生物种群!$F$3:INDEX(生物种群!$F:$F,COUNTA(生物种群!$F:$F)),),),IF($A215&lt;&gt;0,INDEX(生物种群!$A$3:INDEX(生物种群!$A:$A,COUNTA(生物种群!$A:$A)),MATCH($A215,生物种群!$C$3:INDEX(生物种群!$C:$C,COUNTA(生物种群!$C:$C)),),),INDEX(生物种群!$A$3:INDEX(生物种群!$A:$A,COUNTA(生物种群!$A:$A)),MATCH($B215,生物种群!$D$3:INDEX(生物种群!$D:$D,COUNTA(生物种群!$D:$D)),),))),"")</f>
        <v/>
      </c>
      <c r="I215" s="56" t="str">
        <f>IF(H215="","",INDEX(生物种群!$B$3:INDEX(生物种群!$B:$B,COUNTA(生物种群!$B:$B)),MATCH($H215,生物种群!$A$3:INDEX(生物种群!$A:$A,COUNTA(生物种群!$A:$A)),),))</f>
        <v/>
      </c>
      <c r="J215" s="55" t="str">
        <f>IF(H215="","",INDEX(生物种群!$I$3:INDEX(生物种群!$I:$I,COUNTA(生物种群!$I:$I)),MATCH($H215,生物种群!$A$3:INDEX(生物种群!$A:$A,COUNTA(生物种群!$A:$A)),),))</f>
        <v/>
      </c>
      <c r="K215" s="55" t="str">
        <f>IF(H215="","",INDEX(生物种群!$E$3:INDEX(生物种群!$E:$E,COUNTA(生物种群!$E:$E)),MATCH($H215,生物种群!$A$3:INDEX(生物种群!$A:$A,COUNTA(生物种群!$A:$A)),),))</f>
        <v/>
      </c>
      <c r="L215" s="46" t="str">
        <f t="shared" si="15"/>
        <v/>
      </c>
      <c r="M215" s="47" t="str">
        <f>IF(L215="","",ROUND((L215)/VLOOKUP($F215,IF({1,0},站位样品信息!$A$3:INDEX(站位样品信息!$A:$A,COUNTA(站位样品信息!$A:$A)+1),站位样品信息!$H$3:INDEX(站位样品信息!$H:$H,COUNTA(站位样品信息!$H:$H)+1)),2,0),2))</f>
        <v/>
      </c>
      <c r="O215" s="49"/>
      <c r="P215" s="53" t="str">
        <f t="shared" si="13"/>
        <v/>
      </c>
      <c r="Q215" s="53" t="str">
        <f t="shared" si="14"/>
        <v/>
      </c>
    </row>
    <row r="216" spans="1:17" ht="19.5" customHeight="1">
      <c r="A216" s="38"/>
      <c r="B216" s="38"/>
      <c r="C216" s="38"/>
      <c r="D216" s="37"/>
      <c r="E216" s="37"/>
      <c r="F216" s="37"/>
      <c r="G216" s="37" t="str">
        <f>IF(F216="","",INDEX(站位样品信息!$B$3:INDEX(站位样品信息!$B:$B,COUNTA(站位样品信息!$B:$B)+1),MATCH($F216,站位样品信息!$A$3:INDEX(站位样品信息!$A:$A,COUNTA(站位样品信息!$A:$A)+1),),))</f>
        <v/>
      </c>
      <c r="H216" s="55" t="str">
        <f>IF(OR(A216&lt;&gt;"",B216&lt;&gt;"",C216&lt;&gt;""),IF($C216&lt;&gt;0,INDEX(生物种群!$A$3:INDEX(生物种群!$A:$A,COUNTA(生物种群!$A:$A)),MATCH($C216,生物种群!$F$3:INDEX(生物种群!$F:$F,COUNTA(生物种群!$F:$F)),),),IF($A216&lt;&gt;0,INDEX(生物种群!$A$3:INDEX(生物种群!$A:$A,COUNTA(生物种群!$A:$A)),MATCH($A216,生物种群!$C$3:INDEX(生物种群!$C:$C,COUNTA(生物种群!$C:$C)),),),INDEX(生物种群!$A$3:INDEX(生物种群!$A:$A,COUNTA(生物种群!$A:$A)),MATCH($B216,生物种群!$D$3:INDEX(生物种群!$D:$D,COUNTA(生物种群!$D:$D)),),))),"")</f>
        <v/>
      </c>
      <c r="I216" s="56" t="str">
        <f>IF(H216="","",INDEX(生物种群!$B$3:INDEX(生物种群!$B:$B,COUNTA(生物种群!$B:$B)),MATCH($H216,生物种群!$A$3:INDEX(生物种群!$A:$A,COUNTA(生物种群!$A:$A)),),))</f>
        <v/>
      </c>
      <c r="J216" s="55" t="str">
        <f>IF(H216="","",INDEX(生物种群!$I$3:INDEX(生物种群!$I:$I,COUNTA(生物种群!$I:$I)),MATCH($H216,生物种群!$A$3:INDEX(生物种群!$A:$A,COUNTA(生物种群!$A:$A)),),))</f>
        <v/>
      </c>
      <c r="K216" s="55" t="str">
        <f>IF(H216="","",INDEX(生物种群!$E$3:INDEX(生物种群!$E:$E,COUNTA(生物种群!$E:$E)),MATCH($H216,生物种群!$A$3:INDEX(生物种群!$A:$A,COUNTA(生物种群!$A:$A)),),))</f>
        <v/>
      </c>
      <c r="L216" s="46" t="str">
        <f t="shared" si="15"/>
        <v/>
      </c>
      <c r="M216" s="47" t="str">
        <f>IF(L216="","",ROUND((L216)/VLOOKUP($F216,IF({1,0},站位样品信息!$A$3:INDEX(站位样品信息!$A:$A,COUNTA(站位样品信息!$A:$A)+1),站位样品信息!$H$3:INDEX(站位样品信息!$H:$H,COUNTA(站位样品信息!$H:$H)+1)),2,0),2))</f>
        <v/>
      </c>
      <c r="O216" s="49"/>
      <c r="P216" s="53" t="str">
        <f t="shared" si="13"/>
        <v/>
      </c>
      <c r="Q216" s="53" t="str">
        <f t="shared" si="14"/>
        <v/>
      </c>
    </row>
    <row r="217" spans="1:17" ht="19.5" customHeight="1">
      <c r="A217" s="38"/>
      <c r="B217" s="38"/>
      <c r="C217" s="38"/>
      <c r="D217" s="37"/>
      <c r="E217" s="37"/>
      <c r="F217" s="37"/>
      <c r="G217" s="37" t="str">
        <f>IF(F217="","",INDEX(站位样品信息!$B$3:INDEX(站位样品信息!$B:$B,COUNTA(站位样品信息!$B:$B)+1),MATCH($F217,站位样品信息!$A$3:INDEX(站位样品信息!$A:$A,COUNTA(站位样品信息!$A:$A)+1),),))</f>
        <v/>
      </c>
      <c r="H217" s="55" t="str">
        <f>IF(OR(A217&lt;&gt;"",B217&lt;&gt;"",C217&lt;&gt;""),IF($C217&lt;&gt;0,INDEX(生物种群!$A$3:INDEX(生物种群!$A:$A,COUNTA(生物种群!$A:$A)),MATCH($C217,生物种群!$F$3:INDEX(生物种群!$F:$F,COUNTA(生物种群!$F:$F)),),),IF($A217&lt;&gt;0,INDEX(生物种群!$A$3:INDEX(生物种群!$A:$A,COUNTA(生物种群!$A:$A)),MATCH($A217,生物种群!$C$3:INDEX(生物种群!$C:$C,COUNTA(生物种群!$C:$C)),),),INDEX(生物种群!$A$3:INDEX(生物种群!$A:$A,COUNTA(生物种群!$A:$A)),MATCH($B217,生物种群!$D$3:INDEX(生物种群!$D:$D,COUNTA(生物种群!$D:$D)),),))),"")</f>
        <v/>
      </c>
      <c r="I217" s="56" t="str">
        <f>IF(H217="","",INDEX(生物种群!$B$3:INDEX(生物种群!$B:$B,COUNTA(生物种群!$B:$B)),MATCH($H217,生物种群!$A$3:INDEX(生物种群!$A:$A,COUNTA(生物种群!$A:$A)),),))</f>
        <v/>
      </c>
      <c r="J217" s="55" t="str">
        <f>IF(H217="","",INDEX(生物种群!$I$3:INDEX(生物种群!$I:$I,COUNTA(生物种群!$I:$I)),MATCH($H217,生物种群!$A$3:INDEX(生物种群!$A:$A,COUNTA(生物种群!$A:$A)),),))</f>
        <v/>
      </c>
      <c r="K217" s="55" t="str">
        <f>IF(H217="","",INDEX(生物种群!$E$3:INDEX(生物种群!$E:$E,COUNTA(生物种群!$E:$E)),MATCH($H217,生物种群!$A$3:INDEX(生物种群!$A:$A,COUNTA(生物种群!$A:$A)),),))</f>
        <v/>
      </c>
      <c r="L217" s="46" t="str">
        <f t="shared" si="15"/>
        <v/>
      </c>
      <c r="M217" s="47" t="str">
        <f>IF(L217="","",ROUND((L217)/VLOOKUP($F217,IF({1,0},站位样品信息!$A$3:INDEX(站位样品信息!$A:$A,COUNTA(站位样品信息!$A:$A)+1),站位样品信息!$H$3:INDEX(站位样品信息!$H:$H,COUNTA(站位样品信息!$H:$H)+1)),2,0),2))</f>
        <v/>
      </c>
      <c r="O217" s="49"/>
      <c r="P217" s="53" t="str">
        <f t="shared" si="13"/>
        <v/>
      </c>
      <c r="Q217" s="53" t="str">
        <f t="shared" si="14"/>
        <v/>
      </c>
    </row>
    <row r="218" spans="1:17" ht="19.5" customHeight="1">
      <c r="A218" s="38"/>
      <c r="B218" s="38"/>
      <c r="C218" s="38"/>
      <c r="D218" s="37"/>
      <c r="E218" s="37"/>
      <c r="F218" s="37"/>
      <c r="G218" s="37" t="str">
        <f>IF(F218="","",INDEX(站位样品信息!$B$3:INDEX(站位样品信息!$B:$B,COUNTA(站位样品信息!$B:$B)+1),MATCH($F218,站位样品信息!$A$3:INDEX(站位样品信息!$A:$A,COUNTA(站位样品信息!$A:$A)+1),),))</f>
        <v/>
      </c>
      <c r="H218" s="55" t="str">
        <f>IF(OR(A218&lt;&gt;"",B218&lt;&gt;"",C218&lt;&gt;""),IF($C218&lt;&gt;0,INDEX(生物种群!$A$3:INDEX(生物种群!$A:$A,COUNTA(生物种群!$A:$A)),MATCH($C218,生物种群!$F$3:INDEX(生物种群!$F:$F,COUNTA(生物种群!$F:$F)),),),IF($A218&lt;&gt;0,INDEX(生物种群!$A$3:INDEX(生物种群!$A:$A,COUNTA(生物种群!$A:$A)),MATCH($A218,生物种群!$C$3:INDEX(生物种群!$C:$C,COUNTA(生物种群!$C:$C)),),),INDEX(生物种群!$A$3:INDEX(生物种群!$A:$A,COUNTA(生物种群!$A:$A)),MATCH($B218,生物种群!$D$3:INDEX(生物种群!$D:$D,COUNTA(生物种群!$D:$D)),),))),"")</f>
        <v/>
      </c>
      <c r="I218" s="56" t="str">
        <f>IF(H218="","",INDEX(生物种群!$B$3:INDEX(生物种群!$B:$B,COUNTA(生物种群!$B:$B)),MATCH($H218,生物种群!$A$3:INDEX(生物种群!$A:$A,COUNTA(生物种群!$A:$A)),),))</f>
        <v/>
      </c>
      <c r="J218" s="55" t="str">
        <f>IF(H218="","",INDEX(生物种群!$I$3:INDEX(生物种群!$I:$I,COUNTA(生物种群!$I:$I)),MATCH($H218,生物种群!$A$3:INDEX(生物种群!$A:$A,COUNTA(生物种群!$A:$A)),),))</f>
        <v/>
      </c>
      <c r="K218" s="55" t="str">
        <f>IF(H218="","",INDEX(生物种群!$E$3:INDEX(生物种群!$E:$E,COUNTA(生物种群!$E:$E)),MATCH($H218,生物种群!$A$3:INDEX(生物种群!$A:$A,COUNTA(生物种群!$A:$A)),),))</f>
        <v/>
      </c>
      <c r="L218" s="46" t="str">
        <f t="shared" si="15"/>
        <v/>
      </c>
      <c r="M218" s="47" t="str">
        <f>IF(L218="","",ROUND((L218)/VLOOKUP($F218,IF({1,0},站位样品信息!$A$3:INDEX(站位样品信息!$A:$A,COUNTA(站位样品信息!$A:$A)+1),站位样品信息!$H$3:INDEX(站位样品信息!$H:$H,COUNTA(站位样品信息!$H:$H)+1)),2,0),2))</f>
        <v/>
      </c>
      <c r="O218" s="49"/>
      <c r="P218" s="53" t="str">
        <f t="shared" si="13"/>
        <v/>
      </c>
      <c r="Q218" s="53" t="str">
        <f t="shared" si="14"/>
        <v/>
      </c>
    </row>
    <row r="219" spans="1:17" ht="19.5" customHeight="1">
      <c r="A219" s="38"/>
      <c r="B219" s="38"/>
      <c r="C219" s="38"/>
      <c r="D219" s="37"/>
      <c r="E219" s="37"/>
      <c r="F219" s="37"/>
      <c r="G219" s="37" t="str">
        <f>IF(F219="","",INDEX(站位样品信息!$B$3:INDEX(站位样品信息!$B:$B,COUNTA(站位样品信息!$B:$B)+1),MATCH($F219,站位样品信息!$A$3:INDEX(站位样品信息!$A:$A,COUNTA(站位样品信息!$A:$A)+1),),))</f>
        <v/>
      </c>
      <c r="H219" s="55" t="str">
        <f>IF(OR(A219&lt;&gt;"",B219&lt;&gt;"",C219&lt;&gt;""),IF($C219&lt;&gt;0,INDEX(生物种群!$A$3:INDEX(生物种群!$A:$A,COUNTA(生物种群!$A:$A)),MATCH($C219,生物种群!$F$3:INDEX(生物种群!$F:$F,COUNTA(生物种群!$F:$F)),),),IF($A219&lt;&gt;0,INDEX(生物种群!$A$3:INDEX(生物种群!$A:$A,COUNTA(生物种群!$A:$A)),MATCH($A219,生物种群!$C$3:INDEX(生物种群!$C:$C,COUNTA(生物种群!$C:$C)),),),INDEX(生物种群!$A$3:INDEX(生物种群!$A:$A,COUNTA(生物种群!$A:$A)),MATCH($B219,生物种群!$D$3:INDEX(生物种群!$D:$D,COUNTA(生物种群!$D:$D)),),))),"")</f>
        <v/>
      </c>
      <c r="I219" s="56" t="str">
        <f>IF(H219="","",INDEX(生物种群!$B$3:INDEX(生物种群!$B:$B,COUNTA(生物种群!$B:$B)),MATCH($H219,生物种群!$A$3:INDEX(生物种群!$A:$A,COUNTA(生物种群!$A:$A)),),))</f>
        <v/>
      </c>
      <c r="J219" s="55" t="str">
        <f>IF(H219="","",INDEX(生物种群!$I$3:INDEX(生物种群!$I:$I,COUNTA(生物种群!$I:$I)),MATCH($H219,生物种群!$A$3:INDEX(生物种群!$A:$A,COUNTA(生物种群!$A:$A)),),))</f>
        <v/>
      </c>
      <c r="K219" s="55" t="str">
        <f>IF(H219="","",INDEX(生物种群!$E$3:INDEX(生物种群!$E:$E,COUNTA(生物种群!$E:$E)),MATCH($H219,生物种群!$A$3:INDEX(生物种群!$A:$A,COUNTA(生物种群!$A:$A)),),))</f>
        <v/>
      </c>
      <c r="L219" s="46" t="str">
        <f t="shared" si="15"/>
        <v/>
      </c>
      <c r="M219" s="47" t="str">
        <f>IF(L219="","",ROUND((L219)/VLOOKUP($F219,IF({1,0},站位样品信息!$A$3:INDEX(站位样品信息!$A:$A,COUNTA(站位样品信息!$A:$A)+1),站位样品信息!$H$3:INDEX(站位样品信息!$H:$H,COUNTA(站位样品信息!$H:$H)+1)),2,0),2))</f>
        <v/>
      </c>
      <c r="O219" s="49"/>
      <c r="P219" s="53" t="str">
        <f t="shared" si="13"/>
        <v/>
      </c>
      <c r="Q219" s="53" t="str">
        <f t="shared" si="14"/>
        <v/>
      </c>
    </row>
    <row r="220" spans="1:17" ht="19.5" customHeight="1">
      <c r="A220" s="38"/>
      <c r="B220" s="38"/>
      <c r="C220" s="38"/>
      <c r="D220" s="37"/>
      <c r="E220" s="37"/>
      <c r="F220" s="37"/>
      <c r="G220" s="37" t="str">
        <f>IF(F220="","",INDEX(站位样品信息!$B$3:INDEX(站位样品信息!$B:$B,COUNTA(站位样品信息!$B:$B)+1),MATCH($F220,站位样品信息!$A$3:INDEX(站位样品信息!$A:$A,COUNTA(站位样品信息!$A:$A)+1),),))</f>
        <v/>
      </c>
      <c r="H220" s="55" t="str">
        <f>IF(OR(A220&lt;&gt;"",B220&lt;&gt;"",C220&lt;&gt;""),IF($C220&lt;&gt;0,INDEX(生物种群!$A$3:INDEX(生物种群!$A:$A,COUNTA(生物种群!$A:$A)),MATCH($C220,生物种群!$F$3:INDEX(生物种群!$F:$F,COUNTA(生物种群!$F:$F)),),),IF($A220&lt;&gt;0,INDEX(生物种群!$A$3:INDEX(生物种群!$A:$A,COUNTA(生物种群!$A:$A)),MATCH($A220,生物种群!$C$3:INDEX(生物种群!$C:$C,COUNTA(生物种群!$C:$C)),),),INDEX(生物种群!$A$3:INDEX(生物种群!$A:$A,COUNTA(生物种群!$A:$A)),MATCH($B220,生物种群!$D$3:INDEX(生物种群!$D:$D,COUNTA(生物种群!$D:$D)),),))),"")</f>
        <v/>
      </c>
      <c r="I220" s="56" t="str">
        <f>IF(H220="","",INDEX(生物种群!$B$3:INDEX(生物种群!$B:$B,COUNTA(生物种群!$B:$B)),MATCH($H220,生物种群!$A$3:INDEX(生物种群!$A:$A,COUNTA(生物种群!$A:$A)),),))</f>
        <v/>
      </c>
      <c r="J220" s="55" t="str">
        <f>IF(H220="","",INDEX(生物种群!$I$3:INDEX(生物种群!$I:$I,COUNTA(生物种群!$I:$I)),MATCH($H220,生物种群!$A$3:INDEX(生物种群!$A:$A,COUNTA(生物种群!$A:$A)),),))</f>
        <v/>
      </c>
      <c r="K220" s="55" t="str">
        <f>IF(H220="","",INDEX(生物种群!$E$3:INDEX(生物种群!$E:$E,COUNTA(生物种群!$E:$E)),MATCH($H220,生物种群!$A$3:INDEX(生物种群!$A:$A,COUNTA(生物种群!$A:$A)),),))</f>
        <v/>
      </c>
      <c r="L220" s="46" t="str">
        <f t="shared" si="15"/>
        <v/>
      </c>
      <c r="M220" s="47" t="str">
        <f>IF(L220="","",ROUND((L220)/VLOOKUP($F220,IF({1,0},站位样品信息!$A$3:INDEX(站位样品信息!$A:$A,COUNTA(站位样品信息!$A:$A)+1),站位样品信息!$H$3:INDEX(站位样品信息!$H:$H,COUNTA(站位样品信息!$H:$H)+1)),2,0),2))</f>
        <v/>
      </c>
      <c r="O220" s="49"/>
      <c r="P220" s="53" t="str">
        <f t="shared" si="13"/>
        <v/>
      </c>
      <c r="Q220" s="53" t="str">
        <f t="shared" si="14"/>
        <v/>
      </c>
    </row>
    <row r="221" spans="1:17" ht="19.5" customHeight="1">
      <c r="A221" s="38"/>
      <c r="B221" s="38"/>
      <c r="C221" s="38"/>
      <c r="D221" s="37"/>
      <c r="E221" s="37"/>
      <c r="F221" s="37"/>
      <c r="G221" s="37" t="str">
        <f>IF(F221="","",INDEX(站位样品信息!$B$3:INDEX(站位样品信息!$B:$B,COUNTA(站位样品信息!$B:$B)+1),MATCH($F221,站位样品信息!$A$3:INDEX(站位样品信息!$A:$A,COUNTA(站位样品信息!$A:$A)+1),),))</f>
        <v/>
      </c>
      <c r="H221" s="55" t="str">
        <f>IF(OR(A221&lt;&gt;"",B221&lt;&gt;"",C221&lt;&gt;""),IF($C221&lt;&gt;0,INDEX(生物种群!$A$3:INDEX(生物种群!$A:$A,COUNTA(生物种群!$A:$A)),MATCH($C221,生物种群!$F$3:INDEX(生物种群!$F:$F,COUNTA(生物种群!$F:$F)),),),IF($A221&lt;&gt;0,INDEX(生物种群!$A$3:INDEX(生物种群!$A:$A,COUNTA(生物种群!$A:$A)),MATCH($A221,生物种群!$C$3:INDEX(生物种群!$C:$C,COUNTA(生物种群!$C:$C)),),),INDEX(生物种群!$A$3:INDEX(生物种群!$A:$A,COUNTA(生物种群!$A:$A)),MATCH($B221,生物种群!$D$3:INDEX(生物种群!$D:$D,COUNTA(生物种群!$D:$D)),),))),"")</f>
        <v/>
      </c>
      <c r="I221" s="56" t="str">
        <f>IF(H221="","",INDEX(生物种群!$B$3:INDEX(生物种群!$B:$B,COUNTA(生物种群!$B:$B)),MATCH($H221,生物种群!$A$3:INDEX(生物种群!$A:$A,COUNTA(生物种群!$A:$A)),),))</f>
        <v/>
      </c>
      <c r="J221" s="55" t="str">
        <f>IF(H221="","",INDEX(生物种群!$I$3:INDEX(生物种群!$I:$I,COUNTA(生物种群!$I:$I)),MATCH($H221,生物种群!$A$3:INDEX(生物种群!$A:$A,COUNTA(生物种群!$A:$A)),),))</f>
        <v/>
      </c>
      <c r="K221" s="55" t="str">
        <f>IF(H221="","",INDEX(生物种群!$E$3:INDEX(生物种群!$E:$E,COUNTA(生物种群!$E:$E)),MATCH($H221,生物种群!$A$3:INDEX(生物种群!$A:$A,COUNTA(生物种群!$A:$A)),),))</f>
        <v/>
      </c>
      <c r="L221" s="46" t="str">
        <f t="shared" si="15"/>
        <v/>
      </c>
      <c r="M221" s="47" t="str">
        <f>IF(L221="","",ROUND((L221)/VLOOKUP($F221,IF({1,0},站位样品信息!$A$3:INDEX(站位样品信息!$A:$A,COUNTA(站位样品信息!$A:$A)+1),站位样品信息!$H$3:INDEX(站位样品信息!$H:$H,COUNTA(站位样品信息!$H:$H)+1)),2,0),2))</f>
        <v/>
      </c>
      <c r="O221" s="49"/>
      <c r="P221" s="53" t="str">
        <f t="shared" si="13"/>
        <v/>
      </c>
      <c r="Q221" s="53" t="str">
        <f t="shared" si="14"/>
        <v/>
      </c>
    </row>
    <row r="222" spans="1:17" ht="19.5" customHeight="1">
      <c r="A222" s="38"/>
      <c r="B222" s="38"/>
      <c r="C222" s="38"/>
      <c r="D222" s="37"/>
      <c r="E222" s="37"/>
      <c r="F222" s="37"/>
      <c r="G222" s="37" t="str">
        <f>IF(F222="","",INDEX(站位样品信息!$B$3:INDEX(站位样品信息!$B:$B,COUNTA(站位样品信息!$B:$B)+1),MATCH($F222,站位样品信息!$A$3:INDEX(站位样品信息!$A:$A,COUNTA(站位样品信息!$A:$A)+1),),))</f>
        <v/>
      </c>
      <c r="H222" s="55" t="str">
        <f>IF(OR(A222&lt;&gt;"",B222&lt;&gt;"",C222&lt;&gt;""),IF($C222&lt;&gt;0,INDEX(生物种群!$A$3:INDEX(生物种群!$A:$A,COUNTA(生物种群!$A:$A)),MATCH($C222,生物种群!$F$3:INDEX(生物种群!$F:$F,COUNTA(生物种群!$F:$F)),),),IF($A222&lt;&gt;0,INDEX(生物种群!$A$3:INDEX(生物种群!$A:$A,COUNTA(生物种群!$A:$A)),MATCH($A222,生物种群!$C$3:INDEX(生物种群!$C:$C,COUNTA(生物种群!$C:$C)),),),INDEX(生物种群!$A$3:INDEX(生物种群!$A:$A,COUNTA(生物种群!$A:$A)),MATCH($B222,生物种群!$D$3:INDEX(生物种群!$D:$D,COUNTA(生物种群!$D:$D)),),))),"")</f>
        <v/>
      </c>
      <c r="I222" s="56" t="str">
        <f>IF(H222="","",INDEX(生物种群!$B$3:INDEX(生物种群!$B:$B,COUNTA(生物种群!$B:$B)),MATCH($H222,生物种群!$A$3:INDEX(生物种群!$A:$A,COUNTA(生物种群!$A:$A)),),))</f>
        <v/>
      </c>
      <c r="J222" s="55" t="str">
        <f>IF(H222="","",INDEX(生物种群!$I$3:INDEX(生物种群!$I:$I,COUNTA(生物种群!$I:$I)),MATCH($H222,生物种群!$A$3:INDEX(生物种群!$A:$A,COUNTA(生物种群!$A:$A)),),))</f>
        <v/>
      </c>
      <c r="K222" s="55" t="str">
        <f>IF(H222="","",INDEX(生物种群!$E$3:INDEX(生物种群!$E:$E,COUNTA(生物种群!$E:$E)),MATCH($H222,生物种群!$A$3:INDEX(生物种群!$A:$A,COUNTA(生物种群!$A:$A)),),))</f>
        <v/>
      </c>
      <c r="L222" s="46" t="str">
        <f t="shared" si="15"/>
        <v/>
      </c>
      <c r="M222" s="47" t="str">
        <f>IF(L222="","",ROUND((L222)/VLOOKUP($F222,IF({1,0},站位样品信息!$A$3:INDEX(站位样品信息!$A:$A,COUNTA(站位样品信息!$A:$A)+1),站位样品信息!$H$3:INDEX(站位样品信息!$H:$H,COUNTA(站位样品信息!$H:$H)+1)),2,0),2))</f>
        <v/>
      </c>
      <c r="O222" s="49"/>
      <c r="P222" s="53" t="str">
        <f t="shared" si="13"/>
        <v/>
      </c>
      <c r="Q222" s="53" t="str">
        <f t="shared" si="14"/>
        <v/>
      </c>
    </row>
    <row r="223" spans="1:17" ht="19.5" customHeight="1">
      <c r="A223" s="38"/>
      <c r="B223" s="38"/>
      <c r="C223" s="38"/>
      <c r="D223" s="37"/>
      <c r="E223" s="37"/>
      <c r="F223" s="37"/>
      <c r="G223" s="37" t="str">
        <f>IF(F223="","",INDEX(站位样品信息!$B$3:INDEX(站位样品信息!$B:$B,COUNTA(站位样品信息!$B:$B)+1),MATCH($F223,站位样品信息!$A$3:INDEX(站位样品信息!$A:$A,COUNTA(站位样品信息!$A:$A)+1),),))</f>
        <v/>
      </c>
      <c r="H223" s="55" t="str">
        <f>IF(OR(A223&lt;&gt;"",B223&lt;&gt;"",C223&lt;&gt;""),IF($C223&lt;&gt;0,INDEX(生物种群!$A$3:INDEX(生物种群!$A:$A,COUNTA(生物种群!$A:$A)),MATCH($C223,生物种群!$F$3:INDEX(生物种群!$F:$F,COUNTA(生物种群!$F:$F)),),),IF($A223&lt;&gt;0,INDEX(生物种群!$A$3:INDEX(生物种群!$A:$A,COUNTA(生物种群!$A:$A)),MATCH($A223,生物种群!$C$3:INDEX(生物种群!$C:$C,COUNTA(生物种群!$C:$C)),),),INDEX(生物种群!$A$3:INDEX(生物种群!$A:$A,COUNTA(生物种群!$A:$A)),MATCH($B223,生物种群!$D$3:INDEX(生物种群!$D:$D,COUNTA(生物种群!$D:$D)),),))),"")</f>
        <v/>
      </c>
      <c r="I223" s="56" t="str">
        <f>IF(H223="","",INDEX(生物种群!$B$3:INDEX(生物种群!$B:$B,COUNTA(生物种群!$B:$B)),MATCH($H223,生物种群!$A$3:INDEX(生物种群!$A:$A,COUNTA(生物种群!$A:$A)),),))</f>
        <v/>
      </c>
      <c r="J223" s="55" t="str">
        <f>IF(H223="","",INDEX(生物种群!$I$3:INDEX(生物种群!$I:$I,COUNTA(生物种群!$I:$I)),MATCH($H223,生物种群!$A$3:INDEX(生物种群!$A:$A,COUNTA(生物种群!$A:$A)),),))</f>
        <v/>
      </c>
      <c r="K223" s="55" t="str">
        <f>IF(H223="","",INDEX(生物种群!$E$3:INDEX(生物种群!$E:$E,COUNTA(生物种群!$E:$E)),MATCH($H223,生物种群!$A$3:INDEX(生物种群!$A:$A,COUNTA(生物种群!$A:$A)),),))</f>
        <v/>
      </c>
      <c r="L223" s="46" t="str">
        <f t="shared" si="15"/>
        <v/>
      </c>
      <c r="M223" s="47" t="str">
        <f>IF(L223="","",ROUND((L223)/VLOOKUP($F223,IF({1,0},站位样品信息!$A$3:INDEX(站位样品信息!$A:$A,COUNTA(站位样品信息!$A:$A)+1),站位样品信息!$H$3:INDEX(站位样品信息!$H:$H,COUNTA(站位样品信息!$H:$H)+1)),2,0),2))</f>
        <v/>
      </c>
      <c r="O223" s="49"/>
      <c r="P223" s="53" t="str">
        <f t="shared" si="13"/>
        <v/>
      </c>
      <c r="Q223" s="53" t="str">
        <f t="shared" si="14"/>
        <v/>
      </c>
    </row>
    <row r="224" spans="1:17" ht="19.5" customHeight="1">
      <c r="A224" s="38"/>
      <c r="B224" s="38"/>
      <c r="C224" s="38"/>
      <c r="D224" s="37"/>
      <c r="E224" s="37"/>
      <c r="F224" s="37"/>
      <c r="G224" s="37" t="str">
        <f>IF(F224="","",INDEX(站位样品信息!$B$3:INDEX(站位样品信息!$B:$B,COUNTA(站位样品信息!$B:$B)+1),MATCH($F224,站位样品信息!$A$3:INDEX(站位样品信息!$A:$A,COUNTA(站位样品信息!$A:$A)+1),),))</f>
        <v/>
      </c>
      <c r="H224" s="55" t="str">
        <f>IF(OR(A224&lt;&gt;"",B224&lt;&gt;"",C224&lt;&gt;""),IF($C224&lt;&gt;0,INDEX(生物种群!$A$3:INDEX(生物种群!$A:$A,COUNTA(生物种群!$A:$A)),MATCH($C224,生物种群!$F$3:INDEX(生物种群!$F:$F,COUNTA(生物种群!$F:$F)),),),IF($A224&lt;&gt;0,INDEX(生物种群!$A$3:INDEX(生物种群!$A:$A,COUNTA(生物种群!$A:$A)),MATCH($A224,生物种群!$C$3:INDEX(生物种群!$C:$C,COUNTA(生物种群!$C:$C)),),),INDEX(生物种群!$A$3:INDEX(生物种群!$A:$A,COUNTA(生物种群!$A:$A)),MATCH($B224,生物种群!$D$3:INDEX(生物种群!$D:$D,COUNTA(生物种群!$D:$D)),),))),"")</f>
        <v/>
      </c>
      <c r="I224" s="56" t="str">
        <f>IF(H224="","",INDEX(生物种群!$B$3:INDEX(生物种群!$B:$B,COUNTA(生物种群!$B:$B)),MATCH($H224,生物种群!$A$3:INDEX(生物种群!$A:$A,COUNTA(生物种群!$A:$A)),),))</f>
        <v/>
      </c>
      <c r="J224" s="55" t="str">
        <f>IF(H224="","",INDEX(生物种群!$I$3:INDEX(生物种群!$I:$I,COUNTA(生物种群!$I:$I)),MATCH($H224,生物种群!$A$3:INDEX(生物种群!$A:$A,COUNTA(生物种群!$A:$A)),),))</f>
        <v/>
      </c>
      <c r="K224" s="55" t="str">
        <f>IF(H224="","",INDEX(生物种群!$E$3:INDEX(生物种群!$E:$E,COUNTA(生物种群!$E:$E)),MATCH($H224,生物种群!$A$3:INDEX(生物种群!$A:$A,COUNTA(生物种群!$A:$A)),),))</f>
        <v/>
      </c>
      <c r="L224" s="46" t="str">
        <f t="shared" si="15"/>
        <v/>
      </c>
      <c r="M224" s="47" t="str">
        <f>IF(L224="","",ROUND((L224)/VLOOKUP($F224,IF({1,0},站位样品信息!$A$3:INDEX(站位样品信息!$A:$A,COUNTA(站位样品信息!$A:$A)+1),站位样品信息!$H$3:INDEX(站位样品信息!$H:$H,COUNTA(站位样品信息!$H:$H)+1)),2,0),2))</f>
        <v/>
      </c>
      <c r="O224" s="49"/>
      <c r="P224" s="53" t="str">
        <f t="shared" si="13"/>
        <v/>
      </c>
      <c r="Q224" s="53" t="str">
        <f t="shared" si="14"/>
        <v/>
      </c>
    </row>
    <row r="225" spans="1:17" ht="19.5" customHeight="1">
      <c r="A225" s="38"/>
      <c r="B225" s="38"/>
      <c r="C225" s="38"/>
      <c r="D225" s="37"/>
      <c r="E225" s="37"/>
      <c r="F225" s="37"/>
      <c r="G225" s="37" t="str">
        <f>IF(F225="","",INDEX(站位样品信息!$B$3:INDEX(站位样品信息!$B:$B,COUNTA(站位样品信息!$B:$B)+1),MATCH($F225,站位样品信息!$A$3:INDEX(站位样品信息!$A:$A,COUNTA(站位样品信息!$A:$A)+1),),))</f>
        <v/>
      </c>
      <c r="H225" s="55" t="str">
        <f>IF(OR(A225&lt;&gt;"",B225&lt;&gt;"",C225&lt;&gt;""),IF($C225&lt;&gt;0,INDEX(生物种群!$A$3:INDEX(生物种群!$A:$A,COUNTA(生物种群!$A:$A)),MATCH($C225,生物种群!$F$3:INDEX(生物种群!$F:$F,COUNTA(生物种群!$F:$F)),),),IF($A225&lt;&gt;0,INDEX(生物种群!$A$3:INDEX(生物种群!$A:$A,COUNTA(生物种群!$A:$A)),MATCH($A225,生物种群!$C$3:INDEX(生物种群!$C:$C,COUNTA(生物种群!$C:$C)),),),INDEX(生物种群!$A$3:INDEX(生物种群!$A:$A,COUNTA(生物种群!$A:$A)),MATCH($B225,生物种群!$D$3:INDEX(生物种群!$D:$D,COUNTA(生物种群!$D:$D)),),))),"")</f>
        <v/>
      </c>
      <c r="I225" s="56" t="str">
        <f>IF(H225="","",INDEX(生物种群!$B$3:INDEX(生物种群!$B:$B,COUNTA(生物种群!$B:$B)),MATCH($H225,生物种群!$A$3:INDEX(生物种群!$A:$A,COUNTA(生物种群!$A:$A)),),))</f>
        <v/>
      </c>
      <c r="J225" s="55" t="str">
        <f>IF(H225="","",INDEX(生物种群!$I$3:INDEX(生物种群!$I:$I,COUNTA(生物种群!$I:$I)),MATCH($H225,生物种群!$A$3:INDEX(生物种群!$A:$A,COUNTA(生物种群!$A:$A)),),))</f>
        <v/>
      </c>
      <c r="K225" s="55" t="str">
        <f>IF(H225="","",INDEX(生物种群!$E$3:INDEX(生物种群!$E:$E,COUNTA(生物种群!$E:$E)),MATCH($H225,生物种群!$A$3:INDEX(生物种群!$A:$A,COUNTA(生物种群!$A:$A)),),))</f>
        <v/>
      </c>
      <c r="L225" s="46" t="str">
        <f t="shared" si="15"/>
        <v/>
      </c>
      <c r="M225" s="47" t="str">
        <f>IF(L225="","",ROUND((L225)/VLOOKUP($F225,IF({1,0},站位样品信息!$A$3:INDEX(站位样品信息!$A:$A,COUNTA(站位样品信息!$A:$A)+1),站位样品信息!$H$3:INDEX(站位样品信息!$H:$H,COUNTA(站位样品信息!$H:$H)+1)),2,0),2))</f>
        <v/>
      </c>
      <c r="O225" s="49"/>
      <c r="P225" s="53" t="str">
        <f t="shared" si="13"/>
        <v/>
      </c>
      <c r="Q225" s="53" t="str">
        <f t="shared" si="14"/>
        <v/>
      </c>
    </row>
    <row r="226" spans="1:17" ht="19.5" customHeight="1">
      <c r="A226" s="38"/>
      <c r="B226" s="38"/>
      <c r="C226" s="38"/>
      <c r="D226" s="37"/>
      <c r="E226" s="37"/>
      <c r="F226" s="37"/>
      <c r="G226" s="37" t="str">
        <f>IF(F226="","",INDEX(站位样品信息!$B$3:INDEX(站位样品信息!$B:$B,COUNTA(站位样品信息!$B:$B)+1),MATCH($F226,站位样品信息!$A$3:INDEX(站位样品信息!$A:$A,COUNTA(站位样品信息!$A:$A)+1),),))</f>
        <v/>
      </c>
      <c r="H226" s="55" t="str">
        <f>IF(OR(A226&lt;&gt;"",B226&lt;&gt;"",C226&lt;&gt;""),IF($C226&lt;&gt;0,INDEX(生物种群!$A$3:INDEX(生物种群!$A:$A,COUNTA(生物种群!$A:$A)),MATCH($C226,生物种群!$F$3:INDEX(生物种群!$F:$F,COUNTA(生物种群!$F:$F)),),),IF($A226&lt;&gt;0,INDEX(生物种群!$A$3:INDEX(生物种群!$A:$A,COUNTA(生物种群!$A:$A)),MATCH($A226,生物种群!$C$3:INDEX(生物种群!$C:$C,COUNTA(生物种群!$C:$C)),),),INDEX(生物种群!$A$3:INDEX(生物种群!$A:$A,COUNTA(生物种群!$A:$A)),MATCH($B226,生物种群!$D$3:INDEX(生物种群!$D:$D,COUNTA(生物种群!$D:$D)),),))),"")</f>
        <v/>
      </c>
      <c r="I226" s="56" t="str">
        <f>IF(H226="","",INDEX(生物种群!$B$3:INDEX(生物种群!$B:$B,COUNTA(生物种群!$B:$B)),MATCH($H226,生物种群!$A$3:INDEX(生物种群!$A:$A,COUNTA(生物种群!$A:$A)),),))</f>
        <v/>
      </c>
      <c r="J226" s="55" t="str">
        <f>IF(H226="","",INDEX(生物种群!$I$3:INDEX(生物种群!$I:$I,COUNTA(生物种群!$I:$I)),MATCH($H226,生物种群!$A$3:INDEX(生物种群!$A:$A,COUNTA(生物种群!$A:$A)),),))</f>
        <v/>
      </c>
      <c r="K226" s="55" t="str">
        <f>IF(H226="","",INDEX(生物种群!$E$3:INDEX(生物种群!$E:$E,COUNTA(生物种群!$E:$E)),MATCH($H226,生物种群!$A$3:INDEX(生物种群!$A:$A,COUNTA(生物种群!$A:$A)),),))</f>
        <v/>
      </c>
      <c r="L226" s="46" t="str">
        <f t="shared" si="15"/>
        <v/>
      </c>
      <c r="M226" s="47" t="str">
        <f>IF(L226="","",ROUND((L226)/VLOOKUP($F226,IF({1,0},站位样品信息!$A$3:INDEX(站位样品信息!$A:$A,COUNTA(站位样品信息!$A:$A)+1),站位样品信息!$H$3:INDEX(站位样品信息!$H:$H,COUNTA(站位样品信息!$H:$H)+1)),2,0),2))</f>
        <v/>
      </c>
      <c r="O226" s="49"/>
      <c r="P226" s="53" t="str">
        <f t="shared" si="13"/>
        <v/>
      </c>
      <c r="Q226" s="53" t="str">
        <f t="shared" si="14"/>
        <v/>
      </c>
    </row>
    <row r="227" spans="1:17" ht="19.5" customHeight="1">
      <c r="A227" s="38"/>
      <c r="B227" s="38"/>
      <c r="C227" s="38"/>
      <c r="D227" s="37"/>
      <c r="E227" s="37"/>
      <c r="F227" s="37"/>
      <c r="G227" s="37" t="str">
        <f>IF(F227="","",INDEX(站位样品信息!$B$3:INDEX(站位样品信息!$B:$B,COUNTA(站位样品信息!$B:$B)+1),MATCH($F227,站位样品信息!$A$3:INDEX(站位样品信息!$A:$A,COUNTA(站位样品信息!$A:$A)+1),),))</f>
        <v/>
      </c>
      <c r="H227" s="55" t="str">
        <f>IF(OR(A227&lt;&gt;"",B227&lt;&gt;"",C227&lt;&gt;""),IF($C227&lt;&gt;0,INDEX(生物种群!$A$3:INDEX(生物种群!$A:$A,COUNTA(生物种群!$A:$A)),MATCH($C227,生物种群!$F$3:INDEX(生物种群!$F:$F,COUNTA(生物种群!$F:$F)),),),IF($A227&lt;&gt;0,INDEX(生物种群!$A$3:INDEX(生物种群!$A:$A,COUNTA(生物种群!$A:$A)),MATCH($A227,生物种群!$C$3:INDEX(生物种群!$C:$C,COUNTA(生物种群!$C:$C)),),),INDEX(生物种群!$A$3:INDEX(生物种群!$A:$A,COUNTA(生物种群!$A:$A)),MATCH($B227,生物种群!$D$3:INDEX(生物种群!$D:$D,COUNTA(生物种群!$D:$D)),),))),"")</f>
        <v/>
      </c>
      <c r="I227" s="56" t="str">
        <f>IF(H227="","",INDEX(生物种群!$B$3:INDEX(生物种群!$B:$B,COUNTA(生物种群!$B:$B)),MATCH($H227,生物种群!$A$3:INDEX(生物种群!$A:$A,COUNTA(生物种群!$A:$A)),),))</f>
        <v/>
      </c>
      <c r="J227" s="55" t="str">
        <f>IF(H227="","",INDEX(生物种群!$I$3:INDEX(生物种群!$I:$I,COUNTA(生物种群!$I:$I)),MATCH($H227,生物种群!$A$3:INDEX(生物种群!$A:$A,COUNTA(生物种群!$A:$A)),),))</f>
        <v/>
      </c>
      <c r="K227" s="55" t="str">
        <f>IF(H227="","",INDEX(生物种群!$E$3:INDEX(生物种群!$E:$E,COUNTA(生物种群!$E:$E)),MATCH($H227,生物种群!$A$3:INDEX(生物种群!$A:$A,COUNTA(生物种群!$A:$A)),),))</f>
        <v/>
      </c>
      <c r="L227" s="46" t="str">
        <f t="shared" si="15"/>
        <v/>
      </c>
      <c r="M227" s="47" t="str">
        <f>IF(L227="","",ROUND((L227)/VLOOKUP($F227,IF({1,0},站位样品信息!$A$3:INDEX(站位样品信息!$A:$A,COUNTA(站位样品信息!$A:$A)+1),站位样品信息!$H$3:INDEX(站位样品信息!$H:$H,COUNTA(站位样品信息!$H:$H)+1)),2,0),2))</f>
        <v/>
      </c>
      <c r="O227" s="49"/>
      <c r="P227" s="53" t="str">
        <f t="shared" si="13"/>
        <v/>
      </c>
      <c r="Q227" s="53" t="str">
        <f t="shared" si="14"/>
        <v/>
      </c>
    </row>
    <row r="228" spans="1:17" ht="19.5" customHeight="1">
      <c r="A228" s="38"/>
      <c r="B228" s="38"/>
      <c r="C228" s="38"/>
      <c r="D228" s="37"/>
      <c r="E228" s="37"/>
      <c r="F228" s="37"/>
      <c r="G228" s="37" t="str">
        <f>IF(F228="","",INDEX(站位样品信息!$B$3:INDEX(站位样品信息!$B:$B,COUNTA(站位样品信息!$B:$B)+1),MATCH($F228,站位样品信息!$A$3:INDEX(站位样品信息!$A:$A,COUNTA(站位样品信息!$A:$A)+1),),))</f>
        <v/>
      </c>
      <c r="H228" s="55" t="str">
        <f>IF(OR(A228&lt;&gt;"",B228&lt;&gt;"",C228&lt;&gt;""),IF($C228&lt;&gt;0,INDEX(生物种群!$A$3:INDEX(生物种群!$A:$A,COUNTA(生物种群!$A:$A)),MATCH($C228,生物种群!$F$3:INDEX(生物种群!$F:$F,COUNTA(生物种群!$F:$F)),),),IF($A228&lt;&gt;0,INDEX(生物种群!$A$3:INDEX(生物种群!$A:$A,COUNTA(生物种群!$A:$A)),MATCH($A228,生物种群!$C$3:INDEX(生物种群!$C:$C,COUNTA(生物种群!$C:$C)),),),INDEX(生物种群!$A$3:INDEX(生物种群!$A:$A,COUNTA(生物种群!$A:$A)),MATCH($B228,生物种群!$D$3:INDEX(生物种群!$D:$D,COUNTA(生物种群!$D:$D)),),))),"")</f>
        <v/>
      </c>
      <c r="I228" s="56" t="str">
        <f>IF(H228="","",INDEX(生物种群!$B$3:INDEX(生物种群!$B:$B,COUNTA(生物种群!$B:$B)),MATCH($H228,生物种群!$A$3:INDEX(生物种群!$A:$A,COUNTA(生物种群!$A:$A)),),))</f>
        <v/>
      </c>
      <c r="J228" s="55" t="str">
        <f>IF(H228="","",INDEX(生物种群!$I$3:INDEX(生物种群!$I:$I,COUNTA(生物种群!$I:$I)),MATCH($H228,生物种群!$A$3:INDEX(生物种群!$A:$A,COUNTA(生物种群!$A:$A)),),))</f>
        <v/>
      </c>
      <c r="K228" s="55" t="str">
        <f>IF(H228="","",INDEX(生物种群!$E$3:INDEX(生物种群!$E:$E,COUNTA(生物种群!$E:$E)),MATCH($H228,生物种群!$A$3:INDEX(生物种群!$A:$A,COUNTA(生物种群!$A:$A)),),))</f>
        <v/>
      </c>
      <c r="L228" s="46" t="str">
        <f t="shared" si="15"/>
        <v/>
      </c>
      <c r="M228" s="47" t="str">
        <f>IF(L228="","",ROUND((L228)/VLOOKUP($F228,IF({1,0},站位样品信息!$A$3:INDEX(站位样品信息!$A:$A,COUNTA(站位样品信息!$A:$A)+1),站位样品信息!$H$3:INDEX(站位样品信息!$H:$H,COUNTA(站位样品信息!$H:$H)+1)),2,0),2))</f>
        <v/>
      </c>
      <c r="O228" s="49"/>
      <c r="P228" s="53" t="str">
        <f t="shared" si="13"/>
        <v/>
      </c>
      <c r="Q228" s="53" t="str">
        <f t="shared" si="14"/>
        <v/>
      </c>
    </row>
    <row r="229" spans="1:17" ht="19.5" customHeight="1">
      <c r="A229" s="38"/>
      <c r="B229" s="38"/>
      <c r="C229" s="38"/>
      <c r="D229" s="37"/>
      <c r="E229" s="37"/>
      <c r="F229" s="37"/>
      <c r="G229" s="37" t="str">
        <f>IF(F229="","",INDEX(站位样品信息!$B$3:INDEX(站位样品信息!$B:$B,COUNTA(站位样品信息!$B:$B)+1),MATCH($F229,站位样品信息!$A$3:INDEX(站位样品信息!$A:$A,COUNTA(站位样品信息!$A:$A)+1),),))</f>
        <v/>
      </c>
      <c r="H229" s="55" t="str">
        <f>IF(OR(A229&lt;&gt;"",B229&lt;&gt;"",C229&lt;&gt;""),IF($C229&lt;&gt;0,INDEX(生物种群!$A$3:INDEX(生物种群!$A:$A,COUNTA(生物种群!$A:$A)),MATCH($C229,生物种群!$F$3:INDEX(生物种群!$F:$F,COUNTA(生物种群!$F:$F)),),),IF($A229&lt;&gt;0,INDEX(生物种群!$A$3:INDEX(生物种群!$A:$A,COUNTA(生物种群!$A:$A)),MATCH($A229,生物种群!$C$3:INDEX(生物种群!$C:$C,COUNTA(生物种群!$C:$C)),),),INDEX(生物种群!$A$3:INDEX(生物种群!$A:$A,COUNTA(生物种群!$A:$A)),MATCH($B229,生物种群!$D$3:INDEX(生物种群!$D:$D,COUNTA(生物种群!$D:$D)),),))),"")</f>
        <v/>
      </c>
      <c r="I229" s="56" t="str">
        <f>IF(H229="","",INDEX(生物种群!$B$3:INDEX(生物种群!$B:$B,COUNTA(生物种群!$B:$B)),MATCH($H229,生物种群!$A$3:INDEX(生物种群!$A:$A,COUNTA(生物种群!$A:$A)),),))</f>
        <v/>
      </c>
      <c r="J229" s="55" t="str">
        <f>IF(H229="","",INDEX(生物种群!$I$3:INDEX(生物种群!$I:$I,COUNTA(生物种群!$I:$I)),MATCH($H229,生物种群!$A$3:INDEX(生物种群!$A:$A,COUNTA(生物种群!$A:$A)),),))</f>
        <v/>
      </c>
      <c r="K229" s="55" t="str">
        <f>IF(H229="","",INDEX(生物种群!$E$3:INDEX(生物种群!$E:$E,COUNTA(生物种群!$E:$E)),MATCH($H229,生物种群!$A$3:INDEX(生物种群!$A:$A,COUNTA(生物种群!$A:$A)),),))</f>
        <v/>
      </c>
      <c r="L229" s="46" t="str">
        <f t="shared" si="15"/>
        <v/>
      </c>
      <c r="M229" s="47" t="str">
        <f>IF(L229="","",ROUND((L229)/VLOOKUP($F229,IF({1,0},站位样品信息!$A$3:INDEX(站位样品信息!$A:$A,COUNTA(站位样品信息!$A:$A)+1),站位样品信息!$H$3:INDEX(站位样品信息!$H:$H,COUNTA(站位样品信息!$H:$H)+1)),2,0),2))</f>
        <v/>
      </c>
      <c r="O229" s="49"/>
      <c r="P229" s="53" t="str">
        <f t="shared" si="13"/>
        <v/>
      </c>
      <c r="Q229" s="53" t="str">
        <f t="shared" si="14"/>
        <v/>
      </c>
    </row>
    <row r="230" spans="1:17" ht="19.5" customHeight="1">
      <c r="A230" s="38"/>
      <c r="B230" s="38"/>
      <c r="C230" s="38"/>
      <c r="D230" s="37"/>
      <c r="E230" s="37"/>
      <c r="F230" s="37"/>
      <c r="G230" s="37" t="str">
        <f>IF(F230="","",INDEX(站位样品信息!$B$3:INDEX(站位样品信息!$B:$B,COUNTA(站位样品信息!$B:$B)+1),MATCH($F230,站位样品信息!$A$3:INDEX(站位样品信息!$A:$A,COUNTA(站位样品信息!$A:$A)+1),),))</f>
        <v/>
      </c>
      <c r="H230" s="55" t="str">
        <f>IF(OR(A230&lt;&gt;"",B230&lt;&gt;"",C230&lt;&gt;""),IF($C230&lt;&gt;0,INDEX(生物种群!$A$3:INDEX(生物种群!$A:$A,COUNTA(生物种群!$A:$A)),MATCH($C230,生物种群!$F$3:INDEX(生物种群!$F:$F,COUNTA(生物种群!$F:$F)),),),IF($A230&lt;&gt;0,INDEX(生物种群!$A$3:INDEX(生物种群!$A:$A,COUNTA(生物种群!$A:$A)),MATCH($A230,生物种群!$C$3:INDEX(生物种群!$C:$C,COUNTA(生物种群!$C:$C)),),),INDEX(生物种群!$A$3:INDEX(生物种群!$A:$A,COUNTA(生物种群!$A:$A)),MATCH($B230,生物种群!$D$3:INDEX(生物种群!$D:$D,COUNTA(生物种群!$D:$D)),),))),"")</f>
        <v/>
      </c>
      <c r="I230" s="56" t="str">
        <f>IF(H230="","",INDEX(生物种群!$B$3:INDEX(生物种群!$B:$B,COUNTA(生物种群!$B:$B)),MATCH($H230,生物种群!$A$3:INDEX(生物种群!$A:$A,COUNTA(生物种群!$A:$A)),),))</f>
        <v/>
      </c>
      <c r="J230" s="55" t="str">
        <f>IF(H230="","",INDEX(生物种群!$I$3:INDEX(生物种群!$I:$I,COUNTA(生物种群!$I:$I)),MATCH($H230,生物种群!$A$3:INDEX(生物种群!$A:$A,COUNTA(生物种群!$A:$A)),),))</f>
        <v/>
      </c>
      <c r="K230" s="55" t="str">
        <f>IF(H230="","",INDEX(生物种群!$E$3:INDEX(生物种群!$E:$E,COUNTA(生物种群!$E:$E)),MATCH($H230,生物种群!$A$3:INDEX(生物种群!$A:$A,COUNTA(生物种群!$A:$A)),),))</f>
        <v/>
      </c>
      <c r="L230" s="46" t="str">
        <f t="shared" si="15"/>
        <v/>
      </c>
      <c r="M230" s="47" t="str">
        <f>IF(L230="","",ROUND((L230)/VLOOKUP($F230,IF({1,0},站位样品信息!$A$3:INDEX(站位样品信息!$A:$A,COUNTA(站位样品信息!$A:$A)+1),站位样品信息!$H$3:INDEX(站位样品信息!$H:$H,COUNTA(站位样品信息!$H:$H)+1)),2,0),2))</f>
        <v/>
      </c>
      <c r="O230" s="49"/>
      <c r="P230" s="53" t="str">
        <f t="shared" si="13"/>
        <v/>
      </c>
      <c r="Q230" s="53" t="str">
        <f t="shared" si="14"/>
        <v/>
      </c>
    </row>
    <row r="231" spans="1:17" ht="19.5" customHeight="1">
      <c r="A231" s="38"/>
      <c r="B231" s="38"/>
      <c r="C231" s="38"/>
      <c r="D231" s="37"/>
      <c r="E231" s="37"/>
      <c r="F231" s="37"/>
      <c r="G231" s="37" t="str">
        <f>IF(F231="","",INDEX(站位样品信息!$B$3:INDEX(站位样品信息!$B:$B,COUNTA(站位样品信息!$B:$B)+1),MATCH($F231,站位样品信息!$A$3:INDEX(站位样品信息!$A:$A,COUNTA(站位样品信息!$A:$A)+1),),))</f>
        <v/>
      </c>
      <c r="H231" s="55" t="str">
        <f>IF(OR(A231&lt;&gt;"",B231&lt;&gt;"",C231&lt;&gt;""),IF($C231&lt;&gt;0,INDEX(生物种群!$A$3:INDEX(生物种群!$A:$A,COUNTA(生物种群!$A:$A)),MATCH($C231,生物种群!$F$3:INDEX(生物种群!$F:$F,COUNTA(生物种群!$F:$F)),),),IF($A231&lt;&gt;0,INDEX(生物种群!$A$3:INDEX(生物种群!$A:$A,COUNTA(生物种群!$A:$A)),MATCH($A231,生物种群!$C$3:INDEX(生物种群!$C:$C,COUNTA(生物种群!$C:$C)),),),INDEX(生物种群!$A$3:INDEX(生物种群!$A:$A,COUNTA(生物种群!$A:$A)),MATCH($B231,生物种群!$D$3:INDEX(生物种群!$D:$D,COUNTA(生物种群!$D:$D)),),))),"")</f>
        <v/>
      </c>
      <c r="I231" s="56" t="str">
        <f>IF(H231="","",INDEX(生物种群!$B$3:INDEX(生物种群!$B:$B,COUNTA(生物种群!$B:$B)),MATCH($H231,生物种群!$A$3:INDEX(生物种群!$A:$A,COUNTA(生物种群!$A:$A)),),))</f>
        <v/>
      </c>
      <c r="J231" s="55" t="str">
        <f>IF(H231="","",INDEX(生物种群!$I$3:INDEX(生物种群!$I:$I,COUNTA(生物种群!$I:$I)),MATCH($H231,生物种群!$A$3:INDEX(生物种群!$A:$A,COUNTA(生物种群!$A:$A)),),))</f>
        <v/>
      </c>
      <c r="K231" s="55" t="str">
        <f>IF(H231="","",INDEX(生物种群!$E$3:INDEX(生物种群!$E:$E,COUNTA(生物种群!$E:$E)),MATCH($H231,生物种群!$A$3:INDEX(生物种群!$A:$A,COUNTA(生物种群!$A:$A)),),))</f>
        <v/>
      </c>
      <c r="L231" s="46" t="str">
        <f t="shared" si="15"/>
        <v/>
      </c>
      <c r="M231" s="47" t="str">
        <f>IF(L231="","",ROUND((L231)/VLOOKUP($F231,IF({1,0},站位样品信息!$A$3:INDEX(站位样品信息!$A:$A,COUNTA(站位样品信息!$A:$A)+1),站位样品信息!$H$3:INDEX(站位样品信息!$H:$H,COUNTA(站位样品信息!$H:$H)+1)),2,0),2))</f>
        <v/>
      </c>
      <c r="O231" s="49"/>
      <c r="P231" s="53" t="str">
        <f t="shared" si="13"/>
        <v/>
      </c>
      <c r="Q231" s="53" t="str">
        <f t="shared" si="14"/>
        <v/>
      </c>
    </row>
    <row r="232" spans="1:17" ht="19.5" customHeight="1">
      <c r="A232" s="38"/>
      <c r="B232" s="38"/>
      <c r="C232" s="38"/>
      <c r="D232" s="37"/>
      <c r="E232" s="37"/>
      <c r="F232" s="37"/>
      <c r="G232" s="37" t="str">
        <f>IF(F232="","",INDEX(站位样品信息!$B$3:INDEX(站位样品信息!$B:$B,COUNTA(站位样品信息!$B:$B)+1),MATCH($F232,站位样品信息!$A$3:INDEX(站位样品信息!$A:$A,COUNTA(站位样品信息!$A:$A)+1),),))</f>
        <v/>
      </c>
      <c r="H232" s="55" t="str">
        <f>IF(OR(A232&lt;&gt;"",B232&lt;&gt;"",C232&lt;&gt;""),IF($C232&lt;&gt;0,INDEX(生物种群!$A$3:INDEX(生物种群!$A:$A,COUNTA(生物种群!$A:$A)),MATCH($C232,生物种群!$F$3:INDEX(生物种群!$F:$F,COUNTA(生物种群!$F:$F)),),),IF($A232&lt;&gt;0,INDEX(生物种群!$A$3:INDEX(生物种群!$A:$A,COUNTA(生物种群!$A:$A)),MATCH($A232,生物种群!$C$3:INDEX(生物种群!$C:$C,COUNTA(生物种群!$C:$C)),),),INDEX(生物种群!$A$3:INDEX(生物种群!$A:$A,COUNTA(生物种群!$A:$A)),MATCH($B232,生物种群!$D$3:INDEX(生物种群!$D:$D,COUNTA(生物种群!$D:$D)),),))),"")</f>
        <v/>
      </c>
      <c r="I232" s="56" t="str">
        <f>IF(H232="","",INDEX(生物种群!$B$3:INDEX(生物种群!$B:$B,COUNTA(生物种群!$B:$B)),MATCH($H232,生物种群!$A$3:INDEX(生物种群!$A:$A,COUNTA(生物种群!$A:$A)),),))</f>
        <v/>
      </c>
      <c r="J232" s="55" t="str">
        <f>IF(H232="","",INDEX(生物种群!$I$3:INDEX(生物种群!$I:$I,COUNTA(生物种群!$I:$I)),MATCH($H232,生物种群!$A$3:INDEX(生物种群!$A:$A,COUNTA(生物种群!$A:$A)),),))</f>
        <v/>
      </c>
      <c r="K232" s="55" t="str">
        <f>IF(H232="","",INDEX(生物种群!$E$3:INDEX(生物种群!$E:$E,COUNTA(生物种群!$E:$E)),MATCH($H232,生物种群!$A$3:INDEX(生物种群!$A:$A,COUNTA(生物种群!$A:$A)),),))</f>
        <v/>
      </c>
      <c r="L232" s="46" t="str">
        <f t="shared" si="15"/>
        <v/>
      </c>
      <c r="M232" s="47" t="str">
        <f>IF(L232="","",ROUND((L232)/VLOOKUP($F232,IF({1,0},站位样品信息!$A$3:INDEX(站位样品信息!$A:$A,COUNTA(站位样品信息!$A:$A)+1),站位样品信息!$H$3:INDEX(站位样品信息!$H:$H,COUNTA(站位样品信息!$H:$H)+1)),2,0),2))</f>
        <v/>
      </c>
      <c r="O232" s="49"/>
      <c r="P232" s="53" t="str">
        <f t="shared" si="13"/>
        <v/>
      </c>
      <c r="Q232" s="53" t="str">
        <f t="shared" si="14"/>
        <v/>
      </c>
    </row>
    <row r="233" spans="1:17" ht="19.5" customHeight="1">
      <c r="A233" s="38"/>
      <c r="B233" s="38"/>
      <c r="C233" s="38"/>
      <c r="D233" s="37"/>
      <c r="E233" s="37"/>
      <c r="F233" s="37"/>
      <c r="G233" s="37" t="str">
        <f>IF(F233="","",INDEX(站位样品信息!$B$3:INDEX(站位样品信息!$B:$B,COUNTA(站位样品信息!$B:$B)+1),MATCH($F233,站位样品信息!$A$3:INDEX(站位样品信息!$A:$A,COUNTA(站位样品信息!$A:$A)+1),),))</f>
        <v/>
      </c>
      <c r="H233" s="55" t="str">
        <f>IF(OR(A233&lt;&gt;"",B233&lt;&gt;"",C233&lt;&gt;""),IF($C233&lt;&gt;0,INDEX(生物种群!$A$3:INDEX(生物种群!$A:$A,COUNTA(生物种群!$A:$A)),MATCH($C233,生物种群!$F$3:INDEX(生物种群!$F:$F,COUNTA(生物种群!$F:$F)),),),IF($A233&lt;&gt;0,INDEX(生物种群!$A$3:INDEX(生物种群!$A:$A,COUNTA(生物种群!$A:$A)),MATCH($A233,生物种群!$C$3:INDEX(生物种群!$C:$C,COUNTA(生物种群!$C:$C)),),),INDEX(生物种群!$A$3:INDEX(生物种群!$A:$A,COUNTA(生物种群!$A:$A)),MATCH($B233,生物种群!$D$3:INDEX(生物种群!$D:$D,COUNTA(生物种群!$D:$D)),),))),"")</f>
        <v/>
      </c>
      <c r="I233" s="56" t="str">
        <f>IF(H233="","",INDEX(生物种群!$B$3:INDEX(生物种群!$B:$B,COUNTA(生物种群!$B:$B)),MATCH($H233,生物种群!$A$3:INDEX(生物种群!$A:$A,COUNTA(生物种群!$A:$A)),),))</f>
        <v/>
      </c>
      <c r="J233" s="55" t="str">
        <f>IF(H233="","",INDEX(生物种群!$I$3:INDEX(生物种群!$I:$I,COUNTA(生物种群!$I:$I)),MATCH($H233,生物种群!$A$3:INDEX(生物种群!$A:$A,COUNTA(生物种群!$A:$A)),),))</f>
        <v/>
      </c>
      <c r="K233" s="55" t="str">
        <f>IF(H233="","",INDEX(生物种群!$E$3:INDEX(生物种群!$E:$E,COUNTA(生物种群!$E:$E)),MATCH($H233,生物种群!$A$3:INDEX(生物种群!$A:$A,COUNTA(生物种群!$A:$A)),),))</f>
        <v/>
      </c>
      <c r="L233" s="46" t="str">
        <f t="shared" si="15"/>
        <v/>
      </c>
      <c r="M233" s="47" t="str">
        <f>IF(L233="","",ROUND((L233)/VLOOKUP($F233,IF({1,0},站位样品信息!$A$3:INDEX(站位样品信息!$A:$A,COUNTA(站位样品信息!$A:$A)+1),站位样品信息!$H$3:INDEX(站位样品信息!$H:$H,COUNTA(站位样品信息!$H:$H)+1)),2,0),2))</f>
        <v/>
      </c>
      <c r="O233" s="49"/>
      <c r="P233" s="53" t="str">
        <f t="shared" si="13"/>
        <v/>
      </c>
      <c r="Q233" s="53" t="str">
        <f t="shared" si="14"/>
        <v/>
      </c>
    </row>
    <row r="234" spans="1:17" ht="19.5" customHeight="1">
      <c r="A234" s="38"/>
      <c r="B234" s="38"/>
      <c r="C234" s="38"/>
      <c r="D234" s="37"/>
      <c r="E234" s="37"/>
      <c r="F234" s="37"/>
      <c r="G234" s="37" t="str">
        <f>IF(F234="","",INDEX(站位样品信息!$B$3:INDEX(站位样品信息!$B:$B,COUNTA(站位样品信息!$B:$B)+1),MATCH($F234,站位样品信息!$A$3:INDEX(站位样品信息!$A:$A,COUNTA(站位样品信息!$A:$A)+1),),))</f>
        <v/>
      </c>
      <c r="H234" s="55" t="str">
        <f>IF(OR(A234&lt;&gt;"",B234&lt;&gt;"",C234&lt;&gt;""),IF($C234&lt;&gt;0,INDEX(生物种群!$A$3:INDEX(生物种群!$A:$A,COUNTA(生物种群!$A:$A)),MATCH($C234,生物种群!$F$3:INDEX(生物种群!$F:$F,COUNTA(生物种群!$F:$F)),),),IF($A234&lt;&gt;0,INDEX(生物种群!$A$3:INDEX(生物种群!$A:$A,COUNTA(生物种群!$A:$A)),MATCH($A234,生物种群!$C$3:INDEX(生物种群!$C:$C,COUNTA(生物种群!$C:$C)),),),INDEX(生物种群!$A$3:INDEX(生物种群!$A:$A,COUNTA(生物种群!$A:$A)),MATCH($B234,生物种群!$D$3:INDEX(生物种群!$D:$D,COUNTA(生物种群!$D:$D)),),))),"")</f>
        <v/>
      </c>
      <c r="I234" s="56" t="str">
        <f>IF(H234="","",INDEX(生物种群!$B$3:INDEX(生物种群!$B:$B,COUNTA(生物种群!$B:$B)),MATCH($H234,生物种群!$A$3:INDEX(生物种群!$A:$A,COUNTA(生物种群!$A:$A)),),))</f>
        <v/>
      </c>
      <c r="J234" s="55" t="str">
        <f>IF(H234="","",INDEX(生物种群!$I$3:INDEX(生物种群!$I:$I,COUNTA(生物种群!$I:$I)),MATCH($H234,生物种群!$A$3:INDEX(生物种群!$A:$A,COUNTA(生物种群!$A:$A)),),))</f>
        <v/>
      </c>
      <c r="K234" s="55" t="str">
        <f>IF(H234="","",INDEX(生物种群!$E$3:INDEX(生物种群!$E:$E,COUNTA(生物种群!$E:$E)),MATCH($H234,生物种群!$A$3:INDEX(生物种群!$A:$A,COUNTA(生物种群!$A:$A)),),))</f>
        <v/>
      </c>
      <c r="L234" s="46" t="str">
        <f t="shared" si="15"/>
        <v/>
      </c>
      <c r="M234" s="47" t="str">
        <f>IF(L234="","",ROUND((L234)/VLOOKUP($F234,IF({1,0},站位样品信息!$A$3:INDEX(站位样品信息!$A:$A,COUNTA(站位样品信息!$A:$A)+1),站位样品信息!$H$3:INDEX(站位样品信息!$H:$H,COUNTA(站位样品信息!$H:$H)+1)),2,0),2))</f>
        <v/>
      </c>
      <c r="O234" s="49"/>
      <c r="P234" s="53" t="str">
        <f t="shared" si="13"/>
        <v/>
      </c>
      <c r="Q234" s="53" t="str">
        <f t="shared" si="14"/>
        <v/>
      </c>
    </row>
    <row r="235" spans="1:17" ht="19.5" customHeight="1">
      <c r="A235" s="38"/>
      <c r="B235" s="38"/>
      <c r="C235" s="38"/>
      <c r="D235" s="37"/>
      <c r="E235" s="37"/>
      <c r="F235" s="37"/>
      <c r="G235" s="37" t="str">
        <f>IF(F235="","",INDEX(站位样品信息!$B$3:INDEX(站位样品信息!$B:$B,COUNTA(站位样品信息!$B:$B)+1),MATCH($F235,站位样品信息!$A$3:INDEX(站位样品信息!$A:$A,COUNTA(站位样品信息!$A:$A)+1),),))</f>
        <v/>
      </c>
      <c r="H235" s="55" t="str">
        <f>IF(OR(A235&lt;&gt;"",B235&lt;&gt;"",C235&lt;&gt;""),IF($C235&lt;&gt;0,INDEX(生物种群!$A$3:INDEX(生物种群!$A:$A,COUNTA(生物种群!$A:$A)),MATCH($C235,生物种群!$F$3:INDEX(生物种群!$F:$F,COUNTA(生物种群!$F:$F)),),),IF($A235&lt;&gt;0,INDEX(生物种群!$A$3:INDEX(生物种群!$A:$A,COUNTA(生物种群!$A:$A)),MATCH($A235,生物种群!$C$3:INDEX(生物种群!$C:$C,COUNTA(生物种群!$C:$C)),),),INDEX(生物种群!$A$3:INDEX(生物种群!$A:$A,COUNTA(生物种群!$A:$A)),MATCH($B235,生物种群!$D$3:INDEX(生物种群!$D:$D,COUNTA(生物种群!$D:$D)),),))),"")</f>
        <v/>
      </c>
      <c r="I235" s="56" t="str">
        <f>IF(H235="","",INDEX(生物种群!$B$3:INDEX(生物种群!$B:$B,COUNTA(生物种群!$B:$B)),MATCH($H235,生物种群!$A$3:INDEX(生物种群!$A:$A,COUNTA(生物种群!$A:$A)),),))</f>
        <v/>
      </c>
      <c r="J235" s="55" t="str">
        <f>IF(H235="","",INDEX(生物种群!$I$3:INDEX(生物种群!$I:$I,COUNTA(生物种群!$I:$I)),MATCH($H235,生物种群!$A$3:INDEX(生物种群!$A:$A,COUNTA(生物种群!$A:$A)),),))</f>
        <v/>
      </c>
      <c r="K235" s="55" t="str">
        <f>IF(H235="","",INDEX(生物种群!$E$3:INDEX(生物种群!$E:$E,COUNTA(生物种群!$E:$E)),MATCH($H235,生物种群!$A$3:INDEX(生物种群!$A:$A,COUNTA(生物种群!$A:$A)),),))</f>
        <v/>
      </c>
      <c r="L235" s="46" t="str">
        <f t="shared" si="15"/>
        <v/>
      </c>
      <c r="M235" s="47" t="str">
        <f>IF(L235="","",ROUND((L235)/VLOOKUP($F235,IF({1,0},站位样品信息!$A$3:INDEX(站位样品信息!$A:$A,COUNTA(站位样品信息!$A:$A)+1),站位样品信息!$H$3:INDEX(站位样品信息!$H:$H,COUNTA(站位样品信息!$H:$H)+1)),2,0),2))</f>
        <v/>
      </c>
      <c r="O235" s="49"/>
      <c r="P235" s="53" t="str">
        <f t="shared" si="13"/>
        <v/>
      </c>
      <c r="Q235" s="53" t="str">
        <f t="shared" si="14"/>
        <v/>
      </c>
    </row>
    <row r="236" spans="1:17" ht="19.5" customHeight="1">
      <c r="A236" s="38"/>
      <c r="B236" s="38"/>
      <c r="C236" s="38"/>
      <c r="D236" s="37"/>
      <c r="E236" s="37"/>
      <c r="F236" s="37"/>
      <c r="G236" s="37" t="str">
        <f>IF(F236="","",INDEX(站位样品信息!$B$3:INDEX(站位样品信息!$B:$B,COUNTA(站位样品信息!$B:$B)+1),MATCH($F236,站位样品信息!$A$3:INDEX(站位样品信息!$A:$A,COUNTA(站位样品信息!$A:$A)+1),),))</f>
        <v/>
      </c>
      <c r="H236" s="55" t="str">
        <f>IF(OR(A236&lt;&gt;"",B236&lt;&gt;"",C236&lt;&gt;""),IF($C236&lt;&gt;0,INDEX(生物种群!$A$3:INDEX(生物种群!$A:$A,COUNTA(生物种群!$A:$A)),MATCH($C236,生物种群!$F$3:INDEX(生物种群!$F:$F,COUNTA(生物种群!$F:$F)),),),IF($A236&lt;&gt;0,INDEX(生物种群!$A$3:INDEX(生物种群!$A:$A,COUNTA(生物种群!$A:$A)),MATCH($A236,生物种群!$C$3:INDEX(生物种群!$C:$C,COUNTA(生物种群!$C:$C)),),),INDEX(生物种群!$A$3:INDEX(生物种群!$A:$A,COUNTA(生物种群!$A:$A)),MATCH($B236,生物种群!$D$3:INDEX(生物种群!$D:$D,COUNTA(生物种群!$D:$D)),),))),"")</f>
        <v/>
      </c>
      <c r="I236" s="56" t="str">
        <f>IF(H236="","",INDEX(生物种群!$B$3:INDEX(生物种群!$B:$B,COUNTA(生物种群!$B:$B)),MATCH($H236,生物种群!$A$3:INDEX(生物种群!$A:$A,COUNTA(生物种群!$A:$A)),),))</f>
        <v/>
      </c>
      <c r="J236" s="55" t="str">
        <f>IF(H236="","",INDEX(生物种群!$I$3:INDEX(生物种群!$I:$I,COUNTA(生物种群!$I:$I)),MATCH($H236,生物种群!$A$3:INDEX(生物种群!$A:$A,COUNTA(生物种群!$A:$A)),),))</f>
        <v/>
      </c>
      <c r="K236" s="55" t="str">
        <f>IF(H236="","",INDEX(生物种群!$E$3:INDEX(生物种群!$E:$E,COUNTA(生物种群!$E:$E)),MATCH($H236,生物种群!$A$3:INDEX(生物种群!$A:$A,COUNTA(生物种群!$A:$A)),),))</f>
        <v/>
      </c>
      <c r="L236" s="46" t="str">
        <f t="shared" si="15"/>
        <v/>
      </c>
      <c r="M236" s="47" t="str">
        <f>IF(L236="","",ROUND((L236)/VLOOKUP($F236,IF({1,0},站位样品信息!$A$3:INDEX(站位样品信息!$A:$A,COUNTA(站位样品信息!$A:$A)+1),站位样品信息!$H$3:INDEX(站位样品信息!$H:$H,COUNTA(站位样品信息!$H:$H)+1)),2,0),2))</f>
        <v/>
      </c>
      <c r="O236" s="49"/>
      <c r="P236" s="53" t="str">
        <f t="shared" si="13"/>
        <v/>
      </c>
      <c r="Q236" s="53" t="str">
        <f t="shared" si="14"/>
        <v/>
      </c>
    </row>
    <row r="237" spans="1:17" ht="19.5" customHeight="1">
      <c r="A237" s="38"/>
      <c r="B237" s="38"/>
      <c r="C237" s="38"/>
      <c r="D237" s="37"/>
      <c r="E237" s="37"/>
      <c r="F237" s="37"/>
      <c r="G237" s="37" t="str">
        <f>IF(F237="","",INDEX(站位样品信息!$B$3:INDEX(站位样品信息!$B:$B,COUNTA(站位样品信息!$B:$B)+1),MATCH($F237,站位样品信息!$A$3:INDEX(站位样品信息!$A:$A,COUNTA(站位样品信息!$A:$A)+1),),))</f>
        <v/>
      </c>
      <c r="H237" s="55" t="str">
        <f>IF(OR(A237&lt;&gt;"",B237&lt;&gt;"",C237&lt;&gt;""),IF($C237&lt;&gt;0,INDEX(生物种群!$A$3:INDEX(生物种群!$A:$A,COUNTA(生物种群!$A:$A)),MATCH($C237,生物种群!$F$3:INDEX(生物种群!$F:$F,COUNTA(生物种群!$F:$F)),),),IF($A237&lt;&gt;0,INDEX(生物种群!$A$3:INDEX(生物种群!$A:$A,COUNTA(生物种群!$A:$A)),MATCH($A237,生物种群!$C$3:INDEX(生物种群!$C:$C,COUNTA(生物种群!$C:$C)),),),INDEX(生物种群!$A$3:INDEX(生物种群!$A:$A,COUNTA(生物种群!$A:$A)),MATCH($B237,生物种群!$D$3:INDEX(生物种群!$D:$D,COUNTA(生物种群!$D:$D)),),))),"")</f>
        <v/>
      </c>
      <c r="I237" s="56" t="str">
        <f>IF(H237="","",INDEX(生物种群!$B$3:INDEX(生物种群!$B:$B,COUNTA(生物种群!$B:$B)),MATCH($H237,生物种群!$A$3:INDEX(生物种群!$A:$A,COUNTA(生物种群!$A:$A)),),))</f>
        <v/>
      </c>
      <c r="J237" s="55" t="str">
        <f>IF(H237="","",INDEX(生物种群!$I$3:INDEX(生物种群!$I:$I,COUNTA(生物种群!$I:$I)),MATCH($H237,生物种群!$A$3:INDEX(生物种群!$A:$A,COUNTA(生物种群!$A:$A)),),))</f>
        <v/>
      </c>
      <c r="K237" s="55" t="str">
        <f>IF(H237="","",INDEX(生物种群!$E$3:INDEX(生物种群!$E:$E,COUNTA(生物种群!$E:$E)),MATCH($H237,生物种群!$A$3:INDEX(生物种群!$A:$A,COUNTA(生物种群!$A:$A)),),))</f>
        <v/>
      </c>
      <c r="L237" s="46" t="str">
        <f t="shared" si="15"/>
        <v/>
      </c>
      <c r="M237" s="47" t="str">
        <f>IF(L237="","",ROUND((L237)/VLOOKUP($F237,IF({1,0},站位样品信息!$A$3:INDEX(站位样品信息!$A:$A,COUNTA(站位样品信息!$A:$A)+1),站位样品信息!$H$3:INDEX(站位样品信息!$H:$H,COUNTA(站位样品信息!$H:$H)+1)),2,0),2))</f>
        <v/>
      </c>
      <c r="O237" s="49"/>
      <c r="P237" s="53" t="str">
        <f t="shared" si="13"/>
        <v/>
      </c>
      <c r="Q237" s="53" t="str">
        <f t="shared" si="14"/>
        <v/>
      </c>
    </row>
    <row r="238" spans="1:17" ht="19.5" customHeight="1">
      <c r="A238" s="38"/>
      <c r="B238" s="38"/>
      <c r="C238" s="38"/>
      <c r="D238" s="37"/>
      <c r="E238" s="37"/>
      <c r="F238" s="37"/>
      <c r="G238" s="37" t="str">
        <f>IF(F238="","",INDEX(站位样品信息!$B$3:INDEX(站位样品信息!$B:$B,COUNTA(站位样品信息!$B:$B)+1),MATCH($F238,站位样品信息!$A$3:INDEX(站位样品信息!$A:$A,COUNTA(站位样品信息!$A:$A)+1),),))</f>
        <v/>
      </c>
      <c r="H238" s="55" t="str">
        <f>IF(OR(A238&lt;&gt;"",B238&lt;&gt;"",C238&lt;&gt;""),IF($C238&lt;&gt;0,INDEX(生物种群!$A$3:INDEX(生物种群!$A:$A,COUNTA(生物种群!$A:$A)),MATCH($C238,生物种群!$F$3:INDEX(生物种群!$F:$F,COUNTA(生物种群!$F:$F)),),),IF($A238&lt;&gt;0,INDEX(生物种群!$A$3:INDEX(生物种群!$A:$A,COUNTA(生物种群!$A:$A)),MATCH($A238,生物种群!$C$3:INDEX(生物种群!$C:$C,COUNTA(生物种群!$C:$C)),),),INDEX(生物种群!$A$3:INDEX(生物种群!$A:$A,COUNTA(生物种群!$A:$A)),MATCH($B238,生物种群!$D$3:INDEX(生物种群!$D:$D,COUNTA(生物种群!$D:$D)),),))),"")</f>
        <v/>
      </c>
      <c r="I238" s="56" t="str">
        <f>IF(H238="","",INDEX(生物种群!$B$3:INDEX(生物种群!$B:$B,COUNTA(生物种群!$B:$B)),MATCH($H238,生物种群!$A$3:INDEX(生物种群!$A:$A,COUNTA(生物种群!$A:$A)),),))</f>
        <v/>
      </c>
      <c r="J238" s="55" t="str">
        <f>IF(H238="","",INDEX(生物种群!$I$3:INDEX(生物种群!$I:$I,COUNTA(生物种群!$I:$I)),MATCH($H238,生物种群!$A$3:INDEX(生物种群!$A:$A,COUNTA(生物种群!$A:$A)),),))</f>
        <v/>
      </c>
      <c r="K238" s="55" t="str">
        <f>IF(H238="","",INDEX(生物种群!$E$3:INDEX(生物种群!$E:$E,COUNTA(生物种群!$E:$E)),MATCH($H238,生物种群!$A$3:INDEX(生物种群!$A:$A,COUNTA(生物种群!$A:$A)),),))</f>
        <v/>
      </c>
      <c r="L238" s="46" t="str">
        <f t="shared" si="15"/>
        <v/>
      </c>
      <c r="M238" s="47" t="str">
        <f>IF(L238="","",ROUND((L238)/VLOOKUP($F238,IF({1,0},站位样品信息!$A$3:INDEX(站位样品信息!$A:$A,COUNTA(站位样品信息!$A:$A)+1),站位样品信息!$H$3:INDEX(站位样品信息!$H:$H,COUNTA(站位样品信息!$H:$H)+1)),2,0),2))</f>
        <v/>
      </c>
      <c r="O238" s="49"/>
      <c r="P238" s="53" t="str">
        <f t="shared" si="13"/>
        <v/>
      </c>
      <c r="Q238" s="53" t="str">
        <f t="shared" si="14"/>
        <v/>
      </c>
    </row>
    <row r="239" spans="1:17" ht="19.5" customHeight="1">
      <c r="A239" s="38"/>
      <c r="B239" s="38"/>
      <c r="C239" s="38"/>
      <c r="D239" s="37"/>
      <c r="E239" s="37"/>
      <c r="F239" s="37"/>
      <c r="G239" s="37" t="str">
        <f>IF(F239="","",INDEX(站位样品信息!$B$3:INDEX(站位样品信息!$B:$B,COUNTA(站位样品信息!$B:$B)+1),MATCH($F239,站位样品信息!$A$3:INDEX(站位样品信息!$A:$A,COUNTA(站位样品信息!$A:$A)+1),),))</f>
        <v/>
      </c>
      <c r="H239" s="55" t="str">
        <f>IF(OR(A239&lt;&gt;"",B239&lt;&gt;"",C239&lt;&gt;""),IF($C239&lt;&gt;0,INDEX(生物种群!$A$3:INDEX(生物种群!$A:$A,COUNTA(生物种群!$A:$A)),MATCH($C239,生物种群!$F$3:INDEX(生物种群!$F:$F,COUNTA(生物种群!$F:$F)),),),IF($A239&lt;&gt;0,INDEX(生物种群!$A$3:INDEX(生物种群!$A:$A,COUNTA(生物种群!$A:$A)),MATCH($A239,生物种群!$C$3:INDEX(生物种群!$C:$C,COUNTA(生物种群!$C:$C)),),),INDEX(生物种群!$A$3:INDEX(生物种群!$A:$A,COUNTA(生物种群!$A:$A)),MATCH($B239,生物种群!$D$3:INDEX(生物种群!$D:$D,COUNTA(生物种群!$D:$D)),),))),"")</f>
        <v/>
      </c>
      <c r="I239" s="56" t="str">
        <f>IF(H239="","",INDEX(生物种群!$B$3:INDEX(生物种群!$B:$B,COUNTA(生物种群!$B:$B)),MATCH($H239,生物种群!$A$3:INDEX(生物种群!$A:$A,COUNTA(生物种群!$A:$A)),),))</f>
        <v/>
      </c>
      <c r="J239" s="55" t="str">
        <f>IF(H239="","",INDEX(生物种群!$I$3:INDEX(生物种群!$I:$I,COUNTA(生物种群!$I:$I)),MATCH($H239,生物种群!$A$3:INDEX(生物种群!$A:$A,COUNTA(生物种群!$A:$A)),),))</f>
        <v/>
      </c>
      <c r="K239" s="55" t="str">
        <f>IF(H239="","",INDEX(生物种群!$E$3:INDEX(生物种群!$E:$E,COUNTA(生物种群!$E:$E)),MATCH($H239,生物种群!$A$3:INDEX(生物种群!$A:$A,COUNTA(生物种群!$A:$A)),),))</f>
        <v/>
      </c>
      <c r="L239" s="46" t="str">
        <f t="shared" si="15"/>
        <v/>
      </c>
      <c r="M239" s="47" t="str">
        <f>IF(L239="","",ROUND((L239)/VLOOKUP($F239,IF({1,0},站位样品信息!$A$3:INDEX(站位样品信息!$A:$A,COUNTA(站位样品信息!$A:$A)+1),站位样品信息!$H$3:INDEX(站位样品信息!$H:$H,COUNTA(站位样品信息!$H:$H)+1)),2,0),2))</f>
        <v/>
      </c>
      <c r="O239" s="49"/>
      <c r="P239" s="53" t="str">
        <f t="shared" si="13"/>
        <v/>
      </c>
      <c r="Q239" s="53" t="str">
        <f t="shared" si="14"/>
        <v/>
      </c>
    </row>
    <row r="240" spans="1:17" ht="19.5" customHeight="1">
      <c r="A240" s="38"/>
      <c r="B240" s="38"/>
      <c r="C240" s="38"/>
      <c r="D240" s="37"/>
      <c r="E240" s="37"/>
      <c r="F240" s="37"/>
      <c r="G240" s="37" t="str">
        <f>IF(F240="","",INDEX(站位样品信息!$B$3:INDEX(站位样品信息!$B:$B,COUNTA(站位样品信息!$B:$B)+1),MATCH($F240,站位样品信息!$A$3:INDEX(站位样品信息!$A:$A,COUNTA(站位样品信息!$A:$A)+1),),))</f>
        <v/>
      </c>
      <c r="H240" s="55" t="str">
        <f>IF(OR(A240&lt;&gt;"",B240&lt;&gt;"",C240&lt;&gt;""),IF($C240&lt;&gt;0,INDEX(生物种群!$A$3:INDEX(生物种群!$A:$A,COUNTA(生物种群!$A:$A)),MATCH($C240,生物种群!$F$3:INDEX(生物种群!$F:$F,COUNTA(生物种群!$F:$F)),),),IF($A240&lt;&gt;0,INDEX(生物种群!$A$3:INDEX(生物种群!$A:$A,COUNTA(生物种群!$A:$A)),MATCH($A240,生物种群!$C$3:INDEX(生物种群!$C:$C,COUNTA(生物种群!$C:$C)),),),INDEX(生物种群!$A$3:INDEX(生物种群!$A:$A,COUNTA(生物种群!$A:$A)),MATCH($B240,生物种群!$D$3:INDEX(生物种群!$D:$D,COUNTA(生物种群!$D:$D)),),))),"")</f>
        <v/>
      </c>
      <c r="I240" s="56" t="str">
        <f>IF(H240="","",INDEX(生物种群!$B$3:INDEX(生物种群!$B:$B,COUNTA(生物种群!$B:$B)),MATCH($H240,生物种群!$A$3:INDEX(生物种群!$A:$A,COUNTA(生物种群!$A:$A)),),))</f>
        <v/>
      </c>
      <c r="J240" s="55" t="str">
        <f>IF(H240="","",INDEX(生物种群!$I$3:INDEX(生物种群!$I:$I,COUNTA(生物种群!$I:$I)),MATCH($H240,生物种群!$A$3:INDEX(生物种群!$A:$A,COUNTA(生物种群!$A:$A)),),))</f>
        <v/>
      </c>
      <c r="K240" s="55" t="str">
        <f>IF(H240="","",INDEX(生物种群!$E$3:INDEX(生物种群!$E:$E,COUNTA(生物种群!$E:$E)),MATCH($H240,生物种群!$A$3:INDEX(生物种群!$A:$A,COUNTA(生物种群!$A:$A)),),))</f>
        <v/>
      </c>
      <c r="L240" s="46" t="str">
        <f t="shared" si="15"/>
        <v/>
      </c>
      <c r="M240" s="47" t="str">
        <f>IF(L240="","",ROUND((L240)/VLOOKUP($F240,IF({1,0},站位样品信息!$A$3:INDEX(站位样品信息!$A:$A,COUNTA(站位样品信息!$A:$A)+1),站位样品信息!$H$3:INDEX(站位样品信息!$H:$H,COUNTA(站位样品信息!$H:$H)+1)),2,0),2))</f>
        <v/>
      </c>
      <c r="O240" s="49"/>
      <c r="P240" s="53" t="str">
        <f t="shared" si="13"/>
        <v/>
      </c>
      <c r="Q240" s="53" t="str">
        <f t="shared" si="14"/>
        <v/>
      </c>
    </row>
    <row r="241" spans="1:17" ht="19.5" customHeight="1">
      <c r="A241" s="38"/>
      <c r="B241" s="38"/>
      <c r="C241" s="38"/>
      <c r="D241" s="37"/>
      <c r="E241" s="37"/>
      <c r="F241" s="37"/>
      <c r="G241" s="37" t="str">
        <f>IF(F241="","",INDEX(站位样品信息!$B$3:INDEX(站位样品信息!$B:$B,COUNTA(站位样品信息!$B:$B)+1),MATCH($F241,站位样品信息!$A$3:INDEX(站位样品信息!$A:$A,COUNTA(站位样品信息!$A:$A)+1),),))</f>
        <v/>
      </c>
      <c r="H241" s="55" t="str">
        <f>IF(OR(A241&lt;&gt;"",B241&lt;&gt;"",C241&lt;&gt;""),IF($C241&lt;&gt;0,INDEX(生物种群!$A$3:INDEX(生物种群!$A:$A,COUNTA(生物种群!$A:$A)),MATCH($C241,生物种群!$F$3:INDEX(生物种群!$F:$F,COUNTA(生物种群!$F:$F)),),),IF($A241&lt;&gt;0,INDEX(生物种群!$A$3:INDEX(生物种群!$A:$A,COUNTA(生物种群!$A:$A)),MATCH($A241,生物种群!$C$3:INDEX(生物种群!$C:$C,COUNTA(生物种群!$C:$C)),),),INDEX(生物种群!$A$3:INDEX(生物种群!$A:$A,COUNTA(生物种群!$A:$A)),MATCH($B241,生物种群!$D$3:INDEX(生物种群!$D:$D,COUNTA(生物种群!$D:$D)),),))),"")</f>
        <v/>
      </c>
      <c r="I241" s="56" t="str">
        <f>IF(H241="","",INDEX(生物种群!$B$3:INDEX(生物种群!$B:$B,COUNTA(生物种群!$B:$B)),MATCH($H241,生物种群!$A$3:INDEX(生物种群!$A:$A,COUNTA(生物种群!$A:$A)),),))</f>
        <v/>
      </c>
      <c r="J241" s="55" t="str">
        <f>IF(H241="","",INDEX(生物种群!$I$3:INDEX(生物种群!$I:$I,COUNTA(生物种群!$I:$I)),MATCH($H241,生物种群!$A$3:INDEX(生物种群!$A:$A,COUNTA(生物种群!$A:$A)),),))</f>
        <v/>
      </c>
      <c r="K241" s="55" t="str">
        <f>IF(H241="","",INDEX(生物种群!$E$3:INDEX(生物种群!$E:$E,COUNTA(生物种群!$E:$E)),MATCH($H241,生物种群!$A$3:INDEX(生物种群!$A:$A,COUNTA(生物种群!$A:$A)),),))</f>
        <v/>
      </c>
      <c r="L241" s="46" t="str">
        <f t="shared" si="15"/>
        <v/>
      </c>
      <c r="M241" s="47" t="str">
        <f>IF(L241="","",ROUND((L241)/VLOOKUP($F241,IF({1,0},站位样品信息!$A$3:INDEX(站位样品信息!$A:$A,COUNTA(站位样品信息!$A:$A)+1),站位样品信息!$H$3:INDEX(站位样品信息!$H:$H,COUNTA(站位样品信息!$H:$H)+1)),2,0),2))</f>
        <v/>
      </c>
      <c r="O241" s="49"/>
      <c r="P241" s="53" t="str">
        <f t="shared" si="13"/>
        <v/>
      </c>
      <c r="Q241" s="53" t="str">
        <f t="shared" si="14"/>
        <v/>
      </c>
    </row>
    <row r="242" spans="1:17" ht="19.5" customHeight="1">
      <c r="A242" s="38"/>
      <c r="B242" s="38"/>
      <c r="C242" s="38"/>
      <c r="D242" s="37"/>
      <c r="E242" s="37"/>
      <c r="F242" s="37"/>
      <c r="G242" s="37" t="str">
        <f>IF(F242="","",INDEX(站位样品信息!$B$3:INDEX(站位样品信息!$B:$B,COUNTA(站位样品信息!$B:$B)+1),MATCH($F242,站位样品信息!$A$3:INDEX(站位样品信息!$A:$A,COUNTA(站位样品信息!$A:$A)+1),),))</f>
        <v/>
      </c>
      <c r="H242" s="55" t="str">
        <f>IF(OR(A242&lt;&gt;"",B242&lt;&gt;"",C242&lt;&gt;""),IF($C242&lt;&gt;0,INDEX(生物种群!$A$3:INDEX(生物种群!$A:$A,COUNTA(生物种群!$A:$A)),MATCH($C242,生物种群!$F$3:INDEX(生物种群!$F:$F,COUNTA(生物种群!$F:$F)),),),IF($A242&lt;&gt;0,INDEX(生物种群!$A$3:INDEX(生物种群!$A:$A,COUNTA(生物种群!$A:$A)),MATCH($A242,生物种群!$C$3:INDEX(生物种群!$C:$C,COUNTA(生物种群!$C:$C)),),),INDEX(生物种群!$A$3:INDEX(生物种群!$A:$A,COUNTA(生物种群!$A:$A)),MATCH($B242,生物种群!$D$3:INDEX(生物种群!$D:$D,COUNTA(生物种群!$D:$D)),),))),"")</f>
        <v/>
      </c>
      <c r="I242" s="56" t="str">
        <f>IF(H242="","",INDEX(生物种群!$B$3:INDEX(生物种群!$B:$B,COUNTA(生物种群!$B:$B)),MATCH($H242,生物种群!$A$3:INDEX(生物种群!$A:$A,COUNTA(生物种群!$A:$A)),),))</f>
        <v/>
      </c>
      <c r="J242" s="55" t="str">
        <f>IF(H242="","",INDEX(生物种群!$I$3:INDEX(生物种群!$I:$I,COUNTA(生物种群!$I:$I)),MATCH($H242,生物种群!$A$3:INDEX(生物种群!$A:$A,COUNTA(生物种群!$A:$A)),),))</f>
        <v/>
      </c>
      <c r="K242" s="55" t="str">
        <f>IF(H242="","",INDEX(生物种群!$E$3:INDEX(生物种群!$E:$E,COUNTA(生物种群!$E:$E)),MATCH($H242,生物种群!$A$3:INDEX(生物种群!$A:$A,COUNTA(生物种群!$A:$A)),),))</f>
        <v/>
      </c>
      <c r="L242" s="46" t="str">
        <f t="shared" si="15"/>
        <v/>
      </c>
      <c r="M242" s="47" t="str">
        <f>IF(L242="","",ROUND((L242)/VLOOKUP($F242,IF({1,0},站位样品信息!$A$3:INDEX(站位样品信息!$A:$A,COUNTA(站位样品信息!$A:$A)+1),站位样品信息!$H$3:INDEX(站位样品信息!$H:$H,COUNTA(站位样品信息!$H:$H)+1)),2,0),2))</f>
        <v/>
      </c>
      <c r="O242" s="49"/>
      <c r="P242" s="53" t="str">
        <f t="shared" si="13"/>
        <v/>
      </c>
      <c r="Q242" s="53" t="str">
        <f t="shared" si="14"/>
        <v/>
      </c>
    </row>
    <row r="243" spans="1:17" ht="19.5" customHeight="1">
      <c r="A243" s="38"/>
      <c r="B243" s="38"/>
      <c r="C243" s="38"/>
      <c r="D243" s="37"/>
      <c r="E243" s="37"/>
      <c r="F243" s="37"/>
      <c r="G243" s="37" t="str">
        <f>IF(F243="","",INDEX(站位样品信息!$B$3:INDEX(站位样品信息!$B:$B,COUNTA(站位样品信息!$B:$B)+1),MATCH($F243,站位样品信息!$A$3:INDEX(站位样品信息!$A:$A,COUNTA(站位样品信息!$A:$A)+1),),))</f>
        <v/>
      </c>
      <c r="H243" s="55" t="str">
        <f>IF(OR(A243&lt;&gt;"",B243&lt;&gt;"",C243&lt;&gt;""),IF($C243&lt;&gt;0,INDEX(生物种群!$A$3:INDEX(生物种群!$A:$A,COUNTA(生物种群!$A:$A)),MATCH($C243,生物种群!$F$3:INDEX(生物种群!$F:$F,COUNTA(生物种群!$F:$F)),),),IF($A243&lt;&gt;0,INDEX(生物种群!$A$3:INDEX(生物种群!$A:$A,COUNTA(生物种群!$A:$A)),MATCH($A243,生物种群!$C$3:INDEX(生物种群!$C:$C,COUNTA(生物种群!$C:$C)),),),INDEX(生物种群!$A$3:INDEX(生物种群!$A:$A,COUNTA(生物种群!$A:$A)),MATCH($B243,生物种群!$D$3:INDEX(生物种群!$D:$D,COUNTA(生物种群!$D:$D)),),))),"")</f>
        <v/>
      </c>
      <c r="I243" s="56" t="str">
        <f>IF(H243="","",INDEX(生物种群!$B$3:INDEX(生物种群!$B:$B,COUNTA(生物种群!$B:$B)),MATCH($H243,生物种群!$A$3:INDEX(生物种群!$A:$A,COUNTA(生物种群!$A:$A)),),))</f>
        <v/>
      </c>
      <c r="J243" s="55" t="str">
        <f>IF(H243="","",INDEX(生物种群!$I$3:INDEX(生物种群!$I:$I,COUNTA(生物种群!$I:$I)),MATCH($H243,生物种群!$A$3:INDEX(生物种群!$A:$A,COUNTA(生物种群!$A:$A)),),))</f>
        <v/>
      </c>
      <c r="K243" s="55" t="str">
        <f>IF(H243="","",INDEX(生物种群!$E$3:INDEX(生物种群!$E:$E,COUNTA(生物种群!$E:$E)),MATCH($H243,生物种群!$A$3:INDEX(生物种群!$A:$A,COUNTA(生物种群!$A:$A)),),))</f>
        <v/>
      </c>
      <c r="L243" s="46" t="str">
        <f t="shared" si="15"/>
        <v/>
      </c>
      <c r="M243" s="47" t="str">
        <f>IF(L243="","",ROUND((L243)/VLOOKUP($F243,IF({1,0},站位样品信息!$A$3:INDEX(站位样品信息!$A:$A,COUNTA(站位样品信息!$A:$A)+1),站位样品信息!$H$3:INDEX(站位样品信息!$H:$H,COUNTA(站位样品信息!$H:$H)+1)),2,0),2))</f>
        <v/>
      </c>
      <c r="O243" s="49"/>
      <c r="P243" s="53" t="str">
        <f t="shared" si="13"/>
        <v/>
      </c>
      <c r="Q243" s="53" t="str">
        <f t="shared" si="14"/>
        <v/>
      </c>
    </row>
    <row r="244" spans="1:17" ht="19.5" customHeight="1">
      <c r="A244" s="38"/>
      <c r="B244" s="38"/>
      <c r="C244" s="38"/>
      <c r="D244" s="37"/>
      <c r="E244" s="37"/>
      <c r="F244" s="37"/>
      <c r="G244" s="37" t="str">
        <f>IF(F244="","",INDEX(站位样品信息!$B$3:INDEX(站位样品信息!$B:$B,COUNTA(站位样品信息!$B:$B)+1),MATCH($F244,站位样品信息!$A$3:INDEX(站位样品信息!$A:$A,COUNTA(站位样品信息!$A:$A)+1),),))</f>
        <v/>
      </c>
      <c r="H244" s="55" t="str">
        <f>IF(OR(A244&lt;&gt;"",B244&lt;&gt;"",C244&lt;&gt;""),IF($C244&lt;&gt;0,INDEX(生物种群!$A$3:INDEX(生物种群!$A:$A,COUNTA(生物种群!$A:$A)),MATCH($C244,生物种群!$F$3:INDEX(生物种群!$F:$F,COUNTA(生物种群!$F:$F)),),),IF($A244&lt;&gt;0,INDEX(生物种群!$A$3:INDEX(生物种群!$A:$A,COUNTA(生物种群!$A:$A)),MATCH($A244,生物种群!$C$3:INDEX(生物种群!$C:$C,COUNTA(生物种群!$C:$C)),),),INDEX(生物种群!$A$3:INDEX(生物种群!$A:$A,COUNTA(生物种群!$A:$A)),MATCH($B244,生物种群!$D$3:INDEX(生物种群!$D:$D,COUNTA(生物种群!$D:$D)),),))),"")</f>
        <v/>
      </c>
      <c r="I244" s="56" t="str">
        <f>IF(H244="","",INDEX(生物种群!$B$3:INDEX(生物种群!$B:$B,COUNTA(生物种群!$B:$B)),MATCH($H244,生物种群!$A$3:INDEX(生物种群!$A:$A,COUNTA(生物种群!$A:$A)),),))</f>
        <v/>
      </c>
      <c r="J244" s="55" t="str">
        <f>IF(H244="","",INDEX(生物种群!$I$3:INDEX(生物种群!$I:$I,COUNTA(生物种群!$I:$I)),MATCH($H244,生物种群!$A$3:INDEX(生物种群!$A:$A,COUNTA(生物种群!$A:$A)),),))</f>
        <v/>
      </c>
      <c r="K244" s="55" t="str">
        <f>IF(H244="","",INDEX(生物种群!$E$3:INDEX(生物种群!$E:$E,COUNTA(生物种群!$E:$E)),MATCH($H244,生物种群!$A$3:INDEX(生物种群!$A:$A,COUNTA(生物种群!$A:$A)),),))</f>
        <v/>
      </c>
      <c r="L244" s="46" t="str">
        <f t="shared" si="15"/>
        <v/>
      </c>
      <c r="M244" s="47" t="str">
        <f>IF(L244="","",ROUND((L244)/VLOOKUP($F244,IF({1,0},站位样品信息!$A$3:INDEX(站位样品信息!$A:$A,COUNTA(站位样品信息!$A:$A)+1),站位样品信息!$H$3:INDEX(站位样品信息!$H:$H,COUNTA(站位样品信息!$H:$H)+1)),2,0),2))</f>
        <v/>
      </c>
      <c r="O244" s="49"/>
      <c r="P244" s="53" t="str">
        <f t="shared" si="13"/>
        <v/>
      </c>
      <c r="Q244" s="53" t="str">
        <f t="shared" si="14"/>
        <v/>
      </c>
    </row>
    <row r="245" spans="1:17" ht="19.5" customHeight="1">
      <c r="A245" s="38"/>
      <c r="B245" s="38"/>
      <c r="C245" s="38"/>
      <c r="D245" s="37"/>
      <c r="E245" s="37"/>
      <c r="F245" s="37"/>
      <c r="G245" s="37" t="str">
        <f>IF(F245="","",INDEX(站位样品信息!$B$3:INDEX(站位样品信息!$B:$B,COUNTA(站位样品信息!$B:$B)+1),MATCH($F245,站位样品信息!$A$3:INDEX(站位样品信息!$A:$A,COUNTA(站位样品信息!$A:$A)+1),),))</f>
        <v/>
      </c>
      <c r="H245" s="55" t="str">
        <f>IF(OR(A245&lt;&gt;"",B245&lt;&gt;"",C245&lt;&gt;""),IF($C245&lt;&gt;0,INDEX(生物种群!$A$3:INDEX(生物种群!$A:$A,COUNTA(生物种群!$A:$A)),MATCH($C245,生物种群!$F$3:INDEX(生物种群!$F:$F,COUNTA(生物种群!$F:$F)),),),IF($A245&lt;&gt;0,INDEX(生物种群!$A$3:INDEX(生物种群!$A:$A,COUNTA(生物种群!$A:$A)),MATCH($A245,生物种群!$C$3:INDEX(生物种群!$C:$C,COUNTA(生物种群!$C:$C)),),),INDEX(生物种群!$A$3:INDEX(生物种群!$A:$A,COUNTA(生物种群!$A:$A)),MATCH($B245,生物种群!$D$3:INDEX(生物种群!$D:$D,COUNTA(生物种群!$D:$D)),),))),"")</f>
        <v/>
      </c>
      <c r="I245" s="56" t="str">
        <f>IF(H245="","",INDEX(生物种群!$B$3:INDEX(生物种群!$B:$B,COUNTA(生物种群!$B:$B)),MATCH($H245,生物种群!$A$3:INDEX(生物种群!$A:$A,COUNTA(生物种群!$A:$A)),),))</f>
        <v/>
      </c>
      <c r="J245" s="55" t="str">
        <f>IF(H245="","",INDEX(生物种群!$I$3:INDEX(生物种群!$I:$I,COUNTA(生物种群!$I:$I)),MATCH($H245,生物种群!$A$3:INDEX(生物种群!$A:$A,COUNTA(生物种群!$A:$A)),),))</f>
        <v/>
      </c>
      <c r="K245" s="55" t="str">
        <f>IF(H245="","",INDEX(生物种群!$E$3:INDEX(生物种群!$E:$E,COUNTA(生物种群!$E:$E)),MATCH($H245,生物种群!$A$3:INDEX(生物种群!$A:$A,COUNTA(生物种群!$A:$A)),),))</f>
        <v/>
      </c>
      <c r="L245" s="46" t="str">
        <f t="shared" si="15"/>
        <v/>
      </c>
      <c r="M245" s="47" t="str">
        <f>IF(L245="","",ROUND((L245)/VLOOKUP($F245,IF({1,0},站位样品信息!$A$3:INDEX(站位样品信息!$A:$A,COUNTA(站位样品信息!$A:$A)+1),站位样品信息!$H$3:INDEX(站位样品信息!$H:$H,COUNTA(站位样品信息!$H:$H)+1)),2,0),2))</f>
        <v/>
      </c>
      <c r="O245" s="49"/>
      <c r="P245" s="53" t="str">
        <f t="shared" si="13"/>
        <v/>
      </c>
      <c r="Q245" s="53" t="str">
        <f t="shared" si="14"/>
        <v/>
      </c>
    </row>
    <row r="246" spans="1:17" ht="19.5" customHeight="1">
      <c r="A246" s="38"/>
      <c r="B246" s="38"/>
      <c r="C246" s="38"/>
      <c r="D246" s="37"/>
      <c r="E246" s="37"/>
      <c r="F246" s="37"/>
      <c r="G246" s="37" t="str">
        <f>IF(F246="","",INDEX(站位样品信息!$B$3:INDEX(站位样品信息!$B:$B,COUNTA(站位样品信息!$B:$B)+1),MATCH($F246,站位样品信息!$A$3:INDEX(站位样品信息!$A:$A,COUNTA(站位样品信息!$A:$A)+1),),))</f>
        <v/>
      </c>
      <c r="H246" s="55" t="str">
        <f>IF(OR(A246&lt;&gt;"",B246&lt;&gt;"",C246&lt;&gt;""),IF($C246&lt;&gt;0,INDEX(生物种群!$A$3:INDEX(生物种群!$A:$A,COUNTA(生物种群!$A:$A)),MATCH($C246,生物种群!$F$3:INDEX(生物种群!$F:$F,COUNTA(生物种群!$F:$F)),),),IF($A246&lt;&gt;0,INDEX(生物种群!$A$3:INDEX(生物种群!$A:$A,COUNTA(生物种群!$A:$A)),MATCH($A246,生物种群!$C$3:INDEX(生物种群!$C:$C,COUNTA(生物种群!$C:$C)),),),INDEX(生物种群!$A$3:INDEX(生物种群!$A:$A,COUNTA(生物种群!$A:$A)),MATCH($B246,生物种群!$D$3:INDEX(生物种群!$D:$D,COUNTA(生物种群!$D:$D)),),))),"")</f>
        <v/>
      </c>
      <c r="I246" s="56" t="str">
        <f>IF(H246="","",INDEX(生物种群!$B$3:INDEX(生物种群!$B:$B,COUNTA(生物种群!$B:$B)),MATCH($H246,生物种群!$A$3:INDEX(生物种群!$A:$A,COUNTA(生物种群!$A:$A)),),))</f>
        <v/>
      </c>
      <c r="J246" s="55" t="str">
        <f>IF(H246="","",INDEX(生物种群!$I$3:INDEX(生物种群!$I:$I,COUNTA(生物种群!$I:$I)),MATCH($H246,生物种群!$A$3:INDEX(生物种群!$A:$A,COUNTA(生物种群!$A:$A)),),))</f>
        <v/>
      </c>
      <c r="K246" s="55" t="str">
        <f>IF(H246="","",INDEX(生物种群!$E$3:INDEX(生物种群!$E:$E,COUNTA(生物种群!$E:$E)),MATCH($H246,生物种群!$A$3:INDEX(生物种群!$A:$A,COUNTA(生物种群!$A:$A)),),))</f>
        <v/>
      </c>
      <c r="L246" s="46" t="str">
        <f t="shared" si="15"/>
        <v/>
      </c>
      <c r="M246" s="47" t="str">
        <f>IF(L246="","",ROUND((L246)/VLOOKUP($F246,IF({1,0},站位样品信息!$A$3:INDEX(站位样品信息!$A:$A,COUNTA(站位样品信息!$A:$A)+1),站位样品信息!$H$3:INDEX(站位样品信息!$H:$H,COUNTA(站位样品信息!$H:$H)+1)),2,0),2))</f>
        <v/>
      </c>
      <c r="O246" s="49"/>
      <c r="P246" s="53" t="str">
        <f t="shared" si="13"/>
        <v/>
      </c>
      <c r="Q246" s="53" t="str">
        <f t="shared" si="14"/>
        <v/>
      </c>
    </row>
    <row r="247" spans="1:17" ht="19.5" customHeight="1">
      <c r="A247" s="38"/>
      <c r="B247" s="38"/>
      <c r="C247" s="38"/>
      <c r="D247" s="37"/>
      <c r="E247" s="37"/>
      <c r="F247" s="37"/>
      <c r="G247" s="37" t="str">
        <f>IF(F247="","",INDEX(站位样品信息!$B$3:INDEX(站位样品信息!$B:$B,COUNTA(站位样品信息!$B:$B)+1),MATCH($F247,站位样品信息!$A$3:INDEX(站位样品信息!$A:$A,COUNTA(站位样品信息!$A:$A)+1),),))</f>
        <v/>
      </c>
      <c r="H247" s="55" t="str">
        <f>IF(OR(A247&lt;&gt;"",B247&lt;&gt;"",C247&lt;&gt;""),IF($C247&lt;&gt;0,INDEX(生物种群!$A$3:INDEX(生物种群!$A:$A,COUNTA(生物种群!$A:$A)),MATCH($C247,生物种群!$F$3:INDEX(生物种群!$F:$F,COUNTA(生物种群!$F:$F)),),),IF($A247&lt;&gt;0,INDEX(生物种群!$A$3:INDEX(生物种群!$A:$A,COUNTA(生物种群!$A:$A)),MATCH($A247,生物种群!$C$3:INDEX(生物种群!$C:$C,COUNTA(生物种群!$C:$C)),),),INDEX(生物种群!$A$3:INDEX(生物种群!$A:$A,COUNTA(生物种群!$A:$A)),MATCH($B247,生物种群!$D$3:INDEX(生物种群!$D:$D,COUNTA(生物种群!$D:$D)),),))),"")</f>
        <v/>
      </c>
      <c r="I247" s="56" t="str">
        <f>IF(H247="","",INDEX(生物种群!$B$3:INDEX(生物种群!$B:$B,COUNTA(生物种群!$B:$B)),MATCH($H247,生物种群!$A$3:INDEX(生物种群!$A:$A,COUNTA(生物种群!$A:$A)),),))</f>
        <v/>
      </c>
      <c r="J247" s="55" t="str">
        <f>IF(H247="","",INDEX(生物种群!$I$3:INDEX(生物种群!$I:$I,COUNTA(生物种群!$I:$I)),MATCH($H247,生物种群!$A$3:INDEX(生物种群!$A:$A,COUNTA(生物种群!$A:$A)),),))</f>
        <v/>
      </c>
      <c r="K247" s="55" t="str">
        <f>IF(H247="","",INDEX(生物种群!$E$3:INDEX(生物种群!$E:$E,COUNTA(生物种群!$E:$E)),MATCH($H247,生物种群!$A$3:INDEX(生物种群!$A:$A,COUNTA(生物种群!$A:$A)),),))</f>
        <v/>
      </c>
      <c r="L247" s="46" t="str">
        <f t="shared" si="15"/>
        <v/>
      </c>
      <c r="M247" s="47" t="str">
        <f>IF(L247="","",ROUND((L247)/VLOOKUP($F247,IF({1,0},站位样品信息!$A$3:INDEX(站位样品信息!$A:$A,COUNTA(站位样品信息!$A:$A)+1),站位样品信息!$H$3:INDEX(站位样品信息!$H:$H,COUNTA(站位样品信息!$H:$H)+1)),2,0),2))</f>
        <v/>
      </c>
      <c r="O247" s="49"/>
      <c r="P247" s="53" t="str">
        <f t="shared" si="13"/>
        <v/>
      </c>
      <c r="Q247" s="53" t="str">
        <f t="shared" si="14"/>
        <v/>
      </c>
    </row>
    <row r="248" spans="1:17" ht="19.5" customHeight="1">
      <c r="A248" s="38"/>
      <c r="B248" s="38"/>
      <c r="C248" s="38"/>
      <c r="D248" s="37"/>
      <c r="E248" s="37"/>
      <c r="F248" s="37"/>
      <c r="G248" s="37" t="str">
        <f>IF(F248="","",INDEX(站位样品信息!$B$3:INDEX(站位样品信息!$B:$B,COUNTA(站位样品信息!$B:$B)+1),MATCH($F248,站位样品信息!$A$3:INDEX(站位样品信息!$A:$A,COUNTA(站位样品信息!$A:$A)+1),),))</f>
        <v/>
      </c>
      <c r="H248" s="55" t="str">
        <f>IF(OR(A248&lt;&gt;"",B248&lt;&gt;"",C248&lt;&gt;""),IF($C248&lt;&gt;0,INDEX(生物种群!$A$3:INDEX(生物种群!$A:$A,COUNTA(生物种群!$A:$A)),MATCH($C248,生物种群!$F$3:INDEX(生物种群!$F:$F,COUNTA(生物种群!$F:$F)),),),IF($A248&lt;&gt;0,INDEX(生物种群!$A$3:INDEX(生物种群!$A:$A,COUNTA(生物种群!$A:$A)),MATCH($A248,生物种群!$C$3:INDEX(生物种群!$C:$C,COUNTA(生物种群!$C:$C)),),),INDEX(生物种群!$A$3:INDEX(生物种群!$A:$A,COUNTA(生物种群!$A:$A)),MATCH($B248,生物种群!$D$3:INDEX(生物种群!$D:$D,COUNTA(生物种群!$D:$D)),),))),"")</f>
        <v/>
      </c>
      <c r="I248" s="56" t="str">
        <f>IF(H248="","",INDEX(生物种群!$B$3:INDEX(生物种群!$B:$B,COUNTA(生物种群!$B:$B)),MATCH($H248,生物种群!$A$3:INDEX(生物种群!$A:$A,COUNTA(生物种群!$A:$A)),),))</f>
        <v/>
      </c>
      <c r="J248" s="55" t="str">
        <f>IF(H248="","",INDEX(生物种群!$I$3:INDEX(生物种群!$I:$I,COUNTA(生物种群!$I:$I)),MATCH($H248,生物种群!$A$3:INDEX(生物种群!$A:$A,COUNTA(生物种群!$A:$A)),),))</f>
        <v/>
      </c>
      <c r="K248" s="55" t="str">
        <f>IF(H248="","",INDEX(生物种群!$E$3:INDEX(生物种群!$E:$E,COUNTA(生物种群!$E:$E)),MATCH($H248,生物种群!$A$3:INDEX(生物种群!$A:$A,COUNTA(生物种群!$A:$A)),),))</f>
        <v/>
      </c>
      <c r="L248" s="46" t="str">
        <f t="shared" si="15"/>
        <v/>
      </c>
      <c r="M248" s="47" t="str">
        <f>IF(L248="","",ROUND((L248)/VLOOKUP($F248,IF({1,0},站位样品信息!$A$3:INDEX(站位样品信息!$A:$A,COUNTA(站位样品信息!$A:$A)+1),站位样品信息!$H$3:INDEX(站位样品信息!$H:$H,COUNTA(站位样品信息!$H:$H)+1)),2,0),2))</f>
        <v/>
      </c>
      <c r="O248" s="49"/>
      <c r="P248" s="53" t="str">
        <f t="shared" si="13"/>
        <v/>
      </c>
      <c r="Q248" s="53" t="str">
        <f t="shared" si="14"/>
        <v/>
      </c>
    </row>
    <row r="249" spans="1:17" ht="19.5" customHeight="1">
      <c r="A249" s="38"/>
      <c r="B249" s="38"/>
      <c r="C249" s="38"/>
      <c r="D249" s="37"/>
      <c r="E249" s="37"/>
      <c r="F249" s="37"/>
      <c r="G249" s="37" t="str">
        <f>IF(F249="","",INDEX(站位样品信息!$B$3:INDEX(站位样品信息!$B:$B,COUNTA(站位样品信息!$B:$B)+1),MATCH($F249,站位样品信息!$A$3:INDEX(站位样品信息!$A:$A,COUNTA(站位样品信息!$A:$A)+1),),))</f>
        <v/>
      </c>
      <c r="H249" s="55" t="str">
        <f>IF(OR(A249&lt;&gt;"",B249&lt;&gt;"",C249&lt;&gt;""),IF($C249&lt;&gt;0,INDEX(生物种群!$A$3:INDEX(生物种群!$A:$A,COUNTA(生物种群!$A:$A)),MATCH($C249,生物种群!$F$3:INDEX(生物种群!$F:$F,COUNTA(生物种群!$F:$F)),),),IF($A249&lt;&gt;0,INDEX(生物种群!$A$3:INDEX(生物种群!$A:$A,COUNTA(生物种群!$A:$A)),MATCH($A249,生物种群!$C$3:INDEX(生物种群!$C:$C,COUNTA(生物种群!$C:$C)),),),INDEX(生物种群!$A$3:INDEX(生物种群!$A:$A,COUNTA(生物种群!$A:$A)),MATCH($B249,生物种群!$D$3:INDEX(生物种群!$D:$D,COUNTA(生物种群!$D:$D)),),))),"")</f>
        <v/>
      </c>
      <c r="I249" s="56" t="str">
        <f>IF(H249="","",INDEX(生物种群!$B$3:INDEX(生物种群!$B:$B,COUNTA(生物种群!$B:$B)),MATCH($H249,生物种群!$A$3:INDEX(生物种群!$A:$A,COUNTA(生物种群!$A:$A)),),))</f>
        <v/>
      </c>
      <c r="J249" s="55" t="str">
        <f>IF(H249="","",INDEX(生物种群!$I$3:INDEX(生物种群!$I:$I,COUNTA(生物种群!$I:$I)),MATCH($H249,生物种群!$A$3:INDEX(生物种群!$A:$A,COUNTA(生物种群!$A:$A)),),))</f>
        <v/>
      </c>
      <c r="K249" s="55" t="str">
        <f>IF(H249="","",INDEX(生物种群!$E$3:INDEX(生物种群!$E:$E,COUNTA(生物种群!$E:$E)),MATCH($H249,生物种群!$A$3:INDEX(生物种群!$A:$A,COUNTA(生物种群!$A:$A)),),))</f>
        <v/>
      </c>
      <c r="L249" s="46" t="str">
        <f t="shared" si="15"/>
        <v/>
      </c>
      <c r="M249" s="47" t="str">
        <f>IF(L249="","",ROUND((L249)/VLOOKUP($F249,IF({1,0},站位样品信息!$A$3:INDEX(站位样品信息!$A:$A,COUNTA(站位样品信息!$A:$A)+1),站位样品信息!$H$3:INDEX(站位样品信息!$H:$H,COUNTA(站位样品信息!$H:$H)+1)),2,0),2))</f>
        <v/>
      </c>
      <c r="O249" s="49"/>
      <c r="P249" s="53" t="str">
        <f t="shared" si="13"/>
        <v/>
      </c>
      <c r="Q249" s="53" t="str">
        <f t="shared" si="14"/>
        <v/>
      </c>
    </row>
    <row r="250" spans="1:17" ht="19.5" customHeight="1">
      <c r="A250" s="38"/>
      <c r="B250" s="38"/>
      <c r="C250" s="38"/>
      <c r="D250" s="37"/>
      <c r="E250" s="37"/>
      <c r="F250" s="37"/>
      <c r="G250" s="37" t="str">
        <f>IF(F250="","",INDEX(站位样品信息!$B$3:INDEX(站位样品信息!$B:$B,COUNTA(站位样品信息!$B:$B)+1),MATCH($F250,站位样品信息!$A$3:INDEX(站位样品信息!$A:$A,COUNTA(站位样品信息!$A:$A)+1),),))</f>
        <v/>
      </c>
      <c r="H250" s="55" t="str">
        <f>IF(OR(A250&lt;&gt;"",B250&lt;&gt;"",C250&lt;&gt;""),IF($C250&lt;&gt;0,INDEX(生物种群!$A$3:INDEX(生物种群!$A:$A,COUNTA(生物种群!$A:$A)),MATCH($C250,生物种群!$F$3:INDEX(生物种群!$F:$F,COUNTA(生物种群!$F:$F)),),),IF($A250&lt;&gt;0,INDEX(生物种群!$A$3:INDEX(生物种群!$A:$A,COUNTA(生物种群!$A:$A)),MATCH($A250,生物种群!$C$3:INDEX(生物种群!$C:$C,COUNTA(生物种群!$C:$C)),),),INDEX(生物种群!$A$3:INDEX(生物种群!$A:$A,COUNTA(生物种群!$A:$A)),MATCH($B250,生物种群!$D$3:INDEX(生物种群!$D:$D,COUNTA(生物种群!$D:$D)),),))),"")</f>
        <v/>
      </c>
      <c r="I250" s="56" t="str">
        <f>IF(H250="","",INDEX(生物种群!$B$3:INDEX(生物种群!$B:$B,COUNTA(生物种群!$B:$B)),MATCH($H250,生物种群!$A$3:INDEX(生物种群!$A:$A,COUNTA(生物种群!$A:$A)),),))</f>
        <v/>
      </c>
      <c r="J250" s="55" t="str">
        <f>IF(H250="","",INDEX(生物种群!$I$3:INDEX(生物种群!$I:$I,COUNTA(生物种群!$I:$I)),MATCH($H250,生物种群!$A$3:INDEX(生物种群!$A:$A,COUNTA(生物种群!$A:$A)),),))</f>
        <v/>
      </c>
      <c r="K250" s="55" t="str">
        <f>IF(H250="","",INDEX(生物种群!$E$3:INDEX(生物种群!$E:$E,COUNTA(生物种群!$E:$E)),MATCH($H250,生物种群!$A$3:INDEX(生物种群!$A:$A,COUNTA(生物种群!$A:$A)),),))</f>
        <v/>
      </c>
      <c r="L250" s="46" t="str">
        <f t="shared" si="15"/>
        <v/>
      </c>
      <c r="M250" s="47" t="str">
        <f>IF(L250="","",ROUND((L250)/VLOOKUP($F250,IF({1,0},站位样品信息!$A$3:INDEX(站位样品信息!$A:$A,COUNTA(站位样品信息!$A:$A)+1),站位样品信息!$H$3:INDEX(站位样品信息!$H:$H,COUNTA(站位样品信息!$H:$H)+1)),2,0),2))</f>
        <v/>
      </c>
      <c r="O250" s="49"/>
      <c r="P250" s="53" t="str">
        <f t="shared" si="13"/>
        <v/>
      </c>
      <c r="Q250" s="53" t="str">
        <f t="shared" si="14"/>
        <v/>
      </c>
    </row>
    <row r="251" spans="1:17" ht="19.5" customHeight="1">
      <c r="A251" s="38"/>
      <c r="B251" s="38"/>
      <c r="C251" s="38"/>
      <c r="D251" s="37"/>
      <c r="E251" s="37"/>
      <c r="F251" s="37"/>
      <c r="G251" s="37" t="str">
        <f>IF(F251="","",INDEX(站位样品信息!$B$3:INDEX(站位样品信息!$B:$B,COUNTA(站位样品信息!$B:$B)+1),MATCH($F251,站位样品信息!$A$3:INDEX(站位样品信息!$A:$A,COUNTA(站位样品信息!$A:$A)+1),),))</f>
        <v/>
      </c>
      <c r="H251" s="55" t="str">
        <f>IF(OR(A251&lt;&gt;"",B251&lt;&gt;"",C251&lt;&gt;""),IF($C251&lt;&gt;0,INDEX(生物种群!$A$3:INDEX(生物种群!$A:$A,COUNTA(生物种群!$A:$A)),MATCH($C251,生物种群!$F$3:INDEX(生物种群!$F:$F,COUNTA(生物种群!$F:$F)),),),IF($A251&lt;&gt;0,INDEX(生物种群!$A$3:INDEX(生物种群!$A:$A,COUNTA(生物种群!$A:$A)),MATCH($A251,生物种群!$C$3:INDEX(生物种群!$C:$C,COUNTA(生物种群!$C:$C)),),),INDEX(生物种群!$A$3:INDEX(生物种群!$A:$A,COUNTA(生物种群!$A:$A)),MATCH($B251,生物种群!$D$3:INDEX(生物种群!$D:$D,COUNTA(生物种群!$D:$D)),),))),"")</f>
        <v/>
      </c>
      <c r="I251" s="56" t="str">
        <f>IF(H251="","",INDEX(生物种群!$B$3:INDEX(生物种群!$B:$B,COUNTA(生物种群!$B:$B)),MATCH($H251,生物种群!$A$3:INDEX(生物种群!$A:$A,COUNTA(生物种群!$A:$A)),),))</f>
        <v/>
      </c>
      <c r="J251" s="55" t="str">
        <f>IF(H251="","",INDEX(生物种群!$I$3:INDEX(生物种群!$I:$I,COUNTA(生物种群!$I:$I)),MATCH($H251,生物种群!$A$3:INDEX(生物种群!$A:$A,COUNTA(生物种群!$A:$A)),),))</f>
        <v/>
      </c>
      <c r="K251" s="55" t="str">
        <f>IF(H251="","",INDEX(生物种群!$E$3:INDEX(生物种群!$E:$E,COUNTA(生物种群!$E:$E)),MATCH($H251,生物种群!$A$3:INDEX(生物种群!$A:$A,COUNTA(生物种群!$A:$A)),),))</f>
        <v/>
      </c>
      <c r="L251" s="46" t="str">
        <f t="shared" si="15"/>
        <v/>
      </c>
      <c r="M251" s="47" t="str">
        <f>IF(L251="","",ROUND((L251)/VLOOKUP($F251,IF({1,0},站位样品信息!$A$3:INDEX(站位样品信息!$A:$A,COUNTA(站位样品信息!$A:$A)+1),站位样品信息!$H$3:INDEX(站位样品信息!$H:$H,COUNTA(站位样品信息!$H:$H)+1)),2,0),2))</f>
        <v/>
      </c>
      <c r="O251" s="49"/>
      <c r="P251" s="53" t="str">
        <f t="shared" si="13"/>
        <v/>
      </c>
      <c r="Q251" s="53" t="str">
        <f t="shared" si="14"/>
        <v/>
      </c>
    </row>
    <row r="252" spans="1:17" ht="19.5" customHeight="1">
      <c r="A252" s="38"/>
      <c r="B252" s="38"/>
      <c r="C252" s="38"/>
      <c r="D252" s="37"/>
      <c r="E252" s="37"/>
      <c r="F252" s="37"/>
      <c r="G252" s="37" t="str">
        <f>IF(F252="","",INDEX(站位样品信息!$B$3:INDEX(站位样品信息!$B:$B,COUNTA(站位样品信息!$B:$B)+1),MATCH($F252,站位样品信息!$A$3:INDEX(站位样品信息!$A:$A,COUNTA(站位样品信息!$A:$A)+1),),))</f>
        <v/>
      </c>
      <c r="H252" s="55" t="str">
        <f>IF(OR(A252&lt;&gt;"",B252&lt;&gt;"",C252&lt;&gt;""),IF($C252&lt;&gt;0,INDEX(生物种群!$A$3:INDEX(生物种群!$A:$A,COUNTA(生物种群!$A:$A)),MATCH($C252,生物种群!$F$3:INDEX(生物种群!$F:$F,COUNTA(生物种群!$F:$F)),),),IF($A252&lt;&gt;0,INDEX(生物种群!$A$3:INDEX(生物种群!$A:$A,COUNTA(生物种群!$A:$A)),MATCH($A252,生物种群!$C$3:INDEX(生物种群!$C:$C,COUNTA(生物种群!$C:$C)),),),INDEX(生物种群!$A$3:INDEX(生物种群!$A:$A,COUNTA(生物种群!$A:$A)),MATCH($B252,生物种群!$D$3:INDEX(生物种群!$D:$D,COUNTA(生物种群!$D:$D)),),))),"")</f>
        <v/>
      </c>
      <c r="I252" s="56" t="str">
        <f>IF(H252="","",INDEX(生物种群!$B$3:INDEX(生物种群!$B:$B,COUNTA(生物种群!$B:$B)),MATCH($H252,生物种群!$A$3:INDEX(生物种群!$A:$A,COUNTA(生物种群!$A:$A)),),))</f>
        <v/>
      </c>
      <c r="J252" s="55" t="str">
        <f>IF(H252="","",INDEX(生物种群!$I$3:INDEX(生物种群!$I:$I,COUNTA(生物种群!$I:$I)),MATCH($H252,生物种群!$A$3:INDEX(生物种群!$A:$A,COUNTA(生物种群!$A:$A)),),))</f>
        <v/>
      </c>
      <c r="K252" s="55" t="str">
        <f>IF(H252="","",INDEX(生物种群!$E$3:INDEX(生物种群!$E:$E,COUNTA(生物种群!$E:$E)),MATCH($H252,生物种群!$A$3:INDEX(生物种群!$A:$A,COUNTA(生物种群!$A:$A)),),))</f>
        <v/>
      </c>
      <c r="L252" s="46" t="str">
        <f t="shared" si="15"/>
        <v/>
      </c>
      <c r="M252" s="47" t="str">
        <f>IF(L252="","",ROUND((L252)/VLOOKUP($F252,IF({1,0},站位样品信息!$A$3:INDEX(站位样品信息!$A:$A,COUNTA(站位样品信息!$A:$A)+1),站位样品信息!$H$3:INDEX(站位样品信息!$H:$H,COUNTA(站位样品信息!$H:$H)+1)),2,0),2))</f>
        <v/>
      </c>
      <c r="O252" s="49"/>
      <c r="P252" s="53" t="str">
        <f t="shared" si="13"/>
        <v/>
      </c>
      <c r="Q252" s="53" t="str">
        <f t="shared" si="14"/>
        <v/>
      </c>
    </row>
    <row r="253" spans="1:17" ht="19.5" customHeight="1">
      <c r="A253" s="38"/>
      <c r="B253" s="38"/>
      <c r="C253" s="38"/>
      <c r="D253" s="37"/>
      <c r="E253" s="37"/>
      <c r="F253" s="37"/>
      <c r="G253" s="37" t="str">
        <f>IF(F253="","",INDEX(站位样品信息!$B$3:INDEX(站位样品信息!$B:$B,COUNTA(站位样品信息!$B:$B)+1),MATCH($F253,站位样品信息!$A$3:INDEX(站位样品信息!$A:$A,COUNTA(站位样品信息!$A:$A)+1),),))</f>
        <v/>
      </c>
      <c r="H253" s="55" t="str">
        <f>IF(OR(A253&lt;&gt;"",B253&lt;&gt;"",C253&lt;&gt;""),IF($C253&lt;&gt;0,INDEX(生物种群!$A$3:INDEX(生物种群!$A:$A,COUNTA(生物种群!$A:$A)),MATCH($C253,生物种群!$F$3:INDEX(生物种群!$F:$F,COUNTA(生物种群!$F:$F)),),),IF($A253&lt;&gt;0,INDEX(生物种群!$A$3:INDEX(生物种群!$A:$A,COUNTA(生物种群!$A:$A)),MATCH($A253,生物种群!$C$3:INDEX(生物种群!$C:$C,COUNTA(生物种群!$C:$C)),),),INDEX(生物种群!$A$3:INDEX(生物种群!$A:$A,COUNTA(生物种群!$A:$A)),MATCH($B253,生物种群!$D$3:INDEX(生物种群!$D:$D,COUNTA(生物种群!$D:$D)),),))),"")</f>
        <v/>
      </c>
      <c r="I253" s="56" t="str">
        <f>IF(H253="","",INDEX(生物种群!$B$3:INDEX(生物种群!$B:$B,COUNTA(生物种群!$B:$B)),MATCH($H253,生物种群!$A$3:INDEX(生物种群!$A:$A,COUNTA(生物种群!$A:$A)),),))</f>
        <v/>
      </c>
      <c r="J253" s="55" t="str">
        <f>IF(H253="","",INDEX(生物种群!$I$3:INDEX(生物种群!$I:$I,COUNTA(生物种群!$I:$I)),MATCH($H253,生物种群!$A$3:INDEX(生物种群!$A:$A,COUNTA(生物种群!$A:$A)),),))</f>
        <v/>
      </c>
      <c r="K253" s="55" t="str">
        <f>IF(H253="","",INDEX(生物种群!$E$3:INDEX(生物种群!$E:$E,COUNTA(生物种群!$E:$E)),MATCH($H253,生物种群!$A$3:INDEX(生物种群!$A:$A,COUNTA(生物种群!$A:$A)),),))</f>
        <v/>
      </c>
      <c r="L253" s="46" t="str">
        <f t="shared" si="15"/>
        <v/>
      </c>
      <c r="M253" s="47" t="str">
        <f>IF(L253="","",ROUND((L253)/VLOOKUP($F253,IF({1,0},站位样品信息!$A$3:INDEX(站位样品信息!$A:$A,COUNTA(站位样品信息!$A:$A)+1),站位样品信息!$H$3:INDEX(站位样品信息!$H:$H,COUNTA(站位样品信息!$H:$H)+1)),2,0),2))</f>
        <v/>
      </c>
      <c r="O253" s="49"/>
      <c r="P253" s="53" t="str">
        <f t="shared" si="13"/>
        <v/>
      </c>
      <c r="Q253" s="53" t="str">
        <f t="shared" si="14"/>
        <v/>
      </c>
    </row>
    <row r="254" spans="1:17" ht="19.5" customHeight="1">
      <c r="A254" s="38"/>
      <c r="B254" s="38"/>
      <c r="C254" s="38"/>
      <c r="D254" s="37"/>
      <c r="E254" s="37"/>
      <c r="F254" s="37"/>
      <c r="G254" s="37" t="str">
        <f>IF(F254="","",INDEX(站位样品信息!$B$3:INDEX(站位样品信息!$B:$B,COUNTA(站位样品信息!$B:$B)+1),MATCH($F254,站位样品信息!$A$3:INDEX(站位样品信息!$A:$A,COUNTA(站位样品信息!$A:$A)+1),),))</f>
        <v/>
      </c>
      <c r="H254" s="55" t="str">
        <f>IF(OR(A254&lt;&gt;"",B254&lt;&gt;"",C254&lt;&gt;""),IF($C254&lt;&gt;0,INDEX(生物种群!$A$3:INDEX(生物种群!$A:$A,COUNTA(生物种群!$A:$A)),MATCH($C254,生物种群!$F$3:INDEX(生物种群!$F:$F,COUNTA(生物种群!$F:$F)),),),IF($A254&lt;&gt;0,INDEX(生物种群!$A$3:INDEX(生物种群!$A:$A,COUNTA(生物种群!$A:$A)),MATCH($A254,生物种群!$C$3:INDEX(生物种群!$C:$C,COUNTA(生物种群!$C:$C)),),),INDEX(生物种群!$A$3:INDEX(生物种群!$A:$A,COUNTA(生物种群!$A:$A)),MATCH($B254,生物种群!$D$3:INDEX(生物种群!$D:$D,COUNTA(生物种群!$D:$D)),),))),"")</f>
        <v/>
      </c>
      <c r="I254" s="56" t="str">
        <f>IF(H254="","",INDEX(生物种群!$B$3:INDEX(生物种群!$B:$B,COUNTA(生物种群!$B:$B)),MATCH($H254,生物种群!$A$3:INDEX(生物种群!$A:$A,COUNTA(生物种群!$A:$A)),),))</f>
        <v/>
      </c>
      <c r="J254" s="55" t="str">
        <f>IF(H254="","",INDEX(生物种群!$I$3:INDEX(生物种群!$I:$I,COUNTA(生物种群!$I:$I)),MATCH($H254,生物种群!$A$3:INDEX(生物种群!$A:$A,COUNTA(生物种群!$A:$A)),),))</f>
        <v/>
      </c>
      <c r="K254" s="55" t="str">
        <f>IF(H254="","",INDEX(生物种群!$E$3:INDEX(生物种群!$E:$E,COUNTA(生物种群!$E:$E)),MATCH($H254,生物种群!$A$3:INDEX(生物种群!$A:$A,COUNTA(生物种群!$A:$A)),),))</f>
        <v/>
      </c>
      <c r="L254" s="46" t="str">
        <f t="shared" si="15"/>
        <v/>
      </c>
      <c r="M254" s="47" t="str">
        <f>IF(L254="","",ROUND((L254)/VLOOKUP($F254,IF({1,0},站位样品信息!$A$3:INDEX(站位样品信息!$A:$A,COUNTA(站位样品信息!$A:$A)+1),站位样品信息!$H$3:INDEX(站位样品信息!$H:$H,COUNTA(站位样品信息!$H:$H)+1)),2,0),2))</f>
        <v/>
      </c>
      <c r="O254" s="49"/>
      <c r="P254" s="53" t="str">
        <f t="shared" si="13"/>
        <v/>
      </c>
      <c r="Q254" s="53" t="str">
        <f t="shared" si="14"/>
        <v/>
      </c>
    </row>
    <row r="255" spans="1:17" ht="19.5" customHeight="1">
      <c r="A255" s="38"/>
      <c r="B255" s="38"/>
      <c r="C255" s="38"/>
      <c r="D255" s="37"/>
      <c r="E255" s="37"/>
      <c r="F255" s="37"/>
      <c r="G255" s="37" t="str">
        <f>IF(F255="","",INDEX(站位样品信息!$B$3:INDEX(站位样品信息!$B:$B,COUNTA(站位样品信息!$B:$B)+1),MATCH($F255,站位样品信息!$A$3:INDEX(站位样品信息!$A:$A,COUNTA(站位样品信息!$A:$A)+1),),))</f>
        <v/>
      </c>
      <c r="H255" s="55" t="str">
        <f>IF(OR(A255&lt;&gt;"",B255&lt;&gt;"",C255&lt;&gt;""),IF($C255&lt;&gt;0,INDEX(生物种群!$A$3:INDEX(生物种群!$A:$A,COUNTA(生物种群!$A:$A)),MATCH($C255,生物种群!$F$3:INDEX(生物种群!$F:$F,COUNTA(生物种群!$F:$F)),),),IF($A255&lt;&gt;0,INDEX(生物种群!$A$3:INDEX(生物种群!$A:$A,COUNTA(生物种群!$A:$A)),MATCH($A255,生物种群!$C$3:INDEX(生物种群!$C:$C,COUNTA(生物种群!$C:$C)),),),INDEX(生物种群!$A$3:INDEX(生物种群!$A:$A,COUNTA(生物种群!$A:$A)),MATCH($B255,生物种群!$D$3:INDEX(生物种群!$D:$D,COUNTA(生物种群!$D:$D)),),))),"")</f>
        <v/>
      </c>
      <c r="I255" s="56" t="str">
        <f>IF(H255="","",INDEX(生物种群!$B$3:INDEX(生物种群!$B:$B,COUNTA(生物种群!$B:$B)),MATCH($H255,生物种群!$A$3:INDEX(生物种群!$A:$A,COUNTA(生物种群!$A:$A)),),))</f>
        <v/>
      </c>
      <c r="J255" s="55" t="str">
        <f>IF(H255="","",INDEX(生物种群!$I$3:INDEX(生物种群!$I:$I,COUNTA(生物种群!$I:$I)),MATCH($H255,生物种群!$A$3:INDEX(生物种群!$A:$A,COUNTA(生物种群!$A:$A)),),))</f>
        <v/>
      </c>
      <c r="K255" s="55" t="str">
        <f>IF(H255="","",INDEX(生物种群!$E$3:INDEX(生物种群!$E:$E,COUNTA(生物种群!$E:$E)),MATCH($H255,生物种群!$A$3:INDEX(生物种群!$A:$A,COUNTA(生物种群!$A:$A)),),))</f>
        <v/>
      </c>
      <c r="L255" s="46" t="str">
        <f t="shared" si="15"/>
        <v/>
      </c>
      <c r="M255" s="47" t="str">
        <f>IF(L255="","",ROUND((L255)/VLOOKUP($F255,IF({1,0},站位样品信息!$A$3:INDEX(站位样品信息!$A:$A,COUNTA(站位样品信息!$A:$A)+1),站位样品信息!$H$3:INDEX(站位样品信息!$H:$H,COUNTA(站位样品信息!$H:$H)+1)),2,0),2))</f>
        <v/>
      </c>
      <c r="O255" s="49"/>
      <c r="P255" s="53" t="str">
        <f t="shared" si="13"/>
        <v/>
      </c>
      <c r="Q255" s="53" t="str">
        <f t="shared" si="14"/>
        <v/>
      </c>
    </row>
    <row r="256" spans="1:17" ht="19.5" customHeight="1">
      <c r="A256" s="38"/>
      <c r="B256" s="38"/>
      <c r="C256" s="38"/>
      <c r="D256" s="37"/>
      <c r="E256" s="37"/>
      <c r="F256" s="37"/>
      <c r="G256" s="37" t="str">
        <f>IF(F256="","",INDEX(站位样品信息!$B$3:INDEX(站位样品信息!$B:$B,COUNTA(站位样品信息!$B:$B)+1),MATCH($F256,站位样品信息!$A$3:INDEX(站位样品信息!$A:$A,COUNTA(站位样品信息!$A:$A)+1),),))</f>
        <v/>
      </c>
      <c r="H256" s="55" t="str">
        <f>IF(OR(A256&lt;&gt;"",B256&lt;&gt;"",C256&lt;&gt;""),IF($C256&lt;&gt;0,INDEX(生物种群!$A$3:INDEX(生物种群!$A:$A,COUNTA(生物种群!$A:$A)),MATCH($C256,生物种群!$F$3:INDEX(生物种群!$F:$F,COUNTA(生物种群!$F:$F)),),),IF($A256&lt;&gt;0,INDEX(生物种群!$A$3:INDEX(生物种群!$A:$A,COUNTA(生物种群!$A:$A)),MATCH($A256,生物种群!$C$3:INDEX(生物种群!$C:$C,COUNTA(生物种群!$C:$C)),),),INDEX(生物种群!$A$3:INDEX(生物种群!$A:$A,COUNTA(生物种群!$A:$A)),MATCH($B256,生物种群!$D$3:INDEX(生物种群!$D:$D,COUNTA(生物种群!$D:$D)),),))),"")</f>
        <v/>
      </c>
      <c r="I256" s="56" t="str">
        <f>IF(H256="","",INDEX(生物种群!$B$3:INDEX(生物种群!$B:$B,COUNTA(生物种群!$B:$B)),MATCH($H256,生物种群!$A$3:INDEX(生物种群!$A:$A,COUNTA(生物种群!$A:$A)),),))</f>
        <v/>
      </c>
      <c r="J256" s="55" t="str">
        <f>IF(H256="","",INDEX(生物种群!$I$3:INDEX(生物种群!$I:$I,COUNTA(生物种群!$I:$I)),MATCH($H256,生物种群!$A$3:INDEX(生物种群!$A:$A,COUNTA(生物种群!$A:$A)),),))</f>
        <v/>
      </c>
      <c r="K256" s="55" t="str">
        <f>IF(H256="","",INDEX(生物种群!$E$3:INDEX(生物种群!$E:$E,COUNTA(生物种群!$E:$E)),MATCH($H256,生物种群!$A$3:INDEX(生物种群!$A:$A,COUNTA(生物种群!$A:$A)),),))</f>
        <v/>
      </c>
      <c r="L256" s="46" t="str">
        <f t="shared" si="15"/>
        <v/>
      </c>
      <c r="M256" s="47" t="str">
        <f>IF(L256="","",ROUND((L256)/VLOOKUP($F256,IF({1,0},站位样品信息!$A$3:INDEX(站位样品信息!$A:$A,COUNTA(站位样品信息!$A:$A)+1),站位样品信息!$H$3:INDEX(站位样品信息!$H:$H,COUNTA(站位样品信息!$H:$H)+1)),2,0),2))</f>
        <v/>
      </c>
      <c r="O256" s="49"/>
      <c r="P256" s="53" t="str">
        <f t="shared" si="13"/>
        <v/>
      </c>
      <c r="Q256" s="53" t="str">
        <f t="shared" si="14"/>
        <v/>
      </c>
    </row>
    <row r="257" spans="1:17" ht="19.5" customHeight="1">
      <c r="A257" s="38"/>
      <c r="B257" s="38"/>
      <c r="C257" s="38"/>
      <c r="D257" s="37"/>
      <c r="E257" s="37"/>
      <c r="F257" s="37"/>
      <c r="G257" s="37" t="str">
        <f>IF(F257="","",INDEX(站位样品信息!$B$3:INDEX(站位样品信息!$B:$B,COUNTA(站位样品信息!$B:$B)+1),MATCH($F257,站位样品信息!$A$3:INDEX(站位样品信息!$A:$A,COUNTA(站位样品信息!$A:$A)+1),),))</f>
        <v/>
      </c>
      <c r="H257" s="55" t="str">
        <f>IF(OR(A257&lt;&gt;"",B257&lt;&gt;"",C257&lt;&gt;""),IF($C257&lt;&gt;0,INDEX(生物种群!$A$3:INDEX(生物种群!$A:$A,COUNTA(生物种群!$A:$A)),MATCH($C257,生物种群!$F$3:INDEX(生物种群!$F:$F,COUNTA(生物种群!$F:$F)),),),IF($A257&lt;&gt;0,INDEX(生物种群!$A$3:INDEX(生物种群!$A:$A,COUNTA(生物种群!$A:$A)),MATCH($A257,生物种群!$C$3:INDEX(生物种群!$C:$C,COUNTA(生物种群!$C:$C)),),),INDEX(生物种群!$A$3:INDEX(生物种群!$A:$A,COUNTA(生物种群!$A:$A)),MATCH($B257,生物种群!$D$3:INDEX(生物种群!$D:$D,COUNTA(生物种群!$D:$D)),),))),"")</f>
        <v/>
      </c>
      <c r="I257" s="56" t="str">
        <f>IF(H257="","",INDEX(生物种群!$B$3:INDEX(生物种群!$B:$B,COUNTA(生物种群!$B:$B)),MATCH($H257,生物种群!$A$3:INDEX(生物种群!$A:$A,COUNTA(生物种群!$A:$A)),),))</f>
        <v/>
      </c>
      <c r="J257" s="55" t="str">
        <f>IF(H257="","",INDEX(生物种群!$I$3:INDEX(生物种群!$I:$I,COUNTA(生物种群!$I:$I)),MATCH($H257,生物种群!$A$3:INDEX(生物种群!$A:$A,COUNTA(生物种群!$A:$A)),),))</f>
        <v/>
      </c>
      <c r="K257" s="55" t="str">
        <f>IF(H257="","",INDEX(生物种群!$E$3:INDEX(生物种群!$E:$E,COUNTA(生物种群!$E:$E)),MATCH($H257,生物种群!$A$3:INDEX(生物种群!$A:$A,COUNTA(生物种群!$A:$A)),),))</f>
        <v/>
      </c>
      <c r="L257" s="46" t="str">
        <f t="shared" si="15"/>
        <v/>
      </c>
      <c r="M257" s="47" t="str">
        <f>IF(L257="","",ROUND((L257)/VLOOKUP($F257,IF({1,0},站位样品信息!$A$3:INDEX(站位样品信息!$A:$A,COUNTA(站位样品信息!$A:$A)+1),站位样品信息!$H$3:INDEX(站位样品信息!$H:$H,COUNTA(站位样品信息!$H:$H)+1)),2,0),2))</f>
        <v/>
      </c>
      <c r="O257" s="49"/>
      <c r="P257" s="53" t="str">
        <f t="shared" si="13"/>
        <v/>
      </c>
      <c r="Q257" s="53" t="str">
        <f t="shared" si="14"/>
        <v/>
      </c>
    </row>
    <row r="258" spans="1:17" ht="19.5" customHeight="1">
      <c r="A258" s="38"/>
      <c r="B258" s="38"/>
      <c r="C258" s="38"/>
      <c r="D258" s="37"/>
      <c r="E258" s="37"/>
      <c r="F258" s="37"/>
      <c r="G258" s="37" t="str">
        <f>IF(F258="","",INDEX(站位样品信息!$B$3:INDEX(站位样品信息!$B:$B,COUNTA(站位样品信息!$B:$B)+1),MATCH($F258,站位样品信息!$A$3:INDEX(站位样品信息!$A:$A,COUNTA(站位样品信息!$A:$A)+1),),))</f>
        <v/>
      </c>
      <c r="H258" s="55" t="str">
        <f>IF(OR(A258&lt;&gt;"",B258&lt;&gt;"",C258&lt;&gt;""),IF($C258&lt;&gt;0,INDEX(生物种群!$A$3:INDEX(生物种群!$A:$A,COUNTA(生物种群!$A:$A)),MATCH($C258,生物种群!$F$3:INDEX(生物种群!$F:$F,COUNTA(生物种群!$F:$F)),),),IF($A258&lt;&gt;0,INDEX(生物种群!$A$3:INDEX(生物种群!$A:$A,COUNTA(生物种群!$A:$A)),MATCH($A258,生物种群!$C$3:INDEX(生物种群!$C:$C,COUNTA(生物种群!$C:$C)),),),INDEX(生物种群!$A$3:INDEX(生物种群!$A:$A,COUNTA(生物种群!$A:$A)),MATCH($B258,生物种群!$D$3:INDEX(生物种群!$D:$D,COUNTA(生物种群!$D:$D)),),))),"")</f>
        <v/>
      </c>
      <c r="I258" s="56" t="str">
        <f>IF(H258="","",INDEX(生物种群!$B$3:INDEX(生物种群!$B:$B,COUNTA(生物种群!$B:$B)),MATCH($H258,生物种群!$A$3:INDEX(生物种群!$A:$A,COUNTA(生物种群!$A:$A)),),))</f>
        <v/>
      </c>
      <c r="J258" s="55" t="str">
        <f>IF(H258="","",INDEX(生物种群!$I$3:INDEX(生物种群!$I:$I,COUNTA(生物种群!$I:$I)),MATCH($H258,生物种群!$A$3:INDEX(生物种群!$A:$A,COUNTA(生物种群!$A:$A)),),))</f>
        <v/>
      </c>
      <c r="K258" s="55" t="str">
        <f>IF(H258="","",INDEX(生物种群!$E$3:INDEX(生物种群!$E:$E,COUNTA(生物种群!$E:$E)),MATCH($H258,生物种群!$A$3:INDEX(生物种群!$A:$A,COUNTA(生物种群!$A:$A)),),))</f>
        <v/>
      </c>
      <c r="L258" s="46" t="str">
        <f t="shared" si="15"/>
        <v/>
      </c>
      <c r="M258" s="47" t="str">
        <f>IF(L258="","",ROUND((L258)/VLOOKUP($F258,IF({1,0},站位样品信息!$A$3:INDEX(站位样品信息!$A:$A,COUNTA(站位样品信息!$A:$A)+1),站位样品信息!$H$3:INDEX(站位样品信息!$H:$H,COUNTA(站位样品信息!$H:$H)+1)),2,0),2))</f>
        <v/>
      </c>
      <c r="O258" s="49"/>
      <c r="P258" s="53" t="str">
        <f t="shared" si="13"/>
        <v/>
      </c>
      <c r="Q258" s="53" t="str">
        <f t="shared" si="14"/>
        <v/>
      </c>
    </row>
    <row r="259" spans="1:17" ht="19.5" customHeight="1">
      <c r="A259" s="38"/>
      <c r="B259" s="38"/>
      <c r="C259" s="38"/>
      <c r="D259" s="37"/>
      <c r="E259" s="37"/>
      <c r="F259" s="37"/>
      <c r="G259" s="37" t="str">
        <f>IF(F259="","",INDEX(站位样品信息!$B$3:INDEX(站位样品信息!$B:$B,COUNTA(站位样品信息!$B:$B)+1),MATCH($F259,站位样品信息!$A$3:INDEX(站位样品信息!$A:$A,COUNTA(站位样品信息!$A:$A)+1),),))</f>
        <v/>
      </c>
      <c r="H259" s="55" t="str">
        <f>IF(OR(A259&lt;&gt;"",B259&lt;&gt;"",C259&lt;&gt;""),IF($C259&lt;&gt;0,INDEX(生物种群!$A$3:INDEX(生物种群!$A:$A,COUNTA(生物种群!$A:$A)),MATCH($C259,生物种群!$F$3:INDEX(生物种群!$F:$F,COUNTA(生物种群!$F:$F)),),),IF($A259&lt;&gt;0,INDEX(生物种群!$A$3:INDEX(生物种群!$A:$A,COUNTA(生物种群!$A:$A)),MATCH($A259,生物种群!$C$3:INDEX(生物种群!$C:$C,COUNTA(生物种群!$C:$C)),),),INDEX(生物种群!$A$3:INDEX(生物种群!$A:$A,COUNTA(生物种群!$A:$A)),MATCH($B259,生物种群!$D$3:INDEX(生物种群!$D:$D,COUNTA(生物种群!$D:$D)),),))),"")</f>
        <v/>
      </c>
      <c r="I259" s="56" t="str">
        <f>IF(H259="","",INDEX(生物种群!$B$3:INDEX(生物种群!$B:$B,COUNTA(生物种群!$B:$B)),MATCH($H259,生物种群!$A$3:INDEX(生物种群!$A:$A,COUNTA(生物种群!$A:$A)),),))</f>
        <v/>
      </c>
      <c r="J259" s="55" t="str">
        <f>IF(H259="","",INDEX(生物种群!$I$3:INDEX(生物种群!$I:$I,COUNTA(生物种群!$I:$I)),MATCH($H259,生物种群!$A$3:INDEX(生物种群!$A:$A,COUNTA(生物种群!$A:$A)),),))</f>
        <v/>
      </c>
      <c r="K259" s="55" t="str">
        <f>IF(H259="","",INDEX(生物种群!$E$3:INDEX(生物种群!$E:$E,COUNTA(生物种群!$E:$E)),MATCH($H259,生物种群!$A$3:INDEX(生物种群!$A:$A,COUNTA(生物种群!$A:$A)),),))</f>
        <v/>
      </c>
      <c r="L259" s="46" t="str">
        <f t="shared" si="15"/>
        <v/>
      </c>
      <c r="M259" s="47" t="str">
        <f>IF(L259="","",ROUND((L259)/VLOOKUP($F259,IF({1,0},站位样品信息!$A$3:INDEX(站位样品信息!$A:$A,COUNTA(站位样品信息!$A:$A)+1),站位样品信息!$H$3:INDEX(站位样品信息!$H:$H,COUNTA(站位样品信息!$H:$H)+1)),2,0),2))</f>
        <v/>
      </c>
      <c r="O259" s="49"/>
      <c r="P259" s="53" t="str">
        <f t="shared" si="16" ref="P259:P322">IF(F259&gt;0,F259&amp;I259,"")</f>
        <v/>
      </c>
      <c r="Q259" s="53" t="str">
        <f t="shared" si="17" ref="Q259:Q322">IF(COUNTIF($P:$P,P259)=1,"",IF(A259&amp;B259&amp;C259="","","重复"))</f>
        <v/>
      </c>
    </row>
    <row r="260" spans="1:17" ht="19.5" customHeight="1">
      <c r="A260" s="38"/>
      <c r="B260" s="38"/>
      <c r="C260" s="38"/>
      <c r="D260" s="37"/>
      <c r="E260" s="37"/>
      <c r="F260" s="37"/>
      <c r="G260" s="37" t="str">
        <f>IF(F260="","",INDEX(站位样品信息!$B$3:INDEX(站位样品信息!$B:$B,COUNTA(站位样品信息!$B:$B)+1),MATCH($F260,站位样品信息!$A$3:INDEX(站位样品信息!$A:$A,COUNTA(站位样品信息!$A:$A)+1),),))</f>
        <v/>
      </c>
      <c r="H260" s="55" t="str">
        <f>IF(OR(A260&lt;&gt;"",B260&lt;&gt;"",C260&lt;&gt;""),IF($C260&lt;&gt;0,INDEX(生物种群!$A$3:INDEX(生物种群!$A:$A,COUNTA(生物种群!$A:$A)),MATCH($C260,生物种群!$F$3:INDEX(生物种群!$F:$F,COUNTA(生物种群!$F:$F)),),),IF($A260&lt;&gt;0,INDEX(生物种群!$A$3:INDEX(生物种群!$A:$A,COUNTA(生物种群!$A:$A)),MATCH($A260,生物种群!$C$3:INDEX(生物种群!$C:$C,COUNTA(生物种群!$C:$C)),),),INDEX(生物种群!$A$3:INDEX(生物种群!$A:$A,COUNTA(生物种群!$A:$A)),MATCH($B260,生物种群!$D$3:INDEX(生物种群!$D:$D,COUNTA(生物种群!$D:$D)),),))),"")</f>
        <v/>
      </c>
      <c r="I260" s="56" t="str">
        <f>IF(H260="","",INDEX(生物种群!$B$3:INDEX(生物种群!$B:$B,COUNTA(生物种群!$B:$B)),MATCH($H260,生物种群!$A$3:INDEX(生物种群!$A:$A,COUNTA(生物种群!$A:$A)),),))</f>
        <v/>
      </c>
      <c r="J260" s="55" t="str">
        <f>IF(H260="","",INDEX(生物种群!$I$3:INDEX(生物种群!$I:$I,COUNTA(生物种群!$I:$I)),MATCH($H260,生物种群!$A$3:INDEX(生物种群!$A:$A,COUNTA(生物种群!$A:$A)),),))</f>
        <v/>
      </c>
      <c r="K260" s="55" t="str">
        <f>IF(H260="","",INDEX(生物种群!$E$3:INDEX(生物种群!$E:$E,COUNTA(生物种群!$E:$E)),MATCH($H260,生物种群!$A$3:INDEX(生物种群!$A:$A,COUNTA(生物种群!$A:$A)),),))</f>
        <v/>
      </c>
      <c r="L260" s="46" t="str">
        <f t="shared" si="15"/>
        <v/>
      </c>
      <c r="M260" s="47" t="str">
        <f>IF(L260="","",ROUND((L260)/VLOOKUP($F260,IF({1,0},站位样品信息!$A$3:INDEX(站位样品信息!$A:$A,COUNTA(站位样品信息!$A:$A)+1),站位样品信息!$H$3:INDEX(站位样品信息!$H:$H,COUNTA(站位样品信息!$H:$H)+1)),2,0),2))</f>
        <v/>
      </c>
      <c r="O260" s="49"/>
      <c r="P260" s="53" t="str">
        <f t="shared" si="16"/>
        <v/>
      </c>
      <c r="Q260" s="53" t="str">
        <f t="shared" si="17"/>
        <v/>
      </c>
    </row>
    <row r="261" spans="1:17" ht="19.5" customHeight="1">
      <c r="A261" s="38"/>
      <c r="B261" s="38"/>
      <c r="C261" s="38"/>
      <c r="D261" s="37"/>
      <c r="E261" s="37"/>
      <c r="F261" s="37"/>
      <c r="G261" s="37" t="str">
        <f>IF(F261="","",INDEX(站位样品信息!$B$3:INDEX(站位样品信息!$B:$B,COUNTA(站位样品信息!$B:$B)+1),MATCH($F261,站位样品信息!$A$3:INDEX(站位样品信息!$A:$A,COUNTA(站位样品信息!$A:$A)+1),),))</f>
        <v/>
      </c>
      <c r="H261" s="55" t="str">
        <f>IF(OR(A261&lt;&gt;"",B261&lt;&gt;"",C261&lt;&gt;""),IF($C261&lt;&gt;0,INDEX(生物种群!$A$3:INDEX(生物种群!$A:$A,COUNTA(生物种群!$A:$A)),MATCH($C261,生物种群!$F$3:INDEX(生物种群!$F:$F,COUNTA(生物种群!$F:$F)),),),IF($A261&lt;&gt;0,INDEX(生物种群!$A$3:INDEX(生物种群!$A:$A,COUNTA(生物种群!$A:$A)),MATCH($A261,生物种群!$C$3:INDEX(生物种群!$C:$C,COUNTA(生物种群!$C:$C)),),),INDEX(生物种群!$A$3:INDEX(生物种群!$A:$A,COUNTA(生物种群!$A:$A)),MATCH($B261,生物种群!$D$3:INDEX(生物种群!$D:$D,COUNTA(生物种群!$D:$D)),),))),"")</f>
        <v/>
      </c>
      <c r="I261" s="56" t="str">
        <f>IF(H261="","",INDEX(生物种群!$B$3:INDEX(生物种群!$B:$B,COUNTA(生物种群!$B:$B)),MATCH($H261,生物种群!$A$3:INDEX(生物种群!$A:$A,COUNTA(生物种群!$A:$A)),),))</f>
        <v/>
      </c>
      <c r="J261" s="55" t="str">
        <f>IF(H261="","",INDEX(生物种群!$I$3:INDEX(生物种群!$I:$I,COUNTA(生物种群!$I:$I)),MATCH($H261,生物种群!$A$3:INDEX(生物种群!$A:$A,COUNTA(生物种群!$A:$A)),),))</f>
        <v/>
      </c>
      <c r="K261" s="55" t="str">
        <f>IF(H261="","",INDEX(生物种群!$E$3:INDEX(生物种群!$E:$E,COUNTA(生物种群!$E:$E)),MATCH($H261,生物种群!$A$3:INDEX(生物种群!$A:$A,COUNTA(生物种群!$A:$A)),),))</f>
        <v/>
      </c>
      <c r="L261" s="46" t="str">
        <f t="shared" si="15"/>
        <v/>
      </c>
      <c r="M261" s="47" t="str">
        <f>IF(L261="","",ROUND((L261)/VLOOKUP($F261,IF({1,0},站位样品信息!$A$3:INDEX(站位样品信息!$A:$A,COUNTA(站位样品信息!$A:$A)+1),站位样品信息!$H$3:INDEX(站位样品信息!$H:$H,COUNTA(站位样品信息!$H:$H)+1)),2,0),2))</f>
        <v/>
      </c>
      <c r="O261" s="49"/>
      <c r="P261" s="53" t="str">
        <f t="shared" si="16"/>
        <v/>
      </c>
      <c r="Q261" s="53" t="str">
        <f t="shared" si="17"/>
        <v/>
      </c>
    </row>
    <row r="262" spans="1:17" ht="19.5" customHeight="1">
      <c r="A262" s="38"/>
      <c r="B262" s="38"/>
      <c r="C262" s="38"/>
      <c r="D262" s="37"/>
      <c r="E262" s="37"/>
      <c r="F262" s="37"/>
      <c r="G262" s="37" t="str">
        <f>IF(F262="","",INDEX(站位样品信息!$B$3:INDEX(站位样品信息!$B:$B,COUNTA(站位样品信息!$B:$B)+1),MATCH($F262,站位样品信息!$A$3:INDEX(站位样品信息!$A:$A,COUNTA(站位样品信息!$A:$A)+1),),))</f>
        <v/>
      </c>
      <c r="H262" s="55" t="str">
        <f>IF(OR(A262&lt;&gt;"",B262&lt;&gt;"",C262&lt;&gt;""),IF($C262&lt;&gt;0,INDEX(生物种群!$A$3:INDEX(生物种群!$A:$A,COUNTA(生物种群!$A:$A)),MATCH($C262,生物种群!$F$3:INDEX(生物种群!$F:$F,COUNTA(生物种群!$F:$F)),),),IF($A262&lt;&gt;0,INDEX(生物种群!$A$3:INDEX(生物种群!$A:$A,COUNTA(生物种群!$A:$A)),MATCH($A262,生物种群!$C$3:INDEX(生物种群!$C:$C,COUNTA(生物种群!$C:$C)),),),INDEX(生物种群!$A$3:INDEX(生物种群!$A:$A,COUNTA(生物种群!$A:$A)),MATCH($B262,生物种群!$D$3:INDEX(生物种群!$D:$D,COUNTA(生物种群!$D:$D)),),))),"")</f>
        <v/>
      </c>
      <c r="I262" s="56" t="str">
        <f>IF(H262="","",INDEX(生物种群!$B$3:INDEX(生物种群!$B:$B,COUNTA(生物种群!$B:$B)),MATCH($H262,生物种群!$A$3:INDEX(生物种群!$A:$A,COUNTA(生物种群!$A:$A)),),))</f>
        <v/>
      </c>
      <c r="J262" s="55" t="str">
        <f>IF(H262="","",INDEX(生物种群!$I$3:INDEX(生物种群!$I:$I,COUNTA(生物种群!$I:$I)),MATCH($H262,生物种群!$A$3:INDEX(生物种群!$A:$A,COUNTA(生物种群!$A:$A)),),))</f>
        <v/>
      </c>
      <c r="K262" s="55" t="str">
        <f>IF(H262="","",INDEX(生物种群!$E$3:INDEX(生物种群!$E:$E,COUNTA(生物种群!$E:$E)),MATCH($H262,生物种群!$A$3:INDEX(生物种群!$A:$A,COUNTA(生物种群!$A:$A)),),))</f>
        <v/>
      </c>
      <c r="L262" s="46" t="str">
        <f t="shared" si="15"/>
        <v/>
      </c>
      <c r="M262" s="47" t="str">
        <f>IF(L262="","",ROUND((L262)/VLOOKUP($F262,IF({1,0},站位样品信息!$A$3:INDEX(站位样品信息!$A:$A,COUNTA(站位样品信息!$A:$A)+1),站位样品信息!$H$3:INDEX(站位样品信息!$H:$H,COUNTA(站位样品信息!$H:$H)+1)),2,0),2))</f>
        <v/>
      </c>
      <c r="O262" s="49"/>
      <c r="P262" s="53" t="str">
        <f t="shared" si="16"/>
        <v/>
      </c>
      <c r="Q262" s="53" t="str">
        <f t="shared" si="17"/>
        <v/>
      </c>
    </row>
    <row r="263" spans="1:17" ht="19.5" customHeight="1">
      <c r="A263" s="38"/>
      <c r="B263" s="38"/>
      <c r="C263" s="38"/>
      <c r="D263" s="37"/>
      <c r="E263" s="37"/>
      <c r="F263" s="37"/>
      <c r="G263" s="37" t="str">
        <f>IF(F263="","",INDEX(站位样品信息!$B$3:INDEX(站位样品信息!$B:$B,COUNTA(站位样品信息!$B:$B)+1),MATCH($F263,站位样品信息!$A$3:INDEX(站位样品信息!$A:$A,COUNTA(站位样品信息!$A:$A)+1),),))</f>
        <v/>
      </c>
      <c r="H263" s="55" t="str">
        <f>IF(OR(A263&lt;&gt;"",B263&lt;&gt;"",C263&lt;&gt;""),IF($C263&lt;&gt;0,INDEX(生物种群!$A$3:INDEX(生物种群!$A:$A,COUNTA(生物种群!$A:$A)),MATCH($C263,生物种群!$F$3:INDEX(生物种群!$F:$F,COUNTA(生物种群!$F:$F)),),),IF($A263&lt;&gt;0,INDEX(生物种群!$A$3:INDEX(生物种群!$A:$A,COUNTA(生物种群!$A:$A)),MATCH($A263,生物种群!$C$3:INDEX(生物种群!$C:$C,COUNTA(生物种群!$C:$C)),),),INDEX(生物种群!$A$3:INDEX(生物种群!$A:$A,COUNTA(生物种群!$A:$A)),MATCH($B263,生物种群!$D$3:INDEX(生物种群!$D:$D,COUNTA(生物种群!$D:$D)),),))),"")</f>
        <v/>
      </c>
      <c r="I263" s="56" t="str">
        <f>IF(H263="","",INDEX(生物种群!$B$3:INDEX(生物种群!$B:$B,COUNTA(生物种群!$B:$B)),MATCH($H263,生物种群!$A$3:INDEX(生物种群!$A:$A,COUNTA(生物种群!$A:$A)),),))</f>
        <v/>
      </c>
      <c r="J263" s="55" t="str">
        <f>IF(H263="","",INDEX(生物种群!$I$3:INDEX(生物种群!$I:$I,COUNTA(生物种群!$I:$I)),MATCH($H263,生物种群!$A$3:INDEX(生物种群!$A:$A,COUNTA(生物种群!$A:$A)),),))</f>
        <v/>
      </c>
      <c r="K263" s="55" t="str">
        <f>IF(H263="","",INDEX(生物种群!$E$3:INDEX(生物种群!$E:$E,COUNTA(生物种群!$E:$E)),MATCH($H263,生物种群!$A$3:INDEX(生物种群!$A:$A,COUNTA(生物种群!$A:$A)),),))</f>
        <v/>
      </c>
      <c r="L263" s="46" t="str">
        <f t="shared" si="15"/>
        <v/>
      </c>
      <c r="M263" s="47" t="str">
        <f>IF(L263="","",ROUND((L263)/VLOOKUP($F263,IF({1,0},站位样品信息!$A$3:INDEX(站位样品信息!$A:$A,COUNTA(站位样品信息!$A:$A)+1),站位样品信息!$H$3:INDEX(站位样品信息!$H:$H,COUNTA(站位样品信息!$H:$H)+1)),2,0),2))</f>
        <v/>
      </c>
      <c r="O263" s="49"/>
      <c r="P263" s="53" t="str">
        <f t="shared" si="16"/>
        <v/>
      </c>
      <c r="Q263" s="53" t="str">
        <f t="shared" si="17"/>
        <v/>
      </c>
    </row>
    <row r="264" spans="1:17" ht="19.5" customHeight="1">
      <c r="A264" s="38"/>
      <c r="B264" s="38"/>
      <c r="C264" s="38"/>
      <c r="D264" s="37"/>
      <c r="E264" s="37"/>
      <c r="F264" s="37"/>
      <c r="G264" s="37" t="str">
        <f>IF(F264="","",INDEX(站位样品信息!$B$3:INDEX(站位样品信息!$B:$B,COUNTA(站位样品信息!$B:$B)+1),MATCH($F264,站位样品信息!$A$3:INDEX(站位样品信息!$A:$A,COUNTA(站位样品信息!$A:$A)+1),),))</f>
        <v/>
      </c>
      <c r="H264" s="55" t="str">
        <f>IF(OR(A264&lt;&gt;"",B264&lt;&gt;"",C264&lt;&gt;""),IF($C264&lt;&gt;0,INDEX(生物种群!$A$3:INDEX(生物种群!$A:$A,COUNTA(生物种群!$A:$A)),MATCH($C264,生物种群!$F$3:INDEX(生物种群!$F:$F,COUNTA(生物种群!$F:$F)),),),IF($A264&lt;&gt;0,INDEX(生物种群!$A$3:INDEX(生物种群!$A:$A,COUNTA(生物种群!$A:$A)),MATCH($A264,生物种群!$C$3:INDEX(生物种群!$C:$C,COUNTA(生物种群!$C:$C)),),),INDEX(生物种群!$A$3:INDEX(生物种群!$A:$A,COUNTA(生物种群!$A:$A)),MATCH($B264,生物种群!$D$3:INDEX(生物种群!$D:$D,COUNTA(生物种群!$D:$D)),),))),"")</f>
        <v/>
      </c>
      <c r="I264" s="56" t="str">
        <f>IF(H264="","",INDEX(生物种群!$B$3:INDEX(生物种群!$B:$B,COUNTA(生物种群!$B:$B)),MATCH($H264,生物种群!$A$3:INDEX(生物种群!$A:$A,COUNTA(生物种群!$A:$A)),),))</f>
        <v/>
      </c>
      <c r="J264" s="55" t="str">
        <f>IF(H264="","",INDEX(生物种群!$I$3:INDEX(生物种群!$I:$I,COUNTA(生物种群!$I:$I)),MATCH($H264,生物种群!$A$3:INDEX(生物种群!$A:$A,COUNTA(生物种群!$A:$A)),),))</f>
        <v/>
      </c>
      <c r="K264" s="55" t="str">
        <f>IF(H264="","",INDEX(生物种群!$E$3:INDEX(生物种群!$E:$E,COUNTA(生物种群!$E:$E)),MATCH($H264,生物种群!$A$3:INDEX(生物种群!$A:$A,COUNTA(生物种群!$A:$A)),),))</f>
        <v/>
      </c>
      <c r="L264" s="46" t="str">
        <f t="shared" si="15"/>
        <v/>
      </c>
      <c r="M264" s="47" t="str">
        <f>IF(L264="","",ROUND((L264)/VLOOKUP($F264,IF({1,0},站位样品信息!$A$3:INDEX(站位样品信息!$A:$A,COUNTA(站位样品信息!$A:$A)+1),站位样品信息!$H$3:INDEX(站位样品信息!$H:$H,COUNTA(站位样品信息!$H:$H)+1)),2,0),2))</f>
        <v/>
      </c>
      <c r="O264" s="49"/>
      <c r="P264" s="53" t="str">
        <f t="shared" si="16"/>
        <v/>
      </c>
      <c r="Q264" s="53" t="str">
        <f t="shared" si="17"/>
        <v/>
      </c>
    </row>
    <row r="265" spans="1:17" ht="19.5" customHeight="1">
      <c r="A265" s="38"/>
      <c r="B265" s="38"/>
      <c r="C265" s="38"/>
      <c r="D265" s="37"/>
      <c r="E265" s="37"/>
      <c r="F265" s="37"/>
      <c r="G265" s="37" t="str">
        <f>IF(F265="","",INDEX(站位样品信息!$B$3:INDEX(站位样品信息!$B:$B,COUNTA(站位样品信息!$B:$B)+1),MATCH($F265,站位样品信息!$A$3:INDEX(站位样品信息!$A:$A,COUNTA(站位样品信息!$A:$A)+1),),))</f>
        <v/>
      </c>
      <c r="H265" s="55" t="str">
        <f>IF(OR(A265&lt;&gt;"",B265&lt;&gt;"",C265&lt;&gt;""),IF($C265&lt;&gt;0,INDEX(生物种群!$A$3:INDEX(生物种群!$A:$A,COUNTA(生物种群!$A:$A)),MATCH($C265,生物种群!$F$3:INDEX(生物种群!$F:$F,COUNTA(生物种群!$F:$F)),),),IF($A265&lt;&gt;0,INDEX(生物种群!$A$3:INDEX(生物种群!$A:$A,COUNTA(生物种群!$A:$A)),MATCH($A265,生物种群!$C$3:INDEX(生物种群!$C:$C,COUNTA(生物种群!$C:$C)),),),INDEX(生物种群!$A$3:INDEX(生物种群!$A:$A,COUNTA(生物种群!$A:$A)),MATCH($B265,生物种群!$D$3:INDEX(生物种群!$D:$D,COUNTA(生物种群!$D:$D)),),))),"")</f>
        <v/>
      </c>
      <c r="I265" s="56" t="str">
        <f>IF(H265="","",INDEX(生物种群!$B$3:INDEX(生物种群!$B:$B,COUNTA(生物种群!$B:$B)),MATCH($H265,生物种群!$A$3:INDEX(生物种群!$A:$A,COUNTA(生物种群!$A:$A)),),))</f>
        <v/>
      </c>
      <c r="J265" s="55" t="str">
        <f>IF(H265="","",INDEX(生物种群!$I$3:INDEX(生物种群!$I:$I,COUNTA(生物种群!$I:$I)),MATCH($H265,生物种群!$A$3:INDEX(生物种群!$A:$A,COUNTA(生物种群!$A:$A)),),))</f>
        <v/>
      </c>
      <c r="K265" s="55" t="str">
        <f>IF(H265="","",INDEX(生物种群!$E$3:INDEX(生物种群!$E:$E,COUNTA(生物种群!$E:$E)),MATCH($H265,生物种群!$A$3:INDEX(生物种群!$A:$A,COUNTA(生物种群!$A:$A)),),))</f>
        <v/>
      </c>
      <c r="L265" s="46" t="str">
        <f t="shared" si="15"/>
        <v/>
      </c>
      <c r="M265" s="47" t="str">
        <f>IF(L265="","",ROUND((L265)/VLOOKUP($F265,IF({1,0},站位样品信息!$A$3:INDEX(站位样品信息!$A:$A,COUNTA(站位样品信息!$A:$A)+1),站位样品信息!$H$3:INDEX(站位样品信息!$H:$H,COUNTA(站位样品信息!$H:$H)+1)),2,0),2))</f>
        <v/>
      </c>
      <c r="O265" s="49"/>
      <c r="P265" s="53" t="str">
        <f t="shared" si="16"/>
        <v/>
      </c>
      <c r="Q265" s="53" t="str">
        <f t="shared" si="17"/>
        <v/>
      </c>
    </row>
    <row r="266" spans="1:17" ht="19.5" customHeight="1">
      <c r="A266" s="38"/>
      <c r="B266" s="38"/>
      <c r="C266" s="38"/>
      <c r="D266" s="37"/>
      <c r="E266" s="37"/>
      <c r="F266" s="37"/>
      <c r="G266" s="37" t="str">
        <f>IF(F266="","",INDEX(站位样品信息!$B$3:INDEX(站位样品信息!$B:$B,COUNTA(站位样品信息!$B:$B)+1),MATCH($F266,站位样品信息!$A$3:INDEX(站位样品信息!$A:$A,COUNTA(站位样品信息!$A:$A)+1),),))</f>
        <v/>
      </c>
      <c r="H266" s="55" t="str">
        <f>IF(OR(A266&lt;&gt;"",B266&lt;&gt;"",C266&lt;&gt;""),IF($C266&lt;&gt;0,INDEX(生物种群!$A$3:INDEX(生物种群!$A:$A,COUNTA(生物种群!$A:$A)),MATCH($C266,生物种群!$F$3:INDEX(生物种群!$F:$F,COUNTA(生物种群!$F:$F)),),),IF($A266&lt;&gt;0,INDEX(生物种群!$A$3:INDEX(生物种群!$A:$A,COUNTA(生物种群!$A:$A)),MATCH($A266,生物种群!$C$3:INDEX(生物种群!$C:$C,COUNTA(生物种群!$C:$C)),),),INDEX(生物种群!$A$3:INDEX(生物种群!$A:$A,COUNTA(生物种群!$A:$A)),MATCH($B266,生物种群!$D$3:INDEX(生物种群!$D:$D,COUNTA(生物种群!$D:$D)),),))),"")</f>
        <v/>
      </c>
      <c r="I266" s="56" t="str">
        <f>IF(H266="","",INDEX(生物种群!$B$3:INDEX(生物种群!$B:$B,COUNTA(生物种群!$B:$B)),MATCH($H266,生物种群!$A$3:INDEX(生物种群!$A:$A,COUNTA(生物种群!$A:$A)),),))</f>
        <v/>
      </c>
      <c r="J266" s="55" t="str">
        <f>IF(H266="","",INDEX(生物种群!$I$3:INDEX(生物种群!$I:$I,COUNTA(生物种群!$I:$I)),MATCH($H266,生物种群!$A$3:INDEX(生物种群!$A:$A,COUNTA(生物种群!$A:$A)),),))</f>
        <v/>
      </c>
      <c r="K266" s="55" t="str">
        <f>IF(H266="","",INDEX(生物种群!$E$3:INDEX(生物种群!$E:$E,COUNTA(生物种群!$E:$E)),MATCH($H266,生物种群!$A$3:INDEX(生物种群!$A:$A,COUNTA(生物种群!$A:$A)),),))</f>
        <v/>
      </c>
      <c r="L266" s="46" t="str">
        <f t="shared" si="15"/>
        <v/>
      </c>
      <c r="M266" s="47" t="str">
        <f>IF(L266="","",ROUND((L266)/VLOOKUP($F266,IF({1,0},站位样品信息!$A$3:INDEX(站位样品信息!$A:$A,COUNTA(站位样品信息!$A:$A)+1),站位样品信息!$H$3:INDEX(站位样品信息!$H:$H,COUNTA(站位样品信息!$H:$H)+1)),2,0),2))</f>
        <v/>
      </c>
      <c r="O266" s="49"/>
      <c r="P266" s="53" t="str">
        <f t="shared" si="16"/>
        <v/>
      </c>
      <c r="Q266" s="53" t="str">
        <f t="shared" si="17"/>
        <v/>
      </c>
    </row>
    <row r="267" spans="1:17" ht="19.5" customHeight="1">
      <c r="A267" s="38"/>
      <c r="B267" s="38"/>
      <c r="C267" s="38"/>
      <c r="D267" s="37"/>
      <c r="E267" s="37"/>
      <c r="F267" s="37"/>
      <c r="G267" s="37" t="str">
        <f>IF(F267="","",INDEX(站位样品信息!$B$3:INDEX(站位样品信息!$B:$B,COUNTA(站位样品信息!$B:$B)+1),MATCH($F267,站位样品信息!$A$3:INDEX(站位样品信息!$A:$A,COUNTA(站位样品信息!$A:$A)+1),),))</f>
        <v/>
      </c>
      <c r="H267" s="55" t="str">
        <f>IF(OR(A267&lt;&gt;"",B267&lt;&gt;"",C267&lt;&gt;""),IF($C267&lt;&gt;0,INDEX(生物种群!$A$3:INDEX(生物种群!$A:$A,COUNTA(生物种群!$A:$A)),MATCH($C267,生物种群!$F$3:INDEX(生物种群!$F:$F,COUNTA(生物种群!$F:$F)),),),IF($A267&lt;&gt;0,INDEX(生物种群!$A$3:INDEX(生物种群!$A:$A,COUNTA(生物种群!$A:$A)),MATCH($A267,生物种群!$C$3:INDEX(生物种群!$C:$C,COUNTA(生物种群!$C:$C)),),),INDEX(生物种群!$A$3:INDEX(生物种群!$A:$A,COUNTA(生物种群!$A:$A)),MATCH($B267,生物种群!$D$3:INDEX(生物种群!$D:$D,COUNTA(生物种群!$D:$D)),),))),"")</f>
        <v/>
      </c>
      <c r="I267" s="56" t="str">
        <f>IF(H267="","",INDEX(生物种群!$B$3:INDEX(生物种群!$B:$B,COUNTA(生物种群!$B:$B)),MATCH($H267,生物种群!$A$3:INDEX(生物种群!$A:$A,COUNTA(生物种群!$A:$A)),),))</f>
        <v/>
      </c>
      <c r="J267" s="55" t="str">
        <f>IF(H267="","",INDEX(生物种群!$I$3:INDEX(生物种群!$I:$I,COUNTA(生物种群!$I:$I)),MATCH($H267,生物种群!$A$3:INDEX(生物种群!$A:$A,COUNTA(生物种群!$A:$A)),),))</f>
        <v/>
      </c>
      <c r="K267" s="55" t="str">
        <f>IF(H267="","",INDEX(生物种群!$E$3:INDEX(生物种群!$E:$E,COUNTA(生物种群!$E:$E)),MATCH($H267,生物种群!$A$3:INDEX(生物种群!$A:$A,COUNTA(生物种群!$A:$A)),),))</f>
        <v/>
      </c>
      <c r="L267" s="46" t="str">
        <f t="shared" si="15"/>
        <v/>
      </c>
      <c r="M267" s="47" t="str">
        <f>IF(L267="","",ROUND((L267)/VLOOKUP($F267,IF({1,0},站位样品信息!$A$3:INDEX(站位样品信息!$A:$A,COUNTA(站位样品信息!$A:$A)+1),站位样品信息!$H$3:INDEX(站位样品信息!$H:$H,COUNTA(站位样品信息!$H:$H)+1)),2,0),2))</f>
        <v/>
      </c>
      <c r="O267" s="49"/>
      <c r="P267" s="53" t="str">
        <f t="shared" si="16"/>
        <v/>
      </c>
      <c r="Q267" s="53" t="str">
        <f t="shared" si="17"/>
        <v/>
      </c>
    </row>
    <row r="268" spans="1:17" ht="19.5" customHeight="1">
      <c r="A268" s="38"/>
      <c r="B268" s="38"/>
      <c r="C268" s="38"/>
      <c r="D268" s="37"/>
      <c r="E268" s="37"/>
      <c r="F268" s="37"/>
      <c r="G268" s="37" t="str">
        <f>IF(F268="","",INDEX(站位样品信息!$B$3:INDEX(站位样品信息!$B:$B,COUNTA(站位样品信息!$B:$B)+1),MATCH($F268,站位样品信息!$A$3:INDEX(站位样品信息!$A:$A,COUNTA(站位样品信息!$A:$A)+1),),))</f>
        <v/>
      </c>
      <c r="H268" s="55" t="str">
        <f>IF(OR(A268&lt;&gt;"",B268&lt;&gt;"",C268&lt;&gt;""),IF($C268&lt;&gt;0,INDEX(生物种群!$A$3:INDEX(生物种群!$A:$A,COUNTA(生物种群!$A:$A)),MATCH($C268,生物种群!$F$3:INDEX(生物种群!$F:$F,COUNTA(生物种群!$F:$F)),),),IF($A268&lt;&gt;0,INDEX(生物种群!$A$3:INDEX(生物种群!$A:$A,COUNTA(生物种群!$A:$A)),MATCH($A268,生物种群!$C$3:INDEX(生物种群!$C:$C,COUNTA(生物种群!$C:$C)),),),INDEX(生物种群!$A$3:INDEX(生物种群!$A:$A,COUNTA(生物种群!$A:$A)),MATCH($B268,生物种群!$D$3:INDEX(生物种群!$D:$D,COUNTA(生物种群!$D:$D)),),))),"")</f>
        <v/>
      </c>
      <c r="I268" s="56" t="str">
        <f>IF(H268="","",INDEX(生物种群!$B$3:INDEX(生物种群!$B:$B,COUNTA(生物种群!$B:$B)),MATCH($H268,生物种群!$A$3:INDEX(生物种群!$A:$A,COUNTA(生物种群!$A:$A)),),))</f>
        <v/>
      </c>
      <c r="J268" s="55" t="str">
        <f>IF(H268="","",INDEX(生物种群!$I$3:INDEX(生物种群!$I:$I,COUNTA(生物种群!$I:$I)),MATCH($H268,生物种群!$A$3:INDEX(生物种群!$A:$A,COUNTA(生物种群!$A:$A)),),))</f>
        <v/>
      </c>
      <c r="K268" s="55" t="str">
        <f>IF(H268="","",INDEX(生物种群!$E$3:INDEX(生物种群!$E:$E,COUNTA(生物种群!$E:$E)),MATCH($H268,生物种群!$A$3:INDEX(生物种群!$A:$A,COUNTA(生物种群!$A:$A)),),))</f>
        <v/>
      </c>
      <c r="L268" s="46" t="str">
        <f t="shared" si="15"/>
        <v/>
      </c>
      <c r="M268" s="47" t="str">
        <f>IF(L268="","",ROUND((L268)/VLOOKUP($F268,IF({1,0},站位样品信息!$A$3:INDEX(站位样品信息!$A:$A,COUNTA(站位样品信息!$A:$A)+1),站位样品信息!$H$3:INDEX(站位样品信息!$H:$H,COUNTA(站位样品信息!$H:$H)+1)),2,0),2))</f>
        <v/>
      </c>
      <c r="O268" s="49"/>
      <c r="P268" s="53" t="str">
        <f t="shared" si="16"/>
        <v/>
      </c>
      <c r="Q268" s="53" t="str">
        <f t="shared" si="17"/>
        <v/>
      </c>
    </row>
    <row r="269" spans="1:17" ht="19.5" customHeight="1">
      <c r="A269" s="38"/>
      <c r="B269" s="38"/>
      <c r="C269" s="38"/>
      <c r="D269" s="37"/>
      <c r="E269" s="37"/>
      <c r="F269" s="37"/>
      <c r="G269" s="37" t="str">
        <f>IF(F269="","",INDEX(站位样品信息!$B$3:INDEX(站位样品信息!$B:$B,COUNTA(站位样品信息!$B:$B)+1),MATCH($F269,站位样品信息!$A$3:INDEX(站位样品信息!$A:$A,COUNTA(站位样品信息!$A:$A)+1),),))</f>
        <v/>
      </c>
      <c r="H269" s="55" t="str">
        <f>IF(OR(A269&lt;&gt;"",B269&lt;&gt;"",C269&lt;&gt;""),IF($C269&lt;&gt;0,INDEX(生物种群!$A$3:INDEX(生物种群!$A:$A,COUNTA(生物种群!$A:$A)),MATCH($C269,生物种群!$F$3:INDEX(生物种群!$F:$F,COUNTA(生物种群!$F:$F)),),),IF($A269&lt;&gt;0,INDEX(生物种群!$A$3:INDEX(生物种群!$A:$A,COUNTA(生物种群!$A:$A)),MATCH($A269,生物种群!$C$3:INDEX(生物种群!$C:$C,COUNTA(生物种群!$C:$C)),),),INDEX(生物种群!$A$3:INDEX(生物种群!$A:$A,COUNTA(生物种群!$A:$A)),MATCH($B269,生物种群!$D$3:INDEX(生物种群!$D:$D,COUNTA(生物种群!$D:$D)),),))),"")</f>
        <v/>
      </c>
      <c r="I269" s="56" t="str">
        <f>IF(H269="","",INDEX(生物种群!$B$3:INDEX(生物种群!$B:$B,COUNTA(生物种群!$B:$B)),MATCH($H269,生物种群!$A$3:INDEX(生物种群!$A:$A,COUNTA(生物种群!$A:$A)),),))</f>
        <v/>
      </c>
      <c r="J269" s="55" t="str">
        <f>IF(H269="","",INDEX(生物种群!$I$3:INDEX(生物种群!$I:$I,COUNTA(生物种群!$I:$I)),MATCH($H269,生物种群!$A$3:INDEX(生物种群!$A:$A,COUNTA(生物种群!$A:$A)),),))</f>
        <v/>
      </c>
      <c r="K269" s="55" t="str">
        <f>IF(H269="","",INDEX(生物种群!$E$3:INDEX(生物种群!$E:$E,COUNTA(生物种群!$E:$E)),MATCH($H269,生物种群!$A$3:INDEX(生物种群!$A:$A,COUNTA(生物种群!$A:$A)),),))</f>
        <v/>
      </c>
      <c r="L269" s="46" t="str">
        <f t="shared" si="18" ref="L269:L332">IFERROR(IF(OR(D269="",E269=""),"",D269/E269*100),"")</f>
        <v/>
      </c>
      <c r="M269" s="47" t="str">
        <f>IF(L269="","",ROUND((L269)/VLOOKUP($F269,IF({1,0},站位样品信息!$A$3:INDEX(站位样品信息!$A:$A,COUNTA(站位样品信息!$A:$A)+1),站位样品信息!$H$3:INDEX(站位样品信息!$H:$H,COUNTA(站位样品信息!$H:$H)+1)),2,0),2))</f>
        <v/>
      </c>
      <c r="O269" s="49"/>
      <c r="P269" s="53" t="str">
        <f t="shared" si="16"/>
        <v/>
      </c>
      <c r="Q269" s="53" t="str">
        <f t="shared" si="17"/>
        <v/>
      </c>
    </row>
    <row r="270" spans="1:17" ht="19.5" customHeight="1">
      <c r="A270" s="38"/>
      <c r="B270" s="38"/>
      <c r="C270" s="38"/>
      <c r="D270" s="37"/>
      <c r="E270" s="37"/>
      <c r="F270" s="37"/>
      <c r="G270" s="37" t="str">
        <f>IF(F270="","",INDEX(站位样品信息!$B$3:INDEX(站位样品信息!$B:$B,COUNTA(站位样品信息!$B:$B)+1),MATCH($F270,站位样品信息!$A$3:INDEX(站位样品信息!$A:$A,COUNTA(站位样品信息!$A:$A)+1),),))</f>
        <v/>
      </c>
      <c r="H270" s="55" t="str">
        <f>IF(OR(A270&lt;&gt;"",B270&lt;&gt;"",C270&lt;&gt;""),IF($C270&lt;&gt;0,INDEX(生物种群!$A$3:INDEX(生物种群!$A:$A,COUNTA(生物种群!$A:$A)),MATCH($C270,生物种群!$F$3:INDEX(生物种群!$F:$F,COUNTA(生物种群!$F:$F)),),),IF($A270&lt;&gt;0,INDEX(生物种群!$A$3:INDEX(生物种群!$A:$A,COUNTA(生物种群!$A:$A)),MATCH($A270,生物种群!$C$3:INDEX(生物种群!$C:$C,COUNTA(生物种群!$C:$C)),),),INDEX(生物种群!$A$3:INDEX(生物种群!$A:$A,COUNTA(生物种群!$A:$A)),MATCH($B270,生物种群!$D$3:INDEX(生物种群!$D:$D,COUNTA(生物种群!$D:$D)),),))),"")</f>
        <v/>
      </c>
      <c r="I270" s="56" t="str">
        <f>IF(H270="","",INDEX(生物种群!$B$3:INDEX(生物种群!$B:$B,COUNTA(生物种群!$B:$B)),MATCH($H270,生物种群!$A$3:INDEX(生物种群!$A:$A,COUNTA(生物种群!$A:$A)),),))</f>
        <v/>
      </c>
      <c r="J270" s="55" t="str">
        <f>IF(H270="","",INDEX(生物种群!$I$3:INDEX(生物种群!$I:$I,COUNTA(生物种群!$I:$I)),MATCH($H270,生物种群!$A$3:INDEX(生物种群!$A:$A,COUNTA(生物种群!$A:$A)),),))</f>
        <v/>
      </c>
      <c r="K270" s="55" t="str">
        <f>IF(H270="","",INDEX(生物种群!$E$3:INDEX(生物种群!$E:$E,COUNTA(生物种群!$E:$E)),MATCH($H270,生物种群!$A$3:INDEX(生物种群!$A:$A,COUNTA(生物种群!$A:$A)),),))</f>
        <v/>
      </c>
      <c r="L270" s="46" t="str">
        <f t="shared" si="18"/>
        <v/>
      </c>
      <c r="M270" s="47" t="str">
        <f>IF(L270="","",ROUND((L270)/VLOOKUP($F270,IF({1,0},站位样品信息!$A$3:INDEX(站位样品信息!$A:$A,COUNTA(站位样品信息!$A:$A)+1),站位样品信息!$H$3:INDEX(站位样品信息!$H:$H,COUNTA(站位样品信息!$H:$H)+1)),2,0),2))</f>
        <v/>
      </c>
      <c r="O270" s="49"/>
      <c r="P270" s="53" t="str">
        <f t="shared" si="16"/>
        <v/>
      </c>
      <c r="Q270" s="53" t="str">
        <f t="shared" si="17"/>
        <v/>
      </c>
    </row>
    <row r="271" spans="1:17" ht="19.5" customHeight="1">
      <c r="A271" s="38"/>
      <c r="B271" s="38"/>
      <c r="C271" s="38"/>
      <c r="D271" s="37"/>
      <c r="E271" s="37"/>
      <c r="F271" s="37"/>
      <c r="G271" s="37" t="str">
        <f>IF(F271="","",INDEX(站位样品信息!$B$3:INDEX(站位样品信息!$B:$B,COUNTA(站位样品信息!$B:$B)+1),MATCH($F271,站位样品信息!$A$3:INDEX(站位样品信息!$A:$A,COUNTA(站位样品信息!$A:$A)+1),),))</f>
        <v/>
      </c>
      <c r="H271" s="55" t="str">
        <f>IF(OR(A271&lt;&gt;"",B271&lt;&gt;"",C271&lt;&gt;""),IF($C271&lt;&gt;0,INDEX(生物种群!$A$3:INDEX(生物种群!$A:$A,COUNTA(生物种群!$A:$A)),MATCH($C271,生物种群!$F$3:INDEX(生物种群!$F:$F,COUNTA(生物种群!$F:$F)),),),IF($A271&lt;&gt;0,INDEX(生物种群!$A$3:INDEX(生物种群!$A:$A,COUNTA(生物种群!$A:$A)),MATCH($A271,生物种群!$C$3:INDEX(生物种群!$C:$C,COUNTA(生物种群!$C:$C)),),),INDEX(生物种群!$A$3:INDEX(生物种群!$A:$A,COUNTA(生物种群!$A:$A)),MATCH($B271,生物种群!$D$3:INDEX(生物种群!$D:$D,COUNTA(生物种群!$D:$D)),),))),"")</f>
        <v/>
      </c>
      <c r="I271" s="56" t="str">
        <f>IF(H271="","",INDEX(生物种群!$B$3:INDEX(生物种群!$B:$B,COUNTA(生物种群!$B:$B)),MATCH($H271,生物种群!$A$3:INDEX(生物种群!$A:$A,COUNTA(生物种群!$A:$A)),),))</f>
        <v/>
      </c>
      <c r="J271" s="55" t="str">
        <f>IF(H271="","",INDEX(生物种群!$I$3:INDEX(生物种群!$I:$I,COUNTA(生物种群!$I:$I)),MATCH($H271,生物种群!$A$3:INDEX(生物种群!$A:$A,COUNTA(生物种群!$A:$A)),),))</f>
        <v/>
      </c>
      <c r="K271" s="55" t="str">
        <f>IF(H271="","",INDEX(生物种群!$E$3:INDEX(生物种群!$E:$E,COUNTA(生物种群!$E:$E)),MATCH($H271,生物种群!$A$3:INDEX(生物种群!$A:$A,COUNTA(生物种群!$A:$A)),),))</f>
        <v/>
      </c>
      <c r="L271" s="46" t="str">
        <f t="shared" si="18"/>
        <v/>
      </c>
      <c r="M271" s="47" t="str">
        <f>IF(L271="","",ROUND((L271)/VLOOKUP($F271,IF({1,0},站位样品信息!$A$3:INDEX(站位样品信息!$A:$A,COUNTA(站位样品信息!$A:$A)+1),站位样品信息!$H$3:INDEX(站位样品信息!$H:$H,COUNTA(站位样品信息!$H:$H)+1)),2,0),2))</f>
        <v/>
      </c>
      <c r="O271" s="49"/>
      <c r="P271" s="53" t="str">
        <f t="shared" si="16"/>
        <v/>
      </c>
      <c r="Q271" s="53" t="str">
        <f t="shared" si="17"/>
        <v/>
      </c>
    </row>
    <row r="272" spans="1:17" ht="19.5" customHeight="1">
      <c r="A272" s="38"/>
      <c r="B272" s="38"/>
      <c r="C272" s="38"/>
      <c r="D272" s="37"/>
      <c r="E272" s="37"/>
      <c r="F272" s="37"/>
      <c r="G272" s="37" t="str">
        <f>IF(F272="","",INDEX(站位样品信息!$B$3:INDEX(站位样品信息!$B:$B,COUNTA(站位样品信息!$B:$B)+1),MATCH($F272,站位样品信息!$A$3:INDEX(站位样品信息!$A:$A,COUNTA(站位样品信息!$A:$A)+1),),))</f>
        <v/>
      </c>
      <c r="H272" s="55" t="str">
        <f>IF(OR(A272&lt;&gt;"",B272&lt;&gt;"",C272&lt;&gt;""),IF($C272&lt;&gt;0,INDEX(生物种群!$A$3:INDEX(生物种群!$A:$A,COUNTA(生物种群!$A:$A)),MATCH($C272,生物种群!$F$3:INDEX(生物种群!$F:$F,COUNTA(生物种群!$F:$F)),),),IF($A272&lt;&gt;0,INDEX(生物种群!$A$3:INDEX(生物种群!$A:$A,COUNTA(生物种群!$A:$A)),MATCH($A272,生物种群!$C$3:INDEX(生物种群!$C:$C,COUNTA(生物种群!$C:$C)),),),INDEX(生物种群!$A$3:INDEX(生物种群!$A:$A,COUNTA(生物种群!$A:$A)),MATCH($B272,生物种群!$D$3:INDEX(生物种群!$D:$D,COUNTA(生物种群!$D:$D)),),))),"")</f>
        <v/>
      </c>
      <c r="I272" s="56" t="str">
        <f>IF(H272="","",INDEX(生物种群!$B$3:INDEX(生物种群!$B:$B,COUNTA(生物种群!$B:$B)),MATCH($H272,生物种群!$A$3:INDEX(生物种群!$A:$A,COUNTA(生物种群!$A:$A)),),))</f>
        <v/>
      </c>
      <c r="J272" s="55" t="str">
        <f>IF(H272="","",INDEX(生物种群!$I$3:INDEX(生物种群!$I:$I,COUNTA(生物种群!$I:$I)),MATCH($H272,生物种群!$A$3:INDEX(生物种群!$A:$A,COUNTA(生物种群!$A:$A)),),))</f>
        <v/>
      </c>
      <c r="K272" s="55" t="str">
        <f>IF(H272="","",INDEX(生物种群!$E$3:INDEX(生物种群!$E:$E,COUNTA(生物种群!$E:$E)),MATCH($H272,生物种群!$A$3:INDEX(生物种群!$A:$A,COUNTA(生物种群!$A:$A)),),))</f>
        <v/>
      </c>
      <c r="L272" s="46" t="str">
        <f t="shared" si="18"/>
        <v/>
      </c>
      <c r="M272" s="47" t="str">
        <f>IF(L272="","",ROUND((L272)/VLOOKUP($F272,IF({1,0},站位样品信息!$A$3:INDEX(站位样品信息!$A:$A,COUNTA(站位样品信息!$A:$A)+1),站位样品信息!$H$3:INDEX(站位样品信息!$H:$H,COUNTA(站位样品信息!$H:$H)+1)),2,0),2))</f>
        <v/>
      </c>
      <c r="O272" s="49"/>
      <c r="P272" s="53" t="str">
        <f t="shared" si="16"/>
        <v/>
      </c>
      <c r="Q272" s="53" t="str">
        <f t="shared" si="17"/>
        <v/>
      </c>
    </row>
    <row r="273" spans="1:17" ht="19.5" customHeight="1">
      <c r="A273" s="38"/>
      <c r="B273" s="38"/>
      <c r="C273" s="38"/>
      <c r="D273" s="37"/>
      <c r="E273" s="37"/>
      <c r="F273" s="37"/>
      <c r="G273" s="37" t="str">
        <f>IF(F273="","",INDEX(站位样品信息!$B$3:INDEX(站位样品信息!$B:$B,COUNTA(站位样品信息!$B:$B)+1),MATCH($F273,站位样品信息!$A$3:INDEX(站位样品信息!$A:$A,COUNTA(站位样品信息!$A:$A)+1),),))</f>
        <v/>
      </c>
      <c r="H273" s="55" t="str">
        <f>IF(OR(A273&lt;&gt;"",B273&lt;&gt;"",C273&lt;&gt;""),IF($C273&lt;&gt;0,INDEX(生物种群!$A$3:INDEX(生物种群!$A:$A,COUNTA(生物种群!$A:$A)),MATCH($C273,生物种群!$F$3:INDEX(生物种群!$F:$F,COUNTA(生物种群!$F:$F)),),),IF($A273&lt;&gt;0,INDEX(生物种群!$A$3:INDEX(生物种群!$A:$A,COUNTA(生物种群!$A:$A)),MATCH($A273,生物种群!$C$3:INDEX(生物种群!$C:$C,COUNTA(生物种群!$C:$C)),),),INDEX(生物种群!$A$3:INDEX(生物种群!$A:$A,COUNTA(生物种群!$A:$A)),MATCH($B273,生物种群!$D$3:INDEX(生物种群!$D:$D,COUNTA(生物种群!$D:$D)),),))),"")</f>
        <v/>
      </c>
      <c r="I273" s="56" t="str">
        <f>IF(H273="","",INDEX(生物种群!$B$3:INDEX(生物种群!$B:$B,COUNTA(生物种群!$B:$B)),MATCH($H273,生物种群!$A$3:INDEX(生物种群!$A:$A,COUNTA(生物种群!$A:$A)),),))</f>
        <v/>
      </c>
      <c r="J273" s="55" t="str">
        <f>IF(H273="","",INDEX(生物种群!$I$3:INDEX(生物种群!$I:$I,COUNTA(生物种群!$I:$I)),MATCH($H273,生物种群!$A$3:INDEX(生物种群!$A:$A,COUNTA(生物种群!$A:$A)),),))</f>
        <v/>
      </c>
      <c r="K273" s="55" t="str">
        <f>IF(H273="","",INDEX(生物种群!$E$3:INDEX(生物种群!$E:$E,COUNTA(生物种群!$E:$E)),MATCH($H273,生物种群!$A$3:INDEX(生物种群!$A:$A,COUNTA(生物种群!$A:$A)),),))</f>
        <v/>
      </c>
      <c r="L273" s="46" t="str">
        <f t="shared" si="18"/>
        <v/>
      </c>
      <c r="M273" s="47" t="str">
        <f>IF(L273="","",ROUND((L273)/VLOOKUP($F273,IF({1,0},站位样品信息!$A$3:INDEX(站位样品信息!$A:$A,COUNTA(站位样品信息!$A:$A)+1),站位样品信息!$H$3:INDEX(站位样品信息!$H:$H,COUNTA(站位样品信息!$H:$H)+1)),2,0),2))</f>
        <v/>
      </c>
      <c r="O273" s="49"/>
      <c r="P273" s="53" t="str">
        <f t="shared" si="16"/>
        <v/>
      </c>
      <c r="Q273" s="53" t="str">
        <f t="shared" si="17"/>
        <v/>
      </c>
    </row>
    <row r="274" spans="1:17" ht="19.5" customHeight="1">
      <c r="A274" s="38"/>
      <c r="B274" s="38"/>
      <c r="C274" s="38"/>
      <c r="D274" s="37"/>
      <c r="E274" s="37"/>
      <c r="F274" s="37"/>
      <c r="G274" s="37" t="str">
        <f>IF(F274="","",INDEX(站位样品信息!$B$3:INDEX(站位样品信息!$B:$B,COUNTA(站位样品信息!$B:$B)+1),MATCH($F274,站位样品信息!$A$3:INDEX(站位样品信息!$A:$A,COUNTA(站位样品信息!$A:$A)+1),),))</f>
        <v/>
      </c>
      <c r="H274" s="55" t="str">
        <f>IF(OR(A274&lt;&gt;"",B274&lt;&gt;"",C274&lt;&gt;""),IF($C274&lt;&gt;0,INDEX(生物种群!$A$3:INDEX(生物种群!$A:$A,COUNTA(生物种群!$A:$A)),MATCH($C274,生物种群!$F$3:INDEX(生物种群!$F:$F,COUNTA(生物种群!$F:$F)),),),IF($A274&lt;&gt;0,INDEX(生物种群!$A$3:INDEX(生物种群!$A:$A,COUNTA(生物种群!$A:$A)),MATCH($A274,生物种群!$C$3:INDEX(生物种群!$C:$C,COUNTA(生物种群!$C:$C)),),),INDEX(生物种群!$A$3:INDEX(生物种群!$A:$A,COUNTA(生物种群!$A:$A)),MATCH($B274,生物种群!$D$3:INDEX(生物种群!$D:$D,COUNTA(生物种群!$D:$D)),),))),"")</f>
        <v/>
      </c>
      <c r="I274" s="56" t="str">
        <f>IF(H274="","",INDEX(生物种群!$B$3:INDEX(生物种群!$B:$B,COUNTA(生物种群!$B:$B)),MATCH($H274,生物种群!$A$3:INDEX(生物种群!$A:$A,COUNTA(生物种群!$A:$A)),),))</f>
        <v/>
      </c>
      <c r="J274" s="55" t="str">
        <f>IF(H274="","",INDEX(生物种群!$I$3:INDEX(生物种群!$I:$I,COUNTA(生物种群!$I:$I)),MATCH($H274,生物种群!$A$3:INDEX(生物种群!$A:$A,COUNTA(生物种群!$A:$A)),),))</f>
        <v/>
      </c>
      <c r="K274" s="55" t="str">
        <f>IF(H274="","",INDEX(生物种群!$E$3:INDEX(生物种群!$E:$E,COUNTA(生物种群!$E:$E)),MATCH($H274,生物种群!$A$3:INDEX(生物种群!$A:$A,COUNTA(生物种群!$A:$A)),),))</f>
        <v/>
      </c>
      <c r="L274" s="46" t="str">
        <f t="shared" si="18"/>
        <v/>
      </c>
      <c r="M274" s="47" t="str">
        <f>IF(L274="","",ROUND((L274)/VLOOKUP($F274,IF({1,0},站位样品信息!$A$3:INDEX(站位样品信息!$A:$A,COUNTA(站位样品信息!$A:$A)+1),站位样品信息!$H$3:INDEX(站位样品信息!$H:$H,COUNTA(站位样品信息!$H:$H)+1)),2,0),2))</f>
        <v/>
      </c>
      <c r="O274" s="49"/>
      <c r="P274" s="53" t="str">
        <f t="shared" si="16"/>
        <v/>
      </c>
      <c r="Q274" s="53" t="str">
        <f t="shared" si="17"/>
        <v/>
      </c>
    </row>
    <row r="275" spans="1:17" ht="19.5" customHeight="1">
      <c r="A275" s="38"/>
      <c r="B275" s="38"/>
      <c r="C275" s="38"/>
      <c r="D275" s="37"/>
      <c r="E275" s="37"/>
      <c r="F275" s="37"/>
      <c r="G275" s="37" t="str">
        <f>IF(F275="","",INDEX(站位样品信息!$B$3:INDEX(站位样品信息!$B:$B,COUNTA(站位样品信息!$B:$B)+1),MATCH($F275,站位样品信息!$A$3:INDEX(站位样品信息!$A:$A,COUNTA(站位样品信息!$A:$A)+1),),))</f>
        <v/>
      </c>
      <c r="H275" s="55" t="str">
        <f>IF(OR(A275&lt;&gt;"",B275&lt;&gt;"",C275&lt;&gt;""),IF($C275&lt;&gt;0,INDEX(生物种群!$A$3:INDEX(生物种群!$A:$A,COUNTA(生物种群!$A:$A)),MATCH($C275,生物种群!$F$3:INDEX(生物种群!$F:$F,COUNTA(生物种群!$F:$F)),),),IF($A275&lt;&gt;0,INDEX(生物种群!$A$3:INDEX(生物种群!$A:$A,COUNTA(生物种群!$A:$A)),MATCH($A275,生物种群!$C$3:INDEX(生物种群!$C:$C,COUNTA(生物种群!$C:$C)),),),INDEX(生物种群!$A$3:INDEX(生物种群!$A:$A,COUNTA(生物种群!$A:$A)),MATCH($B275,生物种群!$D$3:INDEX(生物种群!$D:$D,COUNTA(生物种群!$D:$D)),),))),"")</f>
        <v/>
      </c>
      <c r="I275" s="56" t="str">
        <f>IF(H275="","",INDEX(生物种群!$B$3:INDEX(生物种群!$B:$B,COUNTA(生物种群!$B:$B)),MATCH($H275,生物种群!$A$3:INDEX(生物种群!$A:$A,COUNTA(生物种群!$A:$A)),),))</f>
        <v/>
      </c>
      <c r="J275" s="55" t="str">
        <f>IF(H275="","",INDEX(生物种群!$I$3:INDEX(生物种群!$I:$I,COUNTA(生物种群!$I:$I)),MATCH($H275,生物种群!$A$3:INDEX(生物种群!$A:$A,COUNTA(生物种群!$A:$A)),),))</f>
        <v/>
      </c>
      <c r="K275" s="55" t="str">
        <f>IF(H275="","",INDEX(生物种群!$E$3:INDEX(生物种群!$E:$E,COUNTA(生物种群!$E:$E)),MATCH($H275,生物种群!$A$3:INDEX(生物种群!$A:$A,COUNTA(生物种群!$A:$A)),),))</f>
        <v/>
      </c>
      <c r="L275" s="46" t="str">
        <f t="shared" si="18"/>
        <v/>
      </c>
      <c r="M275" s="47" t="str">
        <f>IF(L275="","",ROUND((L275)/VLOOKUP($F275,IF({1,0},站位样品信息!$A$3:INDEX(站位样品信息!$A:$A,COUNTA(站位样品信息!$A:$A)+1),站位样品信息!$H$3:INDEX(站位样品信息!$H:$H,COUNTA(站位样品信息!$H:$H)+1)),2,0),2))</f>
        <v/>
      </c>
      <c r="O275" s="49"/>
      <c r="P275" s="53" t="str">
        <f t="shared" si="16"/>
        <v/>
      </c>
      <c r="Q275" s="53" t="str">
        <f t="shared" si="17"/>
        <v/>
      </c>
    </row>
    <row r="276" spans="1:17" ht="19.5" customHeight="1">
      <c r="A276" s="38"/>
      <c r="B276" s="38"/>
      <c r="C276" s="38"/>
      <c r="D276" s="37"/>
      <c r="E276" s="37"/>
      <c r="F276" s="37"/>
      <c r="G276" s="37" t="str">
        <f>IF(F276="","",INDEX(站位样品信息!$B$3:INDEX(站位样品信息!$B:$B,COUNTA(站位样品信息!$B:$B)+1),MATCH($F276,站位样品信息!$A$3:INDEX(站位样品信息!$A:$A,COUNTA(站位样品信息!$A:$A)+1),),))</f>
        <v/>
      </c>
      <c r="H276" s="55" t="str">
        <f>IF(OR(A276&lt;&gt;"",B276&lt;&gt;"",C276&lt;&gt;""),IF($C276&lt;&gt;0,INDEX(生物种群!$A$3:INDEX(生物种群!$A:$A,COUNTA(生物种群!$A:$A)),MATCH($C276,生物种群!$F$3:INDEX(生物种群!$F:$F,COUNTA(生物种群!$F:$F)),),),IF($A276&lt;&gt;0,INDEX(生物种群!$A$3:INDEX(生物种群!$A:$A,COUNTA(生物种群!$A:$A)),MATCH($A276,生物种群!$C$3:INDEX(生物种群!$C:$C,COUNTA(生物种群!$C:$C)),),),INDEX(生物种群!$A$3:INDEX(生物种群!$A:$A,COUNTA(生物种群!$A:$A)),MATCH($B276,生物种群!$D$3:INDEX(生物种群!$D:$D,COUNTA(生物种群!$D:$D)),),))),"")</f>
        <v/>
      </c>
      <c r="I276" s="56" t="str">
        <f>IF(H276="","",INDEX(生物种群!$B$3:INDEX(生物种群!$B:$B,COUNTA(生物种群!$B:$B)),MATCH($H276,生物种群!$A$3:INDEX(生物种群!$A:$A,COUNTA(生物种群!$A:$A)),),))</f>
        <v/>
      </c>
      <c r="J276" s="55" t="str">
        <f>IF(H276="","",INDEX(生物种群!$I$3:INDEX(生物种群!$I:$I,COUNTA(生物种群!$I:$I)),MATCH($H276,生物种群!$A$3:INDEX(生物种群!$A:$A,COUNTA(生物种群!$A:$A)),),))</f>
        <v/>
      </c>
      <c r="K276" s="55" t="str">
        <f>IF(H276="","",INDEX(生物种群!$E$3:INDEX(生物种群!$E:$E,COUNTA(生物种群!$E:$E)),MATCH($H276,生物种群!$A$3:INDEX(生物种群!$A:$A,COUNTA(生物种群!$A:$A)),),))</f>
        <v/>
      </c>
      <c r="L276" s="46" t="str">
        <f t="shared" si="18"/>
        <v/>
      </c>
      <c r="M276" s="47" t="str">
        <f>IF(L276="","",ROUND((L276)/VLOOKUP($F276,IF({1,0},站位样品信息!$A$3:INDEX(站位样品信息!$A:$A,COUNTA(站位样品信息!$A:$A)+1),站位样品信息!$H$3:INDEX(站位样品信息!$H:$H,COUNTA(站位样品信息!$H:$H)+1)),2,0),2))</f>
        <v/>
      </c>
      <c r="O276" s="49"/>
      <c r="P276" s="53" t="str">
        <f t="shared" si="16"/>
        <v/>
      </c>
      <c r="Q276" s="53" t="str">
        <f t="shared" si="17"/>
        <v/>
      </c>
    </row>
    <row r="277" spans="1:17" ht="19.5" customHeight="1">
      <c r="A277" s="38"/>
      <c r="B277" s="38"/>
      <c r="C277" s="38"/>
      <c r="D277" s="37"/>
      <c r="E277" s="37"/>
      <c r="F277" s="37"/>
      <c r="G277" s="37" t="str">
        <f>IF(F277="","",INDEX(站位样品信息!$B$3:INDEX(站位样品信息!$B:$B,COUNTA(站位样品信息!$B:$B)+1),MATCH($F277,站位样品信息!$A$3:INDEX(站位样品信息!$A:$A,COUNTA(站位样品信息!$A:$A)+1),),))</f>
        <v/>
      </c>
      <c r="H277" s="55" t="str">
        <f>IF(OR(A277&lt;&gt;"",B277&lt;&gt;"",C277&lt;&gt;""),IF($C277&lt;&gt;0,INDEX(生物种群!$A$3:INDEX(生物种群!$A:$A,COUNTA(生物种群!$A:$A)),MATCH($C277,生物种群!$F$3:INDEX(生物种群!$F:$F,COUNTA(生物种群!$F:$F)),),),IF($A277&lt;&gt;0,INDEX(生物种群!$A$3:INDEX(生物种群!$A:$A,COUNTA(生物种群!$A:$A)),MATCH($A277,生物种群!$C$3:INDEX(生物种群!$C:$C,COUNTA(生物种群!$C:$C)),),),INDEX(生物种群!$A$3:INDEX(生物种群!$A:$A,COUNTA(生物种群!$A:$A)),MATCH($B277,生物种群!$D$3:INDEX(生物种群!$D:$D,COUNTA(生物种群!$D:$D)),),))),"")</f>
        <v/>
      </c>
      <c r="I277" s="56" t="str">
        <f>IF(H277="","",INDEX(生物种群!$B$3:INDEX(生物种群!$B:$B,COUNTA(生物种群!$B:$B)),MATCH($H277,生物种群!$A$3:INDEX(生物种群!$A:$A,COUNTA(生物种群!$A:$A)),),))</f>
        <v/>
      </c>
      <c r="J277" s="55" t="str">
        <f>IF(H277="","",INDEX(生物种群!$I$3:INDEX(生物种群!$I:$I,COUNTA(生物种群!$I:$I)),MATCH($H277,生物种群!$A$3:INDEX(生物种群!$A:$A,COUNTA(生物种群!$A:$A)),),))</f>
        <v/>
      </c>
      <c r="K277" s="55" t="str">
        <f>IF(H277="","",INDEX(生物种群!$E$3:INDEX(生物种群!$E:$E,COUNTA(生物种群!$E:$E)),MATCH($H277,生物种群!$A$3:INDEX(生物种群!$A:$A,COUNTA(生物种群!$A:$A)),),))</f>
        <v/>
      </c>
      <c r="L277" s="46" t="str">
        <f t="shared" si="18"/>
        <v/>
      </c>
      <c r="M277" s="47" t="str">
        <f>IF(L277="","",ROUND((L277)/VLOOKUP($F277,IF({1,0},站位样品信息!$A$3:INDEX(站位样品信息!$A:$A,COUNTA(站位样品信息!$A:$A)+1),站位样品信息!$H$3:INDEX(站位样品信息!$H:$H,COUNTA(站位样品信息!$H:$H)+1)),2,0),2))</f>
        <v/>
      </c>
      <c r="O277" s="49"/>
      <c r="P277" s="53" t="str">
        <f t="shared" si="16"/>
        <v/>
      </c>
      <c r="Q277" s="53" t="str">
        <f t="shared" si="17"/>
        <v/>
      </c>
    </row>
    <row r="278" spans="1:17" ht="19.5" customHeight="1">
      <c r="A278" s="38"/>
      <c r="B278" s="38"/>
      <c r="C278" s="38"/>
      <c r="D278" s="37"/>
      <c r="E278" s="37"/>
      <c r="F278" s="37"/>
      <c r="G278" s="37" t="str">
        <f>IF(F278="","",INDEX(站位样品信息!$B$3:INDEX(站位样品信息!$B:$B,COUNTA(站位样品信息!$B:$B)+1),MATCH($F278,站位样品信息!$A$3:INDEX(站位样品信息!$A:$A,COUNTA(站位样品信息!$A:$A)+1),),))</f>
        <v/>
      </c>
      <c r="H278" s="55" t="str">
        <f>IF(OR(A278&lt;&gt;"",B278&lt;&gt;"",C278&lt;&gt;""),IF($C278&lt;&gt;0,INDEX(生物种群!$A$3:INDEX(生物种群!$A:$A,COUNTA(生物种群!$A:$A)),MATCH($C278,生物种群!$F$3:INDEX(生物种群!$F:$F,COUNTA(生物种群!$F:$F)),),),IF($A278&lt;&gt;0,INDEX(生物种群!$A$3:INDEX(生物种群!$A:$A,COUNTA(生物种群!$A:$A)),MATCH($A278,生物种群!$C$3:INDEX(生物种群!$C:$C,COUNTA(生物种群!$C:$C)),),),INDEX(生物种群!$A$3:INDEX(生物种群!$A:$A,COUNTA(生物种群!$A:$A)),MATCH($B278,生物种群!$D$3:INDEX(生物种群!$D:$D,COUNTA(生物种群!$D:$D)),),))),"")</f>
        <v/>
      </c>
      <c r="I278" s="56" t="str">
        <f>IF(H278="","",INDEX(生物种群!$B$3:INDEX(生物种群!$B:$B,COUNTA(生物种群!$B:$B)),MATCH($H278,生物种群!$A$3:INDEX(生物种群!$A:$A,COUNTA(生物种群!$A:$A)),),))</f>
        <v/>
      </c>
      <c r="J278" s="55" t="str">
        <f>IF(H278="","",INDEX(生物种群!$I$3:INDEX(生物种群!$I:$I,COUNTA(生物种群!$I:$I)),MATCH($H278,生物种群!$A$3:INDEX(生物种群!$A:$A,COUNTA(生物种群!$A:$A)),),))</f>
        <v/>
      </c>
      <c r="K278" s="55" t="str">
        <f>IF(H278="","",INDEX(生物种群!$E$3:INDEX(生物种群!$E:$E,COUNTA(生物种群!$E:$E)),MATCH($H278,生物种群!$A$3:INDEX(生物种群!$A:$A,COUNTA(生物种群!$A:$A)),),))</f>
        <v/>
      </c>
      <c r="L278" s="46" t="str">
        <f t="shared" si="18"/>
        <v/>
      </c>
      <c r="M278" s="47" t="str">
        <f>IF(L278="","",ROUND((L278)/VLOOKUP($F278,IF({1,0},站位样品信息!$A$3:INDEX(站位样品信息!$A:$A,COUNTA(站位样品信息!$A:$A)+1),站位样品信息!$H$3:INDEX(站位样品信息!$H:$H,COUNTA(站位样品信息!$H:$H)+1)),2,0),2))</f>
        <v/>
      </c>
      <c r="O278" s="49"/>
      <c r="P278" s="53" t="str">
        <f t="shared" si="16"/>
        <v/>
      </c>
      <c r="Q278" s="53" t="str">
        <f t="shared" si="17"/>
        <v/>
      </c>
    </row>
    <row r="279" spans="1:17" ht="19.5" customHeight="1">
      <c r="A279" s="38"/>
      <c r="B279" s="38"/>
      <c r="C279" s="38"/>
      <c r="D279" s="37"/>
      <c r="E279" s="37"/>
      <c r="F279" s="37"/>
      <c r="G279" s="37" t="str">
        <f>IF(F279="","",INDEX(站位样品信息!$B$3:INDEX(站位样品信息!$B:$B,COUNTA(站位样品信息!$B:$B)+1),MATCH($F279,站位样品信息!$A$3:INDEX(站位样品信息!$A:$A,COUNTA(站位样品信息!$A:$A)+1),),))</f>
        <v/>
      </c>
      <c r="H279" s="55" t="str">
        <f>IF(OR(A279&lt;&gt;"",B279&lt;&gt;"",C279&lt;&gt;""),IF($C279&lt;&gt;0,INDEX(生物种群!$A$3:INDEX(生物种群!$A:$A,COUNTA(生物种群!$A:$A)),MATCH($C279,生物种群!$F$3:INDEX(生物种群!$F:$F,COUNTA(生物种群!$F:$F)),),),IF($A279&lt;&gt;0,INDEX(生物种群!$A$3:INDEX(生物种群!$A:$A,COUNTA(生物种群!$A:$A)),MATCH($A279,生物种群!$C$3:INDEX(生物种群!$C:$C,COUNTA(生物种群!$C:$C)),),),INDEX(生物种群!$A$3:INDEX(生物种群!$A:$A,COUNTA(生物种群!$A:$A)),MATCH($B279,生物种群!$D$3:INDEX(生物种群!$D:$D,COUNTA(生物种群!$D:$D)),),))),"")</f>
        <v/>
      </c>
      <c r="I279" s="56" t="str">
        <f>IF(H279="","",INDEX(生物种群!$B$3:INDEX(生物种群!$B:$B,COUNTA(生物种群!$B:$B)),MATCH($H279,生物种群!$A$3:INDEX(生物种群!$A:$A,COUNTA(生物种群!$A:$A)),),))</f>
        <v/>
      </c>
      <c r="J279" s="55" t="str">
        <f>IF(H279="","",INDEX(生物种群!$I$3:INDEX(生物种群!$I:$I,COUNTA(生物种群!$I:$I)),MATCH($H279,生物种群!$A$3:INDEX(生物种群!$A:$A,COUNTA(生物种群!$A:$A)),),))</f>
        <v/>
      </c>
      <c r="K279" s="55" t="str">
        <f>IF(H279="","",INDEX(生物种群!$E$3:INDEX(生物种群!$E:$E,COUNTA(生物种群!$E:$E)),MATCH($H279,生物种群!$A$3:INDEX(生物种群!$A:$A,COUNTA(生物种群!$A:$A)),),))</f>
        <v/>
      </c>
      <c r="L279" s="46" t="str">
        <f t="shared" si="18"/>
        <v/>
      </c>
      <c r="M279" s="47" t="str">
        <f>IF(L279="","",ROUND((L279)/VLOOKUP($F279,IF({1,0},站位样品信息!$A$3:INDEX(站位样品信息!$A:$A,COUNTA(站位样品信息!$A:$A)+1),站位样品信息!$H$3:INDEX(站位样品信息!$H:$H,COUNTA(站位样品信息!$H:$H)+1)),2,0),2))</f>
        <v/>
      </c>
      <c r="O279" s="49"/>
      <c r="P279" s="53" t="str">
        <f t="shared" si="16"/>
        <v/>
      </c>
      <c r="Q279" s="53" t="str">
        <f t="shared" si="17"/>
        <v/>
      </c>
    </row>
    <row r="280" spans="1:17" ht="19.5" customHeight="1">
      <c r="A280" s="38"/>
      <c r="B280" s="38"/>
      <c r="C280" s="38"/>
      <c r="D280" s="37"/>
      <c r="E280" s="37"/>
      <c r="F280" s="37"/>
      <c r="G280" s="37" t="str">
        <f>IF(F280="","",INDEX(站位样品信息!$B$3:INDEX(站位样品信息!$B:$B,COUNTA(站位样品信息!$B:$B)+1),MATCH($F280,站位样品信息!$A$3:INDEX(站位样品信息!$A:$A,COUNTA(站位样品信息!$A:$A)+1),),))</f>
        <v/>
      </c>
      <c r="H280" s="55" t="str">
        <f>IF(OR(A280&lt;&gt;"",B280&lt;&gt;"",C280&lt;&gt;""),IF($C280&lt;&gt;0,INDEX(生物种群!$A$3:INDEX(生物种群!$A:$A,COUNTA(生物种群!$A:$A)),MATCH($C280,生物种群!$F$3:INDEX(生物种群!$F:$F,COUNTA(生物种群!$F:$F)),),),IF($A280&lt;&gt;0,INDEX(生物种群!$A$3:INDEX(生物种群!$A:$A,COUNTA(生物种群!$A:$A)),MATCH($A280,生物种群!$C$3:INDEX(生物种群!$C:$C,COUNTA(生物种群!$C:$C)),),),INDEX(生物种群!$A$3:INDEX(生物种群!$A:$A,COUNTA(生物种群!$A:$A)),MATCH($B280,生物种群!$D$3:INDEX(生物种群!$D:$D,COUNTA(生物种群!$D:$D)),),))),"")</f>
        <v/>
      </c>
      <c r="I280" s="56" t="str">
        <f>IF(H280="","",INDEX(生物种群!$B$3:INDEX(生物种群!$B:$B,COUNTA(生物种群!$B:$B)),MATCH($H280,生物种群!$A$3:INDEX(生物种群!$A:$A,COUNTA(生物种群!$A:$A)),),))</f>
        <v/>
      </c>
      <c r="J280" s="55" t="str">
        <f>IF(H280="","",INDEX(生物种群!$I$3:INDEX(生物种群!$I:$I,COUNTA(生物种群!$I:$I)),MATCH($H280,生物种群!$A$3:INDEX(生物种群!$A:$A,COUNTA(生物种群!$A:$A)),),))</f>
        <v/>
      </c>
      <c r="K280" s="55" t="str">
        <f>IF(H280="","",INDEX(生物种群!$E$3:INDEX(生物种群!$E:$E,COUNTA(生物种群!$E:$E)),MATCH($H280,生物种群!$A$3:INDEX(生物种群!$A:$A,COUNTA(生物种群!$A:$A)),),))</f>
        <v/>
      </c>
      <c r="L280" s="46" t="str">
        <f t="shared" si="18"/>
        <v/>
      </c>
      <c r="M280" s="47" t="str">
        <f>IF(L280="","",ROUND((L280)/VLOOKUP($F280,IF({1,0},站位样品信息!$A$3:INDEX(站位样品信息!$A:$A,COUNTA(站位样品信息!$A:$A)+1),站位样品信息!$H$3:INDEX(站位样品信息!$H:$H,COUNTA(站位样品信息!$H:$H)+1)),2,0),2))</f>
        <v/>
      </c>
      <c r="O280" s="49"/>
      <c r="P280" s="53" t="str">
        <f t="shared" si="16"/>
        <v/>
      </c>
      <c r="Q280" s="53" t="str">
        <f t="shared" si="17"/>
        <v/>
      </c>
    </row>
    <row r="281" spans="1:17" ht="19.5" customHeight="1">
      <c r="A281" s="38"/>
      <c r="B281" s="38"/>
      <c r="C281" s="38"/>
      <c r="D281" s="37"/>
      <c r="E281" s="37"/>
      <c r="F281" s="37"/>
      <c r="G281" s="37" t="str">
        <f>IF(F281="","",INDEX(站位样品信息!$B$3:INDEX(站位样品信息!$B:$B,COUNTA(站位样品信息!$B:$B)+1),MATCH($F281,站位样品信息!$A$3:INDEX(站位样品信息!$A:$A,COUNTA(站位样品信息!$A:$A)+1),),))</f>
        <v/>
      </c>
      <c r="H281" s="55" t="str">
        <f>IF(OR(A281&lt;&gt;"",B281&lt;&gt;"",C281&lt;&gt;""),IF($C281&lt;&gt;0,INDEX(生物种群!$A$3:INDEX(生物种群!$A:$A,COUNTA(生物种群!$A:$A)),MATCH($C281,生物种群!$F$3:INDEX(生物种群!$F:$F,COUNTA(生物种群!$F:$F)),),),IF($A281&lt;&gt;0,INDEX(生物种群!$A$3:INDEX(生物种群!$A:$A,COUNTA(生物种群!$A:$A)),MATCH($A281,生物种群!$C$3:INDEX(生物种群!$C:$C,COUNTA(生物种群!$C:$C)),),),INDEX(生物种群!$A$3:INDEX(生物种群!$A:$A,COUNTA(生物种群!$A:$A)),MATCH($B281,生物种群!$D$3:INDEX(生物种群!$D:$D,COUNTA(生物种群!$D:$D)),),))),"")</f>
        <v/>
      </c>
      <c r="I281" s="56" t="str">
        <f>IF(H281="","",INDEX(生物种群!$B$3:INDEX(生物种群!$B:$B,COUNTA(生物种群!$B:$B)),MATCH($H281,生物种群!$A$3:INDEX(生物种群!$A:$A,COUNTA(生物种群!$A:$A)),),))</f>
        <v/>
      </c>
      <c r="J281" s="55" t="str">
        <f>IF(H281="","",INDEX(生物种群!$I$3:INDEX(生物种群!$I:$I,COUNTA(生物种群!$I:$I)),MATCH($H281,生物种群!$A$3:INDEX(生物种群!$A:$A,COUNTA(生物种群!$A:$A)),),))</f>
        <v/>
      </c>
      <c r="K281" s="55" t="str">
        <f>IF(H281="","",INDEX(生物种群!$E$3:INDEX(生物种群!$E:$E,COUNTA(生物种群!$E:$E)),MATCH($H281,生物种群!$A$3:INDEX(生物种群!$A:$A,COUNTA(生物种群!$A:$A)),),))</f>
        <v/>
      </c>
      <c r="L281" s="46" t="str">
        <f t="shared" si="18"/>
        <v/>
      </c>
      <c r="M281" s="47" t="str">
        <f>IF(L281="","",ROUND((L281)/VLOOKUP($F281,IF({1,0},站位样品信息!$A$3:INDEX(站位样品信息!$A:$A,COUNTA(站位样品信息!$A:$A)+1),站位样品信息!$H$3:INDEX(站位样品信息!$H:$H,COUNTA(站位样品信息!$H:$H)+1)),2,0),2))</f>
        <v/>
      </c>
      <c r="O281" s="49"/>
      <c r="P281" s="53" t="str">
        <f t="shared" si="16"/>
        <v/>
      </c>
      <c r="Q281" s="53" t="str">
        <f t="shared" si="17"/>
        <v/>
      </c>
    </row>
    <row r="282" spans="1:17" ht="19.5" customHeight="1">
      <c r="A282" s="38"/>
      <c r="B282" s="38"/>
      <c r="C282" s="38"/>
      <c r="D282" s="37"/>
      <c r="E282" s="37"/>
      <c r="F282" s="37"/>
      <c r="G282" s="37" t="str">
        <f>IF(F282="","",INDEX(站位样品信息!$B$3:INDEX(站位样品信息!$B:$B,COUNTA(站位样品信息!$B:$B)+1),MATCH($F282,站位样品信息!$A$3:INDEX(站位样品信息!$A:$A,COUNTA(站位样品信息!$A:$A)+1),),))</f>
        <v/>
      </c>
      <c r="H282" s="55" t="str">
        <f>IF(OR(A282&lt;&gt;"",B282&lt;&gt;"",C282&lt;&gt;""),IF($C282&lt;&gt;0,INDEX(生物种群!$A$3:INDEX(生物种群!$A:$A,COUNTA(生物种群!$A:$A)),MATCH($C282,生物种群!$F$3:INDEX(生物种群!$F:$F,COUNTA(生物种群!$F:$F)),),),IF($A282&lt;&gt;0,INDEX(生物种群!$A$3:INDEX(生物种群!$A:$A,COUNTA(生物种群!$A:$A)),MATCH($A282,生物种群!$C$3:INDEX(生物种群!$C:$C,COUNTA(生物种群!$C:$C)),),),INDEX(生物种群!$A$3:INDEX(生物种群!$A:$A,COUNTA(生物种群!$A:$A)),MATCH($B282,生物种群!$D$3:INDEX(生物种群!$D:$D,COUNTA(生物种群!$D:$D)),),))),"")</f>
        <v/>
      </c>
      <c r="I282" s="56" t="str">
        <f>IF(H282="","",INDEX(生物种群!$B$3:INDEX(生物种群!$B:$B,COUNTA(生物种群!$B:$B)),MATCH($H282,生物种群!$A$3:INDEX(生物种群!$A:$A,COUNTA(生物种群!$A:$A)),),))</f>
        <v/>
      </c>
      <c r="J282" s="55" t="str">
        <f>IF(H282="","",INDEX(生物种群!$I$3:INDEX(生物种群!$I:$I,COUNTA(生物种群!$I:$I)),MATCH($H282,生物种群!$A$3:INDEX(生物种群!$A:$A,COUNTA(生物种群!$A:$A)),),))</f>
        <v/>
      </c>
      <c r="K282" s="55" t="str">
        <f>IF(H282="","",INDEX(生物种群!$E$3:INDEX(生物种群!$E:$E,COUNTA(生物种群!$E:$E)),MATCH($H282,生物种群!$A$3:INDEX(生物种群!$A:$A,COUNTA(生物种群!$A:$A)),),))</f>
        <v/>
      </c>
      <c r="L282" s="46" t="str">
        <f t="shared" si="18"/>
        <v/>
      </c>
      <c r="M282" s="47" t="str">
        <f>IF(L282="","",ROUND((L282)/VLOOKUP($F282,IF({1,0},站位样品信息!$A$3:INDEX(站位样品信息!$A:$A,COUNTA(站位样品信息!$A:$A)+1),站位样品信息!$H$3:INDEX(站位样品信息!$H:$H,COUNTA(站位样品信息!$H:$H)+1)),2,0),2))</f>
        <v/>
      </c>
      <c r="O282" s="49"/>
      <c r="P282" s="53" t="str">
        <f t="shared" si="16"/>
        <v/>
      </c>
      <c r="Q282" s="53" t="str">
        <f t="shared" si="17"/>
        <v/>
      </c>
    </row>
    <row r="283" spans="1:17" ht="19.5" customHeight="1">
      <c r="A283" s="38"/>
      <c r="B283" s="38"/>
      <c r="C283" s="38"/>
      <c r="D283" s="37"/>
      <c r="E283" s="37"/>
      <c r="F283" s="37"/>
      <c r="G283" s="37" t="str">
        <f>IF(F283="","",INDEX(站位样品信息!$B$3:INDEX(站位样品信息!$B:$B,COUNTA(站位样品信息!$B:$B)+1),MATCH($F283,站位样品信息!$A$3:INDEX(站位样品信息!$A:$A,COUNTA(站位样品信息!$A:$A)+1),),))</f>
        <v/>
      </c>
      <c r="H283" s="55" t="str">
        <f>IF(OR(A283&lt;&gt;"",B283&lt;&gt;"",C283&lt;&gt;""),IF($C283&lt;&gt;0,INDEX(生物种群!$A$3:INDEX(生物种群!$A:$A,COUNTA(生物种群!$A:$A)),MATCH($C283,生物种群!$F$3:INDEX(生物种群!$F:$F,COUNTA(生物种群!$F:$F)),),),IF($A283&lt;&gt;0,INDEX(生物种群!$A$3:INDEX(生物种群!$A:$A,COUNTA(生物种群!$A:$A)),MATCH($A283,生物种群!$C$3:INDEX(生物种群!$C:$C,COUNTA(生物种群!$C:$C)),),),INDEX(生物种群!$A$3:INDEX(生物种群!$A:$A,COUNTA(生物种群!$A:$A)),MATCH($B283,生物种群!$D$3:INDEX(生物种群!$D:$D,COUNTA(生物种群!$D:$D)),),))),"")</f>
        <v/>
      </c>
      <c r="I283" s="56" t="str">
        <f>IF(H283="","",INDEX(生物种群!$B$3:INDEX(生物种群!$B:$B,COUNTA(生物种群!$B:$B)),MATCH($H283,生物种群!$A$3:INDEX(生物种群!$A:$A,COUNTA(生物种群!$A:$A)),),))</f>
        <v/>
      </c>
      <c r="J283" s="55" t="str">
        <f>IF(H283="","",INDEX(生物种群!$I$3:INDEX(生物种群!$I:$I,COUNTA(生物种群!$I:$I)),MATCH($H283,生物种群!$A$3:INDEX(生物种群!$A:$A,COUNTA(生物种群!$A:$A)),),))</f>
        <v/>
      </c>
      <c r="K283" s="55" t="str">
        <f>IF(H283="","",INDEX(生物种群!$E$3:INDEX(生物种群!$E:$E,COUNTA(生物种群!$E:$E)),MATCH($H283,生物种群!$A$3:INDEX(生物种群!$A:$A,COUNTA(生物种群!$A:$A)),),))</f>
        <v/>
      </c>
      <c r="L283" s="46" t="str">
        <f t="shared" si="18"/>
        <v/>
      </c>
      <c r="M283" s="47" t="str">
        <f>IF(L283="","",ROUND((L283)/VLOOKUP($F283,IF({1,0},站位样品信息!$A$3:INDEX(站位样品信息!$A:$A,COUNTA(站位样品信息!$A:$A)+1),站位样品信息!$H$3:INDEX(站位样品信息!$H:$H,COUNTA(站位样品信息!$H:$H)+1)),2,0),2))</f>
        <v/>
      </c>
      <c r="O283" s="49"/>
      <c r="P283" s="53" t="str">
        <f t="shared" si="16"/>
        <v/>
      </c>
      <c r="Q283" s="53" t="str">
        <f t="shared" si="17"/>
        <v/>
      </c>
    </row>
    <row r="284" spans="1:17" ht="19.5" customHeight="1">
      <c r="A284" s="38"/>
      <c r="B284" s="38"/>
      <c r="C284" s="38"/>
      <c r="D284" s="37"/>
      <c r="E284" s="37"/>
      <c r="F284" s="37"/>
      <c r="G284" s="37" t="str">
        <f>IF(F284="","",INDEX(站位样品信息!$B$3:INDEX(站位样品信息!$B:$B,COUNTA(站位样品信息!$B:$B)+1),MATCH($F284,站位样品信息!$A$3:INDEX(站位样品信息!$A:$A,COUNTA(站位样品信息!$A:$A)+1),),))</f>
        <v/>
      </c>
      <c r="H284" s="55" t="str">
        <f>IF(OR(A284&lt;&gt;"",B284&lt;&gt;"",C284&lt;&gt;""),IF($C284&lt;&gt;0,INDEX(生物种群!$A$3:INDEX(生物种群!$A:$A,COUNTA(生物种群!$A:$A)),MATCH($C284,生物种群!$F$3:INDEX(生物种群!$F:$F,COUNTA(生物种群!$F:$F)),),),IF($A284&lt;&gt;0,INDEX(生物种群!$A$3:INDEX(生物种群!$A:$A,COUNTA(生物种群!$A:$A)),MATCH($A284,生物种群!$C$3:INDEX(生物种群!$C:$C,COUNTA(生物种群!$C:$C)),),),INDEX(生物种群!$A$3:INDEX(生物种群!$A:$A,COUNTA(生物种群!$A:$A)),MATCH($B284,生物种群!$D$3:INDEX(生物种群!$D:$D,COUNTA(生物种群!$D:$D)),),))),"")</f>
        <v/>
      </c>
      <c r="I284" s="56" t="str">
        <f>IF(H284="","",INDEX(生物种群!$B$3:INDEX(生物种群!$B:$B,COUNTA(生物种群!$B:$B)),MATCH($H284,生物种群!$A$3:INDEX(生物种群!$A:$A,COUNTA(生物种群!$A:$A)),),))</f>
        <v/>
      </c>
      <c r="J284" s="55" t="str">
        <f>IF(H284="","",INDEX(生物种群!$I$3:INDEX(生物种群!$I:$I,COUNTA(生物种群!$I:$I)),MATCH($H284,生物种群!$A$3:INDEX(生物种群!$A:$A,COUNTA(生物种群!$A:$A)),),))</f>
        <v/>
      </c>
      <c r="K284" s="55" t="str">
        <f>IF(H284="","",INDEX(生物种群!$E$3:INDEX(生物种群!$E:$E,COUNTA(生物种群!$E:$E)),MATCH($H284,生物种群!$A$3:INDEX(生物种群!$A:$A,COUNTA(生物种群!$A:$A)),),))</f>
        <v/>
      </c>
      <c r="L284" s="46" t="str">
        <f t="shared" si="18"/>
        <v/>
      </c>
      <c r="M284" s="47" t="str">
        <f>IF(L284="","",ROUND((L284)/VLOOKUP($F284,IF({1,0},站位样品信息!$A$3:INDEX(站位样品信息!$A:$A,COUNTA(站位样品信息!$A:$A)+1),站位样品信息!$H$3:INDEX(站位样品信息!$H:$H,COUNTA(站位样品信息!$H:$H)+1)),2,0),2))</f>
        <v/>
      </c>
      <c r="O284" s="49"/>
      <c r="P284" s="53" t="str">
        <f t="shared" si="16"/>
        <v/>
      </c>
      <c r="Q284" s="53" t="str">
        <f t="shared" si="17"/>
        <v/>
      </c>
    </row>
    <row r="285" spans="1:17" ht="19.5" customHeight="1">
      <c r="A285" s="38"/>
      <c r="B285" s="38"/>
      <c r="C285" s="38"/>
      <c r="D285" s="37"/>
      <c r="E285" s="37"/>
      <c r="F285" s="37"/>
      <c r="G285" s="37" t="str">
        <f>IF(F285="","",INDEX(站位样品信息!$B$3:INDEX(站位样品信息!$B:$B,COUNTA(站位样品信息!$B:$B)+1),MATCH($F285,站位样品信息!$A$3:INDEX(站位样品信息!$A:$A,COUNTA(站位样品信息!$A:$A)+1),),))</f>
        <v/>
      </c>
      <c r="H285" s="55" t="str">
        <f>IF(OR(A285&lt;&gt;"",B285&lt;&gt;"",C285&lt;&gt;""),IF($C285&lt;&gt;0,INDEX(生物种群!$A$3:INDEX(生物种群!$A:$A,COUNTA(生物种群!$A:$A)),MATCH($C285,生物种群!$F$3:INDEX(生物种群!$F:$F,COUNTA(生物种群!$F:$F)),),),IF($A285&lt;&gt;0,INDEX(生物种群!$A$3:INDEX(生物种群!$A:$A,COUNTA(生物种群!$A:$A)),MATCH($A285,生物种群!$C$3:INDEX(生物种群!$C:$C,COUNTA(生物种群!$C:$C)),),),INDEX(生物种群!$A$3:INDEX(生物种群!$A:$A,COUNTA(生物种群!$A:$A)),MATCH($B285,生物种群!$D$3:INDEX(生物种群!$D:$D,COUNTA(生物种群!$D:$D)),),))),"")</f>
        <v/>
      </c>
      <c r="I285" s="56" t="str">
        <f>IF(H285="","",INDEX(生物种群!$B$3:INDEX(生物种群!$B:$B,COUNTA(生物种群!$B:$B)),MATCH($H285,生物种群!$A$3:INDEX(生物种群!$A:$A,COUNTA(生物种群!$A:$A)),),))</f>
        <v/>
      </c>
      <c r="J285" s="55" t="str">
        <f>IF(H285="","",INDEX(生物种群!$I$3:INDEX(生物种群!$I:$I,COUNTA(生物种群!$I:$I)),MATCH($H285,生物种群!$A$3:INDEX(生物种群!$A:$A,COUNTA(生物种群!$A:$A)),),))</f>
        <v/>
      </c>
      <c r="K285" s="55" t="str">
        <f>IF(H285="","",INDEX(生物种群!$E$3:INDEX(生物种群!$E:$E,COUNTA(生物种群!$E:$E)),MATCH($H285,生物种群!$A$3:INDEX(生物种群!$A:$A,COUNTA(生物种群!$A:$A)),),))</f>
        <v/>
      </c>
      <c r="L285" s="46" t="str">
        <f t="shared" si="18"/>
        <v/>
      </c>
      <c r="M285" s="47" t="str">
        <f>IF(L285="","",ROUND((L285)/VLOOKUP($F285,IF({1,0},站位样品信息!$A$3:INDEX(站位样品信息!$A:$A,COUNTA(站位样品信息!$A:$A)+1),站位样品信息!$H$3:INDEX(站位样品信息!$H:$H,COUNTA(站位样品信息!$H:$H)+1)),2,0),2))</f>
        <v/>
      </c>
      <c r="O285" s="49"/>
      <c r="P285" s="53" t="str">
        <f t="shared" si="16"/>
        <v/>
      </c>
      <c r="Q285" s="53" t="str">
        <f t="shared" si="17"/>
        <v/>
      </c>
    </row>
    <row r="286" spans="1:17" ht="19.5" customHeight="1">
      <c r="A286" s="38"/>
      <c r="B286" s="38"/>
      <c r="C286" s="38"/>
      <c r="D286" s="37"/>
      <c r="E286" s="37"/>
      <c r="F286" s="37"/>
      <c r="G286" s="37" t="str">
        <f>IF(F286="","",INDEX(站位样品信息!$B$3:INDEX(站位样品信息!$B:$B,COUNTA(站位样品信息!$B:$B)+1),MATCH($F286,站位样品信息!$A$3:INDEX(站位样品信息!$A:$A,COUNTA(站位样品信息!$A:$A)+1),),))</f>
        <v/>
      </c>
      <c r="H286" s="55" t="str">
        <f>IF(OR(A286&lt;&gt;"",B286&lt;&gt;"",C286&lt;&gt;""),IF($C286&lt;&gt;0,INDEX(生物种群!$A$3:INDEX(生物种群!$A:$A,COUNTA(生物种群!$A:$A)),MATCH($C286,生物种群!$F$3:INDEX(生物种群!$F:$F,COUNTA(生物种群!$F:$F)),),),IF($A286&lt;&gt;0,INDEX(生物种群!$A$3:INDEX(生物种群!$A:$A,COUNTA(生物种群!$A:$A)),MATCH($A286,生物种群!$C$3:INDEX(生物种群!$C:$C,COUNTA(生物种群!$C:$C)),),),INDEX(生物种群!$A$3:INDEX(生物种群!$A:$A,COUNTA(生物种群!$A:$A)),MATCH($B286,生物种群!$D$3:INDEX(生物种群!$D:$D,COUNTA(生物种群!$D:$D)),),))),"")</f>
        <v/>
      </c>
      <c r="I286" s="56" t="str">
        <f>IF(H286="","",INDEX(生物种群!$B$3:INDEX(生物种群!$B:$B,COUNTA(生物种群!$B:$B)),MATCH($H286,生物种群!$A$3:INDEX(生物种群!$A:$A,COUNTA(生物种群!$A:$A)),),))</f>
        <v/>
      </c>
      <c r="J286" s="55" t="str">
        <f>IF(H286="","",INDEX(生物种群!$I$3:INDEX(生物种群!$I:$I,COUNTA(生物种群!$I:$I)),MATCH($H286,生物种群!$A$3:INDEX(生物种群!$A:$A,COUNTA(生物种群!$A:$A)),),))</f>
        <v/>
      </c>
      <c r="K286" s="55" t="str">
        <f>IF(H286="","",INDEX(生物种群!$E$3:INDEX(生物种群!$E:$E,COUNTA(生物种群!$E:$E)),MATCH($H286,生物种群!$A$3:INDEX(生物种群!$A:$A,COUNTA(生物种群!$A:$A)),),))</f>
        <v/>
      </c>
      <c r="L286" s="46" t="str">
        <f t="shared" si="18"/>
        <v/>
      </c>
      <c r="M286" s="47" t="str">
        <f>IF(L286="","",ROUND((L286)/VLOOKUP($F286,IF({1,0},站位样品信息!$A$3:INDEX(站位样品信息!$A:$A,COUNTA(站位样品信息!$A:$A)+1),站位样品信息!$H$3:INDEX(站位样品信息!$H:$H,COUNTA(站位样品信息!$H:$H)+1)),2,0),2))</f>
        <v/>
      </c>
      <c r="O286" s="49"/>
      <c r="P286" s="53" t="str">
        <f t="shared" si="16"/>
        <v/>
      </c>
      <c r="Q286" s="53" t="str">
        <f t="shared" si="17"/>
        <v/>
      </c>
    </row>
    <row r="287" spans="1:17" ht="19.5" customHeight="1">
      <c r="A287" s="38"/>
      <c r="B287" s="38"/>
      <c r="C287" s="38"/>
      <c r="D287" s="37"/>
      <c r="E287" s="37"/>
      <c r="F287" s="37"/>
      <c r="G287" s="37" t="str">
        <f>IF(F287="","",INDEX(站位样品信息!$B$3:INDEX(站位样品信息!$B:$B,COUNTA(站位样品信息!$B:$B)+1),MATCH($F287,站位样品信息!$A$3:INDEX(站位样品信息!$A:$A,COUNTA(站位样品信息!$A:$A)+1),),))</f>
        <v/>
      </c>
      <c r="H287" s="55" t="str">
        <f>IF(OR(A287&lt;&gt;"",B287&lt;&gt;"",C287&lt;&gt;""),IF($C287&lt;&gt;0,INDEX(生物种群!$A$3:INDEX(生物种群!$A:$A,COUNTA(生物种群!$A:$A)),MATCH($C287,生物种群!$F$3:INDEX(生物种群!$F:$F,COUNTA(生物种群!$F:$F)),),),IF($A287&lt;&gt;0,INDEX(生物种群!$A$3:INDEX(生物种群!$A:$A,COUNTA(生物种群!$A:$A)),MATCH($A287,生物种群!$C$3:INDEX(生物种群!$C:$C,COUNTA(生物种群!$C:$C)),),),INDEX(生物种群!$A$3:INDEX(生物种群!$A:$A,COUNTA(生物种群!$A:$A)),MATCH($B287,生物种群!$D$3:INDEX(生物种群!$D:$D,COUNTA(生物种群!$D:$D)),),))),"")</f>
        <v/>
      </c>
      <c r="I287" s="56" t="str">
        <f>IF(H287="","",INDEX(生物种群!$B$3:INDEX(生物种群!$B:$B,COUNTA(生物种群!$B:$B)),MATCH($H287,生物种群!$A$3:INDEX(生物种群!$A:$A,COUNTA(生物种群!$A:$A)),),))</f>
        <v/>
      </c>
      <c r="J287" s="55" t="str">
        <f>IF(H287="","",INDEX(生物种群!$I$3:INDEX(生物种群!$I:$I,COUNTA(生物种群!$I:$I)),MATCH($H287,生物种群!$A$3:INDEX(生物种群!$A:$A,COUNTA(生物种群!$A:$A)),),))</f>
        <v/>
      </c>
      <c r="K287" s="55" t="str">
        <f>IF(H287="","",INDEX(生物种群!$E$3:INDEX(生物种群!$E:$E,COUNTA(生物种群!$E:$E)),MATCH($H287,生物种群!$A$3:INDEX(生物种群!$A:$A,COUNTA(生物种群!$A:$A)),),))</f>
        <v/>
      </c>
      <c r="L287" s="46" t="str">
        <f t="shared" si="18"/>
        <v/>
      </c>
      <c r="M287" s="47" t="str">
        <f>IF(L287="","",ROUND((L287)/VLOOKUP($F287,IF({1,0},站位样品信息!$A$3:INDEX(站位样品信息!$A:$A,COUNTA(站位样品信息!$A:$A)+1),站位样品信息!$H$3:INDEX(站位样品信息!$H:$H,COUNTA(站位样品信息!$H:$H)+1)),2,0),2))</f>
        <v/>
      </c>
      <c r="O287" s="49"/>
      <c r="P287" s="53" t="str">
        <f t="shared" si="16"/>
        <v/>
      </c>
      <c r="Q287" s="53" t="str">
        <f t="shared" si="17"/>
        <v/>
      </c>
    </row>
    <row r="288" spans="1:17" ht="19.5" customHeight="1">
      <c r="A288" s="38"/>
      <c r="B288" s="38"/>
      <c r="C288" s="38"/>
      <c r="D288" s="37"/>
      <c r="E288" s="37"/>
      <c r="F288" s="37"/>
      <c r="G288" s="37" t="str">
        <f>IF(F288="","",INDEX(站位样品信息!$B$3:INDEX(站位样品信息!$B:$B,COUNTA(站位样品信息!$B:$B)+1),MATCH($F288,站位样品信息!$A$3:INDEX(站位样品信息!$A:$A,COUNTA(站位样品信息!$A:$A)+1),),))</f>
        <v/>
      </c>
      <c r="H288" s="55" t="str">
        <f>IF(OR(A288&lt;&gt;"",B288&lt;&gt;"",C288&lt;&gt;""),IF($C288&lt;&gt;0,INDEX(生物种群!$A$3:INDEX(生物种群!$A:$A,COUNTA(生物种群!$A:$A)),MATCH($C288,生物种群!$F$3:INDEX(生物种群!$F:$F,COUNTA(生物种群!$F:$F)),),),IF($A288&lt;&gt;0,INDEX(生物种群!$A$3:INDEX(生物种群!$A:$A,COUNTA(生物种群!$A:$A)),MATCH($A288,生物种群!$C$3:INDEX(生物种群!$C:$C,COUNTA(生物种群!$C:$C)),),),INDEX(生物种群!$A$3:INDEX(生物种群!$A:$A,COUNTA(生物种群!$A:$A)),MATCH($B288,生物种群!$D$3:INDEX(生物种群!$D:$D,COUNTA(生物种群!$D:$D)),),))),"")</f>
        <v/>
      </c>
      <c r="I288" s="56" t="str">
        <f>IF(H288="","",INDEX(生物种群!$B$3:INDEX(生物种群!$B:$B,COUNTA(生物种群!$B:$B)),MATCH($H288,生物种群!$A$3:INDEX(生物种群!$A:$A,COUNTA(生物种群!$A:$A)),),))</f>
        <v/>
      </c>
      <c r="J288" s="55" t="str">
        <f>IF(H288="","",INDEX(生物种群!$I$3:INDEX(生物种群!$I:$I,COUNTA(生物种群!$I:$I)),MATCH($H288,生物种群!$A$3:INDEX(生物种群!$A:$A,COUNTA(生物种群!$A:$A)),),))</f>
        <v/>
      </c>
      <c r="K288" s="55" t="str">
        <f>IF(H288="","",INDEX(生物种群!$E$3:INDEX(生物种群!$E:$E,COUNTA(生物种群!$E:$E)),MATCH($H288,生物种群!$A$3:INDEX(生物种群!$A:$A,COUNTA(生物种群!$A:$A)),),))</f>
        <v/>
      </c>
      <c r="L288" s="46" t="str">
        <f t="shared" si="18"/>
        <v/>
      </c>
      <c r="M288" s="47" t="str">
        <f>IF(L288="","",ROUND((L288)/VLOOKUP($F288,IF({1,0},站位样品信息!$A$3:INDEX(站位样品信息!$A:$A,COUNTA(站位样品信息!$A:$A)+1),站位样品信息!$H$3:INDEX(站位样品信息!$H:$H,COUNTA(站位样品信息!$H:$H)+1)),2,0),2))</f>
        <v/>
      </c>
      <c r="O288" s="49"/>
      <c r="P288" s="53" t="str">
        <f t="shared" si="16"/>
        <v/>
      </c>
      <c r="Q288" s="53" t="str">
        <f t="shared" si="17"/>
        <v/>
      </c>
    </row>
    <row r="289" spans="1:17" ht="19.5" customHeight="1">
      <c r="A289" s="38"/>
      <c r="B289" s="38"/>
      <c r="C289" s="38"/>
      <c r="D289" s="37"/>
      <c r="E289" s="37"/>
      <c r="F289" s="37"/>
      <c r="G289" s="37" t="str">
        <f>IF(F289="","",INDEX(站位样品信息!$B$3:INDEX(站位样品信息!$B:$B,COUNTA(站位样品信息!$B:$B)+1),MATCH($F289,站位样品信息!$A$3:INDEX(站位样品信息!$A:$A,COUNTA(站位样品信息!$A:$A)+1),),))</f>
        <v/>
      </c>
      <c r="H289" s="55" t="str">
        <f>IF(OR(A289&lt;&gt;"",B289&lt;&gt;"",C289&lt;&gt;""),IF($C289&lt;&gt;0,INDEX(生物种群!$A$3:INDEX(生物种群!$A:$A,COUNTA(生物种群!$A:$A)),MATCH($C289,生物种群!$F$3:INDEX(生物种群!$F:$F,COUNTA(生物种群!$F:$F)),),),IF($A289&lt;&gt;0,INDEX(生物种群!$A$3:INDEX(生物种群!$A:$A,COUNTA(生物种群!$A:$A)),MATCH($A289,生物种群!$C$3:INDEX(生物种群!$C:$C,COUNTA(生物种群!$C:$C)),),),INDEX(生物种群!$A$3:INDEX(生物种群!$A:$A,COUNTA(生物种群!$A:$A)),MATCH($B289,生物种群!$D$3:INDEX(生物种群!$D:$D,COUNTA(生物种群!$D:$D)),),))),"")</f>
        <v/>
      </c>
      <c r="I289" s="56" t="str">
        <f>IF(H289="","",INDEX(生物种群!$B$3:INDEX(生物种群!$B:$B,COUNTA(生物种群!$B:$B)),MATCH($H289,生物种群!$A$3:INDEX(生物种群!$A:$A,COUNTA(生物种群!$A:$A)),),))</f>
        <v/>
      </c>
      <c r="J289" s="55" t="str">
        <f>IF(H289="","",INDEX(生物种群!$I$3:INDEX(生物种群!$I:$I,COUNTA(生物种群!$I:$I)),MATCH($H289,生物种群!$A$3:INDEX(生物种群!$A:$A,COUNTA(生物种群!$A:$A)),),))</f>
        <v/>
      </c>
      <c r="K289" s="55" t="str">
        <f>IF(H289="","",INDEX(生物种群!$E$3:INDEX(生物种群!$E:$E,COUNTA(生物种群!$E:$E)),MATCH($H289,生物种群!$A$3:INDEX(生物种群!$A:$A,COUNTA(生物种群!$A:$A)),),))</f>
        <v/>
      </c>
      <c r="L289" s="46" t="str">
        <f t="shared" si="18"/>
        <v/>
      </c>
      <c r="M289" s="47" t="str">
        <f>IF(L289="","",ROUND((L289)/VLOOKUP($F289,IF({1,0},站位样品信息!$A$3:INDEX(站位样品信息!$A:$A,COUNTA(站位样品信息!$A:$A)+1),站位样品信息!$H$3:INDEX(站位样品信息!$H:$H,COUNTA(站位样品信息!$H:$H)+1)),2,0),2))</f>
        <v/>
      </c>
      <c r="O289" s="49"/>
      <c r="P289" s="53" t="str">
        <f t="shared" si="16"/>
        <v/>
      </c>
      <c r="Q289" s="53" t="str">
        <f t="shared" si="17"/>
        <v/>
      </c>
    </row>
    <row r="290" spans="1:17" ht="19.5" customHeight="1">
      <c r="A290" s="38"/>
      <c r="B290" s="38"/>
      <c r="C290" s="38"/>
      <c r="D290" s="37"/>
      <c r="E290" s="37"/>
      <c r="F290" s="37"/>
      <c r="G290" s="37" t="str">
        <f>IF(F290="","",INDEX(站位样品信息!$B$3:INDEX(站位样品信息!$B:$B,COUNTA(站位样品信息!$B:$B)+1),MATCH($F290,站位样品信息!$A$3:INDEX(站位样品信息!$A:$A,COUNTA(站位样品信息!$A:$A)+1),),))</f>
        <v/>
      </c>
      <c r="H290" s="55" t="str">
        <f>IF(OR(A290&lt;&gt;"",B290&lt;&gt;"",C290&lt;&gt;""),IF($C290&lt;&gt;0,INDEX(生物种群!$A$3:INDEX(生物种群!$A:$A,COUNTA(生物种群!$A:$A)),MATCH($C290,生物种群!$F$3:INDEX(生物种群!$F:$F,COUNTA(生物种群!$F:$F)),),),IF($A290&lt;&gt;0,INDEX(生物种群!$A$3:INDEX(生物种群!$A:$A,COUNTA(生物种群!$A:$A)),MATCH($A290,生物种群!$C$3:INDEX(生物种群!$C:$C,COUNTA(生物种群!$C:$C)),),),INDEX(生物种群!$A$3:INDEX(生物种群!$A:$A,COUNTA(生物种群!$A:$A)),MATCH($B290,生物种群!$D$3:INDEX(生物种群!$D:$D,COUNTA(生物种群!$D:$D)),),))),"")</f>
        <v/>
      </c>
      <c r="I290" s="56" t="str">
        <f>IF(H290="","",INDEX(生物种群!$B$3:INDEX(生物种群!$B:$B,COUNTA(生物种群!$B:$B)),MATCH($H290,生物种群!$A$3:INDEX(生物种群!$A:$A,COUNTA(生物种群!$A:$A)),),))</f>
        <v/>
      </c>
      <c r="J290" s="55" t="str">
        <f>IF(H290="","",INDEX(生物种群!$I$3:INDEX(生物种群!$I:$I,COUNTA(生物种群!$I:$I)),MATCH($H290,生物种群!$A$3:INDEX(生物种群!$A:$A,COUNTA(生物种群!$A:$A)),),))</f>
        <v/>
      </c>
      <c r="K290" s="55" t="str">
        <f>IF(H290="","",INDEX(生物种群!$E$3:INDEX(生物种群!$E:$E,COUNTA(生物种群!$E:$E)),MATCH($H290,生物种群!$A$3:INDEX(生物种群!$A:$A,COUNTA(生物种群!$A:$A)),),))</f>
        <v/>
      </c>
      <c r="L290" s="46" t="str">
        <f t="shared" si="18"/>
        <v/>
      </c>
      <c r="M290" s="47" t="str">
        <f>IF(L290="","",ROUND((L290)/VLOOKUP($F290,IF({1,0},站位样品信息!$A$3:INDEX(站位样品信息!$A:$A,COUNTA(站位样品信息!$A:$A)+1),站位样品信息!$H$3:INDEX(站位样品信息!$H:$H,COUNTA(站位样品信息!$H:$H)+1)),2,0),2))</f>
        <v/>
      </c>
      <c r="O290" s="49"/>
      <c r="P290" s="53" t="str">
        <f t="shared" si="16"/>
        <v/>
      </c>
      <c r="Q290" s="53" t="str">
        <f t="shared" si="17"/>
        <v/>
      </c>
    </row>
    <row r="291" spans="1:17" ht="19.5" customHeight="1">
      <c r="A291" s="38"/>
      <c r="B291" s="38"/>
      <c r="C291" s="38"/>
      <c r="D291" s="37"/>
      <c r="E291" s="37"/>
      <c r="F291" s="37"/>
      <c r="G291" s="37" t="str">
        <f>IF(F291="","",INDEX(站位样品信息!$B$3:INDEX(站位样品信息!$B:$B,COUNTA(站位样品信息!$B:$B)+1),MATCH($F291,站位样品信息!$A$3:INDEX(站位样品信息!$A:$A,COUNTA(站位样品信息!$A:$A)+1),),))</f>
        <v/>
      </c>
      <c r="H291" s="55" t="str">
        <f>IF(OR(A291&lt;&gt;"",B291&lt;&gt;"",C291&lt;&gt;""),IF($C291&lt;&gt;0,INDEX(生物种群!$A$3:INDEX(生物种群!$A:$A,COUNTA(生物种群!$A:$A)),MATCH($C291,生物种群!$F$3:INDEX(生物种群!$F:$F,COUNTA(生物种群!$F:$F)),),),IF($A291&lt;&gt;0,INDEX(生物种群!$A$3:INDEX(生物种群!$A:$A,COUNTA(生物种群!$A:$A)),MATCH($A291,生物种群!$C$3:INDEX(生物种群!$C:$C,COUNTA(生物种群!$C:$C)),),),INDEX(生物种群!$A$3:INDEX(生物种群!$A:$A,COUNTA(生物种群!$A:$A)),MATCH($B291,生物种群!$D$3:INDEX(生物种群!$D:$D,COUNTA(生物种群!$D:$D)),),))),"")</f>
        <v/>
      </c>
      <c r="I291" s="56" t="str">
        <f>IF(H291="","",INDEX(生物种群!$B$3:INDEX(生物种群!$B:$B,COUNTA(生物种群!$B:$B)),MATCH($H291,生物种群!$A$3:INDEX(生物种群!$A:$A,COUNTA(生物种群!$A:$A)),),))</f>
        <v/>
      </c>
      <c r="J291" s="55" t="str">
        <f>IF(H291="","",INDEX(生物种群!$I$3:INDEX(生物种群!$I:$I,COUNTA(生物种群!$I:$I)),MATCH($H291,生物种群!$A$3:INDEX(生物种群!$A:$A,COUNTA(生物种群!$A:$A)),),))</f>
        <v/>
      </c>
      <c r="K291" s="55" t="str">
        <f>IF(H291="","",INDEX(生物种群!$E$3:INDEX(生物种群!$E:$E,COUNTA(生物种群!$E:$E)),MATCH($H291,生物种群!$A$3:INDEX(生物种群!$A:$A,COUNTA(生物种群!$A:$A)),),))</f>
        <v/>
      </c>
      <c r="L291" s="46" t="str">
        <f t="shared" si="18"/>
        <v/>
      </c>
      <c r="M291" s="47" t="str">
        <f>IF(L291="","",ROUND((L291)/VLOOKUP($F291,IF({1,0},站位样品信息!$A$3:INDEX(站位样品信息!$A:$A,COUNTA(站位样品信息!$A:$A)+1),站位样品信息!$H$3:INDEX(站位样品信息!$H:$H,COUNTA(站位样品信息!$H:$H)+1)),2,0),2))</f>
        <v/>
      </c>
      <c r="O291" s="49"/>
      <c r="P291" s="53" t="str">
        <f t="shared" si="16"/>
        <v/>
      </c>
      <c r="Q291" s="53" t="str">
        <f t="shared" si="17"/>
        <v/>
      </c>
    </row>
    <row r="292" spans="1:17" ht="19.5" customHeight="1">
      <c r="A292" s="38"/>
      <c r="B292" s="38"/>
      <c r="C292" s="38"/>
      <c r="D292" s="37"/>
      <c r="E292" s="37"/>
      <c r="F292" s="37"/>
      <c r="G292" s="37" t="str">
        <f>IF(F292="","",INDEX(站位样品信息!$B$3:INDEX(站位样品信息!$B:$B,COUNTA(站位样品信息!$B:$B)+1),MATCH($F292,站位样品信息!$A$3:INDEX(站位样品信息!$A:$A,COUNTA(站位样品信息!$A:$A)+1),),))</f>
        <v/>
      </c>
      <c r="H292" s="55" t="str">
        <f>IF(OR(A292&lt;&gt;"",B292&lt;&gt;"",C292&lt;&gt;""),IF($C292&lt;&gt;0,INDEX(生物种群!$A$3:INDEX(生物种群!$A:$A,COUNTA(生物种群!$A:$A)),MATCH($C292,生物种群!$F$3:INDEX(生物种群!$F:$F,COUNTA(生物种群!$F:$F)),),),IF($A292&lt;&gt;0,INDEX(生物种群!$A$3:INDEX(生物种群!$A:$A,COUNTA(生物种群!$A:$A)),MATCH($A292,生物种群!$C$3:INDEX(生物种群!$C:$C,COUNTA(生物种群!$C:$C)),),),INDEX(生物种群!$A$3:INDEX(生物种群!$A:$A,COUNTA(生物种群!$A:$A)),MATCH($B292,生物种群!$D$3:INDEX(生物种群!$D:$D,COUNTA(生物种群!$D:$D)),),))),"")</f>
        <v/>
      </c>
      <c r="I292" s="56" t="str">
        <f>IF(H292="","",INDEX(生物种群!$B$3:INDEX(生物种群!$B:$B,COUNTA(生物种群!$B:$B)),MATCH($H292,生物种群!$A$3:INDEX(生物种群!$A:$A,COUNTA(生物种群!$A:$A)),),))</f>
        <v/>
      </c>
      <c r="J292" s="55" t="str">
        <f>IF(H292="","",INDEX(生物种群!$I$3:INDEX(生物种群!$I:$I,COUNTA(生物种群!$I:$I)),MATCH($H292,生物种群!$A$3:INDEX(生物种群!$A:$A,COUNTA(生物种群!$A:$A)),),))</f>
        <v/>
      </c>
      <c r="K292" s="55" t="str">
        <f>IF(H292="","",INDEX(生物种群!$E$3:INDEX(生物种群!$E:$E,COUNTA(生物种群!$E:$E)),MATCH($H292,生物种群!$A$3:INDEX(生物种群!$A:$A,COUNTA(生物种群!$A:$A)),),))</f>
        <v/>
      </c>
      <c r="L292" s="46" t="str">
        <f t="shared" si="18"/>
        <v/>
      </c>
      <c r="M292" s="47" t="str">
        <f>IF(L292="","",ROUND((L292)/VLOOKUP($F292,IF({1,0},站位样品信息!$A$3:INDEX(站位样品信息!$A:$A,COUNTA(站位样品信息!$A:$A)+1),站位样品信息!$H$3:INDEX(站位样品信息!$H:$H,COUNTA(站位样品信息!$H:$H)+1)),2,0),2))</f>
        <v/>
      </c>
      <c r="O292" s="49"/>
      <c r="P292" s="53" t="str">
        <f t="shared" si="16"/>
        <v/>
      </c>
      <c r="Q292" s="53" t="str">
        <f t="shared" si="17"/>
        <v/>
      </c>
    </row>
    <row r="293" spans="1:17" ht="19.5" customHeight="1">
      <c r="A293" s="38"/>
      <c r="B293" s="38"/>
      <c r="C293" s="38"/>
      <c r="D293" s="37"/>
      <c r="E293" s="37"/>
      <c r="F293" s="37"/>
      <c r="G293" s="37" t="str">
        <f>IF(F293="","",INDEX(站位样品信息!$B$3:INDEX(站位样品信息!$B:$B,COUNTA(站位样品信息!$B:$B)+1),MATCH($F293,站位样品信息!$A$3:INDEX(站位样品信息!$A:$A,COUNTA(站位样品信息!$A:$A)+1),),))</f>
        <v/>
      </c>
      <c r="H293" s="55" t="str">
        <f>IF(OR(A293&lt;&gt;"",B293&lt;&gt;"",C293&lt;&gt;""),IF($C293&lt;&gt;0,INDEX(生物种群!$A$3:INDEX(生物种群!$A:$A,COUNTA(生物种群!$A:$A)),MATCH($C293,生物种群!$F$3:INDEX(生物种群!$F:$F,COUNTA(生物种群!$F:$F)),),),IF($A293&lt;&gt;0,INDEX(生物种群!$A$3:INDEX(生物种群!$A:$A,COUNTA(生物种群!$A:$A)),MATCH($A293,生物种群!$C$3:INDEX(生物种群!$C:$C,COUNTA(生物种群!$C:$C)),),),INDEX(生物种群!$A$3:INDEX(生物种群!$A:$A,COUNTA(生物种群!$A:$A)),MATCH($B293,生物种群!$D$3:INDEX(生物种群!$D:$D,COUNTA(生物种群!$D:$D)),),))),"")</f>
        <v/>
      </c>
      <c r="I293" s="56" t="str">
        <f>IF(H293="","",INDEX(生物种群!$B$3:INDEX(生物种群!$B:$B,COUNTA(生物种群!$B:$B)),MATCH($H293,生物种群!$A$3:INDEX(生物种群!$A:$A,COUNTA(生物种群!$A:$A)),),))</f>
        <v/>
      </c>
      <c r="J293" s="55" t="str">
        <f>IF(H293="","",INDEX(生物种群!$I$3:INDEX(生物种群!$I:$I,COUNTA(生物种群!$I:$I)),MATCH($H293,生物种群!$A$3:INDEX(生物种群!$A:$A,COUNTA(生物种群!$A:$A)),),))</f>
        <v/>
      </c>
      <c r="K293" s="55" t="str">
        <f>IF(H293="","",INDEX(生物种群!$E$3:INDEX(生物种群!$E:$E,COUNTA(生物种群!$E:$E)),MATCH($H293,生物种群!$A$3:INDEX(生物种群!$A:$A,COUNTA(生物种群!$A:$A)),),))</f>
        <v/>
      </c>
      <c r="L293" s="46" t="str">
        <f t="shared" si="18"/>
        <v/>
      </c>
      <c r="M293" s="47" t="str">
        <f>IF(L293="","",ROUND((L293)/VLOOKUP($F293,IF({1,0},站位样品信息!$A$3:INDEX(站位样品信息!$A:$A,COUNTA(站位样品信息!$A:$A)+1),站位样品信息!$H$3:INDEX(站位样品信息!$H:$H,COUNTA(站位样品信息!$H:$H)+1)),2,0),2))</f>
        <v/>
      </c>
      <c r="O293" s="49"/>
      <c r="P293" s="53" t="str">
        <f t="shared" si="16"/>
        <v/>
      </c>
      <c r="Q293" s="53" t="str">
        <f t="shared" si="17"/>
        <v/>
      </c>
    </row>
    <row r="294" spans="1:17" ht="19.5" customHeight="1">
      <c r="A294" s="38"/>
      <c r="B294" s="38"/>
      <c r="C294" s="38"/>
      <c r="D294" s="37"/>
      <c r="E294" s="37"/>
      <c r="F294" s="37"/>
      <c r="G294" s="37" t="str">
        <f>IF(F294="","",INDEX(站位样品信息!$B$3:INDEX(站位样品信息!$B:$B,COUNTA(站位样品信息!$B:$B)+1),MATCH($F294,站位样品信息!$A$3:INDEX(站位样品信息!$A:$A,COUNTA(站位样品信息!$A:$A)+1),),))</f>
        <v/>
      </c>
      <c r="H294" s="55" t="str">
        <f>IF(OR(A294&lt;&gt;"",B294&lt;&gt;"",C294&lt;&gt;""),IF($C294&lt;&gt;0,INDEX(生物种群!$A$3:INDEX(生物种群!$A:$A,COUNTA(生物种群!$A:$A)),MATCH($C294,生物种群!$F$3:INDEX(生物种群!$F:$F,COUNTA(生物种群!$F:$F)),),),IF($A294&lt;&gt;0,INDEX(生物种群!$A$3:INDEX(生物种群!$A:$A,COUNTA(生物种群!$A:$A)),MATCH($A294,生物种群!$C$3:INDEX(生物种群!$C:$C,COUNTA(生物种群!$C:$C)),),),INDEX(生物种群!$A$3:INDEX(生物种群!$A:$A,COUNTA(生物种群!$A:$A)),MATCH($B294,生物种群!$D$3:INDEX(生物种群!$D:$D,COUNTA(生物种群!$D:$D)),),))),"")</f>
        <v/>
      </c>
      <c r="I294" s="56" t="str">
        <f>IF(H294="","",INDEX(生物种群!$B$3:INDEX(生物种群!$B:$B,COUNTA(生物种群!$B:$B)),MATCH($H294,生物种群!$A$3:INDEX(生物种群!$A:$A,COUNTA(生物种群!$A:$A)),),))</f>
        <v/>
      </c>
      <c r="J294" s="55" t="str">
        <f>IF(H294="","",INDEX(生物种群!$I$3:INDEX(生物种群!$I:$I,COUNTA(生物种群!$I:$I)),MATCH($H294,生物种群!$A$3:INDEX(生物种群!$A:$A,COUNTA(生物种群!$A:$A)),),))</f>
        <v/>
      </c>
      <c r="K294" s="55" t="str">
        <f>IF(H294="","",INDEX(生物种群!$E$3:INDEX(生物种群!$E:$E,COUNTA(生物种群!$E:$E)),MATCH($H294,生物种群!$A$3:INDEX(生物种群!$A:$A,COUNTA(生物种群!$A:$A)),),))</f>
        <v/>
      </c>
      <c r="L294" s="46" t="str">
        <f t="shared" si="18"/>
        <v/>
      </c>
      <c r="M294" s="47" t="str">
        <f>IF(L294="","",ROUND((L294)/VLOOKUP($F294,IF({1,0},站位样品信息!$A$3:INDEX(站位样品信息!$A:$A,COUNTA(站位样品信息!$A:$A)+1),站位样品信息!$H$3:INDEX(站位样品信息!$H:$H,COUNTA(站位样品信息!$H:$H)+1)),2,0),2))</f>
        <v/>
      </c>
      <c r="O294" s="49"/>
      <c r="P294" s="53" t="str">
        <f t="shared" si="16"/>
        <v/>
      </c>
      <c r="Q294" s="53" t="str">
        <f t="shared" si="17"/>
        <v/>
      </c>
    </row>
    <row r="295" spans="1:17" ht="19.5" customHeight="1">
      <c r="A295" s="38"/>
      <c r="B295" s="38"/>
      <c r="C295" s="38"/>
      <c r="D295" s="37"/>
      <c r="E295" s="37"/>
      <c r="F295" s="37"/>
      <c r="G295" s="37" t="str">
        <f>IF(F295="","",INDEX(站位样品信息!$B$3:INDEX(站位样品信息!$B:$B,COUNTA(站位样品信息!$B:$B)+1),MATCH($F295,站位样品信息!$A$3:INDEX(站位样品信息!$A:$A,COUNTA(站位样品信息!$A:$A)+1),),))</f>
        <v/>
      </c>
      <c r="H295" s="55" t="str">
        <f>IF(OR(A295&lt;&gt;"",B295&lt;&gt;"",C295&lt;&gt;""),IF($C295&lt;&gt;0,INDEX(生物种群!$A$3:INDEX(生物种群!$A:$A,COUNTA(生物种群!$A:$A)),MATCH($C295,生物种群!$F$3:INDEX(生物种群!$F:$F,COUNTA(生物种群!$F:$F)),),),IF($A295&lt;&gt;0,INDEX(生物种群!$A$3:INDEX(生物种群!$A:$A,COUNTA(生物种群!$A:$A)),MATCH($A295,生物种群!$C$3:INDEX(生物种群!$C:$C,COUNTA(生物种群!$C:$C)),),),INDEX(生物种群!$A$3:INDEX(生物种群!$A:$A,COUNTA(生物种群!$A:$A)),MATCH($B295,生物种群!$D$3:INDEX(生物种群!$D:$D,COUNTA(生物种群!$D:$D)),),))),"")</f>
        <v/>
      </c>
      <c r="I295" s="56" t="str">
        <f>IF(H295="","",INDEX(生物种群!$B$3:INDEX(生物种群!$B:$B,COUNTA(生物种群!$B:$B)),MATCH($H295,生物种群!$A$3:INDEX(生物种群!$A:$A,COUNTA(生物种群!$A:$A)),),))</f>
        <v/>
      </c>
      <c r="J295" s="55" t="str">
        <f>IF(H295="","",INDEX(生物种群!$I$3:INDEX(生物种群!$I:$I,COUNTA(生物种群!$I:$I)),MATCH($H295,生物种群!$A$3:INDEX(生物种群!$A:$A,COUNTA(生物种群!$A:$A)),),))</f>
        <v/>
      </c>
      <c r="K295" s="55" t="str">
        <f>IF(H295="","",INDEX(生物种群!$E$3:INDEX(生物种群!$E:$E,COUNTA(生物种群!$E:$E)),MATCH($H295,生物种群!$A$3:INDEX(生物种群!$A:$A,COUNTA(生物种群!$A:$A)),),))</f>
        <v/>
      </c>
      <c r="L295" s="46" t="str">
        <f t="shared" si="18"/>
        <v/>
      </c>
      <c r="M295" s="47" t="str">
        <f>IF(L295="","",ROUND((L295)/VLOOKUP($F295,IF({1,0},站位样品信息!$A$3:INDEX(站位样品信息!$A:$A,COUNTA(站位样品信息!$A:$A)+1),站位样品信息!$H$3:INDEX(站位样品信息!$H:$H,COUNTA(站位样品信息!$H:$H)+1)),2,0),2))</f>
        <v/>
      </c>
      <c r="O295" s="49"/>
      <c r="P295" s="53" t="str">
        <f t="shared" si="16"/>
        <v/>
      </c>
      <c r="Q295" s="53" t="str">
        <f t="shared" si="17"/>
        <v/>
      </c>
    </row>
    <row r="296" spans="1:17" ht="19.5" customHeight="1">
      <c r="A296" s="38"/>
      <c r="B296" s="38"/>
      <c r="C296" s="38"/>
      <c r="D296" s="37"/>
      <c r="E296" s="37"/>
      <c r="F296" s="37"/>
      <c r="G296" s="37" t="str">
        <f>IF(F296="","",INDEX(站位样品信息!$B$3:INDEX(站位样品信息!$B:$B,COUNTA(站位样品信息!$B:$B)+1),MATCH($F296,站位样品信息!$A$3:INDEX(站位样品信息!$A:$A,COUNTA(站位样品信息!$A:$A)+1),),))</f>
        <v/>
      </c>
      <c r="H296" s="55" t="str">
        <f>IF(OR(A296&lt;&gt;"",B296&lt;&gt;"",C296&lt;&gt;""),IF($C296&lt;&gt;0,INDEX(生物种群!$A$3:INDEX(生物种群!$A:$A,COUNTA(生物种群!$A:$A)),MATCH($C296,生物种群!$F$3:INDEX(生物种群!$F:$F,COUNTA(生物种群!$F:$F)),),),IF($A296&lt;&gt;0,INDEX(生物种群!$A$3:INDEX(生物种群!$A:$A,COUNTA(生物种群!$A:$A)),MATCH($A296,生物种群!$C$3:INDEX(生物种群!$C:$C,COUNTA(生物种群!$C:$C)),),),INDEX(生物种群!$A$3:INDEX(生物种群!$A:$A,COUNTA(生物种群!$A:$A)),MATCH($B296,生物种群!$D$3:INDEX(生物种群!$D:$D,COUNTA(生物种群!$D:$D)),),))),"")</f>
        <v/>
      </c>
      <c r="I296" s="56" t="str">
        <f>IF(H296="","",INDEX(生物种群!$B$3:INDEX(生物种群!$B:$B,COUNTA(生物种群!$B:$B)),MATCH($H296,生物种群!$A$3:INDEX(生物种群!$A:$A,COUNTA(生物种群!$A:$A)),),))</f>
        <v/>
      </c>
      <c r="J296" s="55" t="str">
        <f>IF(H296="","",INDEX(生物种群!$I$3:INDEX(生物种群!$I:$I,COUNTA(生物种群!$I:$I)),MATCH($H296,生物种群!$A$3:INDEX(生物种群!$A:$A,COUNTA(生物种群!$A:$A)),),))</f>
        <v/>
      </c>
      <c r="K296" s="55" t="str">
        <f>IF(H296="","",INDEX(生物种群!$E$3:INDEX(生物种群!$E:$E,COUNTA(生物种群!$E:$E)),MATCH($H296,生物种群!$A$3:INDEX(生物种群!$A:$A,COUNTA(生物种群!$A:$A)),),))</f>
        <v/>
      </c>
      <c r="L296" s="46" t="str">
        <f t="shared" si="18"/>
        <v/>
      </c>
      <c r="M296" s="47" t="str">
        <f>IF(L296="","",ROUND((L296)/VLOOKUP($F296,IF({1,0},站位样品信息!$A$3:INDEX(站位样品信息!$A:$A,COUNTA(站位样品信息!$A:$A)+1),站位样品信息!$H$3:INDEX(站位样品信息!$H:$H,COUNTA(站位样品信息!$H:$H)+1)),2,0),2))</f>
        <v/>
      </c>
      <c r="O296" s="49"/>
      <c r="P296" s="53" t="str">
        <f t="shared" si="16"/>
        <v/>
      </c>
      <c r="Q296" s="53" t="str">
        <f t="shared" si="17"/>
        <v/>
      </c>
    </row>
    <row r="297" spans="1:17" ht="19.5" customHeight="1">
      <c r="A297" s="38"/>
      <c r="B297" s="38"/>
      <c r="C297" s="38"/>
      <c r="D297" s="37"/>
      <c r="E297" s="37"/>
      <c r="F297" s="37"/>
      <c r="G297" s="37" t="str">
        <f>IF(F297="","",INDEX(站位样品信息!$B$3:INDEX(站位样品信息!$B:$B,COUNTA(站位样品信息!$B:$B)+1),MATCH($F297,站位样品信息!$A$3:INDEX(站位样品信息!$A:$A,COUNTA(站位样品信息!$A:$A)+1),),))</f>
        <v/>
      </c>
      <c r="H297" s="55" t="str">
        <f>IF(OR(A297&lt;&gt;"",B297&lt;&gt;"",C297&lt;&gt;""),IF($C297&lt;&gt;0,INDEX(生物种群!$A$3:INDEX(生物种群!$A:$A,COUNTA(生物种群!$A:$A)),MATCH($C297,生物种群!$F$3:INDEX(生物种群!$F:$F,COUNTA(生物种群!$F:$F)),),),IF($A297&lt;&gt;0,INDEX(生物种群!$A$3:INDEX(生物种群!$A:$A,COUNTA(生物种群!$A:$A)),MATCH($A297,生物种群!$C$3:INDEX(生物种群!$C:$C,COUNTA(生物种群!$C:$C)),),),INDEX(生物种群!$A$3:INDEX(生物种群!$A:$A,COUNTA(生物种群!$A:$A)),MATCH($B297,生物种群!$D$3:INDEX(生物种群!$D:$D,COUNTA(生物种群!$D:$D)),),))),"")</f>
        <v/>
      </c>
      <c r="I297" s="56" t="str">
        <f>IF(H297="","",INDEX(生物种群!$B$3:INDEX(生物种群!$B:$B,COUNTA(生物种群!$B:$B)),MATCH($H297,生物种群!$A$3:INDEX(生物种群!$A:$A,COUNTA(生物种群!$A:$A)),),))</f>
        <v/>
      </c>
      <c r="J297" s="55" t="str">
        <f>IF(H297="","",INDEX(生物种群!$I$3:INDEX(生物种群!$I:$I,COUNTA(生物种群!$I:$I)),MATCH($H297,生物种群!$A$3:INDEX(生物种群!$A:$A,COUNTA(生物种群!$A:$A)),),))</f>
        <v/>
      </c>
      <c r="K297" s="55" t="str">
        <f>IF(H297="","",INDEX(生物种群!$E$3:INDEX(生物种群!$E:$E,COUNTA(生物种群!$E:$E)),MATCH($H297,生物种群!$A$3:INDEX(生物种群!$A:$A,COUNTA(生物种群!$A:$A)),),))</f>
        <v/>
      </c>
      <c r="L297" s="46" t="str">
        <f t="shared" si="18"/>
        <v/>
      </c>
      <c r="M297" s="47" t="str">
        <f>IF(L297="","",ROUND((L297)/VLOOKUP($F297,IF({1,0},站位样品信息!$A$3:INDEX(站位样品信息!$A:$A,COUNTA(站位样品信息!$A:$A)+1),站位样品信息!$H$3:INDEX(站位样品信息!$H:$H,COUNTA(站位样品信息!$H:$H)+1)),2,0),2))</f>
        <v/>
      </c>
      <c r="O297" s="49"/>
      <c r="P297" s="53" t="str">
        <f t="shared" si="16"/>
        <v/>
      </c>
      <c r="Q297" s="53" t="str">
        <f t="shared" si="17"/>
        <v/>
      </c>
    </row>
    <row r="298" spans="1:17" ht="19.5" customHeight="1">
      <c r="A298" s="38"/>
      <c r="B298" s="38"/>
      <c r="C298" s="38"/>
      <c r="D298" s="37"/>
      <c r="E298" s="37"/>
      <c r="F298" s="37"/>
      <c r="G298" s="37" t="str">
        <f>IF(F298="","",INDEX(站位样品信息!$B$3:INDEX(站位样品信息!$B:$B,COUNTA(站位样品信息!$B:$B)+1),MATCH($F298,站位样品信息!$A$3:INDEX(站位样品信息!$A:$A,COUNTA(站位样品信息!$A:$A)+1),),))</f>
        <v/>
      </c>
      <c r="H298" s="55" t="str">
        <f>IF(OR(A298&lt;&gt;"",B298&lt;&gt;"",C298&lt;&gt;""),IF($C298&lt;&gt;0,INDEX(生物种群!$A$3:INDEX(生物种群!$A:$A,COUNTA(生物种群!$A:$A)),MATCH($C298,生物种群!$F$3:INDEX(生物种群!$F:$F,COUNTA(生物种群!$F:$F)),),),IF($A298&lt;&gt;0,INDEX(生物种群!$A$3:INDEX(生物种群!$A:$A,COUNTA(生物种群!$A:$A)),MATCH($A298,生物种群!$C$3:INDEX(生物种群!$C:$C,COUNTA(生物种群!$C:$C)),),),INDEX(生物种群!$A$3:INDEX(生物种群!$A:$A,COUNTA(生物种群!$A:$A)),MATCH($B298,生物种群!$D$3:INDEX(生物种群!$D:$D,COUNTA(生物种群!$D:$D)),),))),"")</f>
        <v/>
      </c>
      <c r="I298" s="56" t="str">
        <f>IF(H298="","",INDEX(生物种群!$B$3:INDEX(生物种群!$B:$B,COUNTA(生物种群!$B:$B)),MATCH($H298,生物种群!$A$3:INDEX(生物种群!$A:$A,COUNTA(生物种群!$A:$A)),),))</f>
        <v/>
      </c>
      <c r="J298" s="55" t="str">
        <f>IF(H298="","",INDEX(生物种群!$I$3:INDEX(生物种群!$I:$I,COUNTA(生物种群!$I:$I)),MATCH($H298,生物种群!$A$3:INDEX(生物种群!$A:$A,COUNTA(生物种群!$A:$A)),),))</f>
        <v/>
      </c>
      <c r="K298" s="55" t="str">
        <f>IF(H298="","",INDEX(生物种群!$E$3:INDEX(生物种群!$E:$E,COUNTA(生物种群!$E:$E)),MATCH($H298,生物种群!$A$3:INDEX(生物种群!$A:$A,COUNTA(生物种群!$A:$A)),),))</f>
        <v/>
      </c>
      <c r="L298" s="46" t="str">
        <f t="shared" si="18"/>
        <v/>
      </c>
      <c r="M298" s="47" t="str">
        <f>IF(L298="","",ROUND((L298)/VLOOKUP($F298,IF({1,0},站位样品信息!$A$3:INDEX(站位样品信息!$A:$A,COUNTA(站位样品信息!$A:$A)+1),站位样品信息!$H$3:INDEX(站位样品信息!$H:$H,COUNTA(站位样品信息!$H:$H)+1)),2,0),2))</f>
        <v/>
      </c>
      <c r="O298" s="49"/>
      <c r="P298" s="53" t="str">
        <f t="shared" si="16"/>
        <v/>
      </c>
      <c r="Q298" s="53" t="str">
        <f t="shared" si="17"/>
        <v/>
      </c>
    </row>
    <row r="299" spans="1:17" ht="19.5" customHeight="1">
      <c r="A299" s="38"/>
      <c r="B299" s="38"/>
      <c r="C299" s="38"/>
      <c r="D299" s="37"/>
      <c r="E299" s="37"/>
      <c r="F299" s="37"/>
      <c r="G299" s="37" t="str">
        <f>IF(F299="","",INDEX(站位样品信息!$B$3:INDEX(站位样品信息!$B:$B,COUNTA(站位样品信息!$B:$B)+1),MATCH($F299,站位样品信息!$A$3:INDEX(站位样品信息!$A:$A,COUNTA(站位样品信息!$A:$A)+1),),))</f>
        <v/>
      </c>
      <c r="H299" s="55" t="str">
        <f>IF(OR(A299&lt;&gt;"",B299&lt;&gt;"",C299&lt;&gt;""),IF($C299&lt;&gt;0,INDEX(生物种群!$A$3:INDEX(生物种群!$A:$A,COUNTA(生物种群!$A:$A)),MATCH($C299,生物种群!$F$3:INDEX(生物种群!$F:$F,COUNTA(生物种群!$F:$F)),),),IF($A299&lt;&gt;0,INDEX(生物种群!$A$3:INDEX(生物种群!$A:$A,COUNTA(生物种群!$A:$A)),MATCH($A299,生物种群!$C$3:INDEX(生物种群!$C:$C,COUNTA(生物种群!$C:$C)),),),INDEX(生物种群!$A$3:INDEX(生物种群!$A:$A,COUNTA(生物种群!$A:$A)),MATCH($B299,生物种群!$D$3:INDEX(生物种群!$D:$D,COUNTA(生物种群!$D:$D)),),))),"")</f>
        <v/>
      </c>
      <c r="I299" s="56" t="str">
        <f>IF(H299="","",INDEX(生物种群!$B$3:INDEX(生物种群!$B:$B,COUNTA(生物种群!$B:$B)),MATCH($H299,生物种群!$A$3:INDEX(生物种群!$A:$A,COUNTA(生物种群!$A:$A)),),))</f>
        <v/>
      </c>
      <c r="J299" s="55" t="str">
        <f>IF(H299="","",INDEX(生物种群!$I$3:INDEX(生物种群!$I:$I,COUNTA(生物种群!$I:$I)),MATCH($H299,生物种群!$A$3:INDEX(生物种群!$A:$A,COUNTA(生物种群!$A:$A)),),))</f>
        <v/>
      </c>
      <c r="K299" s="55" t="str">
        <f>IF(H299="","",INDEX(生物种群!$E$3:INDEX(生物种群!$E:$E,COUNTA(生物种群!$E:$E)),MATCH($H299,生物种群!$A$3:INDEX(生物种群!$A:$A,COUNTA(生物种群!$A:$A)),),))</f>
        <v/>
      </c>
      <c r="L299" s="46" t="str">
        <f t="shared" si="18"/>
        <v/>
      </c>
      <c r="M299" s="47" t="str">
        <f>IF(L299="","",ROUND((L299)/VLOOKUP($F299,IF({1,0},站位样品信息!$A$3:INDEX(站位样品信息!$A:$A,COUNTA(站位样品信息!$A:$A)+1),站位样品信息!$H$3:INDEX(站位样品信息!$H:$H,COUNTA(站位样品信息!$H:$H)+1)),2,0),2))</f>
        <v/>
      </c>
      <c r="O299" s="49"/>
      <c r="P299" s="53" t="str">
        <f t="shared" si="16"/>
        <v/>
      </c>
      <c r="Q299" s="53" t="str">
        <f t="shared" si="17"/>
        <v/>
      </c>
    </row>
    <row r="300" spans="1:17" ht="19.5" customHeight="1">
      <c r="A300" s="38"/>
      <c r="B300" s="38"/>
      <c r="C300" s="38"/>
      <c r="D300" s="37"/>
      <c r="E300" s="37"/>
      <c r="F300" s="37"/>
      <c r="G300" s="37" t="str">
        <f>IF(F300="","",INDEX(站位样品信息!$B$3:INDEX(站位样品信息!$B:$B,COUNTA(站位样品信息!$B:$B)+1),MATCH($F300,站位样品信息!$A$3:INDEX(站位样品信息!$A:$A,COUNTA(站位样品信息!$A:$A)+1),),))</f>
        <v/>
      </c>
      <c r="H300" s="55" t="str">
        <f>IF(OR(A300&lt;&gt;"",B300&lt;&gt;"",C300&lt;&gt;""),IF($C300&lt;&gt;0,INDEX(生物种群!$A$3:INDEX(生物种群!$A:$A,COUNTA(生物种群!$A:$A)),MATCH($C300,生物种群!$F$3:INDEX(生物种群!$F:$F,COUNTA(生物种群!$F:$F)),),),IF($A300&lt;&gt;0,INDEX(生物种群!$A$3:INDEX(生物种群!$A:$A,COUNTA(生物种群!$A:$A)),MATCH($A300,生物种群!$C$3:INDEX(生物种群!$C:$C,COUNTA(生物种群!$C:$C)),),),INDEX(生物种群!$A$3:INDEX(生物种群!$A:$A,COUNTA(生物种群!$A:$A)),MATCH($B300,生物种群!$D$3:INDEX(生物种群!$D:$D,COUNTA(生物种群!$D:$D)),),))),"")</f>
        <v/>
      </c>
      <c r="I300" s="56" t="str">
        <f>IF(H300="","",INDEX(生物种群!$B$3:INDEX(生物种群!$B:$B,COUNTA(生物种群!$B:$B)),MATCH($H300,生物种群!$A$3:INDEX(生物种群!$A:$A,COUNTA(生物种群!$A:$A)),),))</f>
        <v/>
      </c>
      <c r="J300" s="55" t="str">
        <f>IF(H300="","",INDEX(生物种群!$I$3:INDEX(生物种群!$I:$I,COUNTA(生物种群!$I:$I)),MATCH($H300,生物种群!$A$3:INDEX(生物种群!$A:$A,COUNTA(生物种群!$A:$A)),),))</f>
        <v/>
      </c>
      <c r="K300" s="55" t="str">
        <f>IF(H300="","",INDEX(生物种群!$E$3:INDEX(生物种群!$E:$E,COUNTA(生物种群!$E:$E)),MATCH($H300,生物种群!$A$3:INDEX(生物种群!$A:$A,COUNTA(生物种群!$A:$A)),),))</f>
        <v/>
      </c>
      <c r="L300" s="46" t="str">
        <f t="shared" si="18"/>
        <v/>
      </c>
      <c r="M300" s="47" t="str">
        <f>IF(L300="","",ROUND((L300)/VLOOKUP($F300,IF({1,0},站位样品信息!$A$3:INDEX(站位样品信息!$A:$A,COUNTA(站位样品信息!$A:$A)+1),站位样品信息!$H$3:INDEX(站位样品信息!$H:$H,COUNTA(站位样品信息!$H:$H)+1)),2,0),2))</f>
        <v/>
      </c>
      <c r="O300" s="49"/>
      <c r="P300" s="53" t="str">
        <f t="shared" si="16"/>
        <v/>
      </c>
      <c r="Q300" s="53" t="str">
        <f t="shared" si="17"/>
        <v/>
      </c>
    </row>
    <row r="301" spans="1:17" ht="19.5" customHeight="1">
      <c r="A301" s="38"/>
      <c r="B301" s="38"/>
      <c r="C301" s="38"/>
      <c r="D301" s="37"/>
      <c r="E301" s="37"/>
      <c r="F301" s="37"/>
      <c r="G301" s="37" t="str">
        <f>IF(F301="","",INDEX(站位样品信息!$B$3:INDEX(站位样品信息!$B:$B,COUNTA(站位样品信息!$B:$B)+1),MATCH($F301,站位样品信息!$A$3:INDEX(站位样品信息!$A:$A,COUNTA(站位样品信息!$A:$A)+1),),))</f>
        <v/>
      </c>
      <c r="H301" s="55" t="str">
        <f>IF(OR(A301&lt;&gt;"",B301&lt;&gt;"",C301&lt;&gt;""),IF($C301&lt;&gt;0,INDEX(生物种群!$A$3:INDEX(生物种群!$A:$A,COUNTA(生物种群!$A:$A)),MATCH($C301,生物种群!$F$3:INDEX(生物种群!$F:$F,COUNTA(生物种群!$F:$F)),),),IF($A301&lt;&gt;0,INDEX(生物种群!$A$3:INDEX(生物种群!$A:$A,COUNTA(生物种群!$A:$A)),MATCH($A301,生物种群!$C$3:INDEX(生物种群!$C:$C,COUNTA(生物种群!$C:$C)),),),INDEX(生物种群!$A$3:INDEX(生物种群!$A:$A,COUNTA(生物种群!$A:$A)),MATCH($B301,生物种群!$D$3:INDEX(生物种群!$D:$D,COUNTA(生物种群!$D:$D)),),))),"")</f>
        <v/>
      </c>
      <c r="I301" s="56" t="str">
        <f>IF(H301="","",INDEX(生物种群!$B$3:INDEX(生物种群!$B:$B,COUNTA(生物种群!$B:$B)),MATCH($H301,生物种群!$A$3:INDEX(生物种群!$A:$A,COUNTA(生物种群!$A:$A)),),))</f>
        <v/>
      </c>
      <c r="J301" s="55" t="str">
        <f>IF(H301="","",INDEX(生物种群!$I$3:INDEX(生物种群!$I:$I,COUNTA(生物种群!$I:$I)),MATCH($H301,生物种群!$A$3:INDEX(生物种群!$A:$A,COUNTA(生物种群!$A:$A)),),))</f>
        <v/>
      </c>
      <c r="K301" s="55" t="str">
        <f>IF(H301="","",INDEX(生物种群!$E$3:INDEX(生物种群!$E:$E,COUNTA(生物种群!$E:$E)),MATCH($H301,生物种群!$A$3:INDEX(生物种群!$A:$A,COUNTA(生物种群!$A:$A)),),))</f>
        <v/>
      </c>
      <c r="L301" s="46" t="str">
        <f t="shared" si="18"/>
        <v/>
      </c>
      <c r="M301" s="47" t="str">
        <f>IF(L301="","",ROUND((L301)/VLOOKUP($F301,IF({1,0},站位样品信息!$A$3:INDEX(站位样品信息!$A:$A,COUNTA(站位样品信息!$A:$A)+1),站位样品信息!$H$3:INDEX(站位样品信息!$H:$H,COUNTA(站位样品信息!$H:$H)+1)),2,0),2))</f>
        <v/>
      </c>
      <c r="O301" s="49"/>
      <c r="P301" s="53" t="str">
        <f t="shared" si="16"/>
        <v/>
      </c>
      <c r="Q301" s="53" t="str">
        <f t="shared" si="17"/>
        <v/>
      </c>
    </row>
    <row r="302" spans="1:17" ht="19.5" customHeight="1">
      <c r="A302" s="38"/>
      <c r="B302" s="38"/>
      <c r="C302" s="38"/>
      <c r="D302" s="37"/>
      <c r="E302" s="37"/>
      <c r="F302" s="37"/>
      <c r="G302" s="37" t="str">
        <f>IF(F302="","",INDEX(站位样品信息!$B$3:INDEX(站位样品信息!$B:$B,COUNTA(站位样品信息!$B:$B)+1),MATCH($F302,站位样品信息!$A$3:INDEX(站位样品信息!$A:$A,COUNTA(站位样品信息!$A:$A)+1),),))</f>
        <v/>
      </c>
      <c r="H302" s="55" t="str">
        <f>IF(OR(A302&lt;&gt;"",B302&lt;&gt;"",C302&lt;&gt;""),IF($C302&lt;&gt;0,INDEX(生物种群!$A$3:INDEX(生物种群!$A:$A,COUNTA(生物种群!$A:$A)),MATCH($C302,生物种群!$F$3:INDEX(生物种群!$F:$F,COUNTA(生物种群!$F:$F)),),),IF($A302&lt;&gt;0,INDEX(生物种群!$A$3:INDEX(生物种群!$A:$A,COUNTA(生物种群!$A:$A)),MATCH($A302,生物种群!$C$3:INDEX(生物种群!$C:$C,COUNTA(生物种群!$C:$C)),),),INDEX(生物种群!$A$3:INDEX(生物种群!$A:$A,COUNTA(生物种群!$A:$A)),MATCH($B302,生物种群!$D$3:INDEX(生物种群!$D:$D,COUNTA(生物种群!$D:$D)),),))),"")</f>
        <v/>
      </c>
      <c r="I302" s="56" t="str">
        <f>IF(H302="","",INDEX(生物种群!$B$3:INDEX(生物种群!$B:$B,COUNTA(生物种群!$B:$B)),MATCH($H302,生物种群!$A$3:INDEX(生物种群!$A:$A,COUNTA(生物种群!$A:$A)),),))</f>
        <v/>
      </c>
      <c r="J302" s="55" t="str">
        <f>IF(H302="","",INDEX(生物种群!$I$3:INDEX(生物种群!$I:$I,COUNTA(生物种群!$I:$I)),MATCH($H302,生物种群!$A$3:INDEX(生物种群!$A:$A,COUNTA(生物种群!$A:$A)),),))</f>
        <v/>
      </c>
      <c r="K302" s="55" t="str">
        <f>IF(H302="","",INDEX(生物种群!$E$3:INDEX(生物种群!$E:$E,COUNTA(生物种群!$E:$E)),MATCH($H302,生物种群!$A$3:INDEX(生物种群!$A:$A,COUNTA(生物种群!$A:$A)),),))</f>
        <v/>
      </c>
      <c r="L302" s="46" t="str">
        <f t="shared" si="18"/>
        <v/>
      </c>
      <c r="M302" s="47" t="str">
        <f>IF(L302="","",ROUND((L302)/VLOOKUP($F302,IF({1,0},站位样品信息!$A$3:INDEX(站位样品信息!$A:$A,COUNTA(站位样品信息!$A:$A)+1),站位样品信息!$H$3:INDEX(站位样品信息!$H:$H,COUNTA(站位样品信息!$H:$H)+1)),2,0),2))</f>
        <v/>
      </c>
      <c r="O302" s="49"/>
      <c r="P302" s="53" t="str">
        <f t="shared" si="16"/>
        <v/>
      </c>
      <c r="Q302" s="53" t="str">
        <f t="shared" si="17"/>
        <v/>
      </c>
    </row>
    <row r="303" spans="1:17" ht="19.5" customHeight="1">
      <c r="A303" s="38"/>
      <c r="B303" s="38"/>
      <c r="C303" s="38"/>
      <c r="D303" s="37"/>
      <c r="E303" s="37"/>
      <c r="F303" s="37"/>
      <c r="G303" s="37" t="str">
        <f>IF(F303="","",INDEX(站位样品信息!$B$3:INDEX(站位样品信息!$B:$B,COUNTA(站位样品信息!$B:$B)+1),MATCH($F303,站位样品信息!$A$3:INDEX(站位样品信息!$A:$A,COUNTA(站位样品信息!$A:$A)+1),),))</f>
        <v/>
      </c>
      <c r="H303" s="55" t="str">
        <f>IF(OR(A303&lt;&gt;"",B303&lt;&gt;"",C303&lt;&gt;""),IF($C303&lt;&gt;0,INDEX(生物种群!$A$3:INDEX(生物种群!$A:$A,COUNTA(生物种群!$A:$A)),MATCH($C303,生物种群!$F$3:INDEX(生物种群!$F:$F,COUNTA(生物种群!$F:$F)),),),IF($A303&lt;&gt;0,INDEX(生物种群!$A$3:INDEX(生物种群!$A:$A,COUNTA(生物种群!$A:$A)),MATCH($A303,生物种群!$C$3:INDEX(生物种群!$C:$C,COUNTA(生物种群!$C:$C)),),),INDEX(生物种群!$A$3:INDEX(生物种群!$A:$A,COUNTA(生物种群!$A:$A)),MATCH($B303,生物种群!$D$3:INDEX(生物种群!$D:$D,COUNTA(生物种群!$D:$D)),),))),"")</f>
        <v/>
      </c>
      <c r="I303" s="56" t="str">
        <f>IF(H303="","",INDEX(生物种群!$B$3:INDEX(生物种群!$B:$B,COUNTA(生物种群!$B:$B)),MATCH($H303,生物种群!$A$3:INDEX(生物种群!$A:$A,COUNTA(生物种群!$A:$A)),),))</f>
        <v/>
      </c>
      <c r="J303" s="55" t="str">
        <f>IF(H303="","",INDEX(生物种群!$I$3:INDEX(生物种群!$I:$I,COUNTA(生物种群!$I:$I)),MATCH($H303,生物种群!$A$3:INDEX(生物种群!$A:$A,COUNTA(生物种群!$A:$A)),),))</f>
        <v/>
      </c>
      <c r="K303" s="55" t="str">
        <f>IF(H303="","",INDEX(生物种群!$E$3:INDEX(生物种群!$E:$E,COUNTA(生物种群!$E:$E)),MATCH($H303,生物种群!$A$3:INDEX(生物种群!$A:$A,COUNTA(生物种群!$A:$A)),),))</f>
        <v/>
      </c>
      <c r="L303" s="46" t="str">
        <f t="shared" si="18"/>
        <v/>
      </c>
      <c r="M303" s="47" t="str">
        <f>IF(L303="","",ROUND((L303)/VLOOKUP($F303,IF({1,0},站位样品信息!$A$3:INDEX(站位样品信息!$A:$A,COUNTA(站位样品信息!$A:$A)+1),站位样品信息!$H$3:INDEX(站位样品信息!$H:$H,COUNTA(站位样品信息!$H:$H)+1)),2,0),2))</f>
        <v/>
      </c>
      <c r="O303" s="49"/>
      <c r="P303" s="53" t="str">
        <f t="shared" si="16"/>
        <v/>
      </c>
      <c r="Q303" s="53" t="str">
        <f t="shared" si="17"/>
        <v/>
      </c>
    </row>
    <row r="304" spans="1:17" ht="19.5" customHeight="1">
      <c r="A304" s="38"/>
      <c r="B304" s="38"/>
      <c r="C304" s="38"/>
      <c r="D304" s="37"/>
      <c r="E304" s="37"/>
      <c r="F304" s="37"/>
      <c r="G304" s="37" t="str">
        <f>IF(F304="","",INDEX(站位样品信息!$B$3:INDEX(站位样品信息!$B:$B,COUNTA(站位样品信息!$B:$B)+1),MATCH($F304,站位样品信息!$A$3:INDEX(站位样品信息!$A:$A,COUNTA(站位样品信息!$A:$A)+1),),))</f>
        <v/>
      </c>
      <c r="H304" s="55" t="str">
        <f>IF(OR(A304&lt;&gt;"",B304&lt;&gt;"",C304&lt;&gt;""),IF($C304&lt;&gt;0,INDEX(生物种群!$A$3:INDEX(生物种群!$A:$A,COUNTA(生物种群!$A:$A)),MATCH($C304,生物种群!$F$3:INDEX(生物种群!$F:$F,COUNTA(生物种群!$F:$F)),),),IF($A304&lt;&gt;0,INDEX(生物种群!$A$3:INDEX(生物种群!$A:$A,COUNTA(生物种群!$A:$A)),MATCH($A304,生物种群!$C$3:INDEX(生物种群!$C:$C,COUNTA(生物种群!$C:$C)),),),INDEX(生物种群!$A$3:INDEX(生物种群!$A:$A,COUNTA(生物种群!$A:$A)),MATCH($B304,生物种群!$D$3:INDEX(生物种群!$D:$D,COUNTA(生物种群!$D:$D)),),))),"")</f>
        <v/>
      </c>
      <c r="I304" s="56" t="str">
        <f>IF(H304="","",INDEX(生物种群!$B$3:INDEX(生物种群!$B:$B,COUNTA(生物种群!$B:$B)),MATCH($H304,生物种群!$A$3:INDEX(生物种群!$A:$A,COUNTA(生物种群!$A:$A)),),))</f>
        <v/>
      </c>
      <c r="J304" s="55" t="str">
        <f>IF(H304="","",INDEX(生物种群!$I$3:INDEX(生物种群!$I:$I,COUNTA(生物种群!$I:$I)),MATCH($H304,生物种群!$A$3:INDEX(生物种群!$A:$A,COUNTA(生物种群!$A:$A)),),))</f>
        <v/>
      </c>
      <c r="K304" s="55" t="str">
        <f>IF(H304="","",INDEX(生物种群!$E$3:INDEX(生物种群!$E:$E,COUNTA(生物种群!$E:$E)),MATCH($H304,生物种群!$A$3:INDEX(生物种群!$A:$A,COUNTA(生物种群!$A:$A)),),))</f>
        <v/>
      </c>
      <c r="L304" s="46" t="str">
        <f t="shared" si="18"/>
        <v/>
      </c>
      <c r="M304" s="47" t="str">
        <f>IF(L304="","",ROUND((L304)/VLOOKUP($F304,IF({1,0},站位样品信息!$A$3:INDEX(站位样品信息!$A:$A,COUNTA(站位样品信息!$A:$A)+1),站位样品信息!$H$3:INDEX(站位样品信息!$H:$H,COUNTA(站位样品信息!$H:$H)+1)),2,0),2))</f>
        <v/>
      </c>
      <c r="O304" s="49"/>
      <c r="P304" s="53" t="str">
        <f t="shared" si="16"/>
        <v/>
      </c>
      <c r="Q304" s="53" t="str">
        <f t="shared" si="17"/>
        <v/>
      </c>
    </row>
    <row r="305" spans="1:17" ht="19.5" customHeight="1">
      <c r="A305" s="38"/>
      <c r="B305" s="38"/>
      <c r="C305" s="38"/>
      <c r="D305" s="37"/>
      <c r="E305" s="37"/>
      <c r="F305" s="37"/>
      <c r="G305" s="37" t="str">
        <f>IF(F305="","",INDEX(站位样品信息!$B$3:INDEX(站位样品信息!$B:$B,COUNTA(站位样品信息!$B:$B)+1),MATCH($F305,站位样品信息!$A$3:INDEX(站位样品信息!$A:$A,COUNTA(站位样品信息!$A:$A)+1),),))</f>
        <v/>
      </c>
      <c r="H305" s="55" t="str">
        <f>IF(OR(A305&lt;&gt;"",B305&lt;&gt;"",C305&lt;&gt;""),IF($C305&lt;&gt;0,INDEX(生物种群!$A$3:INDEX(生物种群!$A:$A,COUNTA(生物种群!$A:$A)),MATCH($C305,生物种群!$F$3:INDEX(生物种群!$F:$F,COUNTA(生物种群!$F:$F)),),),IF($A305&lt;&gt;0,INDEX(生物种群!$A$3:INDEX(生物种群!$A:$A,COUNTA(生物种群!$A:$A)),MATCH($A305,生物种群!$C$3:INDEX(生物种群!$C:$C,COUNTA(生物种群!$C:$C)),),),INDEX(生物种群!$A$3:INDEX(生物种群!$A:$A,COUNTA(生物种群!$A:$A)),MATCH($B305,生物种群!$D$3:INDEX(生物种群!$D:$D,COUNTA(生物种群!$D:$D)),),))),"")</f>
        <v/>
      </c>
      <c r="I305" s="56" t="str">
        <f>IF(H305="","",INDEX(生物种群!$B$3:INDEX(生物种群!$B:$B,COUNTA(生物种群!$B:$B)),MATCH($H305,生物种群!$A$3:INDEX(生物种群!$A:$A,COUNTA(生物种群!$A:$A)),),))</f>
        <v/>
      </c>
      <c r="J305" s="55" t="str">
        <f>IF(H305="","",INDEX(生物种群!$I$3:INDEX(生物种群!$I:$I,COUNTA(生物种群!$I:$I)),MATCH($H305,生物种群!$A$3:INDEX(生物种群!$A:$A,COUNTA(生物种群!$A:$A)),),))</f>
        <v/>
      </c>
      <c r="K305" s="55" t="str">
        <f>IF(H305="","",INDEX(生物种群!$E$3:INDEX(生物种群!$E:$E,COUNTA(生物种群!$E:$E)),MATCH($H305,生物种群!$A$3:INDEX(生物种群!$A:$A,COUNTA(生物种群!$A:$A)),),))</f>
        <v/>
      </c>
      <c r="L305" s="46" t="str">
        <f t="shared" si="18"/>
        <v/>
      </c>
      <c r="M305" s="47" t="str">
        <f>IF(L305="","",ROUND((L305)/VLOOKUP($F305,IF({1,0},站位样品信息!$A$3:INDEX(站位样品信息!$A:$A,COUNTA(站位样品信息!$A:$A)+1),站位样品信息!$H$3:INDEX(站位样品信息!$H:$H,COUNTA(站位样品信息!$H:$H)+1)),2,0),2))</f>
        <v/>
      </c>
      <c r="O305" s="49"/>
      <c r="P305" s="53" t="str">
        <f t="shared" si="16"/>
        <v/>
      </c>
      <c r="Q305" s="53" t="str">
        <f t="shared" si="17"/>
        <v/>
      </c>
    </row>
    <row r="306" spans="1:17" ht="19.5" customHeight="1">
      <c r="A306" s="38"/>
      <c r="B306" s="38"/>
      <c r="C306" s="38"/>
      <c r="D306" s="37"/>
      <c r="E306" s="37"/>
      <c r="F306" s="37"/>
      <c r="G306" s="37" t="str">
        <f>IF(F306="","",INDEX(站位样品信息!$B$3:INDEX(站位样品信息!$B:$B,COUNTA(站位样品信息!$B:$B)+1),MATCH($F306,站位样品信息!$A$3:INDEX(站位样品信息!$A:$A,COUNTA(站位样品信息!$A:$A)+1),),))</f>
        <v/>
      </c>
      <c r="H306" s="55" t="str">
        <f>IF(OR(A306&lt;&gt;"",B306&lt;&gt;"",C306&lt;&gt;""),IF($C306&lt;&gt;0,INDEX(生物种群!$A$3:INDEX(生物种群!$A:$A,COUNTA(生物种群!$A:$A)),MATCH($C306,生物种群!$F$3:INDEX(生物种群!$F:$F,COUNTA(生物种群!$F:$F)),),),IF($A306&lt;&gt;0,INDEX(生物种群!$A$3:INDEX(生物种群!$A:$A,COUNTA(生物种群!$A:$A)),MATCH($A306,生物种群!$C$3:INDEX(生物种群!$C:$C,COUNTA(生物种群!$C:$C)),),),INDEX(生物种群!$A$3:INDEX(生物种群!$A:$A,COUNTA(生物种群!$A:$A)),MATCH($B306,生物种群!$D$3:INDEX(生物种群!$D:$D,COUNTA(生物种群!$D:$D)),),))),"")</f>
        <v/>
      </c>
      <c r="I306" s="56" t="str">
        <f>IF(H306="","",INDEX(生物种群!$B$3:INDEX(生物种群!$B:$B,COUNTA(生物种群!$B:$B)),MATCH($H306,生物种群!$A$3:INDEX(生物种群!$A:$A,COUNTA(生物种群!$A:$A)),),))</f>
        <v/>
      </c>
      <c r="J306" s="55" t="str">
        <f>IF(H306="","",INDEX(生物种群!$I$3:INDEX(生物种群!$I:$I,COUNTA(生物种群!$I:$I)),MATCH($H306,生物种群!$A$3:INDEX(生物种群!$A:$A,COUNTA(生物种群!$A:$A)),),))</f>
        <v/>
      </c>
      <c r="K306" s="55" t="str">
        <f>IF(H306="","",INDEX(生物种群!$E$3:INDEX(生物种群!$E:$E,COUNTA(生物种群!$E:$E)),MATCH($H306,生物种群!$A$3:INDEX(生物种群!$A:$A,COUNTA(生物种群!$A:$A)),),))</f>
        <v/>
      </c>
      <c r="L306" s="46" t="str">
        <f t="shared" si="18"/>
        <v/>
      </c>
      <c r="M306" s="47" t="str">
        <f>IF(L306="","",ROUND((L306)/VLOOKUP($F306,IF({1,0},站位样品信息!$A$3:INDEX(站位样品信息!$A:$A,COUNTA(站位样品信息!$A:$A)+1),站位样品信息!$H$3:INDEX(站位样品信息!$H:$H,COUNTA(站位样品信息!$H:$H)+1)),2,0),2))</f>
        <v/>
      </c>
      <c r="O306" s="49"/>
      <c r="P306" s="53" t="str">
        <f t="shared" si="16"/>
        <v/>
      </c>
      <c r="Q306" s="53" t="str">
        <f t="shared" si="17"/>
        <v/>
      </c>
    </row>
    <row r="307" spans="1:17" ht="19.5" customHeight="1">
      <c r="A307" s="38"/>
      <c r="B307" s="38"/>
      <c r="C307" s="38"/>
      <c r="D307" s="37"/>
      <c r="E307" s="37"/>
      <c r="F307" s="37"/>
      <c r="G307" s="37" t="str">
        <f>IF(F307="","",INDEX(站位样品信息!$B$3:INDEX(站位样品信息!$B:$B,COUNTA(站位样品信息!$B:$B)+1),MATCH($F307,站位样品信息!$A$3:INDEX(站位样品信息!$A:$A,COUNTA(站位样品信息!$A:$A)+1),),))</f>
        <v/>
      </c>
      <c r="H307" s="55" t="str">
        <f>IF(OR(A307&lt;&gt;"",B307&lt;&gt;"",C307&lt;&gt;""),IF($C307&lt;&gt;0,INDEX(生物种群!$A$3:INDEX(生物种群!$A:$A,COUNTA(生物种群!$A:$A)),MATCH($C307,生物种群!$F$3:INDEX(生物种群!$F:$F,COUNTA(生物种群!$F:$F)),),),IF($A307&lt;&gt;0,INDEX(生物种群!$A$3:INDEX(生物种群!$A:$A,COUNTA(生物种群!$A:$A)),MATCH($A307,生物种群!$C$3:INDEX(生物种群!$C:$C,COUNTA(生物种群!$C:$C)),),),INDEX(生物种群!$A$3:INDEX(生物种群!$A:$A,COUNTA(生物种群!$A:$A)),MATCH($B307,生物种群!$D$3:INDEX(生物种群!$D:$D,COUNTA(生物种群!$D:$D)),),))),"")</f>
        <v/>
      </c>
      <c r="I307" s="56" t="str">
        <f>IF(H307="","",INDEX(生物种群!$B$3:INDEX(生物种群!$B:$B,COUNTA(生物种群!$B:$B)),MATCH($H307,生物种群!$A$3:INDEX(生物种群!$A:$A,COUNTA(生物种群!$A:$A)),),))</f>
        <v/>
      </c>
      <c r="J307" s="55" t="str">
        <f>IF(H307="","",INDEX(生物种群!$I$3:INDEX(生物种群!$I:$I,COUNTA(生物种群!$I:$I)),MATCH($H307,生物种群!$A$3:INDEX(生物种群!$A:$A,COUNTA(生物种群!$A:$A)),),))</f>
        <v/>
      </c>
      <c r="K307" s="55" t="str">
        <f>IF(H307="","",INDEX(生物种群!$E$3:INDEX(生物种群!$E:$E,COUNTA(生物种群!$E:$E)),MATCH($H307,生物种群!$A$3:INDEX(生物种群!$A:$A,COUNTA(生物种群!$A:$A)),),))</f>
        <v/>
      </c>
      <c r="L307" s="46" t="str">
        <f t="shared" si="18"/>
        <v/>
      </c>
      <c r="M307" s="47" t="str">
        <f>IF(L307="","",ROUND((L307)/VLOOKUP($F307,IF({1,0},站位样品信息!$A$3:INDEX(站位样品信息!$A:$A,COUNTA(站位样品信息!$A:$A)+1),站位样品信息!$H$3:INDEX(站位样品信息!$H:$H,COUNTA(站位样品信息!$H:$H)+1)),2,0),2))</f>
        <v/>
      </c>
      <c r="O307" s="49"/>
      <c r="P307" s="53" t="str">
        <f t="shared" si="16"/>
        <v/>
      </c>
      <c r="Q307" s="53" t="str">
        <f t="shared" si="17"/>
        <v/>
      </c>
    </row>
    <row r="308" spans="1:17" ht="19.5" customHeight="1">
      <c r="A308" s="38"/>
      <c r="B308" s="38"/>
      <c r="C308" s="38"/>
      <c r="D308" s="37"/>
      <c r="E308" s="37"/>
      <c r="F308" s="37"/>
      <c r="G308" s="37" t="str">
        <f>IF(F308="","",INDEX(站位样品信息!$B$3:INDEX(站位样品信息!$B:$B,COUNTA(站位样品信息!$B:$B)+1),MATCH($F308,站位样品信息!$A$3:INDEX(站位样品信息!$A:$A,COUNTA(站位样品信息!$A:$A)+1),),))</f>
        <v/>
      </c>
      <c r="H308" s="55" t="str">
        <f>IF(OR(A308&lt;&gt;"",B308&lt;&gt;"",C308&lt;&gt;""),IF($C308&lt;&gt;0,INDEX(生物种群!$A$3:INDEX(生物种群!$A:$A,COUNTA(生物种群!$A:$A)),MATCH($C308,生物种群!$F$3:INDEX(生物种群!$F:$F,COUNTA(生物种群!$F:$F)),),),IF($A308&lt;&gt;0,INDEX(生物种群!$A$3:INDEX(生物种群!$A:$A,COUNTA(生物种群!$A:$A)),MATCH($A308,生物种群!$C$3:INDEX(生物种群!$C:$C,COUNTA(生物种群!$C:$C)),),),INDEX(生物种群!$A$3:INDEX(生物种群!$A:$A,COUNTA(生物种群!$A:$A)),MATCH($B308,生物种群!$D$3:INDEX(生物种群!$D:$D,COUNTA(生物种群!$D:$D)),),))),"")</f>
        <v/>
      </c>
      <c r="I308" s="56" t="str">
        <f>IF(H308="","",INDEX(生物种群!$B$3:INDEX(生物种群!$B:$B,COUNTA(生物种群!$B:$B)),MATCH($H308,生物种群!$A$3:INDEX(生物种群!$A:$A,COUNTA(生物种群!$A:$A)),),))</f>
        <v/>
      </c>
      <c r="J308" s="55" t="str">
        <f>IF(H308="","",INDEX(生物种群!$I$3:INDEX(生物种群!$I:$I,COUNTA(生物种群!$I:$I)),MATCH($H308,生物种群!$A$3:INDEX(生物种群!$A:$A,COUNTA(生物种群!$A:$A)),),))</f>
        <v/>
      </c>
      <c r="K308" s="55" t="str">
        <f>IF(H308="","",INDEX(生物种群!$E$3:INDEX(生物种群!$E:$E,COUNTA(生物种群!$E:$E)),MATCH($H308,生物种群!$A$3:INDEX(生物种群!$A:$A,COUNTA(生物种群!$A:$A)),),))</f>
        <v/>
      </c>
      <c r="L308" s="46" t="str">
        <f t="shared" si="18"/>
        <v/>
      </c>
      <c r="M308" s="47" t="str">
        <f>IF(L308="","",ROUND((L308)/VLOOKUP($F308,IF({1,0},站位样品信息!$A$3:INDEX(站位样品信息!$A:$A,COUNTA(站位样品信息!$A:$A)+1),站位样品信息!$H$3:INDEX(站位样品信息!$H:$H,COUNTA(站位样品信息!$H:$H)+1)),2,0),2))</f>
        <v/>
      </c>
      <c r="O308" s="49"/>
      <c r="P308" s="53" t="str">
        <f t="shared" si="16"/>
        <v/>
      </c>
      <c r="Q308" s="53" t="str">
        <f t="shared" si="17"/>
        <v/>
      </c>
    </row>
    <row r="309" spans="1:17" ht="19.5" customHeight="1">
      <c r="A309" s="38"/>
      <c r="B309" s="38"/>
      <c r="C309" s="38"/>
      <c r="D309" s="37"/>
      <c r="E309" s="37"/>
      <c r="F309" s="37"/>
      <c r="G309" s="37" t="str">
        <f>IF(F309="","",INDEX(站位样品信息!$B$3:INDEX(站位样品信息!$B:$B,COUNTA(站位样品信息!$B:$B)+1),MATCH($F309,站位样品信息!$A$3:INDEX(站位样品信息!$A:$A,COUNTA(站位样品信息!$A:$A)+1),),))</f>
        <v/>
      </c>
      <c r="H309" s="55" t="str">
        <f>IF(OR(A309&lt;&gt;"",B309&lt;&gt;"",C309&lt;&gt;""),IF($C309&lt;&gt;0,INDEX(生物种群!$A$3:INDEX(生物种群!$A:$A,COUNTA(生物种群!$A:$A)),MATCH($C309,生物种群!$F$3:INDEX(生物种群!$F:$F,COUNTA(生物种群!$F:$F)),),),IF($A309&lt;&gt;0,INDEX(生物种群!$A$3:INDEX(生物种群!$A:$A,COUNTA(生物种群!$A:$A)),MATCH($A309,生物种群!$C$3:INDEX(生物种群!$C:$C,COUNTA(生物种群!$C:$C)),),),INDEX(生物种群!$A$3:INDEX(生物种群!$A:$A,COUNTA(生物种群!$A:$A)),MATCH($B309,生物种群!$D$3:INDEX(生物种群!$D:$D,COUNTA(生物种群!$D:$D)),),))),"")</f>
        <v/>
      </c>
      <c r="I309" s="56" t="str">
        <f>IF(H309="","",INDEX(生物种群!$B$3:INDEX(生物种群!$B:$B,COUNTA(生物种群!$B:$B)),MATCH($H309,生物种群!$A$3:INDEX(生物种群!$A:$A,COUNTA(生物种群!$A:$A)),),))</f>
        <v/>
      </c>
      <c r="J309" s="55" t="str">
        <f>IF(H309="","",INDEX(生物种群!$I$3:INDEX(生物种群!$I:$I,COUNTA(生物种群!$I:$I)),MATCH($H309,生物种群!$A$3:INDEX(生物种群!$A:$A,COUNTA(生物种群!$A:$A)),),))</f>
        <v/>
      </c>
      <c r="K309" s="55" t="str">
        <f>IF(H309="","",INDEX(生物种群!$E$3:INDEX(生物种群!$E:$E,COUNTA(生物种群!$E:$E)),MATCH($H309,生物种群!$A$3:INDEX(生物种群!$A:$A,COUNTA(生物种群!$A:$A)),),))</f>
        <v/>
      </c>
      <c r="L309" s="46" t="str">
        <f t="shared" si="18"/>
        <v/>
      </c>
      <c r="M309" s="47" t="str">
        <f>IF(L309="","",ROUND((L309)/VLOOKUP($F309,IF({1,0},站位样品信息!$A$3:INDEX(站位样品信息!$A:$A,COUNTA(站位样品信息!$A:$A)+1),站位样品信息!$H$3:INDEX(站位样品信息!$H:$H,COUNTA(站位样品信息!$H:$H)+1)),2,0),2))</f>
        <v/>
      </c>
      <c r="O309" s="49"/>
      <c r="P309" s="53" t="str">
        <f t="shared" si="16"/>
        <v/>
      </c>
      <c r="Q309" s="53" t="str">
        <f t="shared" si="17"/>
        <v/>
      </c>
    </row>
    <row r="310" spans="1:17" ht="19.5" customHeight="1">
      <c r="A310" s="38"/>
      <c r="B310" s="38"/>
      <c r="C310" s="38"/>
      <c r="D310" s="37"/>
      <c r="E310" s="37"/>
      <c r="F310" s="37"/>
      <c r="G310" s="37" t="str">
        <f>IF(F310="","",INDEX(站位样品信息!$B$3:INDEX(站位样品信息!$B:$B,COUNTA(站位样品信息!$B:$B)+1),MATCH($F310,站位样品信息!$A$3:INDEX(站位样品信息!$A:$A,COUNTA(站位样品信息!$A:$A)+1),),))</f>
        <v/>
      </c>
      <c r="H310" s="55" t="str">
        <f>IF(OR(A310&lt;&gt;"",B310&lt;&gt;"",C310&lt;&gt;""),IF($C310&lt;&gt;0,INDEX(生物种群!$A$3:INDEX(生物种群!$A:$A,COUNTA(生物种群!$A:$A)),MATCH($C310,生物种群!$F$3:INDEX(生物种群!$F:$F,COUNTA(生物种群!$F:$F)),),),IF($A310&lt;&gt;0,INDEX(生物种群!$A$3:INDEX(生物种群!$A:$A,COUNTA(生物种群!$A:$A)),MATCH($A310,生物种群!$C$3:INDEX(生物种群!$C:$C,COUNTA(生物种群!$C:$C)),),),INDEX(生物种群!$A$3:INDEX(生物种群!$A:$A,COUNTA(生物种群!$A:$A)),MATCH($B310,生物种群!$D$3:INDEX(生物种群!$D:$D,COUNTA(生物种群!$D:$D)),),))),"")</f>
        <v/>
      </c>
      <c r="I310" s="56" t="str">
        <f>IF(H310="","",INDEX(生物种群!$B$3:INDEX(生物种群!$B:$B,COUNTA(生物种群!$B:$B)),MATCH($H310,生物种群!$A$3:INDEX(生物种群!$A:$A,COUNTA(生物种群!$A:$A)),),))</f>
        <v/>
      </c>
      <c r="J310" s="55" t="str">
        <f>IF(H310="","",INDEX(生物种群!$I$3:INDEX(生物种群!$I:$I,COUNTA(生物种群!$I:$I)),MATCH($H310,生物种群!$A$3:INDEX(生物种群!$A:$A,COUNTA(生物种群!$A:$A)),),))</f>
        <v/>
      </c>
      <c r="K310" s="55" t="str">
        <f>IF(H310="","",INDEX(生物种群!$E$3:INDEX(生物种群!$E:$E,COUNTA(生物种群!$E:$E)),MATCH($H310,生物种群!$A$3:INDEX(生物种群!$A:$A,COUNTA(生物种群!$A:$A)),),))</f>
        <v/>
      </c>
      <c r="L310" s="46" t="str">
        <f t="shared" si="18"/>
        <v/>
      </c>
      <c r="M310" s="47" t="str">
        <f>IF(L310="","",ROUND((L310)/VLOOKUP($F310,IF({1,0},站位样品信息!$A$3:INDEX(站位样品信息!$A:$A,COUNTA(站位样品信息!$A:$A)+1),站位样品信息!$H$3:INDEX(站位样品信息!$H:$H,COUNTA(站位样品信息!$H:$H)+1)),2,0),2))</f>
        <v/>
      </c>
      <c r="O310" s="49"/>
      <c r="P310" s="53" t="str">
        <f t="shared" si="16"/>
        <v/>
      </c>
      <c r="Q310" s="53" t="str">
        <f t="shared" si="17"/>
        <v/>
      </c>
    </row>
    <row r="311" spans="1:17" ht="19.5" customHeight="1">
      <c r="A311" s="38"/>
      <c r="B311" s="38"/>
      <c r="C311" s="38"/>
      <c r="D311" s="37"/>
      <c r="E311" s="37"/>
      <c r="F311" s="37"/>
      <c r="G311" s="37" t="str">
        <f>IF(F311="","",INDEX(站位样品信息!$B$3:INDEX(站位样品信息!$B:$B,COUNTA(站位样品信息!$B:$B)+1),MATCH($F311,站位样品信息!$A$3:INDEX(站位样品信息!$A:$A,COUNTA(站位样品信息!$A:$A)+1),),))</f>
        <v/>
      </c>
      <c r="H311" s="55" t="str">
        <f>IF(OR(A311&lt;&gt;"",B311&lt;&gt;"",C311&lt;&gt;""),IF($C311&lt;&gt;0,INDEX(生物种群!$A$3:INDEX(生物种群!$A:$A,COUNTA(生物种群!$A:$A)),MATCH($C311,生物种群!$F$3:INDEX(生物种群!$F:$F,COUNTA(生物种群!$F:$F)),),),IF($A311&lt;&gt;0,INDEX(生物种群!$A$3:INDEX(生物种群!$A:$A,COUNTA(生物种群!$A:$A)),MATCH($A311,生物种群!$C$3:INDEX(生物种群!$C:$C,COUNTA(生物种群!$C:$C)),),),INDEX(生物种群!$A$3:INDEX(生物种群!$A:$A,COUNTA(生物种群!$A:$A)),MATCH($B311,生物种群!$D$3:INDEX(生物种群!$D:$D,COUNTA(生物种群!$D:$D)),),))),"")</f>
        <v/>
      </c>
      <c r="I311" s="56" t="str">
        <f>IF(H311="","",INDEX(生物种群!$B$3:INDEX(生物种群!$B:$B,COUNTA(生物种群!$B:$B)),MATCH($H311,生物种群!$A$3:INDEX(生物种群!$A:$A,COUNTA(生物种群!$A:$A)),),))</f>
        <v/>
      </c>
      <c r="J311" s="55" t="str">
        <f>IF(H311="","",INDEX(生物种群!$I$3:INDEX(生物种群!$I:$I,COUNTA(生物种群!$I:$I)),MATCH($H311,生物种群!$A$3:INDEX(生物种群!$A:$A,COUNTA(生物种群!$A:$A)),),))</f>
        <v/>
      </c>
      <c r="K311" s="55" t="str">
        <f>IF(H311="","",INDEX(生物种群!$E$3:INDEX(生物种群!$E:$E,COUNTA(生物种群!$E:$E)),MATCH($H311,生物种群!$A$3:INDEX(生物种群!$A:$A,COUNTA(生物种群!$A:$A)),),))</f>
        <v/>
      </c>
      <c r="L311" s="46" t="str">
        <f t="shared" si="18"/>
        <v/>
      </c>
      <c r="M311" s="47" t="str">
        <f>IF(L311="","",ROUND((L311)/VLOOKUP($F311,IF({1,0},站位样品信息!$A$3:INDEX(站位样品信息!$A:$A,COUNTA(站位样品信息!$A:$A)+1),站位样品信息!$H$3:INDEX(站位样品信息!$H:$H,COUNTA(站位样品信息!$H:$H)+1)),2,0),2))</f>
        <v/>
      </c>
      <c r="O311" s="49"/>
      <c r="P311" s="53" t="str">
        <f t="shared" si="16"/>
        <v/>
      </c>
      <c r="Q311" s="53" t="str">
        <f t="shared" si="17"/>
        <v/>
      </c>
    </row>
    <row r="312" spans="1:17" ht="19.5" customHeight="1">
      <c r="A312" s="38"/>
      <c r="B312" s="38"/>
      <c r="C312" s="38"/>
      <c r="D312" s="37"/>
      <c r="E312" s="37"/>
      <c r="F312" s="37"/>
      <c r="G312" s="37" t="str">
        <f>IF(F312="","",INDEX(站位样品信息!$B$3:INDEX(站位样品信息!$B:$B,COUNTA(站位样品信息!$B:$B)+1),MATCH($F312,站位样品信息!$A$3:INDEX(站位样品信息!$A:$A,COUNTA(站位样品信息!$A:$A)+1),),))</f>
        <v/>
      </c>
      <c r="H312" s="55" t="str">
        <f>IF(OR(A312&lt;&gt;"",B312&lt;&gt;"",C312&lt;&gt;""),IF($C312&lt;&gt;0,INDEX(生物种群!$A$3:INDEX(生物种群!$A:$A,COUNTA(生物种群!$A:$A)),MATCH($C312,生物种群!$F$3:INDEX(生物种群!$F:$F,COUNTA(生物种群!$F:$F)),),),IF($A312&lt;&gt;0,INDEX(生物种群!$A$3:INDEX(生物种群!$A:$A,COUNTA(生物种群!$A:$A)),MATCH($A312,生物种群!$C$3:INDEX(生物种群!$C:$C,COUNTA(生物种群!$C:$C)),),),INDEX(生物种群!$A$3:INDEX(生物种群!$A:$A,COUNTA(生物种群!$A:$A)),MATCH($B312,生物种群!$D$3:INDEX(生物种群!$D:$D,COUNTA(生物种群!$D:$D)),),))),"")</f>
        <v/>
      </c>
      <c r="I312" s="56" t="str">
        <f>IF(H312="","",INDEX(生物种群!$B$3:INDEX(生物种群!$B:$B,COUNTA(生物种群!$B:$B)),MATCH($H312,生物种群!$A$3:INDEX(生物种群!$A:$A,COUNTA(生物种群!$A:$A)),),))</f>
        <v/>
      </c>
      <c r="J312" s="55" t="str">
        <f>IF(H312="","",INDEX(生物种群!$I$3:INDEX(生物种群!$I:$I,COUNTA(生物种群!$I:$I)),MATCH($H312,生物种群!$A$3:INDEX(生物种群!$A:$A,COUNTA(生物种群!$A:$A)),),))</f>
        <v/>
      </c>
      <c r="K312" s="55" t="str">
        <f>IF(H312="","",INDEX(生物种群!$E$3:INDEX(生物种群!$E:$E,COUNTA(生物种群!$E:$E)),MATCH($H312,生物种群!$A$3:INDEX(生物种群!$A:$A,COUNTA(生物种群!$A:$A)),),))</f>
        <v/>
      </c>
      <c r="L312" s="46" t="str">
        <f t="shared" si="18"/>
        <v/>
      </c>
      <c r="M312" s="47" t="str">
        <f>IF(L312="","",ROUND((L312)/VLOOKUP($F312,IF({1,0},站位样品信息!$A$3:INDEX(站位样品信息!$A:$A,COUNTA(站位样品信息!$A:$A)+1),站位样品信息!$H$3:INDEX(站位样品信息!$H:$H,COUNTA(站位样品信息!$H:$H)+1)),2,0),2))</f>
        <v/>
      </c>
      <c r="O312" s="49"/>
      <c r="P312" s="53" t="str">
        <f t="shared" si="16"/>
        <v/>
      </c>
      <c r="Q312" s="53" t="str">
        <f t="shared" si="17"/>
        <v/>
      </c>
    </row>
    <row r="313" spans="1:17" ht="19.5" customHeight="1">
      <c r="A313" s="38"/>
      <c r="B313" s="38"/>
      <c r="C313" s="38"/>
      <c r="D313" s="37"/>
      <c r="E313" s="37"/>
      <c r="F313" s="37"/>
      <c r="G313" s="37" t="str">
        <f>IF(F313="","",INDEX(站位样品信息!$B$3:INDEX(站位样品信息!$B:$B,COUNTA(站位样品信息!$B:$B)+1),MATCH($F313,站位样品信息!$A$3:INDEX(站位样品信息!$A:$A,COUNTA(站位样品信息!$A:$A)+1),),))</f>
        <v/>
      </c>
      <c r="H313" s="55" t="str">
        <f>IF(OR(A313&lt;&gt;"",B313&lt;&gt;"",C313&lt;&gt;""),IF($C313&lt;&gt;0,INDEX(生物种群!$A$3:INDEX(生物种群!$A:$A,COUNTA(生物种群!$A:$A)),MATCH($C313,生物种群!$F$3:INDEX(生物种群!$F:$F,COUNTA(生物种群!$F:$F)),),),IF($A313&lt;&gt;0,INDEX(生物种群!$A$3:INDEX(生物种群!$A:$A,COUNTA(生物种群!$A:$A)),MATCH($A313,生物种群!$C$3:INDEX(生物种群!$C:$C,COUNTA(生物种群!$C:$C)),),),INDEX(生物种群!$A$3:INDEX(生物种群!$A:$A,COUNTA(生物种群!$A:$A)),MATCH($B313,生物种群!$D$3:INDEX(生物种群!$D:$D,COUNTA(生物种群!$D:$D)),),))),"")</f>
        <v/>
      </c>
      <c r="I313" s="56" t="str">
        <f>IF(H313="","",INDEX(生物种群!$B$3:INDEX(生物种群!$B:$B,COUNTA(生物种群!$B:$B)),MATCH($H313,生物种群!$A$3:INDEX(生物种群!$A:$A,COUNTA(生物种群!$A:$A)),),))</f>
        <v/>
      </c>
      <c r="J313" s="55" t="str">
        <f>IF(H313="","",INDEX(生物种群!$I$3:INDEX(生物种群!$I:$I,COUNTA(生物种群!$I:$I)),MATCH($H313,生物种群!$A$3:INDEX(生物种群!$A:$A,COUNTA(生物种群!$A:$A)),),))</f>
        <v/>
      </c>
      <c r="K313" s="55" t="str">
        <f>IF(H313="","",INDEX(生物种群!$E$3:INDEX(生物种群!$E:$E,COUNTA(生物种群!$E:$E)),MATCH($H313,生物种群!$A$3:INDEX(生物种群!$A:$A,COUNTA(生物种群!$A:$A)),),))</f>
        <v/>
      </c>
      <c r="L313" s="46" t="str">
        <f t="shared" si="18"/>
        <v/>
      </c>
      <c r="M313" s="47" t="str">
        <f>IF(L313="","",ROUND((L313)/VLOOKUP($F313,IF({1,0},站位样品信息!$A$3:INDEX(站位样品信息!$A:$A,COUNTA(站位样品信息!$A:$A)+1),站位样品信息!$H$3:INDEX(站位样品信息!$H:$H,COUNTA(站位样品信息!$H:$H)+1)),2,0),2))</f>
        <v/>
      </c>
      <c r="O313" s="49"/>
      <c r="P313" s="53" t="str">
        <f t="shared" si="16"/>
        <v/>
      </c>
      <c r="Q313" s="53" t="str">
        <f t="shared" si="17"/>
        <v/>
      </c>
    </row>
    <row r="314" spans="1:17" ht="19.5" customHeight="1">
      <c r="A314" s="38"/>
      <c r="B314" s="38"/>
      <c r="C314" s="38"/>
      <c r="D314" s="37"/>
      <c r="E314" s="37"/>
      <c r="F314" s="37"/>
      <c r="G314" s="37" t="str">
        <f>IF(F314="","",INDEX(站位样品信息!$B$3:INDEX(站位样品信息!$B:$B,COUNTA(站位样品信息!$B:$B)+1),MATCH($F314,站位样品信息!$A$3:INDEX(站位样品信息!$A:$A,COUNTA(站位样品信息!$A:$A)+1),),))</f>
        <v/>
      </c>
      <c r="H314" s="55" t="str">
        <f>IF(OR(A314&lt;&gt;"",B314&lt;&gt;"",C314&lt;&gt;""),IF($C314&lt;&gt;0,INDEX(生物种群!$A$3:INDEX(生物种群!$A:$A,COUNTA(生物种群!$A:$A)),MATCH($C314,生物种群!$F$3:INDEX(生物种群!$F:$F,COUNTA(生物种群!$F:$F)),),),IF($A314&lt;&gt;0,INDEX(生物种群!$A$3:INDEX(生物种群!$A:$A,COUNTA(生物种群!$A:$A)),MATCH($A314,生物种群!$C$3:INDEX(生物种群!$C:$C,COUNTA(生物种群!$C:$C)),),),INDEX(生物种群!$A$3:INDEX(生物种群!$A:$A,COUNTA(生物种群!$A:$A)),MATCH($B314,生物种群!$D$3:INDEX(生物种群!$D:$D,COUNTA(生物种群!$D:$D)),),))),"")</f>
        <v/>
      </c>
      <c r="I314" s="56" t="str">
        <f>IF(H314="","",INDEX(生物种群!$B$3:INDEX(生物种群!$B:$B,COUNTA(生物种群!$B:$B)),MATCH($H314,生物种群!$A$3:INDEX(生物种群!$A:$A,COUNTA(生物种群!$A:$A)),),))</f>
        <v/>
      </c>
      <c r="J314" s="55" t="str">
        <f>IF(H314="","",INDEX(生物种群!$I$3:INDEX(生物种群!$I:$I,COUNTA(生物种群!$I:$I)),MATCH($H314,生物种群!$A$3:INDEX(生物种群!$A:$A,COUNTA(生物种群!$A:$A)),),))</f>
        <v/>
      </c>
      <c r="K314" s="55" t="str">
        <f>IF(H314="","",INDEX(生物种群!$E$3:INDEX(生物种群!$E:$E,COUNTA(生物种群!$E:$E)),MATCH($H314,生物种群!$A$3:INDEX(生物种群!$A:$A,COUNTA(生物种群!$A:$A)),),))</f>
        <v/>
      </c>
      <c r="L314" s="46" t="str">
        <f t="shared" si="18"/>
        <v/>
      </c>
      <c r="M314" s="47" t="str">
        <f>IF(L314="","",ROUND((L314)/VLOOKUP($F314,IF({1,0},站位样品信息!$A$3:INDEX(站位样品信息!$A:$A,COUNTA(站位样品信息!$A:$A)+1),站位样品信息!$H$3:INDEX(站位样品信息!$H:$H,COUNTA(站位样品信息!$H:$H)+1)),2,0),2))</f>
        <v/>
      </c>
      <c r="O314" s="49"/>
      <c r="P314" s="53" t="str">
        <f t="shared" si="16"/>
        <v/>
      </c>
      <c r="Q314" s="53" t="str">
        <f t="shared" si="17"/>
        <v/>
      </c>
    </row>
    <row r="315" spans="1:17" ht="19.5" customHeight="1">
      <c r="A315" s="38"/>
      <c r="B315" s="38"/>
      <c r="C315" s="38"/>
      <c r="D315" s="37"/>
      <c r="E315" s="37"/>
      <c r="F315" s="37"/>
      <c r="G315" s="37" t="str">
        <f>IF(F315="","",INDEX(站位样品信息!$B$3:INDEX(站位样品信息!$B:$B,COUNTA(站位样品信息!$B:$B)+1),MATCH($F315,站位样品信息!$A$3:INDEX(站位样品信息!$A:$A,COUNTA(站位样品信息!$A:$A)+1),),))</f>
        <v/>
      </c>
      <c r="H315" s="55" t="str">
        <f>IF(OR(A315&lt;&gt;"",B315&lt;&gt;"",C315&lt;&gt;""),IF($C315&lt;&gt;0,INDEX(生物种群!$A$3:INDEX(生物种群!$A:$A,COUNTA(生物种群!$A:$A)),MATCH($C315,生物种群!$F$3:INDEX(生物种群!$F:$F,COUNTA(生物种群!$F:$F)),),),IF($A315&lt;&gt;0,INDEX(生物种群!$A$3:INDEX(生物种群!$A:$A,COUNTA(生物种群!$A:$A)),MATCH($A315,生物种群!$C$3:INDEX(生物种群!$C:$C,COUNTA(生物种群!$C:$C)),),),INDEX(生物种群!$A$3:INDEX(生物种群!$A:$A,COUNTA(生物种群!$A:$A)),MATCH($B315,生物种群!$D$3:INDEX(生物种群!$D:$D,COUNTA(生物种群!$D:$D)),),))),"")</f>
        <v/>
      </c>
      <c r="I315" s="56" t="str">
        <f>IF(H315="","",INDEX(生物种群!$B$3:INDEX(生物种群!$B:$B,COUNTA(生物种群!$B:$B)),MATCH($H315,生物种群!$A$3:INDEX(生物种群!$A:$A,COUNTA(生物种群!$A:$A)),),))</f>
        <v/>
      </c>
      <c r="J315" s="55" t="str">
        <f>IF(H315="","",INDEX(生物种群!$I$3:INDEX(生物种群!$I:$I,COUNTA(生物种群!$I:$I)),MATCH($H315,生物种群!$A$3:INDEX(生物种群!$A:$A,COUNTA(生物种群!$A:$A)),),))</f>
        <v/>
      </c>
      <c r="K315" s="55" t="str">
        <f>IF(H315="","",INDEX(生物种群!$E$3:INDEX(生物种群!$E:$E,COUNTA(生物种群!$E:$E)),MATCH($H315,生物种群!$A$3:INDEX(生物种群!$A:$A,COUNTA(生物种群!$A:$A)),),))</f>
        <v/>
      </c>
      <c r="L315" s="46" t="str">
        <f t="shared" si="18"/>
        <v/>
      </c>
      <c r="M315" s="47" t="str">
        <f>IF(L315="","",ROUND((L315)/VLOOKUP($F315,IF({1,0},站位样品信息!$A$3:INDEX(站位样品信息!$A:$A,COUNTA(站位样品信息!$A:$A)+1),站位样品信息!$H$3:INDEX(站位样品信息!$H:$H,COUNTA(站位样品信息!$H:$H)+1)),2,0),2))</f>
        <v/>
      </c>
      <c r="O315" s="49"/>
      <c r="P315" s="53" t="str">
        <f t="shared" si="16"/>
        <v/>
      </c>
      <c r="Q315" s="53" t="str">
        <f t="shared" si="17"/>
        <v/>
      </c>
    </row>
    <row r="316" spans="1:17" ht="19.5" customHeight="1">
      <c r="A316" s="38"/>
      <c r="B316" s="38"/>
      <c r="C316" s="38"/>
      <c r="D316" s="37"/>
      <c r="E316" s="37"/>
      <c r="F316" s="37"/>
      <c r="G316" s="37" t="str">
        <f>IF(F316="","",INDEX(站位样品信息!$B$3:INDEX(站位样品信息!$B:$B,COUNTA(站位样品信息!$B:$B)+1),MATCH($F316,站位样品信息!$A$3:INDEX(站位样品信息!$A:$A,COUNTA(站位样品信息!$A:$A)+1),),))</f>
        <v/>
      </c>
      <c r="H316" s="55" t="str">
        <f>IF(OR(A316&lt;&gt;"",B316&lt;&gt;"",C316&lt;&gt;""),IF($C316&lt;&gt;0,INDEX(生物种群!$A$3:INDEX(生物种群!$A:$A,COUNTA(生物种群!$A:$A)),MATCH($C316,生物种群!$F$3:INDEX(生物种群!$F:$F,COUNTA(生物种群!$F:$F)),),),IF($A316&lt;&gt;0,INDEX(生物种群!$A$3:INDEX(生物种群!$A:$A,COUNTA(生物种群!$A:$A)),MATCH($A316,生物种群!$C$3:INDEX(生物种群!$C:$C,COUNTA(生物种群!$C:$C)),),),INDEX(生物种群!$A$3:INDEX(生物种群!$A:$A,COUNTA(生物种群!$A:$A)),MATCH($B316,生物种群!$D$3:INDEX(生物种群!$D:$D,COUNTA(生物种群!$D:$D)),),))),"")</f>
        <v/>
      </c>
      <c r="I316" s="56" t="str">
        <f>IF(H316="","",INDEX(生物种群!$B$3:INDEX(生物种群!$B:$B,COUNTA(生物种群!$B:$B)),MATCH($H316,生物种群!$A$3:INDEX(生物种群!$A:$A,COUNTA(生物种群!$A:$A)),),))</f>
        <v/>
      </c>
      <c r="J316" s="55" t="str">
        <f>IF(H316="","",INDEX(生物种群!$I$3:INDEX(生物种群!$I:$I,COUNTA(生物种群!$I:$I)),MATCH($H316,生物种群!$A$3:INDEX(生物种群!$A:$A,COUNTA(生物种群!$A:$A)),),))</f>
        <v/>
      </c>
      <c r="K316" s="55" t="str">
        <f>IF(H316="","",INDEX(生物种群!$E$3:INDEX(生物种群!$E:$E,COUNTA(生物种群!$E:$E)),MATCH($H316,生物种群!$A$3:INDEX(生物种群!$A:$A,COUNTA(生物种群!$A:$A)),),))</f>
        <v/>
      </c>
      <c r="L316" s="46" t="str">
        <f t="shared" si="18"/>
        <v/>
      </c>
      <c r="M316" s="47" t="str">
        <f>IF(L316="","",ROUND((L316)/VLOOKUP($F316,IF({1,0},站位样品信息!$A$3:INDEX(站位样品信息!$A:$A,COUNTA(站位样品信息!$A:$A)+1),站位样品信息!$H$3:INDEX(站位样品信息!$H:$H,COUNTA(站位样品信息!$H:$H)+1)),2,0),2))</f>
        <v/>
      </c>
      <c r="O316" s="49"/>
      <c r="P316" s="53" t="str">
        <f t="shared" si="16"/>
        <v/>
      </c>
      <c r="Q316" s="53" t="str">
        <f t="shared" si="17"/>
        <v/>
      </c>
    </row>
    <row r="317" spans="1:17" ht="19.5" customHeight="1">
      <c r="A317" s="38"/>
      <c r="B317" s="38"/>
      <c r="C317" s="38"/>
      <c r="D317" s="37"/>
      <c r="E317" s="37"/>
      <c r="F317" s="37"/>
      <c r="G317" s="37" t="str">
        <f>IF(F317="","",INDEX(站位样品信息!$B$3:INDEX(站位样品信息!$B:$B,COUNTA(站位样品信息!$B:$B)+1),MATCH($F317,站位样品信息!$A$3:INDEX(站位样品信息!$A:$A,COUNTA(站位样品信息!$A:$A)+1),),))</f>
        <v/>
      </c>
      <c r="H317" s="55" t="str">
        <f>IF(OR(A317&lt;&gt;"",B317&lt;&gt;"",C317&lt;&gt;""),IF($C317&lt;&gt;0,INDEX(生物种群!$A$3:INDEX(生物种群!$A:$A,COUNTA(生物种群!$A:$A)),MATCH($C317,生物种群!$F$3:INDEX(生物种群!$F:$F,COUNTA(生物种群!$F:$F)),),),IF($A317&lt;&gt;0,INDEX(生物种群!$A$3:INDEX(生物种群!$A:$A,COUNTA(生物种群!$A:$A)),MATCH($A317,生物种群!$C$3:INDEX(生物种群!$C:$C,COUNTA(生物种群!$C:$C)),),),INDEX(生物种群!$A$3:INDEX(生物种群!$A:$A,COUNTA(生物种群!$A:$A)),MATCH($B317,生物种群!$D$3:INDEX(生物种群!$D:$D,COUNTA(生物种群!$D:$D)),),))),"")</f>
        <v/>
      </c>
      <c r="I317" s="56" t="str">
        <f>IF(H317="","",INDEX(生物种群!$B$3:INDEX(生物种群!$B:$B,COUNTA(生物种群!$B:$B)),MATCH($H317,生物种群!$A$3:INDEX(生物种群!$A:$A,COUNTA(生物种群!$A:$A)),),))</f>
        <v/>
      </c>
      <c r="J317" s="55" t="str">
        <f>IF(H317="","",INDEX(生物种群!$I$3:INDEX(生物种群!$I:$I,COUNTA(生物种群!$I:$I)),MATCH($H317,生物种群!$A$3:INDEX(生物种群!$A:$A,COUNTA(生物种群!$A:$A)),),))</f>
        <v/>
      </c>
      <c r="K317" s="55" t="str">
        <f>IF(H317="","",INDEX(生物种群!$E$3:INDEX(生物种群!$E:$E,COUNTA(生物种群!$E:$E)),MATCH($H317,生物种群!$A$3:INDEX(生物种群!$A:$A,COUNTA(生物种群!$A:$A)),),))</f>
        <v/>
      </c>
      <c r="L317" s="46" t="str">
        <f t="shared" si="18"/>
        <v/>
      </c>
      <c r="M317" s="47" t="str">
        <f>IF(L317="","",ROUND((L317)/VLOOKUP($F317,IF({1,0},站位样品信息!$A$3:INDEX(站位样品信息!$A:$A,COUNTA(站位样品信息!$A:$A)+1),站位样品信息!$H$3:INDEX(站位样品信息!$H:$H,COUNTA(站位样品信息!$H:$H)+1)),2,0),2))</f>
        <v/>
      </c>
      <c r="O317" s="49"/>
      <c r="P317" s="53" t="str">
        <f t="shared" si="16"/>
        <v/>
      </c>
      <c r="Q317" s="53" t="str">
        <f t="shared" si="17"/>
        <v/>
      </c>
    </row>
    <row r="318" spans="1:17" ht="19.5" customHeight="1">
      <c r="A318" s="38"/>
      <c r="B318" s="38"/>
      <c r="C318" s="38"/>
      <c r="D318" s="37"/>
      <c r="E318" s="37"/>
      <c r="F318" s="37"/>
      <c r="G318" s="37" t="str">
        <f>IF(F318="","",INDEX(站位样品信息!$B$3:INDEX(站位样品信息!$B:$B,COUNTA(站位样品信息!$B:$B)+1),MATCH($F318,站位样品信息!$A$3:INDEX(站位样品信息!$A:$A,COUNTA(站位样品信息!$A:$A)+1),),))</f>
        <v/>
      </c>
      <c r="H318" s="55" t="str">
        <f>IF(OR(A318&lt;&gt;"",B318&lt;&gt;"",C318&lt;&gt;""),IF($C318&lt;&gt;0,INDEX(生物种群!$A$3:INDEX(生物种群!$A:$A,COUNTA(生物种群!$A:$A)),MATCH($C318,生物种群!$F$3:INDEX(生物种群!$F:$F,COUNTA(生物种群!$F:$F)),),),IF($A318&lt;&gt;0,INDEX(生物种群!$A$3:INDEX(生物种群!$A:$A,COUNTA(生物种群!$A:$A)),MATCH($A318,生物种群!$C$3:INDEX(生物种群!$C:$C,COUNTA(生物种群!$C:$C)),),),INDEX(生物种群!$A$3:INDEX(生物种群!$A:$A,COUNTA(生物种群!$A:$A)),MATCH($B318,生物种群!$D$3:INDEX(生物种群!$D:$D,COUNTA(生物种群!$D:$D)),),))),"")</f>
        <v/>
      </c>
      <c r="I318" s="56" t="str">
        <f>IF(H318="","",INDEX(生物种群!$B$3:INDEX(生物种群!$B:$B,COUNTA(生物种群!$B:$B)),MATCH($H318,生物种群!$A$3:INDEX(生物种群!$A:$A,COUNTA(生物种群!$A:$A)),),))</f>
        <v/>
      </c>
      <c r="J318" s="55" t="str">
        <f>IF(H318="","",INDEX(生物种群!$I$3:INDEX(生物种群!$I:$I,COUNTA(生物种群!$I:$I)),MATCH($H318,生物种群!$A$3:INDEX(生物种群!$A:$A,COUNTA(生物种群!$A:$A)),),))</f>
        <v/>
      </c>
      <c r="K318" s="55" t="str">
        <f>IF(H318="","",INDEX(生物种群!$E$3:INDEX(生物种群!$E:$E,COUNTA(生物种群!$E:$E)),MATCH($H318,生物种群!$A$3:INDEX(生物种群!$A:$A,COUNTA(生物种群!$A:$A)),),))</f>
        <v/>
      </c>
      <c r="L318" s="46" t="str">
        <f t="shared" si="18"/>
        <v/>
      </c>
      <c r="M318" s="47" t="str">
        <f>IF(L318="","",ROUND((L318)/VLOOKUP($F318,IF({1,0},站位样品信息!$A$3:INDEX(站位样品信息!$A:$A,COUNTA(站位样品信息!$A:$A)+1),站位样品信息!$H$3:INDEX(站位样品信息!$H:$H,COUNTA(站位样品信息!$H:$H)+1)),2,0),2))</f>
        <v/>
      </c>
      <c r="O318" s="49"/>
      <c r="P318" s="53" t="str">
        <f t="shared" si="16"/>
        <v/>
      </c>
      <c r="Q318" s="53" t="str">
        <f t="shared" si="17"/>
        <v/>
      </c>
    </row>
    <row r="319" spans="1:17" ht="19.5" customHeight="1">
      <c r="A319" s="38"/>
      <c r="B319" s="38"/>
      <c r="C319" s="38"/>
      <c r="D319" s="37"/>
      <c r="E319" s="37"/>
      <c r="F319" s="37"/>
      <c r="G319" s="37" t="str">
        <f>IF(F319="","",INDEX(站位样品信息!$B$3:INDEX(站位样品信息!$B:$B,COUNTA(站位样品信息!$B:$B)+1),MATCH($F319,站位样品信息!$A$3:INDEX(站位样品信息!$A:$A,COUNTA(站位样品信息!$A:$A)+1),),))</f>
        <v/>
      </c>
      <c r="H319" s="55" t="str">
        <f>IF(OR(A319&lt;&gt;"",B319&lt;&gt;"",C319&lt;&gt;""),IF($C319&lt;&gt;0,INDEX(生物种群!$A$3:INDEX(生物种群!$A:$A,COUNTA(生物种群!$A:$A)),MATCH($C319,生物种群!$F$3:INDEX(生物种群!$F:$F,COUNTA(生物种群!$F:$F)),),),IF($A319&lt;&gt;0,INDEX(生物种群!$A$3:INDEX(生物种群!$A:$A,COUNTA(生物种群!$A:$A)),MATCH($A319,生物种群!$C$3:INDEX(生物种群!$C:$C,COUNTA(生物种群!$C:$C)),),),INDEX(生物种群!$A$3:INDEX(生物种群!$A:$A,COUNTA(生物种群!$A:$A)),MATCH($B319,生物种群!$D$3:INDEX(生物种群!$D:$D,COUNTA(生物种群!$D:$D)),),))),"")</f>
        <v/>
      </c>
      <c r="I319" s="56" t="str">
        <f>IF(H319="","",INDEX(生物种群!$B$3:INDEX(生物种群!$B:$B,COUNTA(生物种群!$B:$B)),MATCH($H319,生物种群!$A$3:INDEX(生物种群!$A:$A,COUNTA(生物种群!$A:$A)),),))</f>
        <v/>
      </c>
      <c r="J319" s="55" t="str">
        <f>IF(H319="","",INDEX(生物种群!$I$3:INDEX(生物种群!$I:$I,COUNTA(生物种群!$I:$I)),MATCH($H319,生物种群!$A$3:INDEX(生物种群!$A:$A,COUNTA(生物种群!$A:$A)),),))</f>
        <v/>
      </c>
      <c r="K319" s="55" t="str">
        <f>IF(H319="","",INDEX(生物种群!$E$3:INDEX(生物种群!$E:$E,COUNTA(生物种群!$E:$E)),MATCH($H319,生物种群!$A$3:INDEX(生物种群!$A:$A,COUNTA(生物种群!$A:$A)),),))</f>
        <v/>
      </c>
      <c r="L319" s="46" t="str">
        <f t="shared" si="18"/>
        <v/>
      </c>
      <c r="M319" s="47" t="str">
        <f>IF(L319="","",ROUND((L319)/VLOOKUP($F319,IF({1,0},站位样品信息!$A$3:INDEX(站位样品信息!$A:$A,COUNTA(站位样品信息!$A:$A)+1),站位样品信息!$H$3:INDEX(站位样品信息!$H:$H,COUNTA(站位样品信息!$H:$H)+1)),2,0),2))</f>
        <v/>
      </c>
      <c r="O319" s="49"/>
      <c r="P319" s="53" t="str">
        <f t="shared" si="16"/>
        <v/>
      </c>
      <c r="Q319" s="53" t="str">
        <f t="shared" si="17"/>
        <v/>
      </c>
    </row>
    <row r="320" spans="1:17" ht="19.5" customHeight="1">
      <c r="A320" s="38"/>
      <c r="B320" s="38"/>
      <c r="C320" s="38"/>
      <c r="D320" s="37"/>
      <c r="E320" s="37"/>
      <c r="F320" s="37"/>
      <c r="G320" s="37" t="str">
        <f>IF(F320="","",INDEX(站位样品信息!$B$3:INDEX(站位样品信息!$B:$B,COUNTA(站位样品信息!$B:$B)+1),MATCH($F320,站位样品信息!$A$3:INDEX(站位样品信息!$A:$A,COUNTA(站位样品信息!$A:$A)+1),),))</f>
        <v/>
      </c>
      <c r="H320" s="55" t="str">
        <f>IF(OR(A320&lt;&gt;"",B320&lt;&gt;"",C320&lt;&gt;""),IF($C320&lt;&gt;0,INDEX(生物种群!$A$3:INDEX(生物种群!$A:$A,COUNTA(生物种群!$A:$A)),MATCH($C320,生物种群!$F$3:INDEX(生物种群!$F:$F,COUNTA(生物种群!$F:$F)),),),IF($A320&lt;&gt;0,INDEX(生物种群!$A$3:INDEX(生物种群!$A:$A,COUNTA(生物种群!$A:$A)),MATCH($A320,生物种群!$C$3:INDEX(生物种群!$C:$C,COUNTA(生物种群!$C:$C)),),),INDEX(生物种群!$A$3:INDEX(生物种群!$A:$A,COUNTA(生物种群!$A:$A)),MATCH($B320,生物种群!$D$3:INDEX(生物种群!$D:$D,COUNTA(生物种群!$D:$D)),),))),"")</f>
        <v/>
      </c>
      <c r="I320" s="56" t="str">
        <f>IF(H320="","",INDEX(生物种群!$B$3:INDEX(生物种群!$B:$B,COUNTA(生物种群!$B:$B)),MATCH($H320,生物种群!$A$3:INDEX(生物种群!$A:$A,COUNTA(生物种群!$A:$A)),),))</f>
        <v/>
      </c>
      <c r="J320" s="55" t="str">
        <f>IF(H320="","",INDEX(生物种群!$I$3:INDEX(生物种群!$I:$I,COUNTA(生物种群!$I:$I)),MATCH($H320,生物种群!$A$3:INDEX(生物种群!$A:$A,COUNTA(生物种群!$A:$A)),),))</f>
        <v/>
      </c>
      <c r="K320" s="55" t="str">
        <f>IF(H320="","",INDEX(生物种群!$E$3:INDEX(生物种群!$E:$E,COUNTA(生物种群!$E:$E)),MATCH($H320,生物种群!$A$3:INDEX(生物种群!$A:$A,COUNTA(生物种群!$A:$A)),),))</f>
        <v/>
      </c>
      <c r="L320" s="46" t="str">
        <f t="shared" si="18"/>
        <v/>
      </c>
      <c r="M320" s="47" t="str">
        <f>IF(L320="","",ROUND((L320)/VLOOKUP($F320,IF({1,0},站位样品信息!$A$3:INDEX(站位样品信息!$A:$A,COUNTA(站位样品信息!$A:$A)+1),站位样品信息!$H$3:INDEX(站位样品信息!$H:$H,COUNTA(站位样品信息!$H:$H)+1)),2,0),2))</f>
        <v/>
      </c>
      <c r="O320" s="49"/>
      <c r="P320" s="53" t="str">
        <f t="shared" si="16"/>
        <v/>
      </c>
      <c r="Q320" s="53" t="str">
        <f t="shared" si="17"/>
        <v/>
      </c>
    </row>
    <row r="321" spans="1:17" ht="19.5" customHeight="1">
      <c r="A321" s="38"/>
      <c r="B321" s="38"/>
      <c r="C321" s="38"/>
      <c r="D321" s="37"/>
      <c r="E321" s="37"/>
      <c r="F321" s="37"/>
      <c r="G321" s="37" t="str">
        <f>IF(F321="","",INDEX(站位样品信息!$B$3:INDEX(站位样品信息!$B:$B,COUNTA(站位样品信息!$B:$B)+1),MATCH($F321,站位样品信息!$A$3:INDEX(站位样品信息!$A:$A,COUNTA(站位样品信息!$A:$A)+1),),))</f>
        <v/>
      </c>
      <c r="H321" s="55" t="str">
        <f>IF(OR(A321&lt;&gt;"",B321&lt;&gt;"",C321&lt;&gt;""),IF($C321&lt;&gt;0,INDEX(生物种群!$A$3:INDEX(生物种群!$A:$A,COUNTA(生物种群!$A:$A)),MATCH($C321,生物种群!$F$3:INDEX(生物种群!$F:$F,COUNTA(生物种群!$F:$F)),),),IF($A321&lt;&gt;0,INDEX(生物种群!$A$3:INDEX(生物种群!$A:$A,COUNTA(生物种群!$A:$A)),MATCH($A321,生物种群!$C$3:INDEX(生物种群!$C:$C,COUNTA(生物种群!$C:$C)),),),INDEX(生物种群!$A$3:INDEX(生物种群!$A:$A,COUNTA(生物种群!$A:$A)),MATCH($B321,生物种群!$D$3:INDEX(生物种群!$D:$D,COUNTA(生物种群!$D:$D)),),))),"")</f>
        <v/>
      </c>
      <c r="I321" s="56" t="str">
        <f>IF(H321="","",INDEX(生物种群!$B$3:INDEX(生物种群!$B:$B,COUNTA(生物种群!$B:$B)),MATCH($H321,生物种群!$A$3:INDEX(生物种群!$A:$A,COUNTA(生物种群!$A:$A)),),))</f>
        <v/>
      </c>
      <c r="J321" s="55" t="str">
        <f>IF(H321="","",INDEX(生物种群!$I$3:INDEX(生物种群!$I:$I,COUNTA(生物种群!$I:$I)),MATCH($H321,生物种群!$A$3:INDEX(生物种群!$A:$A,COUNTA(生物种群!$A:$A)),),))</f>
        <v/>
      </c>
      <c r="K321" s="55" t="str">
        <f>IF(H321="","",INDEX(生物种群!$E$3:INDEX(生物种群!$E:$E,COUNTA(生物种群!$E:$E)),MATCH($H321,生物种群!$A$3:INDEX(生物种群!$A:$A,COUNTA(生物种群!$A:$A)),),))</f>
        <v/>
      </c>
      <c r="L321" s="46" t="str">
        <f t="shared" si="18"/>
        <v/>
      </c>
      <c r="M321" s="47" t="str">
        <f>IF(L321="","",ROUND((L321)/VLOOKUP($F321,IF({1,0},站位样品信息!$A$3:INDEX(站位样品信息!$A:$A,COUNTA(站位样品信息!$A:$A)+1),站位样品信息!$H$3:INDEX(站位样品信息!$H:$H,COUNTA(站位样品信息!$H:$H)+1)),2,0),2))</f>
        <v/>
      </c>
      <c r="O321" s="49"/>
      <c r="P321" s="53" t="str">
        <f t="shared" si="16"/>
        <v/>
      </c>
      <c r="Q321" s="53" t="str">
        <f t="shared" si="17"/>
        <v/>
      </c>
    </row>
    <row r="322" spans="1:17" ht="19.5" customHeight="1">
      <c r="A322" s="38"/>
      <c r="B322" s="38"/>
      <c r="C322" s="38"/>
      <c r="D322" s="37"/>
      <c r="E322" s="37"/>
      <c r="F322" s="37"/>
      <c r="G322" s="37" t="str">
        <f>IF(F322="","",INDEX(站位样品信息!$B$3:INDEX(站位样品信息!$B:$B,COUNTA(站位样品信息!$B:$B)+1),MATCH($F322,站位样品信息!$A$3:INDEX(站位样品信息!$A:$A,COUNTA(站位样品信息!$A:$A)+1),),))</f>
        <v/>
      </c>
      <c r="H322" s="55" t="str">
        <f>IF(OR(A322&lt;&gt;"",B322&lt;&gt;"",C322&lt;&gt;""),IF($C322&lt;&gt;0,INDEX(生物种群!$A$3:INDEX(生物种群!$A:$A,COUNTA(生物种群!$A:$A)),MATCH($C322,生物种群!$F$3:INDEX(生物种群!$F:$F,COUNTA(生物种群!$F:$F)),),),IF($A322&lt;&gt;0,INDEX(生物种群!$A$3:INDEX(生物种群!$A:$A,COUNTA(生物种群!$A:$A)),MATCH($A322,生物种群!$C$3:INDEX(生物种群!$C:$C,COUNTA(生物种群!$C:$C)),),),INDEX(生物种群!$A$3:INDEX(生物种群!$A:$A,COUNTA(生物种群!$A:$A)),MATCH($B322,生物种群!$D$3:INDEX(生物种群!$D:$D,COUNTA(生物种群!$D:$D)),),))),"")</f>
        <v/>
      </c>
      <c r="I322" s="56" t="str">
        <f>IF(H322="","",INDEX(生物种群!$B$3:INDEX(生物种群!$B:$B,COUNTA(生物种群!$B:$B)),MATCH($H322,生物种群!$A$3:INDEX(生物种群!$A:$A,COUNTA(生物种群!$A:$A)),),))</f>
        <v/>
      </c>
      <c r="J322" s="55" t="str">
        <f>IF(H322="","",INDEX(生物种群!$I$3:INDEX(生物种群!$I:$I,COUNTA(生物种群!$I:$I)),MATCH($H322,生物种群!$A$3:INDEX(生物种群!$A:$A,COUNTA(生物种群!$A:$A)),),))</f>
        <v/>
      </c>
      <c r="K322" s="55" t="str">
        <f>IF(H322="","",INDEX(生物种群!$E$3:INDEX(生物种群!$E:$E,COUNTA(生物种群!$E:$E)),MATCH($H322,生物种群!$A$3:INDEX(生物种群!$A:$A,COUNTA(生物种群!$A:$A)),),))</f>
        <v/>
      </c>
      <c r="L322" s="46" t="str">
        <f t="shared" si="18"/>
        <v/>
      </c>
      <c r="M322" s="47" t="str">
        <f>IF(L322="","",ROUND((L322)/VLOOKUP($F322,IF({1,0},站位样品信息!$A$3:INDEX(站位样品信息!$A:$A,COUNTA(站位样品信息!$A:$A)+1),站位样品信息!$H$3:INDEX(站位样品信息!$H:$H,COUNTA(站位样品信息!$H:$H)+1)),2,0),2))</f>
        <v/>
      </c>
      <c r="O322" s="49"/>
      <c r="P322" s="53" t="str">
        <f t="shared" si="16"/>
        <v/>
      </c>
      <c r="Q322" s="53" t="str">
        <f t="shared" si="17"/>
        <v/>
      </c>
    </row>
    <row r="323" spans="1:17" ht="19.5" customHeight="1">
      <c r="A323" s="38"/>
      <c r="B323" s="38"/>
      <c r="C323" s="38"/>
      <c r="D323" s="37"/>
      <c r="E323" s="37"/>
      <c r="F323" s="37"/>
      <c r="G323" s="37" t="str">
        <f>IF(F323="","",INDEX(站位样品信息!$B$3:INDEX(站位样品信息!$B:$B,COUNTA(站位样品信息!$B:$B)+1),MATCH($F323,站位样品信息!$A$3:INDEX(站位样品信息!$A:$A,COUNTA(站位样品信息!$A:$A)+1),),))</f>
        <v/>
      </c>
      <c r="H323" s="55" t="str">
        <f>IF(OR(A323&lt;&gt;"",B323&lt;&gt;"",C323&lt;&gt;""),IF($C323&lt;&gt;0,INDEX(生物种群!$A$3:INDEX(生物种群!$A:$A,COUNTA(生物种群!$A:$A)),MATCH($C323,生物种群!$F$3:INDEX(生物种群!$F:$F,COUNTA(生物种群!$F:$F)),),),IF($A323&lt;&gt;0,INDEX(生物种群!$A$3:INDEX(生物种群!$A:$A,COUNTA(生物种群!$A:$A)),MATCH($A323,生物种群!$C$3:INDEX(生物种群!$C:$C,COUNTA(生物种群!$C:$C)),),),INDEX(生物种群!$A$3:INDEX(生物种群!$A:$A,COUNTA(生物种群!$A:$A)),MATCH($B323,生物种群!$D$3:INDEX(生物种群!$D:$D,COUNTA(生物种群!$D:$D)),),))),"")</f>
        <v/>
      </c>
      <c r="I323" s="56" t="str">
        <f>IF(H323="","",INDEX(生物种群!$B$3:INDEX(生物种群!$B:$B,COUNTA(生物种群!$B:$B)),MATCH($H323,生物种群!$A$3:INDEX(生物种群!$A:$A,COUNTA(生物种群!$A:$A)),),))</f>
        <v/>
      </c>
      <c r="J323" s="55" t="str">
        <f>IF(H323="","",INDEX(生物种群!$I$3:INDEX(生物种群!$I:$I,COUNTA(生物种群!$I:$I)),MATCH($H323,生物种群!$A$3:INDEX(生物种群!$A:$A,COUNTA(生物种群!$A:$A)),),))</f>
        <v/>
      </c>
      <c r="K323" s="55" t="str">
        <f>IF(H323="","",INDEX(生物种群!$E$3:INDEX(生物种群!$E:$E,COUNTA(生物种群!$E:$E)),MATCH($H323,生物种群!$A$3:INDEX(生物种群!$A:$A,COUNTA(生物种群!$A:$A)),),))</f>
        <v/>
      </c>
      <c r="L323" s="46" t="str">
        <f t="shared" si="18"/>
        <v/>
      </c>
      <c r="M323" s="47" t="str">
        <f>IF(L323="","",ROUND((L323)/VLOOKUP($F323,IF({1,0},站位样品信息!$A$3:INDEX(站位样品信息!$A:$A,COUNTA(站位样品信息!$A:$A)+1),站位样品信息!$H$3:INDEX(站位样品信息!$H:$H,COUNTA(站位样品信息!$H:$H)+1)),2,0),2))</f>
        <v/>
      </c>
      <c r="O323" s="49"/>
      <c r="P323" s="53" t="str">
        <f t="shared" si="19" ref="P323:P386">IF(F323&gt;0,F323&amp;I323,"")</f>
        <v/>
      </c>
      <c r="Q323" s="53" t="str">
        <f t="shared" si="20" ref="Q323:Q386">IF(COUNTIF($P:$P,P323)=1,"",IF(A323&amp;B323&amp;C323="","","重复"))</f>
        <v/>
      </c>
    </row>
    <row r="324" spans="1:17" ht="19.5" customHeight="1">
      <c r="A324" s="38"/>
      <c r="B324" s="38"/>
      <c r="C324" s="38"/>
      <c r="D324" s="37"/>
      <c r="E324" s="37"/>
      <c r="F324" s="37"/>
      <c r="G324" s="37" t="str">
        <f>IF(F324="","",INDEX(站位样品信息!$B$3:INDEX(站位样品信息!$B:$B,COUNTA(站位样品信息!$B:$B)+1),MATCH($F324,站位样品信息!$A$3:INDEX(站位样品信息!$A:$A,COUNTA(站位样品信息!$A:$A)+1),),))</f>
        <v/>
      </c>
      <c r="H324" s="55" t="str">
        <f>IF(OR(A324&lt;&gt;"",B324&lt;&gt;"",C324&lt;&gt;""),IF($C324&lt;&gt;0,INDEX(生物种群!$A$3:INDEX(生物种群!$A:$A,COUNTA(生物种群!$A:$A)),MATCH($C324,生物种群!$F$3:INDEX(生物种群!$F:$F,COUNTA(生物种群!$F:$F)),),),IF($A324&lt;&gt;0,INDEX(生物种群!$A$3:INDEX(生物种群!$A:$A,COUNTA(生物种群!$A:$A)),MATCH($A324,生物种群!$C$3:INDEX(生物种群!$C:$C,COUNTA(生物种群!$C:$C)),),),INDEX(生物种群!$A$3:INDEX(生物种群!$A:$A,COUNTA(生物种群!$A:$A)),MATCH($B324,生物种群!$D$3:INDEX(生物种群!$D:$D,COUNTA(生物种群!$D:$D)),),))),"")</f>
        <v/>
      </c>
      <c r="I324" s="56" t="str">
        <f>IF(H324="","",INDEX(生物种群!$B$3:INDEX(生物种群!$B:$B,COUNTA(生物种群!$B:$B)),MATCH($H324,生物种群!$A$3:INDEX(生物种群!$A:$A,COUNTA(生物种群!$A:$A)),),))</f>
        <v/>
      </c>
      <c r="J324" s="55" t="str">
        <f>IF(H324="","",INDEX(生物种群!$I$3:INDEX(生物种群!$I:$I,COUNTA(生物种群!$I:$I)),MATCH($H324,生物种群!$A$3:INDEX(生物种群!$A:$A,COUNTA(生物种群!$A:$A)),),))</f>
        <v/>
      </c>
      <c r="K324" s="55" t="str">
        <f>IF(H324="","",INDEX(生物种群!$E$3:INDEX(生物种群!$E:$E,COUNTA(生物种群!$E:$E)),MATCH($H324,生物种群!$A$3:INDEX(生物种群!$A:$A,COUNTA(生物种群!$A:$A)),),))</f>
        <v/>
      </c>
      <c r="L324" s="46" t="str">
        <f t="shared" si="18"/>
        <v/>
      </c>
      <c r="M324" s="47" t="str">
        <f>IF(L324="","",ROUND((L324)/VLOOKUP($F324,IF({1,0},站位样品信息!$A$3:INDEX(站位样品信息!$A:$A,COUNTA(站位样品信息!$A:$A)+1),站位样品信息!$H$3:INDEX(站位样品信息!$H:$H,COUNTA(站位样品信息!$H:$H)+1)),2,0),2))</f>
        <v/>
      </c>
      <c r="O324" s="49"/>
      <c r="P324" s="53" t="str">
        <f t="shared" si="19"/>
        <v/>
      </c>
      <c r="Q324" s="53" t="str">
        <f t="shared" si="20"/>
        <v/>
      </c>
    </row>
    <row r="325" spans="1:17" ht="19.5" customHeight="1">
      <c r="A325" s="38"/>
      <c r="B325" s="38"/>
      <c r="C325" s="38"/>
      <c r="D325" s="37"/>
      <c r="E325" s="37"/>
      <c r="F325" s="37"/>
      <c r="G325" s="37" t="str">
        <f>IF(F325="","",INDEX(站位样品信息!$B$3:INDEX(站位样品信息!$B:$B,COUNTA(站位样品信息!$B:$B)+1),MATCH($F325,站位样品信息!$A$3:INDEX(站位样品信息!$A:$A,COUNTA(站位样品信息!$A:$A)+1),),))</f>
        <v/>
      </c>
      <c r="H325" s="55" t="str">
        <f>IF(OR(A325&lt;&gt;"",B325&lt;&gt;"",C325&lt;&gt;""),IF($C325&lt;&gt;0,INDEX(生物种群!$A$3:INDEX(生物种群!$A:$A,COUNTA(生物种群!$A:$A)),MATCH($C325,生物种群!$F$3:INDEX(生物种群!$F:$F,COUNTA(生物种群!$F:$F)),),),IF($A325&lt;&gt;0,INDEX(生物种群!$A$3:INDEX(生物种群!$A:$A,COUNTA(生物种群!$A:$A)),MATCH($A325,生物种群!$C$3:INDEX(生物种群!$C:$C,COUNTA(生物种群!$C:$C)),),),INDEX(生物种群!$A$3:INDEX(生物种群!$A:$A,COUNTA(生物种群!$A:$A)),MATCH($B325,生物种群!$D$3:INDEX(生物种群!$D:$D,COUNTA(生物种群!$D:$D)),),))),"")</f>
        <v/>
      </c>
      <c r="I325" s="56" t="str">
        <f>IF(H325="","",INDEX(生物种群!$B$3:INDEX(生物种群!$B:$B,COUNTA(生物种群!$B:$B)),MATCH($H325,生物种群!$A$3:INDEX(生物种群!$A:$A,COUNTA(生物种群!$A:$A)),),))</f>
        <v/>
      </c>
      <c r="J325" s="55" t="str">
        <f>IF(H325="","",INDEX(生物种群!$I$3:INDEX(生物种群!$I:$I,COUNTA(生物种群!$I:$I)),MATCH($H325,生物种群!$A$3:INDEX(生物种群!$A:$A,COUNTA(生物种群!$A:$A)),),))</f>
        <v/>
      </c>
      <c r="K325" s="55" t="str">
        <f>IF(H325="","",INDEX(生物种群!$E$3:INDEX(生物种群!$E:$E,COUNTA(生物种群!$E:$E)),MATCH($H325,生物种群!$A$3:INDEX(生物种群!$A:$A,COUNTA(生物种群!$A:$A)),),))</f>
        <v/>
      </c>
      <c r="L325" s="46" t="str">
        <f t="shared" si="18"/>
        <v/>
      </c>
      <c r="M325" s="47" t="str">
        <f>IF(L325="","",ROUND((L325)/VLOOKUP($F325,IF({1,0},站位样品信息!$A$3:INDEX(站位样品信息!$A:$A,COUNTA(站位样品信息!$A:$A)+1),站位样品信息!$H$3:INDEX(站位样品信息!$H:$H,COUNTA(站位样品信息!$H:$H)+1)),2,0),2))</f>
        <v/>
      </c>
      <c r="O325" s="49"/>
      <c r="P325" s="53" t="str">
        <f t="shared" si="19"/>
        <v/>
      </c>
      <c r="Q325" s="53" t="str">
        <f t="shared" si="20"/>
        <v/>
      </c>
    </row>
    <row r="326" spans="1:17" ht="19.5" customHeight="1">
      <c r="A326" s="38"/>
      <c r="B326" s="38"/>
      <c r="C326" s="38"/>
      <c r="D326" s="37"/>
      <c r="E326" s="37"/>
      <c r="F326" s="37"/>
      <c r="G326" s="37" t="str">
        <f>IF(F326="","",INDEX(站位样品信息!$B$3:INDEX(站位样品信息!$B:$B,COUNTA(站位样品信息!$B:$B)+1),MATCH($F326,站位样品信息!$A$3:INDEX(站位样品信息!$A:$A,COUNTA(站位样品信息!$A:$A)+1),),))</f>
        <v/>
      </c>
      <c r="H326" s="55" t="str">
        <f>IF(OR(A326&lt;&gt;"",B326&lt;&gt;"",C326&lt;&gt;""),IF($C326&lt;&gt;0,INDEX(生物种群!$A$3:INDEX(生物种群!$A:$A,COUNTA(生物种群!$A:$A)),MATCH($C326,生物种群!$F$3:INDEX(生物种群!$F:$F,COUNTA(生物种群!$F:$F)),),),IF($A326&lt;&gt;0,INDEX(生物种群!$A$3:INDEX(生物种群!$A:$A,COUNTA(生物种群!$A:$A)),MATCH($A326,生物种群!$C$3:INDEX(生物种群!$C:$C,COUNTA(生物种群!$C:$C)),),),INDEX(生物种群!$A$3:INDEX(生物种群!$A:$A,COUNTA(生物种群!$A:$A)),MATCH($B326,生物种群!$D$3:INDEX(生物种群!$D:$D,COUNTA(生物种群!$D:$D)),),))),"")</f>
        <v/>
      </c>
      <c r="I326" s="56" t="str">
        <f>IF(H326="","",INDEX(生物种群!$B$3:INDEX(生物种群!$B:$B,COUNTA(生物种群!$B:$B)),MATCH($H326,生物种群!$A$3:INDEX(生物种群!$A:$A,COUNTA(生物种群!$A:$A)),),))</f>
        <v/>
      </c>
      <c r="J326" s="55" t="str">
        <f>IF(H326="","",INDEX(生物种群!$I$3:INDEX(生物种群!$I:$I,COUNTA(生物种群!$I:$I)),MATCH($H326,生物种群!$A$3:INDEX(生物种群!$A:$A,COUNTA(生物种群!$A:$A)),),))</f>
        <v/>
      </c>
      <c r="K326" s="55" t="str">
        <f>IF(H326="","",INDEX(生物种群!$E$3:INDEX(生物种群!$E:$E,COUNTA(生物种群!$E:$E)),MATCH($H326,生物种群!$A$3:INDEX(生物种群!$A:$A,COUNTA(生物种群!$A:$A)),),))</f>
        <v/>
      </c>
      <c r="L326" s="46" t="str">
        <f t="shared" si="18"/>
        <v/>
      </c>
      <c r="M326" s="47" t="str">
        <f>IF(L326="","",ROUND((L326)/VLOOKUP($F326,IF({1,0},站位样品信息!$A$3:INDEX(站位样品信息!$A:$A,COUNTA(站位样品信息!$A:$A)+1),站位样品信息!$H$3:INDEX(站位样品信息!$H:$H,COUNTA(站位样品信息!$H:$H)+1)),2,0),2))</f>
        <v/>
      </c>
      <c r="O326" s="49"/>
      <c r="P326" s="53" t="str">
        <f t="shared" si="19"/>
        <v/>
      </c>
      <c r="Q326" s="53" t="str">
        <f t="shared" si="20"/>
        <v/>
      </c>
    </row>
    <row r="327" spans="1:17" ht="19.5" customHeight="1">
      <c r="A327" s="38"/>
      <c r="B327" s="38"/>
      <c r="C327" s="38"/>
      <c r="D327" s="37"/>
      <c r="E327" s="37"/>
      <c r="F327" s="37"/>
      <c r="G327" s="37" t="str">
        <f>IF(F327="","",INDEX(站位样品信息!$B$3:INDEX(站位样品信息!$B:$B,COUNTA(站位样品信息!$B:$B)+1),MATCH($F327,站位样品信息!$A$3:INDEX(站位样品信息!$A:$A,COUNTA(站位样品信息!$A:$A)+1),),))</f>
        <v/>
      </c>
      <c r="H327" s="55" t="str">
        <f>IF(OR(A327&lt;&gt;"",B327&lt;&gt;"",C327&lt;&gt;""),IF($C327&lt;&gt;0,INDEX(生物种群!$A$3:INDEX(生物种群!$A:$A,COUNTA(生物种群!$A:$A)),MATCH($C327,生物种群!$F$3:INDEX(生物种群!$F:$F,COUNTA(生物种群!$F:$F)),),),IF($A327&lt;&gt;0,INDEX(生物种群!$A$3:INDEX(生物种群!$A:$A,COUNTA(生物种群!$A:$A)),MATCH($A327,生物种群!$C$3:INDEX(生物种群!$C:$C,COUNTA(生物种群!$C:$C)),),),INDEX(生物种群!$A$3:INDEX(生物种群!$A:$A,COUNTA(生物种群!$A:$A)),MATCH($B327,生物种群!$D$3:INDEX(生物种群!$D:$D,COUNTA(生物种群!$D:$D)),),))),"")</f>
        <v/>
      </c>
      <c r="I327" s="56" t="str">
        <f>IF(H327="","",INDEX(生物种群!$B$3:INDEX(生物种群!$B:$B,COUNTA(生物种群!$B:$B)),MATCH($H327,生物种群!$A$3:INDEX(生物种群!$A:$A,COUNTA(生物种群!$A:$A)),),))</f>
        <v/>
      </c>
      <c r="J327" s="55" t="str">
        <f>IF(H327="","",INDEX(生物种群!$I$3:INDEX(生物种群!$I:$I,COUNTA(生物种群!$I:$I)),MATCH($H327,生物种群!$A$3:INDEX(生物种群!$A:$A,COUNTA(生物种群!$A:$A)),),))</f>
        <v/>
      </c>
      <c r="K327" s="55" t="str">
        <f>IF(H327="","",INDEX(生物种群!$E$3:INDEX(生物种群!$E:$E,COUNTA(生物种群!$E:$E)),MATCH($H327,生物种群!$A$3:INDEX(生物种群!$A:$A,COUNTA(生物种群!$A:$A)),),))</f>
        <v/>
      </c>
      <c r="L327" s="46" t="str">
        <f t="shared" si="18"/>
        <v/>
      </c>
      <c r="M327" s="47" t="str">
        <f>IF(L327="","",ROUND((L327)/VLOOKUP($F327,IF({1,0},站位样品信息!$A$3:INDEX(站位样品信息!$A:$A,COUNTA(站位样品信息!$A:$A)+1),站位样品信息!$H$3:INDEX(站位样品信息!$H:$H,COUNTA(站位样品信息!$H:$H)+1)),2,0),2))</f>
        <v/>
      </c>
      <c r="O327" s="49"/>
      <c r="P327" s="53" t="str">
        <f t="shared" si="19"/>
        <v/>
      </c>
      <c r="Q327" s="53" t="str">
        <f t="shared" si="20"/>
        <v/>
      </c>
    </row>
    <row r="328" spans="1:17" ht="19.5" customHeight="1">
      <c r="A328" s="38"/>
      <c r="B328" s="38"/>
      <c r="C328" s="38"/>
      <c r="D328" s="37"/>
      <c r="E328" s="37"/>
      <c r="F328" s="37"/>
      <c r="G328" s="37" t="str">
        <f>IF(F328="","",INDEX(站位样品信息!$B$3:INDEX(站位样品信息!$B:$B,COUNTA(站位样品信息!$B:$B)+1),MATCH($F328,站位样品信息!$A$3:INDEX(站位样品信息!$A:$A,COUNTA(站位样品信息!$A:$A)+1),),))</f>
        <v/>
      </c>
      <c r="H328" s="55" t="str">
        <f>IF(OR(A328&lt;&gt;"",B328&lt;&gt;"",C328&lt;&gt;""),IF($C328&lt;&gt;0,INDEX(生物种群!$A$3:INDEX(生物种群!$A:$A,COUNTA(生物种群!$A:$A)),MATCH($C328,生物种群!$F$3:INDEX(生物种群!$F:$F,COUNTA(生物种群!$F:$F)),),),IF($A328&lt;&gt;0,INDEX(生物种群!$A$3:INDEX(生物种群!$A:$A,COUNTA(生物种群!$A:$A)),MATCH($A328,生物种群!$C$3:INDEX(生物种群!$C:$C,COUNTA(生物种群!$C:$C)),),),INDEX(生物种群!$A$3:INDEX(生物种群!$A:$A,COUNTA(生物种群!$A:$A)),MATCH($B328,生物种群!$D$3:INDEX(生物种群!$D:$D,COUNTA(生物种群!$D:$D)),),))),"")</f>
        <v/>
      </c>
      <c r="I328" s="56" t="str">
        <f>IF(H328="","",INDEX(生物种群!$B$3:INDEX(生物种群!$B:$B,COUNTA(生物种群!$B:$B)),MATCH($H328,生物种群!$A$3:INDEX(生物种群!$A:$A,COUNTA(生物种群!$A:$A)),),))</f>
        <v/>
      </c>
      <c r="J328" s="55" t="str">
        <f>IF(H328="","",INDEX(生物种群!$I$3:INDEX(生物种群!$I:$I,COUNTA(生物种群!$I:$I)),MATCH($H328,生物种群!$A$3:INDEX(生物种群!$A:$A,COUNTA(生物种群!$A:$A)),),))</f>
        <v/>
      </c>
      <c r="K328" s="55" t="str">
        <f>IF(H328="","",INDEX(生物种群!$E$3:INDEX(生物种群!$E:$E,COUNTA(生物种群!$E:$E)),MATCH($H328,生物种群!$A$3:INDEX(生物种群!$A:$A,COUNTA(生物种群!$A:$A)),),))</f>
        <v/>
      </c>
      <c r="L328" s="46" t="str">
        <f t="shared" si="18"/>
        <v/>
      </c>
      <c r="M328" s="47" t="str">
        <f>IF(L328="","",ROUND((L328)/VLOOKUP($F328,IF({1,0},站位样品信息!$A$3:INDEX(站位样品信息!$A:$A,COUNTA(站位样品信息!$A:$A)+1),站位样品信息!$H$3:INDEX(站位样品信息!$H:$H,COUNTA(站位样品信息!$H:$H)+1)),2,0),2))</f>
        <v/>
      </c>
      <c r="O328" s="49"/>
      <c r="P328" s="53" t="str">
        <f t="shared" si="19"/>
        <v/>
      </c>
      <c r="Q328" s="53" t="str">
        <f t="shared" si="20"/>
        <v/>
      </c>
    </row>
    <row r="329" spans="1:17" ht="19.5" customHeight="1">
      <c r="A329" s="38"/>
      <c r="B329" s="38"/>
      <c r="C329" s="38"/>
      <c r="D329" s="37"/>
      <c r="E329" s="37"/>
      <c r="F329" s="37"/>
      <c r="G329" s="37" t="str">
        <f>IF(F329="","",INDEX(站位样品信息!$B$3:INDEX(站位样品信息!$B:$B,COUNTA(站位样品信息!$B:$B)+1),MATCH($F329,站位样品信息!$A$3:INDEX(站位样品信息!$A:$A,COUNTA(站位样品信息!$A:$A)+1),),))</f>
        <v/>
      </c>
      <c r="H329" s="55" t="str">
        <f>IF(OR(A329&lt;&gt;"",B329&lt;&gt;"",C329&lt;&gt;""),IF($C329&lt;&gt;0,INDEX(生物种群!$A$3:INDEX(生物种群!$A:$A,COUNTA(生物种群!$A:$A)),MATCH($C329,生物种群!$F$3:INDEX(生物种群!$F:$F,COUNTA(生物种群!$F:$F)),),),IF($A329&lt;&gt;0,INDEX(生物种群!$A$3:INDEX(生物种群!$A:$A,COUNTA(生物种群!$A:$A)),MATCH($A329,生物种群!$C$3:INDEX(生物种群!$C:$C,COUNTA(生物种群!$C:$C)),),),INDEX(生物种群!$A$3:INDEX(生物种群!$A:$A,COUNTA(生物种群!$A:$A)),MATCH($B329,生物种群!$D$3:INDEX(生物种群!$D:$D,COUNTA(生物种群!$D:$D)),),))),"")</f>
        <v/>
      </c>
      <c r="I329" s="56" t="str">
        <f>IF(H329="","",INDEX(生物种群!$B$3:INDEX(生物种群!$B:$B,COUNTA(生物种群!$B:$B)),MATCH($H329,生物种群!$A$3:INDEX(生物种群!$A:$A,COUNTA(生物种群!$A:$A)),),))</f>
        <v/>
      </c>
      <c r="J329" s="55" t="str">
        <f>IF(H329="","",INDEX(生物种群!$I$3:INDEX(生物种群!$I:$I,COUNTA(生物种群!$I:$I)),MATCH($H329,生物种群!$A$3:INDEX(生物种群!$A:$A,COUNTA(生物种群!$A:$A)),),))</f>
        <v/>
      </c>
      <c r="K329" s="55" t="str">
        <f>IF(H329="","",INDEX(生物种群!$E$3:INDEX(生物种群!$E:$E,COUNTA(生物种群!$E:$E)),MATCH($H329,生物种群!$A$3:INDEX(生物种群!$A:$A,COUNTA(生物种群!$A:$A)),),))</f>
        <v/>
      </c>
      <c r="L329" s="46" t="str">
        <f t="shared" si="18"/>
        <v/>
      </c>
      <c r="M329" s="47" t="str">
        <f>IF(L329="","",ROUND((L329)/VLOOKUP($F329,IF({1,0},站位样品信息!$A$3:INDEX(站位样品信息!$A:$A,COUNTA(站位样品信息!$A:$A)+1),站位样品信息!$H$3:INDEX(站位样品信息!$H:$H,COUNTA(站位样品信息!$H:$H)+1)),2,0),2))</f>
        <v/>
      </c>
      <c r="O329" s="49"/>
      <c r="P329" s="53" t="str">
        <f t="shared" si="19"/>
        <v/>
      </c>
      <c r="Q329" s="53" t="str">
        <f t="shared" si="20"/>
        <v/>
      </c>
    </row>
    <row r="330" spans="1:17" ht="19.5" customHeight="1">
      <c r="A330" s="38"/>
      <c r="B330" s="38"/>
      <c r="C330" s="38"/>
      <c r="D330" s="37"/>
      <c r="E330" s="37"/>
      <c r="F330" s="37"/>
      <c r="G330" s="37" t="str">
        <f>IF(F330="","",INDEX(站位样品信息!$B$3:INDEX(站位样品信息!$B:$B,COUNTA(站位样品信息!$B:$B)+1),MATCH($F330,站位样品信息!$A$3:INDEX(站位样品信息!$A:$A,COUNTA(站位样品信息!$A:$A)+1),),))</f>
        <v/>
      </c>
      <c r="H330" s="55" t="str">
        <f>IF(OR(A330&lt;&gt;"",B330&lt;&gt;"",C330&lt;&gt;""),IF($C330&lt;&gt;0,INDEX(生物种群!$A$3:INDEX(生物种群!$A:$A,COUNTA(生物种群!$A:$A)),MATCH($C330,生物种群!$F$3:INDEX(生物种群!$F:$F,COUNTA(生物种群!$F:$F)),),),IF($A330&lt;&gt;0,INDEX(生物种群!$A$3:INDEX(生物种群!$A:$A,COUNTA(生物种群!$A:$A)),MATCH($A330,生物种群!$C$3:INDEX(生物种群!$C:$C,COUNTA(生物种群!$C:$C)),),),INDEX(生物种群!$A$3:INDEX(生物种群!$A:$A,COUNTA(生物种群!$A:$A)),MATCH($B330,生物种群!$D$3:INDEX(生物种群!$D:$D,COUNTA(生物种群!$D:$D)),),))),"")</f>
        <v/>
      </c>
      <c r="I330" s="56" t="str">
        <f>IF(H330="","",INDEX(生物种群!$B$3:INDEX(生物种群!$B:$B,COUNTA(生物种群!$B:$B)),MATCH($H330,生物种群!$A$3:INDEX(生物种群!$A:$A,COUNTA(生物种群!$A:$A)),),))</f>
        <v/>
      </c>
      <c r="J330" s="55" t="str">
        <f>IF(H330="","",INDEX(生物种群!$I$3:INDEX(生物种群!$I:$I,COUNTA(生物种群!$I:$I)),MATCH($H330,生物种群!$A$3:INDEX(生物种群!$A:$A,COUNTA(生物种群!$A:$A)),),))</f>
        <v/>
      </c>
      <c r="K330" s="55" t="str">
        <f>IF(H330="","",INDEX(生物种群!$E$3:INDEX(生物种群!$E:$E,COUNTA(生物种群!$E:$E)),MATCH($H330,生物种群!$A$3:INDEX(生物种群!$A:$A,COUNTA(生物种群!$A:$A)),),))</f>
        <v/>
      </c>
      <c r="L330" s="46" t="str">
        <f t="shared" si="18"/>
        <v/>
      </c>
      <c r="M330" s="47" t="str">
        <f>IF(L330="","",ROUND((L330)/VLOOKUP($F330,IF({1,0},站位样品信息!$A$3:INDEX(站位样品信息!$A:$A,COUNTA(站位样品信息!$A:$A)+1),站位样品信息!$H$3:INDEX(站位样品信息!$H:$H,COUNTA(站位样品信息!$H:$H)+1)),2,0),2))</f>
        <v/>
      </c>
      <c r="O330" s="49"/>
      <c r="P330" s="53" t="str">
        <f t="shared" si="19"/>
        <v/>
      </c>
      <c r="Q330" s="53" t="str">
        <f t="shared" si="20"/>
        <v/>
      </c>
    </row>
    <row r="331" spans="1:17" ht="19.5" customHeight="1">
      <c r="A331" s="38"/>
      <c r="B331" s="38"/>
      <c r="C331" s="38"/>
      <c r="D331" s="37"/>
      <c r="E331" s="37"/>
      <c r="F331" s="37"/>
      <c r="G331" s="37" t="str">
        <f>IF(F331="","",INDEX(站位样品信息!$B$3:INDEX(站位样品信息!$B:$B,COUNTA(站位样品信息!$B:$B)+1),MATCH($F331,站位样品信息!$A$3:INDEX(站位样品信息!$A:$A,COUNTA(站位样品信息!$A:$A)+1),),))</f>
        <v/>
      </c>
      <c r="H331" s="55" t="str">
        <f>IF(OR(A331&lt;&gt;"",B331&lt;&gt;"",C331&lt;&gt;""),IF($C331&lt;&gt;0,INDEX(生物种群!$A$3:INDEX(生物种群!$A:$A,COUNTA(生物种群!$A:$A)),MATCH($C331,生物种群!$F$3:INDEX(生物种群!$F:$F,COUNTA(生物种群!$F:$F)),),),IF($A331&lt;&gt;0,INDEX(生物种群!$A$3:INDEX(生物种群!$A:$A,COUNTA(生物种群!$A:$A)),MATCH($A331,生物种群!$C$3:INDEX(生物种群!$C:$C,COUNTA(生物种群!$C:$C)),),),INDEX(生物种群!$A$3:INDEX(生物种群!$A:$A,COUNTA(生物种群!$A:$A)),MATCH($B331,生物种群!$D$3:INDEX(生物种群!$D:$D,COUNTA(生物种群!$D:$D)),),))),"")</f>
        <v/>
      </c>
      <c r="I331" s="56" t="str">
        <f>IF(H331="","",INDEX(生物种群!$B$3:INDEX(生物种群!$B:$B,COUNTA(生物种群!$B:$B)),MATCH($H331,生物种群!$A$3:INDEX(生物种群!$A:$A,COUNTA(生物种群!$A:$A)),),))</f>
        <v/>
      </c>
      <c r="J331" s="55" t="str">
        <f>IF(H331="","",INDEX(生物种群!$I$3:INDEX(生物种群!$I:$I,COUNTA(生物种群!$I:$I)),MATCH($H331,生物种群!$A$3:INDEX(生物种群!$A:$A,COUNTA(生物种群!$A:$A)),),))</f>
        <v/>
      </c>
      <c r="K331" s="55" t="str">
        <f>IF(H331="","",INDEX(生物种群!$E$3:INDEX(生物种群!$E:$E,COUNTA(生物种群!$E:$E)),MATCH($H331,生物种群!$A$3:INDEX(生物种群!$A:$A,COUNTA(生物种群!$A:$A)),),))</f>
        <v/>
      </c>
      <c r="L331" s="46" t="str">
        <f t="shared" si="18"/>
        <v/>
      </c>
      <c r="M331" s="47" t="str">
        <f>IF(L331="","",ROUND((L331)/VLOOKUP($F331,IF({1,0},站位样品信息!$A$3:INDEX(站位样品信息!$A:$A,COUNTA(站位样品信息!$A:$A)+1),站位样品信息!$H$3:INDEX(站位样品信息!$H:$H,COUNTA(站位样品信息!$H:$H)+1)),2,0),2))</f>
        <v/>
      </c>
      <c r="O331" s="49"/>
      <c r="P331" s="53" t="str">
        <f t="shared" si="19"/>
        <v/>
      </c>
      <c r="Q331" s="53" t="str">
        <f t="shared" si="20"/>
        <v/>
      </c>
    </row>
    <row r="332" spans="1:17" ht="19.5" customHeight="1">
      <c r="A332" s="38"/>
      <c r="B332" s="38"/>
      <c r="C332" s="38"/>
      <c r="D332" s="37"/>
      <c r="E332" s="37"/>
      <c r="F332" s="37"/>
      <c r="G332" s="37" t="str">
        <f>IF(F332="","",INDEX(站位样品信息!$B$3:INDEX(站位样品信息!$B:$B,COUNTA(站位样品信息!$B:$B)+1),MATCH($F332,站位样品信息!$A$3:INDEX(站位样品信息!$A:$A,COUNTA(站位样品信息!$A:$A)+1),),))</f>
        <v/>
      </c>
      <c r="H332" s="55" t="str">
        <f>IF(OR(A332&lt;&gt;"",B332&lt;&gt;"",C332&lt;&gt;""),IF($C332&lt;&gt;0,INDEX(生物种群!$A$3:INDEX(生物种群!$A:$A,COUNTA(生物种群!$A:$A)),MATCH($C332,生物种群!$F$3:INDEX(生物种群!$F:$F,COUNTA(生物种群!$F:$F)),),),IF($A332&lt;&gt;0,INDEX(生物种群!$A$3:INDEX(生物种群!$A:$A,COUNTA(生物种群!$A:$A)),MATCH($A332,生物种群!$C$3:INDEX(生物种群!$C:$C,COUNTA(生物种群!$C:$C)),),),INDEX(生物种群!$A$3:INDEX(生物种群!$A:$A,COUNTA(生物种群!$A:$A)),MATCH($B332,生物种群!$D$3:INDEX(生物种群!$D:$D,COUNTA(生物种群!$D:$D)),),))),"")</f>
        <v/>
      </c>
      <c r="I332" s="56" t="str">
        <f>IF(H332="","",INDEX(生物种群!$B$3:INDEX(生物种群!$B:$B,COUNTA(生物种群!$B:$B)),MATCH($H332,生物种群!$A$3:INDEX(生物种群!$A:$A,COUNTA(生物种群!$A:$A)),),))</f>
        <v/>
      </c>
      <c r="J332" s="55" t="str">
        <f>IF(H332="","",INDEX(生物种群!$I$3:INDEX(生物种群!$I:$I,COUNTA(生物种群!$I:$I)),MATCH($H332,生物种群!$A$3:INDEX(生物种群!$A:$A,COUNTA(生物种群!$A:$A)),),))</f>
        <v/>
      </c>
      <c r="K332" s="55" t="str">
        <f>IF(H332="","",INDEX(生物种群!$E$3:INDEX(生物种群!$E:$E,COUNTA(生物种群!$E:$E)),MATCH($H332,生物种群!$A$3:INDEX(生物种群!$A:$A,COUNTA(生物种群!$A:$A)),),))</f>
        <v/>
      </c>
      <c r="L332" s="46" t="str">
        <f t="shared" si="18"/>
        <v/>
      </c>
      <c r="M332" s="47" t="str">
        <f>IF(L332="","",ROUND((L332)/VLOOKUP($F332,IF({1,0},站位样品信息!$A$3:INDEX(站位样品信息!$A:$A,COUNTA(站位样品信息!$A:$A)+1),站位样品信息!$H$3:INDEX(站位样品信息!$H:$H,COUNTA(站位样品信息!$H:$H)+1)),2,0),2))</f>
        <v/>
      </c>
      <c r="O332" s="49"/>
      <c r="P332" s="53" t="str">
        <f t="shared" si="19"/>
        <v/>
      </c>
      <c r="Q332" s="53" t="str">
        <f t="shared" si="20"/>
        <v/>
      </c>
    </row>
    <row r="333" spans="1:17" ht="19.5" customHeight="1">
      <c r="A333" s="38"/>
      <c r="B333" s="38"/>
      <c r="C333" s="38"/>
      <c r="D333" s="37"/>
      <c r="E333" s="37"/>
      <c r="F333" s="37"/>
      <c r="G333" s="37" t="str">
        <f>IF(F333="","",INDEX(站位样品信息!$B$3:INDEX(站位样品信息!$B:$B,COUNTA(站位样品信息!$B:$B)+1),MATCH($F333,站位样品信息!$A$3:INDEX(站位样品信息!$A:$A,COUNTA(站位样品信息!$A:$A)+1),),))</f>
        <v/>
      </c>
      <c r="H333" s="55" t="str">
        <f>IF(OR(A333&lt;&gt;"",B333&lt;&gt;"",C333&lt;&gt;""),IF($C333&lt;&gt;0,INDEX(生物种群!$A$3:INDEX(生物种群!$A:$A,COUNTA(生物种群!$A:$A)),MATCH($C333,生物种群!$F$3:INDEX(生物种群!$F:$F,COUNTA(生物种群!$F:$F)),),),IF($A333&lt;&gt;0,INDEX(生物种群!$A$3:INDEX(生物种群!$A:$A,COUNTA(生物种群!$A:$A)),MATCH($A333,生物种群!$C$3:INDEX(生物种群!$C:$C,COUNTA(生物种群!$C:$C)),),),INDEX(生物种群!$A$3:INDEX(生物种群!$A:$A,COUNTA(生物种群!$A:$A)),MATCH($B333,生物种群!$D$3:INDEX(生物种群!$D:$D,COUNTA(生物种群!$D:$D)),),))),"")</f>
        <v/>
      </c>
      <c r="I333" s="56" t="str">
        <f>IF(H333="","",INDEX(生物种群!$B$3:INDEX(生物种群!$B:$B,COUNTA(生物种群!$B:$B)),MATCH($H333,生物种群!$A$3:INDEX(生物种群!$A:$A,COUNTA(生物种群!$A:$A)),),))</f>
        <v/>
      </c>
      <c r="J333" s="55" t="str">
        <f>IF(H333="","",INDEX(生物种群!$I$3:INDEX(生物种群!$I:$I,COUNTA(生物种群!$I:$I)),MATCH($H333,生物种群!$A$3:INDEX(生物种群!$A:$A,COUNTA(生物种群!$A:$A)),),))</f>
        <v/>
      </c>
      <c r="K333" s="55" t="str">
        <f>IF(H333="","",INDEX(生物种群!$E$3:INDEX(生物种群!$E:$E,COUNTA(生物种群!$E:$E)),MATCH($H333,生物种群!$A$3:INDEX(生物种群!$A:$A,COUNTA(生物种群!$A:$A)),),))</f>
        <v/>
      </c>
      <c r="L333" s="46" t="str">
        <f t="shared" si="21" ref="L333:L396">IFERROR(IF(OR(D333="",E333=""),"",D333/E333*100),"")</f>
        <v/>
      </c>
      <c r="M333" s="47" t="str">
        <f>IF(L333="","",ROUND((L333)/VLOOKUP($F333,IF({1,0},站位样品信息!$A$3:INDEX(站位样品信息!$A:$A,COUNTA(站位样品信息!$A:$A)+1),站位样品信息!$H$3:INDEX(站位样品信息!$H:$H,COUNTA(站位样品信息!$H:$H)+1)),2,0),2))</f>
        <v/>
      </c>
      <c r="O333" s="49"/>
      <c r="P333" s="53" t="str">
        <f t="shared" si="19"/>
        <v/>
      </c>
      <c r="Q333" s="53" t="str">
        <f t="shared" si="20"/>
        <v/>
      </c>
    </row>
    <row r="334" spans="1:17" ht="19.5" customHeight="1">
      <c r="A334" s="38"/>
      <c r="B334" s="38"/>
      <c r="C334" s="38"/>
      <c r="D334" s="37"/>
      <c r="E334" s="37"/>
      <c r="F334" s="37"/>
      <c r="G334" s="37" t="str">
        <f>IF(F334="","",INDEX(站位样品信息!$B$3:INDEX(站位样品信息!$B:$B,COUNTA(站位样品信息!$B:$B)+1),MATCH($F334,站位样品信息!$A$3:INDEX(站位样品信息!$A:$A,COUNTA(站位样品信息!$A:$A)+1),),))</f>
        <v/>
      </c>
      <c r="H334" s="55" t="str">
        <f>IF(OR(A334&lt;&gt;"",B334&lt;&gt;"",C334&lt;&gt;""),IF($C334&lt;&gt;0,INDEX(生物种群!$A$3:INDEX(生物种群!$A:$A,COUNTA(生物种群!$A:$A)),MATCH($C334,生物种群!$F$3:INDEX(生物种群!$F:$F,COUNTA(生物种群!$F:$F)),),),IF($A334&lt;&gt;0,INDEX(生物种群!$A$3:INDEX(生物种群!$A:$A,COUNTA(生物种群!$A:$A)),MATCH($A334,生物种群!$C$3:INDEX(生物种群!$C:$C,COUNTA(生物种群!$C:$C)),),),INDEX(生物种群!$A$3:INDEX(生物种群!$A:$A,COUNTA(生物种群!$A:$A)),MATCH($B334,生物种群!$D$3:INDEX(生物种群!$D:$D,COUNTA(生物种群!$D:$D)),),))),"")</f>
        <v/>
      </c>
      <c r="I334" s="56" t="str">
        <f>IF(H334="","",INDEX(生物种群!$B$3:INDEX(生物种群!$B:$B,COUNTA(生物种群!$B:$B)),MATCH($H334,生物种群!$A$3:INDEX(生物种群!$A:$A,COUNTA(生物种群!$A:$A)),),))</f>
        <v/>
      </c>
      <c r="J334" s="55" t="str">
        <f>IF(H334="","",INDEX(生物种群!$I$3:INDEX(生物种群!$I:$I,COUNTA(生物种群!$I:$I)),MATCH($H334,生物种群!$A$3:INDEX(生物种群!$A:$A,COUNTA(生物种群!$A:$A)),),))</f>
        <v/>
      </c>
      <c r="K334" s="55" t="str">
        <f>IF(H334="","",INDEX(生物种群!$E$3:INDEX(生物种群!$E:$E,COUNTA(生物种群!$E:$E)),MATCH($H334,生物种群!$A$3:INDEX(生物种群!$A:$A,COUNTA(生物种群!$A:$A)),),))</f>
        <v/>
      </c>
      <c r="L334" s="46" t="str">
        <f t="shared" si="21"/>
        <v/>
      </c>
      <c r="M334" s="47" t="str">
        <f>IF(L334="","",ROUND((L334)/VLOOKUP($F334,IF({1,0},站位样品信息!$A$3:INDEX(站位样品信息!$A:$A,COUNTA(站位样品信息!$A:$A)+1),站位样品信息!$H$3:INDEX(站位样品信息!$H:$H,COUNTA(站位样品信息!$H:$H)+1)),2,0),2))</f>
        <v/>
      </c>
      <c r="O334" s="49"/>
      <c r="P334" s="53" t="str">
        <f t="shared" si="19"/>
        <v/>
      </c>
      <c r="Q334" s="53" t="str">
        <f t="shared" si="20"/>
        <v/>
      </c>
    </row>
    <row r="335" spans="1:17" ht="19.5" customHeight="1">
      <c r="A335" s="38"/>
      <c r="B335" s="38"/>
      <c r="C335" s="38"/>
      <c r="D335" s="37"/>
      <c r="E335" s="37"/>
      <c r="F335" s="37"/>
      <c r="G335" s="37" t="str">
        <f>IF(F335="","",INDEX(站位样品信息!$B$3:INDEX(站位样品信息!$B:$B,COUNTA(站位样品信息!$B:$B)+1),MATCH($F335,站位样品信息!$A$3:INDEX(站位样品信息!$A:$A,COUNTA(站位样品信息!$A:$A)+1),),))</f>
        <v/>
      </c>
      <c r="H335" s="55" t="str">
        <f>IF(OR(A335&lt;&gt;"",B335&lt;&gt;"",C335&lt;&gt;""),IF($C335&lt;&gt;0,INDEX(生物种群!$A$3:INDEX(生物种群!$A:$A,COUNTA(生物种群!$A:$A)),MATCH($C335,生物种群!$F$3:INDEX(生物种群!$F:$F,COUNTA(生物种群!$F:$F)),),),IF($A335&lt;&gt;0,INDEX(生物种群!$A$3:INDEX(生物种群!$A:$A,COUNTA(生物种群!$A:$A)),MATCH($A335,生物种群!$C$3:INDEX(生物种群!$C:$C,COUNTA(生物种群!$C:$C)),),),INDEX(生物种群!$A$3:INDEX(生物种群!$A:$A,COUNTA(生物种群!$A:$A)),MATCH($B335,生物种群!$D$3:INDEX(生物种群!$D:$D,COUNTA(生物种群!$D:$D)),),))),"")</f>
        <v/>
      </c>
      <c r="I335" s="56" t="str">
        <f>IF(H335="","",INDEX(生物种群!$B$3:INDEX(生物种群!$B:$B,COUNTA(生物种群!$B:$B)),MATCH($H335,生物种群!$A$3:INDEX(生物种群!$A:$A,COUNTA(生物种群!$A:$A)),),))</f>
        <v/>
      </c>
      <c r="J335" s="55" t="str">
        <f>IF(H335="","",INDEX(生物种群!$I$3:INDEX(生物种群!$I:$I,COUNTA(生物种群!$I:$I)),MATCH($H335,生物种群!$A$3:INDEX(生物种群!$A:$A,COUNTA(生物种群!$A:$A)),),))</f>
        <v/>
      </c>
      <c r="K335" s="55" t="str">
        <f>IF(H335="","",INDEX(生物种群!$E$3:INDEX(生物种群!$E:$E,COUNTA(生物种群!$E:$E)),MATCH($H335,生物种群!$A$3:INDEX(生物种群!$A:$A,COUNTA(生物种群!$A:$A)),),))</f>
        <v/>
      </c>
      <c r="L335" s="46" t="str">
        <f t="shared" si="21"/>
        <v/>
      </c>
      <c r="M335" s="47" t="str">
        <f>IF(L335="","",ROUND((L335)/VLOOKUP($F335,IF({1,0},站位样品信息!$A$3:INDEX(站位样品信息!$A:$A,COUNTA(站位样品信息!$A:$A)+1),站位样品信息!$H$3:INDEX(站位样品信息!$H:$H,COUNTA(站位样品信息!$H:$H)+1)),2,0),2))</f>
        <v/>
      </c>
      <c r="O335" s="49"/>
      <c r="P335" s="53" t="str">
        <f t="shared" si="19"/>
        <v/>
      </c>
      <c r="Q335" s="53" t="str">
        <f t="shared" si="20"/>
        <v/>
      </c>
    </row>
    <row r="336" spans="1:17" ht="19.5" customHeight="1">
      <c r="A336" s="38"/>
      <c r="B336" s="38"/>
      <c r="C336" s="38"/>
      <c r="D336" s="37"/>
      <c r="E336" s="37"/>
      <c r="F336" s="37"/>
      <c r="G336" s="37" t="str">
        <f>IF(F336="","",INDEX(站位样品信息!$B$3:INDEX(站位样品信息!$B:$B,COUNTA(站位样品信息!$B:$B)+1),MATCH($F336,站位样品信息!$A$3:INDEX(站位样品信息!$A:$A,COUNTA(站位样品信息!$A:$A)+1),),))</f>
        <v/>
      </c>
      <c r="H336" s="55" t="str">
        <f>IF(OR(A336&lt;&gt;"",B336&lt;&gt;"",C336&lt;&gt;""),IF($C336&lt;&gt;0,INDEX(生物种群!$A$3:INDEX(生物种群!$A:$A,COUNTA(生物种群!$A:$A)),MATCH($C336,生物种群!$F$3:INDEX(生物种群!$F:$F,COUNTA(生物种群!$F:$F)),),),IF($A336&lt;&gt;0,INDEX(生物种群!$A$3:INDEX(生物种群!$A:$A,COUNTA(生物种群!$A:$A)),MATCH($A336,生物种群!$C$3:INDEX(生物种群!$C:$C,COUNTA(生物种群!$C:$C)),),),INDEX(生物种群!$A$3:INDEX(生物种群!$A:$A,COUNTA(生物种群!$A:$A)),MATCH($B336,生物种群!$D$3:INDEX(生物种群!$D:$D,COUNTA(生物种群!$D:$D)),),))),"")</f>
        <v/>
      </c>
      <c r="I336" s="56" t="str">
        <f>IF(H336="","",INDEX(生物种群!$B$3:INDEX(生物种群!$B:$B,COUNTA(生物种群!$B:$B)),MATCH($H336,生物种群!$A$3:INDEX(生物种群!$A:$A,COUNTA(生物种群!$A:$A)),),))</f>
        <v/>
      </c>
      <c r="J336" s="55" t="str">
        <f>IF(H336="","",INDEX(生物种群!$I$3:INDEX(生物种群!$I:$I,COUNTA(生物种群!$I:$I)),MATCH($H336,生物种群!$A$3:INDEX(生物种群!$A:$A,COUNTA(生物种群!$A:$A)),),))</f>
        <v/>
      </c>
      <c r="K336" s="55" t="str">
        <f>IF(H336="","",INDEX(生物种群!$E$3:INDEX(生物种群!$E:$E,COUNTA(生物种群!$E:$E)),MATCH($H336,生物种群!$A$3:INDEX(生物种群!$A:$A,COUNTA(生物种群!$A:$A)),),))</f>
        <v/>
      </c>
      <c r="L336" s="46" t="str">
        <f t="shared" si="21"/>
        <v/>
      </c>
      <c r="M336" s="47" t="str">
        <f>IF(L336="","",ROUND((L336)/VLOOKUP($F336,IF({1,0},站位样品信息!$A$3:INDEX(站位样品信息!$A:$A,COUNTA(站位样品信息!$A:$A)+1),站位样品信息!$H$3:INDEX(站位样品信息!$H:$H,COUNTA(站位样品信息!$H:$H)+1)),2,0),2))</f>
        <v/>
      </c>
      <c r="O336" s="49"/>
      <c r="P336" s="53" t="str">
        <f t="shared" si="19"/>
        <v/>
      </c>
      <c r="Q336" s="53" t="str">
        <f t="shared" si="20"/>
        <v/>
      </c>
    </row>
    <row r="337" spans="1:17" ht="19.5" customHeight="1">
      <c r="A337" s="38"/>
      <c r="B337" s="38"/>
      <c r="C337" s="38"/>
      <c r="D337" s="37"/>
      <c r="E337" s="37"/>
      <c r="F337" s="37"/>
      <c r="G337" s="37" t="str">
        <f>IF(F337="","",INDEX(站位样品信息!$B$3:INDEX(站位样品信息!$B:$B,COUNTA(站位样品信息!$B:$B)+1),MATCH($F337,站位样品信息!$A$3:INDEX(站位样品信息!$A:$A,COUNTA(站位样品信息!$A:$A)+1),),))</f>
        <v/>
      </c>
      <c r="H337" s="55" t="str">
        <f>IF(OR(A337&lt;&gt;"",B337&lt;&gt;"",C337&lt;&gt;""),IF($C337&lt;&gt;0,INDEX(生物种群!$A$3:INDEX(生物种群!$A:$A,COUNTA(生物种群!$A:$A)),MATCH($C337,生物种群!$F$3:INDEX(生物种群!$F:$F,COUNTA(生物种群!$F:$F)),),),IF($A337&lt;&gt;0,INDEX(生物种群!$A$3:INDEX(生物种群!$A:$A,COUNTA(生物种群!$A:$A)),MATCH($A337,生物种群!$C$3:INDEX(生物种群!$C:$C,COUNTA(生物种群!$C:$C)),),),INDEX(生物种群!$A$3:INDEX(生物种群!$A:$A,COUNTA(生物种群!$A:$A)),MATCH($B337,生物种群!$D$3:INDEX(生物种群!$D:$D,COUNTA(生物种群!$D:$D)),),))),"")</f>
        <v/>
      </c>
      <c r="I337" s="56" t="str">
        <f>IF(H337="","",INDEX(生物种群!$B$3:INDEX(生物种群!$B:$B,COUNTA(生物种群!$B:$B)),MATCH($H337,生物种群!$A$3:INDEX(生物种群!$A:$A,COUNTA(生物种群!$A:$A)),),))</f>
        <v/>
      </c>
      <c r="J337" s="55" t="str">
        <f>IF(H337="","",INDEX(生物种群!$I$3:INDEX(生物种群!$I:$I,COUNTA(生物种群!$I:$I)),MATCH($H337,生物种群!$A$3:INDEX(生物种群!$A:$A,COUNTA(生物种群!$A:$A)),),))</f>
        <v/>
      </c>
      <c r="K337" s="55" t="str">
        <f>IF(H337="","",INDEX(生物种群!$E$3:INDEX(生物种群!$E:$E,COUNTA(生物种群!$E:$E)),MATCH($H337,生物种群!$A$3:INDEX(生物种群!$A:$A,COUNTA(生物种群!$A:$A)),),))</f>
        <v/>
      </c>
      <c r="L337" s="46" t="str">
        <f t="shared" si="21"/>
        <v/>
      </c>
      <c r="M337" s="47" t="str">
        <f>IF(L337="","",ROUND((L337)/VLOOKUP($F337,IF({1,0},站位样品信息!$A$3:INDEX(站位样品信息!$A:$A,COUNTA(站位样品信息!$A:$A)+1),站位样品信息!$H$3:INDEX(站位样品信息!$H:$H,COUNTA(站位样品信息!$H:$H)+1)),2,0),2))</f>
        <v/>
      </c>
      <c r="O337" s="49"/>
      <c r="P337" s="53" t="str">
        <f t="shared" si="19"/>
        <v/>
      </c>
      <c r="Q337" s="53" t="str">
        <f t="shared" si="20"/>
        <v/>
      </c>
    </row>
    <row r="338" spans="1:17" ht="19.5" customHeight="1">
      <c r="A338" s="38"/>
      <c r="B338" s="38"/>
      <c r="C338" s="38"/>
      <c r="D338" s="37"/>
      <c r="E338" s="37"/>
      <c r="F338" s="37"/>
      <c r="G338" s="37" t="str">
        <f>IF(F338="","",INDEX(站位样品信息!$B$3:INDEX(站位样品信息!$B:$B,COUNTA(站位样品信息!$B:$B)+1),MATCH($F338,站位样品信息!$A$3:INDEX(站位样品信息!$A:$A,COUNTA(站位样品信息!$A:$A)+1),),))</f>
        <v/>
      </c>
      <c r="H338" s="55" t="str">
        <f>IF(OR(A338&lt;&gt;"",B338&lt;&gt;"",C338&lt;&gt;""),IF($C338&lt;&gt;0,INDEX(生物种群!$A$3:INDEX(生物种群!$A:$A,COUNTA(生物种群!$A:$A)),MATCH($C338,生物种群!$F$3:INDEX(生物种群!$F:$F,COUNTA(生物种群!$F:$F)),),),IF($A338&lt;&gt;0,INDEX(生物种群!$A$3:INDEX(生物种群!$A:$A,COUNTA(生物种群!$A:$A)),MATCH($A338,生物种群!$C$3:INDEX(生物种群!$C:$C,COUNTA(生物种群!$C:$C)),),),INDEX(生物种群!$A$3:INDEX(生物种群!$A:$A,COUNTA(生物种群!$A:$A)),MATCH($B338,生物种群!$D$3:INDEX(生物种群!$D:$D,COUNTA(生物种群!$D:$D)),),))),"")</f>
        <v/>
      </c>
      <c r="I338" s="56" t="str">
        <f>IF(H338="","",INDEX(生物种群!$B$3:INDEX(生物种群!$B:$B,COUNTA(生物种群!$B:$B)),MATCH($H338,生物种群!$A$3:INDEX(生物种群!$A:$A,COUNTA(生物种群!$A:$A)),),))</f>
        <v/>
      </c>
      <c r="J338" s="55" t="str">
        <f>IF(H338="","",INDEX(生物种群!$I$3:INDEX(生物种群!$I:$I,COUNTA(生物种群!$I:$I)),MATCH($H338,生物种群!$A$3:INDEX(生物种群!$A:$A,COUNTA(生物种群!$A:$A)),),))</f>
        <v/>
      </c>
      <c r="K338" s="55" t="str">
        <f>IF(H338="","",INDEX(生物种群!$E$3:INDEX(生物种群!$E:$E,COUNTA(生物种群!$E:$E)),MATCH($H338,生物种群!$A$3:INDEX(生物种群!$A:$A,COUNTA(生物种群!$A:$A)),),))</f>
        <v/>
      </c>
      <c r="L338" s="46" t="str">
        <f t="shared" si="21"/>
        <v/>
      </c>
      <c r="M338" s="47" t="str">
        <f>IF(L338="","",ROUND((L338)/VLOOKUP($F338,IF({1,0},站位样品信息!$A$3:INDEX(站位样品信息!$A:$A,COUNTA(站位样品信息!$A:$A)+1),站位样品信息!$H$3:INDEX(站位样品信息!$H:$H,COUNTA(站位样品信息!$H:$H)+1)),2,0),2))</f>
        <v/>
      </c>
      <c r="O338" s="49"/>
      <c r="P338" s="53" t="str">
        <f t="shared" si="19"/>
        <v/>
      </c>
      <c r="Q338" s="53" t="str">
        <f t="shared" si="20"/>
        <v/>
      </c>
    </row>
    <row r="339" spans="1:17" ht="19.5" customHeight="1">
      <c r="A339" s="38"/>
      <c r="B339" s="38"/>
      <c r="C339" s="38"/>
      <c r="D339" s="37"/>
      <c r="E339" s="37"/>
      <c r="F339" s="37"/>
      <c r="G339" s="37" t="str">
        <f>IF(F339="","",INDEX(站位样品信息!$B$3:INDEX(站位样品信息!$B:$B,COUNTA(站位样品信息!$B:$B)+1),MATCH($F339,站位样品信息!$A$3:INDEX(站位样品信息!$A:$A,COUNTA(站位样品信息!$A:$A)+1),),))</f>
        <v/>
      </c>
      <c r="H339" s="55" t="str">
        <f>IF(OR(A339&lt;&gt;"",B339&lt;&gt;"",C339&lt;&gt;""),IF($C339&lt;&gt;0,INDEX(生物种群!$A$3:INDEX(生物种群!$A:$A,COUNTA(生物种群!$A:$A)),MATCH($C339,生物种群!$F$3:INDEX(生物种群!$F:$F,COUNTA(生物种群!$F:$F)),),),IF($A339&lt;&gt;0,INDEX(生物种群!$A$3:INDEX(生物种群!$A:$A,COUNTA(生物种群!$A:$A)),MATCH($A339,生物种群!$C$3:INDEX(生物种群!$C:$C,COUNTA(生物种群!$C:$C)),),),INDEX(生物种群!$A$3:INDEX(生物种群!$A:$A,COUNTA(生物种群!$A:$A)),MATCH($B339,生物种群!$D$3:INDEX(生物种群!$D:$D,COUNTA(生物种群!$D:$D)),),))),"")</f>
        <v/>
      </c>
      <c r="I339" s="56" t="str">
        <f>IF(H339="","",INDEX(生物种群!$B$3:INDEX(生物种群!$B:$B,COUNTA(生物种群!$B:$B)),MATCH($H339,生物种群!$A$3:INDEX(生物种群!$A:$A,COUNTA(生物种群!$A:$A)),),))</f>
        <v/>
      </c>
      <c r="J339" s="55" t="str">
        <f>IF(H339="","",INDEX(生物种群!$I$3:INDEX(生物种群!$I:$I,COUNTA(生物种群!$I:$I)),MATCH($H339,生物种群!$A$3:INDEX(生物种群!$A:$A,COUNTA(生物种群!$A:$A)),),))</f>
        <v/>
      </c>
      <c r="K339" s="55" t="str">
        <f>IF(H339="","",INDEX(生物种群!$E$3:INDEX(生物种群!$E:$E,COUNTA(生物种群!$E:$E)),MATCH($H339,生物种群!$A$3:INDEX(生物种群!$A:$A,COUNTA(生物种群!$A:$A)),),))</f>
        <v/>
      </c>
      <c r="L339" s="46" t="str">
        <f t="shared" si="21"/>
        <v/>
      </c>
      <c r="M339" s="47" t="str">
        <f>IF(L339="","",ROUND((L339)/VLOOKUP($F339,IF({1,0},站位样品信息!$A$3:INDEX(站位样品信息!$A:$A,COUNTA(站位样品信息!$A:$A)+1),站位样品信息!$H$3:INDEX(站位样品信息!$H:$H,COUNTA(站位样品信息!$H:$H)+1)),2,0),2))</f>
        <v/>
      </c>
      <c r="O339" s="49"/>
      <c r="P339" s="53" t="str">
        <f t="shared" si="19"/>
        <v/>
      </c>
      <c r="Q339" s="53" t="str">
        <f t="shared" si="20"/>
        <v/>
      </c>
    </row>
    <row r="340" spans="1:17" ht="19.5" customHeight="1">
      <c r="A340" s="38"/>
      <c r="B340" s="38"/>
      <c r="C340" s="38"/>
      <c r="D340" s="37"/>
      <c r="E340" s="37"/>
      <c r="F340" s="37"/>
      <c r="G340" s="37" t="str">
        <f>IF(F340="","",INDEX(站位样品信息!$B$3:INDEX(站位样品信息!$B:$B,COUNTA(站位样品信息!$B:$B)+1),MATCH($F340,站位样品信息!$A$3:INDEX(站位样品信息!$A:$A,COUNTA(站位样品信息!$A:$A)+1),),))</f>
        <v/>
      </c>
      <c r="H340" s="55" t="str">
        <f>IF(OR(A340&lt;&gt;"",B340&lt;&gt;"",C340&lt;&gt;""),IF($C340&lt;&gt;0,INDEX(生物种群!$A$3:INDEX(生物种群!$A:$A,COUNTA(生物种群!$A:$A)),MATCH($C340,生物种群!$F$3:INDEX(生物种群!$F:$F,COUNTA(生物种群!$F:$F)),),),IF($A340&lt;&gt;0,INDEX(生物种群!$A$3:INDEX(生物种群!$A:$A,COUNTA(生物种群!$A:$A)),MATCH($A340,生物种群!$C$3:INDEX(生物种群!$C:$C,COUNTA(生物种群!$C:$C)),),),INDEX(生物种群!$A$3:INDEX(生物种群!$A:$A,COUNTA(生物种群!$A:$A)),MATCH($B340,生物种群!$D$3:INDEX(生物种群!$D:$D,COUNTA(生物种群!$D:$D)),),))),"")</f>
        <v/>
      </c>
      <c r="I340" s="56" t="str">
        <f>IF(H340="","",INDEX(生物种群!$B$3:INDEX(生物种群!$B:$B,COUNTA(生物种群!$B:$B)),MATCH($H340,生物种群!$A$3:INDEX(生物种群!$A:$A,COUNTA(生物种群!$A:$A)),),))</f>
        <v/>
      </c>
      <c r="J340" s="55" t="str">
        <f>IF(H340="","",INDEX(生物种群!$I$3:INDEX(生物种群!$I:$I,COUNTA(生物种群!$I:$I)),MATCH($H340,生物种群!$A$3:INDEX(生物种群!$A:$A,COUNTA(生物种群!$A:$A)),),))</f>
        <v/>
      </c>
      <c r="K340" s="55" t="str">
        <f>IF(H340="","",INDEX(生物种群!$E$3:INDEX(生物种群!$E:$E,COUNTA(生物种群!$E:$E)),MATCH($H340,生物种群!$A$3:INDEX(生物种群!$A:$A,COUNTA(生物种群!$A:$A)),),))</f>
        <v/>
      </c>
      <c r="L340" s="46" t="str">
        <f t="shared" si="21"/>
        <v/>
      </c>
      <c r="M340" s="47" t="str">
        <f>IF(L340="","",ROUND((L340)/VLOOKUP($F340,IF({1,0},站位样品信息!$A$3:INDEX(站位样品信息!$A:$A,COUNTA(站位样品信息!$A:$A)+1),站位样品信息!$H$3:INDEX(站位样品信息!$H:$H,COUNTA(站位样品信息!$H:$H)+1)),2,0),2))</f>
        <v/>
      </c>
      <c r="O340" s="49"/>
      <c r="P340" s="53" t="str">
        <f t="shared" si="19"/>
        <v/>
      </c>
      <c r="Q340" s="53" t="str">
        <f t="shared" si="20"/>
        <v/>
      </c>
    </row>
    <row r="341" spans="1:17" ht="19.5" customHeight="1">
      <c r="A341" s="38"/>
      <c r="B341" s="38"/>
      <c r="C341" s="38"/>
      <c r="D341" s="37"/>
      <c r="E341" s="37"/>
      <c r="F341" s="37"/>
      <c r="G341" s="37" t="str">
        <f>IF(F341="","",INDEX(站位样品信息!$B$3:INDEX(站位样品信息!$B:$B,COUNTA(站位样品信息!$B:$B)+1),MATCH($F341,站位样品信息!$A$3:INDEX(站位样品信息!$A:$A,COUNTA(站位样品信息!$A:$A)+1),),))</f>
        <v/>
      </c>
      <c r="H341" s="55" t="str">
        <f>IF(OR(A341&lt;&gt;"",B341&lt;&gt;"",C341&lt;&gt;""),IF($C341&lt;&gt;0,INDEX(生物种群!$A$3:INDEX(生物种群!$A:$A,COUNTA(生物种群!$A:$A)),MATCH($C341,生物种群!$F$3:INDEX(生物种群!$F:$F,COUNTA(生物种群!$F:$F)),),),IF($A341&lt;&gt;0,INDEX(生物种群!$A$3:INDEX(生物种群!$A:$A,COUNTA(生物种群!$A:$A)),MATCH($A341,生物种群!$C$3:INDEX(生物种群!$C:$C,COUNTA(生物种群!$C:$C)),),),INDEX(生物种群!$A$3:INDEX(生物种群!$A:$A,COUNTA(生物种群!$A:$A)),MATCH($B341,生物种群!$D$3:INDEX(生物种群!$D:$D,COUNTA(生物种群!$D:$D)),),))),"")</f>
        <v/>
      </c>
      <c r="I341" s="56" t="str">
        <f>IF(H341="","",INDEX(生物种群!$B$3:INDEX(生物种群!$B:$B,COUNTA(生物种群!$B:$B)),MATCH($H341,生物种群!$A$3:INDEX(生物种群!$A:$A,COUNTA(生物种群!$A:$A)),),))</f>
        <v/>
      </c>
      <c r="J341" s="55" t="str">
        <f>IF(H341="","",INDEX(生物种群!$I$3:INDEX(生物种群!$I:$I,COUNTA(生物种群!$I:$I)),MATCH($H341,生物种群!$A$3:INDEX(生物种群!$A:$A,COUNTA(生物种群!$A:$A)),),))</f>
        <v/>
      </c>
      <c r="K341" s="55" t="str">
        <f>IF(H341="","",INDEX(生物种群!$E$3:INDEX(生物种群!$E:$E,COUNTA(生物种群!$E:$E)),MATCH($H341,生物种群!$A$3:INDEX(生物种群!$A:$A,COUNTA(生物种群!$A:$A)),),))</f>
        <v/>
      </c>
      <c r="L341" s="46" t="str">
        <f t="shared" si="21"/>
        <v/>
      </c>
      <c r="M341" s="47" t="str">
        <f>IF(L341="","",ROUND((L341)/VLOOKUP($F341,IF({1,0},站位样品信息!$A$3:INDEX(站位样品信息!$A:$A,COUNTA(站位样品信息!$A:$A)+1),站位样品信息!$H$3:INDEX(站位样品信息!$H:$H,COUNTA(站位样品信息!$H:$H)+1)),2,0),2))</f>
        <v/>
      </c>
      <c r="O341" s="49"/>
      <c r="P341" s="53" t="str">
        <f t="shared" si="19"/>
        <v/>
      </c>
      <c r="Q341" s="53" t="str">
        <f t="shared" si="20"/>
        <v/>
      </c>
    </row>
    <row r="342" spans="1:17" ht="19.5" customHeight="1">
      <c r="A342" s="38"/>
      <c r="B342" s="38"/>
      <c r="C342" s="38"/>
      <c r="D342" s="37"/>
      <c r="E342" s="37"/>
      <c r="F342" s="37"/>
      <c r="G342" s="37" t="str">
        <f>IF(F342="","",INDEX(站位样品信息!$B$3:INDEX(站位样品信息!$B:$B,COUNTA(站位样品信息!$B:$B)+1),MATCH($F342,站位样品信息!$A$3:INDEX(站位样品信息!$A:$A,COUNTA(站位样品信息!$A:$A)+1),),))</f>
        <v/>
      </c>
      <c r="H342" s="55" t="str">
        <f>IF(OR(A342&lt;&gt;"",B342&lt;&gt;"",C342&lt;&gt;""),IF($C342&lt;&gt;0,INDEX(生物种群!$A$3:INDEX(生物种群!$A:$A,COUNTA(生物种群!$A:$A)),MATCH($C342,生物种群!$F$3:INDEX(生物种群!$F:$F,COUNTA(生物种群!$F:$F)),),),IF($A342&lt;&gt;0,INDEX(生物种群!$A$3:INDEX(生物种群!$A:$A,COUNTA(生物种群!$A:$A)),MATCH($A342,生物种群!$C$3:INDEX(生物种群!$C:$C,COUNTA(生物种群!$C:$C)),),),INDEX(生物种群!$A$3:INDEX(生物种群!$A:$A,COUNTA(生物种群!$A:$A)),MATCH($B342,生物种群!$D$3:INDEX(生物种群!$D:$D,COUNTA(生物种群!$D:$D)),),))),"")</f>
        <v/>
      </c>
      <c r="I342" s="56" t="str">
        <f>IF(H342="","",INDEX(生物种群!$B$3:INDEX(生物种群!$B:$B,COUNTA(生物种群!$B:$B)),MATCH($H342,生物种群!$A$3:INDEX(生物种群!$A:$A,COUNTA(生物种群!$A:$A)),),))</f>
        <v/>
      </c>
      <c r="J342" s="55" t="str">
        <f>IF(H342="","",INDEX(生物种群!$I$3:INDEX(生物种群!$I:$I,COUNTA(生物种群!$I:$I)),MATCH($H342,生物种群!$A$3:INDEX(生物种群!$A:$A,COUNTA(生物种群!$A:$A)),),))</f>
        <v/>
      </c>
      <c r="K342" s="55" t="str">
        <f>IF(H342="","",INDEX(生物种群!$E$3:INDEX(生物种群!$E:$E,COUNTA(生物种群!$E:$E)),MATCH($H342,生物种群!$A$3:INDEX(生物种群!$A:$A,COUNTA(生物种群!$A:$A)),),))</f>
        <v/>
      </c>
      <c r="L342" s="46" t="str">
        <f t="shared" si="21"/>
        <v/>
      </c>
      <c r="M342" s="47" t="str">
        <f>IF(L342="","",ROUND((L342)/VLOOKUP($F342,IF({1,0},站位样品信息!$A$3:INDEX(站位样品信息!$A:$A,COUNTA(站位样品信息!$A:$A)+1),站位样品信息!$H$3:INDEX(站位样品信息!$H:$H,COUNTA(站位样品信息!$H:$H)+1)),2,0),2))</f>
        <v/>
      </c>
      <c r="O342" s="49"/>
      <c r="P342" s="53" t="str">
        <f t="shared" si="19"/>
        <v/>
      </c>
      <c r="Q342" s="53" t="str">
        <f t="shared" si="20"/>
        <v/>
      </c>
    </row>
    <row r="343" spans="1:17" ht="19.5" customHeight="1">
      <c r="A343" s="38"/>
      <c r="B343" s="38"/>
      <c r="C343" s="38"/>
      <c r="D343" s="37"/>
      <c r="E343" s="37"/>
      <c r="F343" s="37"/>
      <c r="G343" s="37" t="str">
        <f>IF(F343="","",INDEX(站位样品信息!$B$3:INDEX(站位样品信息!$B:$B,COUNTA(站位样品信息!$B:$B)+1),MATCH($F343,站位样品信息!$A$3:INDEX(站位样品信息!$A:$A,COUNTA(站位样品信息!$A:$A)+1),),))</f>
        <v/>
      </c>
      <c r="H343" s="55" t="str">
        <f>IF(OR(A343&lt;&gt;"",B343&lt;&gt;"",C343&lt;&gt;""),IF($C343&lt;&gt;0,INDEX(生物种群!$A$3:INDEX(生物种群!$A:$A,COUNTA(生物种群!$A:$A)),MATCH($C343,生物种群!$F$3:INDEX(生物种群!$F:$F,COUNTA(生物种群!$F:$F)),),),IF($A343&lt;&gt;0,INDEX(生物种群!$A$3:INDEX(生物种群!$A:$A,COUNTA(生物种群!$A:$A)),MATCH($A343,生物种群!$C$3:INDEX(生物种群!$C:$C,COUNTA(生物种群!$C:$C)),),),INDEX(生物种群!$A$3:INDEX(生物种群!$A:$A,COUNTA(生物种群!$A:$A)),MATCH($B343,生物种群!$D$3:INDEX(生物种群!$D:$D,COUNTA(生物种群!$D:$D)),),))),"")</f>
        <v/>
      </c>
      <c r="I343" s="56" t="str">
        <f>IF(H343="","",INDEX(生物种群!$B$3:INDEX(生物种群!$B:$B,COUNTA(生物种群!$B:$B)),MATCH($H343,生物种群!$A$3:INDEX(生物种群!$A:$A,COUNTA(生物种群!$A:$A)),),))</f>
        <v/>
      </c>
      <c r="J343" s="55" t="str">
        <f>IF(H343="","",INDEX(生物种群!$I$3:INDEX(生物种群!$I:$I,COUNTA(生物种群!$I:$I)),MATCH($H343,生物种群!$A$3:INDEX(生物种群!$A:$A,COUNTA(生物种群!$A:$A)),),))</f>
        <v/>
      </c>
      <c r="K343" s="55" t="str">
        <f>IF(H343="","",INDEX(生物种群!$E$3:INDEX(生物种群!$E:$E,COUNTA(生物种群!$E:$E)),MATCH($H343,生物种群!$A$3:INDEX(生物种群!$A:$A,COUNTA(生物种群!$A:$A)),),))</f>
        <v/>
      </c>
      <c r="L343" s="46" t="str">
        <f t="shared" si="21"/>
        <v/>
      </c>
      <c r="M343" s="47" t="str">
        <f>IF(L343="","",ROUND((L343)/VLOOKUP($F343,IF({1,0},站位样品信息!$A$3:INDEX(站位样品信息!$A:$A,COUNTA(站位样品信息!$A:$A)+1),站位样品信息!$H$3:INDEX(站位样品信息!$H:$H,COUNTA(站位样品信息!$H:$H)+1)),2,0),2))</f>
        <v/>
      </c>
      <c r="O343" s="49"/>
      <c r="P343" s="53" t="str">
        <f t="shared" si="19"/>
        <v/>
      </c>
      <c r="Q343" s="53" t="str">
        <f t="shared" si="20"/>
        <v/>
      </c>
    </row>
    <row r="344" spans="1:17" ht="19.5" customHeight="1">
      <c r="A344" s="38"/>
      <c r="B344" s="38"/>
      <c r="C344" s="38"/>
      <c r="D344" s="37"/>
      <c r="E344" s="37"/>
      <c r="F344" s="37"/>
      <c r="G344" s="37" t="str">
        <f>IF(F344="","",INDEX(站位样品信息!$B$3:INDEX(站位样品信息!$B:$B,COUNTA(站位样品信息!$B:$B)+1),MATCH($F344,站位样品信息!$A$3:INDEX(站位样品信息!$A:$A,COUNTA(站位样品信息!$A:$A)+1),),))</f>
        <v/>
      </c>
      <c r="H344" s="55" t="str">
        <f>IF(OR(A344&lt;&gt;"",B344&lt;&gt;"",C344&lt;&gt;""),IF($C344&lt;&gt;0,INDEX(生物种群!$A$3:INDEX(生物种群!$A:$A,COUNTA(生物种群!$A:$A)),MATCH($C344,生物种群!$F$3:INDEX(生物种群!$F:$F,COUNTA(生物种群!$F:$F)),),),IF($A344&lt;&gt;0,INDEX(生物种群!$A$3:INDEX(生物种群!$A:$A,COUNTA(生物种群!$A:$A)),MATCH($A344,生物种群!$C$3:INDEX(生物种群!$C:$C,COUNTA(生物种群!$C:$C)),),),INDEX(生物种群!$A$3:INDEX(生物种群!$A:$A,COUNTA(生物种群!$A:$A)),MATCH($B344,生物种群!$D$3:INDEX(生物种群!$D:$D,COUNTA(生物种群!$D:$D)),),))),"")</f>
        <v/>
      </c>
      <c r="I344" s="56" t="str">
        <f>IF(H344="","",INDEX(生物种群!$B$3:INDEX(生物种群!$B:$B,COUNTA(生物种群!$B:$B)),MATCH($H344,生物种群!$A$3:INDEX(生物种群!$A:$A,COUNTA(生物种群!$A:$A)),),))</f>
        <v/>
      </c>
      <c r="J344" s="55" t="str">
        <f>IF(H344="","",INDEX(生物种群!$I$3:INDEX(生物种群!$I:$I,COUNTA(生物种群!$I:$I)),MATCH($H344,生物种群!$A$3:INDEX(生物种群!$A:$A,COUNTA(生物种群!$A:$A)),),))</f>
        <v/>
      </c>
      <c r="K344" s="55" t="str">
        <f>IF(H344="","",INDEX(生物种群!$E$3:INDEX(生物种群!$E:$E,COUNTA(生物种群!$E:$E)),MATCH($H344,生物种群!$A$3:INDEX(生物种群!$A:$A,COUNTA(生物种群!$A:$A)),),))</f>
        <v/>
      </c>
      <c r="L344" s="46" t="str">
        <f t="shared" si="21"/>
        <v/>
      </c>
      <c r="M344" s="47" t="str">
        <f>IF(L344="","",ROUND((L344)/VLOOKUP($F344,IF({1,0},站位样品信息!$A$3:INDEX(站位样品信息!$A:$A,COUNTA(站位样品信息!$A:$A)+1),站位样品信息!$H$3:INDEX(站位样品信息!$H:$H,COUNTA(站位样品信息!$H:$H)+1)),2,0),2))</f>
        <v/>
      </c>
      <c r="O344" s="49"/>
      <c r="P344" s="53" t="str">
        <f t="shared" si="19"/>
        <v/>
      </c>
      <c r="Q344" s="53" t="str">
        <f t="shared" si="20"/>
        <v/>
      </c>
    </row>
    <row r="345" spans="1:17" ht="19.5" customHeight="1">
      <c r="A345" s="38"/>
      <c r="B345" s="38"/>
      <c r="C345" s="38"/>
      <c r="D345" s="37"/>
      <c r="E345" s="37"/>
      <c r="F345" s="37"/>
      <c r="G345" s="37" t="str">
        <f>IF(F345="","",INDEX(站位样品信息!$B$3:INDEX(站位样品信息!$B:$B,COUNTA(站位样品信息!$B:$B)+1),MATCH($F345,站位样品信息!$A$3:INDEX(站位样品信息!$A:$A,COUNTA(站位样品信息!$A:$A)+1),),))</f>
        <v/>
      </c>
      <c r="H345" s="55" t="str">
        <f>IF(OR(A345&lt;&gt;"",B345&lt;&gt;"",C345&lt;&gt;""),IF($C345&lt;&gt;0,INDEX(生物种群!$A$3:INDEX(生物种群!$A:$A,COUNTA(生物种群!$A:$A)),MATCH($C345,生物种群!$F$3:INDEX(生物种群!$F:$F,COUNTA(生物种群!$F:$F)),),),IF($A345&lt;&gt;0,INDEX(生物种群!$A$3:INDEX(生物种群!$A:$A,COUNTA(生物种群!$A:$A)),MATCH($A345,生物种群!$C$3:INDEX(生物种群!$C:$C,COUNTA(生物种群!$C:$C)),),),INDEX(生物种群!$A$3:INDEX(生物种群!$A:$A,COUNTA(生物种群!$A:$A)),MATCH($B345,生物种群!$D$3:INDEX(生物种群!$D:$D,COUNTA(生物种群!$D:$D)),),))),"")</f>
        <v/>
      </c>
      <c r="I345" s="56" t="str">
        <f>IF(H345="","",INDEX(生物种群!$B$3:INDEX(生物种群!$B:$B,COUNTA(生物种群!$B:$B)),MATCH($H345,生物种群!$A$3:INDEX(生物种群!$A:$A,COUNTA(生物种群!$A:$A)),),))</f>
        <v/>
      </c>
      <c r="J345" s="55" t="str">
        <f>IF(H345="","",INDEX(生物种群!$I$3:INDEX(生物种群!$I:$I,COUNTA(生物种群!$I:$I)),MATCH($H345,生物种群!$A$3:INDEX(生物种群!$A:$A,COUNTA(生物种群!$A:$A)),),))</f>
        <v/>
      </c>
      <c r="K345" s="55" t="str">
        <f>IF(H345="","",INDEX(生物种群!$E$3:INDEX(生物种群!$E:$E,COUNTA(生物种群!$E:$E)),MATCH($H345,生物种群!$A$3:INDEX(生物种群!$A:$A,COUNTA(生物种群!$A:$A)),),))</f>
        <v/>
      </c>
      <c r="L345" s="46" t="str">
        <f t="shared" si="21"/>
        <v/>
      </c>
      <c r="M345" s="47" t="str">
        <f>IF(L345="","",ROUND((L345)/VLOOKUP($F345,IF({1,0},站位样品信息!$A$3:INDEX(站位样品信息!$A:$A,COUNTA(站位样品信息!$A:$A)+1),站位样品信息!$H$3:INDEX(站位样品信息!$H:$H,COUNTA(站位样品信息!$H:$H)+1)),2,0),2))</f>
        <v/>
      </c>
      <c r="O345" s="49"/>
      <c r="P345" s="53" t="str">
        <f t="shared" si="19"/>
        <v/>
      </c>
      <c r="Q345" s="53" t="str">
        <f t="shared" si="20"/>
        <v/>
      </c>
    </row>
    <row r="346" spans="1:17" ht="19.5" customHeight="1">
      <c r="A346" s="38"/>
      <c r="B346" s="38"/>
      <c r="C346" s="38"/>
      <c r="D346" s="37"/>
      <c r="E346" s="37"/>
      <c r="F346" s="37"/>
      <c r="G346" s="37" t="str">
        <f>IF(F346="","",INDEX(站位样品信息!$B$3:INDEX(站位样品信息!$B:$B,COUNTA(站位样品信息!$B:$B)+1),MATCH($F346,站位样品信息!$A$3:INDEX(站位样品信息!$A:$A,COUNTA(站位样品信息!$A:$A)+1),),))</f>
        <v/>
      </c>
      <c r="H346" s="55" t="str">
        <f>IF(OR(A346&lt;&gt;"",B346&lt;&gt;"",C346&lt;&gt;""),IF($C346&lt;&gt;0,INDEX(生物种群!$A$3:INDEX(生物种群!$A:$A,COUNTA(生物种群!$A:$A)),MATCH($C346,生物种群!$F$3:INDEX(生物种群!$F:$F,COUNTA(生物种群!$F:$F)),),),IF($A346&lt;&gt;0,INDEX(生物种群!$A$3:INDEX(生物种群!$A:$A,COUNTA(生物种群!$A:$A)),MATCH($A346,生物种群!$C$3:INDEX(生物种群!$C:$C,COUNTA(生物种群!$C:$C)),),),INDEX(生物种群!$A$3:INDEX(生物种群!$A:$A,COUNTA(生物种群!$A:$A)),MATCH($B346,生物种群!$D$3:INDEX(生物种群!$D:$D,COUNTA(生物种群!$D:$D)),),))),"")</f>
        <v/>
      </c>
      <c r="I346" s="56" t="str">
        <f>IF(H346="","",INDEX(生物种群!$B$3:INDEX(生物种群!$B:$B,COUNTA(生物种群!$B:$B)),MATCH($H346,生物种群!$A$3:INDEX(生物种群!$A:$A,COUNTA(生物种群!$A:$A)),),))</f>
        <v/>
      </c>
      <c r="J346" s="55" t="str">
        <f>IF(H346="","",INDEX(生物种群!$I$3:INDEX(生物种群!$I:$I,COUNTA(生物种群!$I:$I)),MATCH($H346,生物种群!$A$3:INDEX(生物种群!$A:$A,COUNTA(生物种群!$A:$A)),),))</f>
        <v/>
      </c>
      <c r="K346" s="55" t="str">
        <f>IF(H346="","",INDEX(生物种群!$E$3:INDEX(生物种群!$E:$E,COUNTA(生物种群!$E:$E)),MATCH($H346,生物种群!$A$3:INDEX(生物种群!$A:$A,COUNTA(生物种群!$A:$A)),),))</f>
        <v/>
      </c>
      <c r="L346" s="46" t="str">
        <f t="shared" si="21"/>
        <v/>
      </c>
      <c r="M346" s="47" t="str">
        <f>IF(L346="","",ROUND((L346)/VLOOKUP($F346,IF({1,0},站位样品信息!$A$3:INDEX(站位样品信息!$A:$A,COUNTA(站位样品信息!$A:$A)+1),站位样品信息!$H$3:INDEX(站位样品信息!$H:$H,COUNTA(站位样品信息!$H:$H)+1)),2,0),2))</f>
        <v/>
      </c>
      <c r="O346" s="49"/>
      <c r="P346" s="53" t="str">
        <f t="shared" si="19"/>
        <v/>
      </c>
      <c r="Q346" s="53" t="str">
        <f t="shared" si="20"/>
        <v/>
      </c>
    </row>
    <row r="347" spans="1:17" ht="19.5" customHeight="1">
      <c r="A347" s="38"/>
      <c r="B347" s="38"/>
      <c r="C347" s="38"/>
      <c r="D347" s="37"/>
      <c r="E347" s="37"/>
      <c r="F347" s="37"/>
      <c r="G347" s="37" t="str">
        <f>IF(F347="","",INDEX(站位样品信息!$B$3:INDEX(站位样品信息!$B:$B,COUNTA(站位样品信息!$B:$B)+1),MATCH($F347,站位样品信息!$A$3:INDEX(站位样品信息!$A:$A,COUNTA(站位样品信息!$A:$A)+1),),))</f>
        <v/>
      </c>
      <c r="H347" s="55" t="str">
        <f>IF(OR(A347&lt;&gt;"",B347&lt;&gt;"",C347&lt;&gt;""),IF($C347&lt;&gt;0,INDEX(生物种群!$A$3:INDEX(生物种群!$A:$A,COUNTA(生物种群!$A:$A)),MATCH($C347,生物种群!$F$3:INDEX(生物种群!$F:$F,COUNTA(生物种群!$F:$F)),),),IF($A347&lt;&gt;0,INDEX(生物种群!$A$3:INDEX(生物种群!$A:$A,COUNTA(生物种群!$A:$A)),MATCH($A347,生物种群!$C$3:INDEX(生物种群!$C:$C,COUNTA(生物种群!$C:$C)),),),INDEX(生物种群!$A$3:INDEX(生物种群!$A:$A,COUNTA(生物种群!$A:$A)),MATCH($B347,生物种群!$D$3:INDEX(生物种群!$D:$D,COUNTA(生物种群!$D:$D)),),))),"")</f>
        <v/>
      </c>
      <c r="I347" s="56" t="str">
        <f>IF(H347="","",INDEX(生物种群!$B$3:INDEX(生物种群!$B:$B,COUNTA(生物种群!$B:$B)),MATCH($H347,生物种群!$A$3:INDEX(生物种群!$A:$A,COUNTA(生物种群!$A:$A)),),))</f>
        <v/>
      </c>
      <c r="J347" s="55" t="str">
        <f>IF(H347="","",INDEX(生物种群!$I$3:INDEX(生物种群!$I:$I,COUNTA(生物种群!$I:$I)),MATCH($H347,生物种群!$A$3:INDEX(生物种群!$A:$A,COUNTA(生物种群!$A:$A)),),))</f>
        <v/>
      </c>
      <c r="K347" s="55" t="str">
        <f>IF(H347="","",INDEX(生物种群!$E$3:INDEX(生物种群!$E:$E,COUNTA(生物种群!$E:$E)),MATCH($H347,生物种群!$A$3:INDEX(生物种群!$A:$A,COUNTA(生物种群!$A:$A)),),))</f>
        <v/>
      </c>
      <c r="L347" s="46" t="str">
        <f t="shared" si="21"/>
        <v/>
      </c>
      <c r="M347" s="47" t="str">
        <f>IF(L347="","",ROUND((L347)/VLOOKUP($F347,IF({1,0},站位样品信息!$A$3:INDEX(站位样品信息!$A:$A,COUNTA(站位样品信息!$A:$A)+1),站位样品信息!$H$3:INDEX(站位样品信息!$H:$H,COUNTA(站位样品信息!$H:$H)+1)),2,0),2))</f>
        <v/>
      </c>
      <c r="O347" s="49"/>
      <c r="P347" s="53" t="str">
        <f t="shared" si="19"/>
        <v/>
      </c>
      <c r="Q347" s="53" t="str">
        <f t="shared" si="20"/>
        <v/>
      </c>
    </row>
    <row r="348" spans="1:17" ht="19.5" customHeight="1">
      <c r="A348" s="38"/>
      <c r="B348" s="38"/>
      <c r="C348" s="38"/>
      <c r="D348" s="37"/>
      <c r="E348" s="37"/>
      <c r="F348" s="37"/>
      <c r="G348" s="37" t="str">
        <f>IF(F348="","",INDEX(站位样品信息!$B$3:INDEX(站位样品信息!$B:$B,COUNTA(站位样品信息!$B:$B)+1),MATCH($F348,站位样品信息!$A$3:INDEX(站位样品信息!$A:$A,COUNTA(站位样品信息!$A:$A)+1),),))</f>
        <v/>
      </c>
      <c r="H348" s="55" t="str">
        <f>IF(OR(A348&lt;&gt;"",B348&lt;&gt;"",C348&lt;&gt;""),IF($C348&lt;&gt;0,INDEX(生物种群!$A$3:INDEX(生物种群!$A:$A,COUNTA(生物种群!$A:$A)),MATCH($C348,生物种群!$F$3:INDEX(生物种群!$F:$F,COUNTA(生物种群!$F:$F)),),),IF($A348&lt;&gt;0,INDEX(生物种群!$A$3:INDEX(生物种群!$A:$A,COUNTA(生物种群!$A:$A)),MATCH($A348,生物种群!$C$3:INDEX(生物种群!$C:$C,COUNTA(生物种群!$C:$C)),),),INDEX(生物种群!$A$3:INDEX(生物种群!$A:$A,COUNTA(生物种群!$A:$A)),MATCH($B348,生物种群!$D$3:INDEX(生物种群!$D:$D,COUNTA(生物种群!$D:$D)),),))),"")</f>
        <v/>
      </c>
      <c r="I348" s="56" t="str">
        <f>IF(H348="","",INDEX(生物种群!$B$3:INDEX(生物种群!$B:$B,COUNTA(生物种群!$B:$B)),MATCH($H348,生物种群!$A$3:INDEX(生物种群!$A:$A,COUNTA(生物种群!$A:$A)),),))</f>
        <v/>
      </c>
      <c r="J348" s="55" t="str">
        <f>IF(H348="","",INDEX(生物种群!$I$3:INDEX(生物种群!$I:$I,COUNTA(生物种群!$I:$I)),MATCH($H348,生物种群!$A$3:INDEX(生物种群!$A:$A,COUNTA(生物种群!$A:$A)),),))</f>
        <v/>
      </c>
      <c r="K348" s="55" t="str">
        <f>IF(H348="","",INDEX(生物种群!$E$3:INDEX(生物种群!$E:$E,COUNTA(生物种群!$E:$E)),MATCH($H348,生物种群!$A$3:INDEX(生物种群!$A:$A,COUNTA(生物种群!$A:$A)),),))</f>
        <v/>
      </c>
      <c r="L348" s="46" t="str">
        <f t="shared" si="21"/>
        <v/>
      </c>
      <c r="M348" s="47" t="str">
        <f>IF(L348="","",ROUND((L348)/VLOOKUP($F348,IF({1,0},站位样品信息!$A$3:INDEX(站位样品信息!$A:$A,COUNTA(站位样品信息!$A:$A)+1),站位样品信息!$H$3:INDEX(站位样品信息!$H:$H,COUNTA(站位样品信息!$H:$H)+1)),2,0),2))</f>
        <v/>
      </c>
      <c r="O348" s="49"/>
      <c r="P348" s="53" t="str">
        <f t="shared" si="19"/>
        <v/>
      </c>
      <c r="Q348" s="53" t="str">
        <f t="shared" si="20"/>
        <v/>
      </c>
    </row>
    <row r="349" spans="1:17" ht="19.5" customHeight="1">
      <c r="A349" s="38"/>
      <c r="B349" s="38"/>
      <c r="C349" s="38"/>
      <c r="D349" s="37"/>
      <c r="E349" s="37"/>
      <c r="F349" s="37"/>
      <c r="G349" s="37" t="str">
        <f>IF(F349="","",INDEX(站位样品信息!$B$3:INDEX(站位样品信息!$B:$B,COUNTA(站位样品信息!$B:$B)+1),MATCH($F349,站位样品信息!$A$3:INDEX(站位样品信息!$A:$A,COUNTA(站位样品信息!$A:$A)+1),),))</f>
        <v/>
      </c>
      <c r="H349" s="55" t="str">
        <f>IF(OR(A349&lt;&gt;"",B349&lt;&gt;"",C349&lt;&gt;""),IF($C349&lt;&gt;0,INDEX(生物种群!$A$3:INDEX(生物种群!$A:$A,COUNTA(生物种群!$A:$A)),MATCH($C349,生物种群!$F$3:INDEX(生物种群!$F:$F,COUNTA(生物种群!$F:$F)),),),IF($A349&lt;&gt;0,INDEX(生物种群!$A$3:INDEX(生物种群!$A:$A,COUNTA(生物种群!$A:$A)),MATCH($A349,生物种群!$C$3:INDEX(生物种群!$C:$C,COUNTA(生物种群!$C:$C)),),),INDEX(生物种群!$A$3:INDEX(生物种群!$A:$A,COUNTA(生物种群!$A:$A)),MATCH($B349,生物种群!$D$3:INDEX(生物种群!$D:$D,COUNTA(生物种群!$D:$D)),),))),"")</f>
        <v/>
      </c>
      <c r="I349" s="56" t="str">
        <f>IF(H349="","",INDEX(生物种群!$B$3:INDEX(生物种群!$B:$B,COUNTA(生物种群!$B:$B)),MATCH($H349,生物种群!$A$3:INDEX(生物种群!$A:$A,COUNTA(生物种群!$A:$A)),),))</f>
        <v/>
      </c>
      <c r="J349" s="55" t="str">
        <f>IF(H349="","",INDEX(生物种群!$I$3:INDEX(生物种群!$I:$I,COUNTA(生物种群!$I:$I)),MATCH($H349,生物种群!$A$3:INDEX(生物种群!$A:$A,COUNTA(生物种群!$A:$A)),),))</f>
        <v/>
      </c>
      <c r="K349" s="55" t="str">
        <f>IF(H349="","",INDEX(生物种群!$E$3:INDEX(生物种群!$E:$E,COUNTA(生物种群!$E:$E)),MATCH($H349,生物种群!$A$3:INDEX(生物种群!$A:$A,COUNTA(生物种群!$A:$A)),),))</f>
        <v/>
      </c>
      <c r="L349" s="46" t="str">
        <f t="shared" si="21"/>
        <v/>
      </c>
      <c r="M349" s="47" t="str">
        <f>IF(L349="","",ROUND((L349)/VLOOKUP($F349,IF({1,0},站位样品信息!$A$3:INDEX(站位样品信息!$A:$A,COUNTA(站位样品信息!$A:$A)+1),站位样品信息!$H$3:INDEX(站位样品信息!$H:$H,COUNTA(站位样品信息!$H:$H)+1)),2,0),2))</f>
        <v/>
      </c>
      <c r="O349" s="49"/>
      <c r="P349" s="53" t="str">
        <f t="shared" si="19"/>
        <v/>
      </c>
      <c r="Q349" s="53" t="str">
        <f t="shared" si="20"/>
        <v/>
      </c>
    </row>
    <row r="350" spans="1:17" ht="19.5" customHeight="1">
      <c r="A350" s="38"/>
      <c r="B350" s="38"/>
      <c r="C350" s="38"/>
      <c r="D350" s="37"/>
      <c r="E350" s="37"/>
      <c r="F350" s="37"/>
      <c r="G350" s="37" t="str">
        <f>IF(F350="","",INDEX(站位样品信息!$B$3:INDEX(站位样品信息!$B:$B,COUNTA(站位样品信息!$B:$B)+1),MATCH($F350,站位样品信息!$A$3:INDEX(站位样品信息!$A:$A,COUNTA(站位样品信息!$A:$A)+1),),))</f>
        <v/>
      </c>
      <c r="H350" s="55" t="str">
        <f>IF(OR(A350&lt;&gt;"",B350&lt;&gt;"",C350&lt;&gt;""),IF($C350&lt;&gt;0,INDEX(生物种群!$A$3:INDEX(生物种群!$A:$A,COUNTA(生物种群!$A:$A)),MATCH($C350,生物种群!$F$3:INDEX(生物种群!$F:$F,COUNTA(生物种群!$F:$F)),),),IF($A350&lt;&gt;0,INDEX(生物种群!$A$3:INDEX(生物种群!$A:$A,COUNTA(生物种群!$A:$A)),MATCH($A350,生物种群!$C$3:INDEX(生物种群!$C:$C,COUNTA(生物种群!$C:$C)),),),INDEX(生物种群!$A$3:INDEX(生物种群!$A:$A,COUNTA(生物种群!$A:$A)),MATCH($B350,生物种群!$D$3:INDEX(生物种群!$D:$D,COUNTA(生物种群!$D:$D)),),))),"")</f>
        <v/>
      </c>
      <c r="I350" s="56" t="str">
        <f>IF(H350="","",INDEX(生物种群!$B$3:INDEX(生物种群!$B:$B,COUNTA(生物种群!$B:$B)),MATCH($H350,生物种群!$A$3:INDEX(生物种群!$A:$A,COUNTA(生物种群!$A:$A)),),))</f>
        <v/>
      </c>
      <c r="J350" s="55" t="str">
        <f>IF(H350="","",INDEX(生物种群!$I$3:INDEX(生物种群!$I:$I,COUNTA(生物种群!$I:$I)),MATCH($H350,生物种群!$A$3:INDEX(生物种群!$A:$A,COUNTA(生物种群!$A:$A)),),))</f>
        <v/>
      </c>
      <c r="K350" s="55" t="str">
        <f>IF(H350="","",INDEX(生物种群!$E$3:INDEX(生物种群!$E:$E,COUNTA(生物种群!$E:$E)),MATCH($H350,生物种群!$A$3:INDEX(生物种群!$A:$A,COUNTA(生物种群!$A:$A)),),))</f>
        <v/>
      </c>
      <c r="L350" s="46" t="str">
        <f t="shared" si="21"/>
        <v/>
      </c>
      <c r="M350" s="47" t="str">
        <f>IF(L350="","",ROUND((L350)/VLOOKUP($F350,IF({1,0},站位样品信息!$A$3:INDEX(站位样品信息!$A:$A,COUNTA(站位样品信息!$A:$A)+1),站位样品信息!$H$3:INDEX(站位样品信息!$H:$H,COUNTA(站位样品信息!$H:$H)+1)),2,0),2))</f>
        <v/>
      </c>
      <c r="O350" s="49"/>
      <c r="P350" s="53" t="str">
        <f t="shared" si="19"/>
        <v/>
      </c>
      <c r="Q350" s="53" t="str">
        <f t="shared" si="20"/>
        <v/>
      </c>
    </row>
    <row r="351" spans="1:17" ht="19.5" customHeight="1">
      <c r="A351" s="38"/>
      <c r="B351" s="38"/>
      <c r="C351" s="38"/>
      <c r="D351" s="37"/>
      <c r="E351" s="37"/>
      <c r="F351" s="37"/>
      <c r="G351" s="37" t="str">
        <f>IF(F351="","",INDEX(站位样品信息!$B$3:INDEX(站位样品信息!$B:$B,COUNTA(站位样品信息!$B:$B)+1),MATCH($F351,站位样品信息!$A$3:INDEX(站位样品信息!$A:$A,COUNTA(站位样品信息!$A:$A)+1),),))</f>
        <v/>
      </c>
      <c r="H351" s="55" t="str">
        <f>IF(OR(A351&lt;&gt;"",B351&lt;&gt;"",C351&lt;&gt;""),IF($C351&lt;&gt;0,INDEX(生物种群!$A$3:INDEX(生物种群!$A:$A,COUNTA(生物种群!$A:$A)),MATCH($C351,生物种群!$F$3:INDEX(生物种群!$F:$F,COUNTA(生物种群!$F:$F)),),),IF($A351&lt;&gt;0,INDEX(生物种群!$A$3:INDEX(生物种群!$A:$A,COUNTA(生物种群!$A:$A)),MATCH($A351,生物种群!$C$3:INDEX(生物种群!$C:$C,COUNTA(生物种群!$C:$C)),),),INDEX(生物种群!$A$3:INDEX(生物种群!$A:$A,COUNTA(生物种群!$A:$A)),MATCH($B351,生物种群!$D$3:INDEX(生物种群!$D:$D,COUNTA(生物种群!$D:$D)),),))),"")</f>
        <v/>
      </c>
      <c r="I351" s="56" t="str">
        <f>IF(H351="","",INDEX(生物种群!$B$3:INDEX(生物种群!$B:$B,COUNTA(生物种群!$B:$B)),MATCH($H351,生物种群!$A$3:INDEX(生物种群!$A:$A,COUNTA(生物种群!$A:$A)),),))</f>
        <v/>
      </c>
      <c r="J351" s="55" t="str">
        <f>IF(H351="","",INDEX(生物种群!$I$3:INDEX(生物种群!$I:$I,COUNTA(生物种群!$I:$I)),MATCH($H351,生物种群!$A$3:INDEX(生物种群!$A:$A,COUNTA(生物种群!$A:$A)),),))</f>
        <v/>
      </c>
      <c r="K351" s="55" t="str">
        <f>IF(H351="","",INDEX(生物种群!$E$3:INDEX(生物种群!$E:$E,COUNTA(生物种群!$E:$E)),MATCH($H351,生物种群!$A$3:INDEX(生物种群!$A:$A,COUNTA(生物种群!$A:$A)),),))</f>
        <v/>
      </c>
      <c r="L351" s="46" t="str">
        <f t="shared" si="21"/>
        <v/>
      </c>
      <c r="M351" s="47" t="str">
        <f>IF(L351="","",ROUND((L351)/VLOOKUP($F351,IF({1,0},站位样品信息!$A$3:INDEX(站位样品信息!$A:$A,COUNTA(站位样品信息!$A:$A)+1),站位样品信息!$H$3:INDEX(站位样品信息!$H:$H,COUNTA(站位样品信息!$H:$H)+1)),2,0),2))</f>
        <v/>
      </c>
      <c r="O351" s="49"/>
      <c r="P351" s="53" t="str">
        <f t="shared" si="19"/>
        <v/>
      </c>
      <c r="Q351" s="53" t="str">
        <f t="shared" si="20"/>
        <v/>
      </c>
    </row>
    <row r="352" spans="1:17" ht="19.5" customHeight="1">
      <c r="A352" s="38"/>
      <c r="B352" s="38"/>
      <c r="C352" s="38"/>
      <c r="D352" s="37"/>
      <c r="E352" s="37"/>
      <c r="F352" s="37"/>
      <c r="G352" s="37" t="str">
        <f>IF(F352="","",INDEX(站位样品信息!$B$3:INDEX(站位样品信息!$B:$B,COUNTA(站位样品信息!$B:$B)+1),MATCH($F352,站位样品信息!$A$3:INDEX(站位样品信息!$A:$A,COUNTA(站位样品信息!$A:$A)+1),),))</f>
        <v/>
      </c>
      <c r="H352" s="55" t="str">
        <f>IF(OR(A352&lt;&gt;"",B352&lt;&gt;"",C352&lt;&gt;""),IF($C352&lt;&gt;0,INDEX(生物种群!$A$3:INDEX(生物种群!$A:$A,COUNTA(生物种群!$A:$A)),MATCH($C352,生物种群!$F$3:INDEX(生物种群!$F:$F,COUNTA(生物种群!$F:$F)),),),IF($A352&lt;&gt;0,INDEX(生物种群!$A$3:INDEX(生物种群!$A:$A,COUNTA(生物种群!$A:$A)),MATCH($A352,生物种群!$C$3:INDEX(生物种群!$C:$C,COUNTA(生物种群!$C:$C)),),),INDEX(生物种群!$A$3:INDEX(生物种群!$A:$A,COUNTA(生物种群!$A:$A)),MATCH($B352,生物种群!$D$3:INDEX(生物种群!$D:$D,COUNTA(生物种群!$D:$D)),),))),"")</f>
        <v/>
      </c>
      <c r="I352" s="56" t="str">
        <f>IF(H352="","",INDEX(生物种群!$B$3:INDEX(生物种群!$B:$B,COUNTA(生物种群!$B:$B)),MATCH($H352,生物种群!$A$3:INDEX(生物种群!$A:$A,COUNTA(生物种群!$A:$A)),),))</f>
        <v/>
      </c>
      <c r="J352" s="55" t="str">
        <f>IF(H352="","",INDEX(生物种群!$I$3:INDEX(生物种群!$I:$I,COUNTA(生物种群!$I:$I)),MATCH($H352,生物种群!$A$3:INDEX(生物种群!$A:$A,COUNTA(生物种群!$A:$A)),),))</f>
        <v/>
      </c>
      <c r="K352" s="55" t="str">
        <f>IF(H352="","",INDEX(生物种群!$E$3:INDEX(生物种群!$E:$E,COUNTA(生物种群!$E:$E)),MATCH($H352,生物种群!$A$3:INDEX(生物种群!$A:$A,COUNTA(生物种群!$A:$A)),),))</f>
        <v/>
      </c>
      <c r="L352" s="46" t="str">
        <f t="shared" si="21"/>
        <v/>
      </c>
      <c r="M352" s="47" t="str">
        <f>IF(L352="","",ROUND((L352)/VLOOKUP($F352,IF({1,0},站位样品信息!$A$3:INDEX(站位样品信息!$A:$A,COUNTA(站位样品信息!$A:$A)+1),站位样品信息!$H$3:INDEX(站位样品信息!$H:$H,COUNTA(站位样品信息!$H:$H)+1)),2,0),2))</f>
        <v/>
      </c>
      <c r="O352" s="49"/>
      <c r="P352" s="53" t="str">
        <f t="shared" si="19"/>
        <v/>
      </c>
      <c r="Q352" s="53" t="str">
        <f t="shared" si="20"/>
        <v/>
      </c>
    </row>
    <row r="353" spans="1:17" ht="19.5" customHeight="1">
      <c r="A353" s="38"/>
      <c r="B353" s="38"/>
      <c r="C353" s="38"/>
      <c r="D353" s="37"/>
      <c r="E353" s="37"/>
      <c r="F353" s="37"/>
      <c r="G353" s="37" t="str">
        <f>IF(F353="","",INDEX(站位样品信息!$B$3:INDEX(站位样品信息!$B:$B,COUNTA(站位样品信息!$B:$B)+1),MATCH($F353,站位样品信息!$A$3:INDEX(站位样品信息!$A:$A,COUNTA(站位样品信息!$A:$A)+1),),))</f>
        <v/>
      </c>
      <c r="H353" s="55" t="str">
        <f>IF(OR(A353&lt;&gt;"",B353&lt;&gt;"",C353&lt;&gt;""),IF($C353&lt;&gt;0,INDEX(生物种群!$A$3:INDEX(生物种群!$A:$A,COUNTA(生物种群!$A:$A)),MATCH($C353,生物种群!$F$3:INDEX(生物种群!$F:$F,COUNTA(生物种群!$F:$F)),),),IF($A353&lt;&gt;0,INDEX(生物种群!$A$3:INDEX(生物种群!$A:$A,COUNTA(生物种群!$A:$A)),MATCH($A353,生物种群!$C$3:INDEX(生物种群!$C:$C,COUNTA(生物种群!$C:$C)),),),INDEX(生物种群!$A$3:INDEX(生物种群!$A:$A,COUNTA(生物种群!$A:$A)),MATCH($B353,生物种群!$D$3:INDEX(生物种群!$D:$D,COUNTA(生物种群!$D:$D)),),))),"")</f>
        <v/>
      </c>
      <c r="I353" s="56" t="str">
        <f>IF(H353="","",INDEX(生物种群!$B$3:INDEX(生物种群!$B:$B,COUNTA(生物种群!$B:$B)),MATCH($H353,生物种群!$A$3:INDEX(生物种群!$A:$A,COUNTA(生物种群!$A:$A)),),))</f>
        <v/>
      </c>
      <c r="J353" s="55" t="str">
        <f>IF(H353="","",INDEX(生物种群!$I$3:INDEX(生物种群!$I:$I,COUNTA(生物种群!$I:$I)),MATCH($H353,生物种群!$A$3:INDEX(生物种群!$A:$A,COUNTA(生物种群!$A:$A)),),))</f>
        <v/>
      </c>
      <c r="K353" s="55" t="str">
        <f>IF(H353="","",INDEX(生物种群!$E$3:INDEX(生物种群!$E:$E,COUNTA(生物种群!$E:$E)),MATCH($H353,生物种群!$A$3:INDEX(生物种群!$A:$A,COUNTA(生物种群!$A:$A)),),))</f>
        <v/>
      </c>
      <c r="L353" s="46" t="str">
        <f t="shared" si="21"/>
        <v/>
      </c>
      <c r="M353" s="47" t="str">
        <f>IF(L353="","",ROUND((L353)/VLOOKUP($F353,IF({1,0},站位样品信息!$A$3:INDEX(站位样品信息!$A:$A,COUNTA(站位样品信息!$A:$A)+1),站位样品信息!$H$3:INDEX(站位样品信息!$H:$H,COUNTA(站位样品信息!$H:$H)+1)),2,0),2))</f>
        <v/>
      </c>
      <c r="O353" s="49"/>
      <c r="P353" s="53" t="str">
        <f t="shared" si="19"/>
        <v/>
      </c>
      <c r="Q353" s="53" t="str">
        <f t="shared" si="20"/>
        <v/>
      </c>
    </row>
    <row r="354" spans="1:17" ht="19.5" customHeight="1">
      <c r="A354" s="38"/>
      <c r="B354" s="38"/>
      <c r="C354" s="38"/>
      <c r="D354" s="37"/>
      <c r="E354" s="37"/>
      <c r="F354" s="37"/>
      <c r="G354" s="37" t="str">
        <f>IF(F354="","",INDEX(站位样品信息!$B$3:INDEX(站位样品信息!$B:$B,COUNTA(站位样品信息!$B:$B)+1),MATCH($F354,站位样品信息!$A$3:INDEX(站位样品信息!$A:$A,COUNTA(站位样品信息!$A:$A)+1),),))</f>
        <v/>
      </c>
      <c r="H354" s="55" t="str">
        <f>IF(OR(A354&lt;&gt;"",B354&lt;&gt;"",C354&lt;&gt;""),IF($C354&lt;&gt;0,INDEX(生物种群!$A$3:INDEX(生物种群!$A:$A,COUNTA(生物种群!$A:$A)),MATCH($C354,生物种群!$F$3:INDEX(生物种群!$F:$F,COUNTA(生物种群!$F:$F)),),),IF($A354&lt;&gt;0,INDEX(生物种群!$A$3:INDEX(生物种群!$A:$A,COUNTA(生物种群!$A:$A)),MATCH($A354,生物种群!$C$3:INDEX(生物种群!$C:$C,COUNTA(生物种群!$C:$C)),),),INDEX(生物种群!$A$3:INDEX(生物种群!$A:$A,COUNTA(生物种群!$A:$A)),MATCH($B354,生物种群!$D$3:INDEX(生物种群!$D:$D,COUNTA(生物种群!$D:$D)),),))),"")</f>
        <v/>
      </c>
      <c r="I354" s="56" t="str">
        <f>IF(H354="","",INDEX(生物种群!$B$3:INDEX(生物种群!$B:$B,COUNTA(生物种群!$B:$B)),MATCH($H354,生物种群!$A$3:INDEX(生物种群!$A:$A,COUNTA(生物种群!$A:$A)),),))</f>
        <v/>
      </c>
      <c r="J354" s="55" t="str">
        <f>IF(H354="","",INDEX(生物种群!$I$3:INDEX(生物种群!$I:$I,COUNTA(生物种群!$I:$I)),MATCH($H354,生物种群!$A$3:INDEX(生物种群!$A:$A,COUNTA(生物种群!$A:$A)),),))</f>
        <v/>
      </c>
      <c r="K354" s="55" t="str">
        <f>IF(H354="","",INDEX(生物种群!$E$3:INDEX(生物种群!$E:$E,COUNTA(生物种群!$E:$E)),MATCH($H354,生物种群!$A$3:INDEX(生物种群!$A:$A,COUNTA(生物种群!$A:$A)),),))</f>
        <v/>
      </c>
      <c r="L354" s="46" t="str">
        <f t="shared" si="21"/>
        <v/>
      </c>
      <c r="M354" s="47" t="str">
        <f>IF(L354="","",ROUND((L354)/VLOOKUP($F354,IF({1,0},站位样品信息!$A$3:INDEX(站位样品信息!$A:$A,COUNTA(站位样品信息!$A:$A)+1),站位样品信息!$H$3:INDEX(站位样品信息!$H:$H,COUNTA(站位样品信息!$H:$H)+1)),2,0),2))</f>
        <v/>
      </c>
      <c r="O354" s="49"/>
      <c r="P354" s="53" t="str">
        <f t="shared" si="19"/>
        <v/>
      </c>
      <c r="Q354" s="53" t="str">
        <f t="shared" si="20"/>
        <v/>
      </c>
    </row>
    <row r="355" spans="1:17" ht="19.5" customHeight="1">
      <c r="A355" s="38"/>
      <c r="B355" s="38"/>
      <c r="C355" s="38"/>
      <c r="D355" s="37"/>
      <c r="E355" s="37"/>
      <c r="F355" s="37"/>
      <c r="G355" s="37" t="str">
        <f>IF(F355="","",INDEX(站位样品信息!$B$3:INDEX(站位样品信息!$B:$B,COUNTA(站位样品信息!$B:$B)+1),MATCH($F355,站位样品信息!$A$3:INDEX(站位样品信息!$A:$A,COUNTA(站位样品信息!$A:$A)+1),),))</f>
        <v/>
      </c>
      <c r="H355" s="55" t="str">
        <f>IF(OR(A355&lt;&gt;"",B355&lt;&gt;"",C355&lt;&gt;""),IF($C355&lt;&gt;0,INDEX(生物种群!$A$3:INDEX(生物种群!$A:$A,COUNTA(生物种群!$A:$A)),MATCH($C355,生物种群!$F$3:INDEX(生物种群!$F:$F,COUNTA(生物种群!$F:$F)),),),IF($A355&lt;&gt;0,INDEX(生物种群!$A$3:INDEX(生物种群!$A:$A,COUNTA(生物种群!$A:$A)),MATCH($A355,生物种群!$C$3:INDEX(生物种群!$C:$C,COUNTA(生物种群!$C:$C)),),),INDEX(生物种群!$A$3:INDEX(生物种群!$A:$A,COUNTA(生物种群!$A:$A)),MATCH($B355,生物种群!$D$3:INDEX(生物种群!$D:$D,COUNTA(生物种群!$D:$D)),),))),"")</f>
        <v/>
      </c>
      <c r="I355" s="56" t="str">
        <f>IF(H355="","",INDEX(生物种群!$B$3:INDEX(生物种群!$B:$B,COUNTA(生物种群!$B:$B)),MATCH($H355,生物种群!$A$3:INDEX(生物种群!$A:$A,COUNTA(生物种群!$A:$A)),),))</f>
        <v/>
      </c>
      <c r="J355" s="55" t="str">
        <f>IF(H355="","",INDEX(生物种群!$I$3:INDEX(生物种群!$I:$I,COUNTA(生物种群!$I:$I)),MATCH($H355,生物种群!$A$3:INDEX(生物种群!$A:$A,COUNTA(生物种群!$A:$A)),),))</f>
        <v/>
      </c>
      <c r="K355" s="55" t="str">
        <f>IF(H355="","",INDEX(生物种群!$E$3:INDEX(生物种群!$E:$E,COUNTA(生物种群!$E:$E)),MATCH($H355,生物种群!$A$3:INDEX(生物种群!$A:$A,COUNTA(生物种群!$A:$A)),),))</f>
        <v/>
      </c>
      <c r="L355" s="46" t="str">
        <f t="shared" si="21"/>
        <v/>
      </c>
      <c r="M355" s="47" t="str">
        <f>IF(L355="","",ROUND((L355)/VLOOKUP($F355,IF({1,0},站位样品信息!$A$3:INDEX(站位样品信息!$A:$A,COUNTA(站位样品信息!$A:$A)+1),站位样品信息!$H$3:INDEX(站位样品信息!$H:$H,COUNTA(站位样品信息!$H:$H)+1)),2,0),2))</f>
        <v/>
      </c>
      <c r="O355" s="49"/>
      <c r="P355" s="53" t="str">
        <f t="shared" si="19"/>
        <v/>
      </c>
      <c r="Q355" s="53" t="str">
        <f t="shared" si="20"/>
        <v/>
      </c>
    </row>
    <row r="356" spans="1:17" ht="19.5" customHeight="1">
      <c r="A356" s="38"/>
      <c r="B356" s="38"/>
      <c r="C356" s="38"/>
      <c r="D356" s="37"/>
      <c r="E356" s="37"/>
      <c r="F356" s="37"/>
      <c r="G356" s="37" t="str">
        <f>IF(F356="","",INDEX(站位样品信息!$B$3:INDEX(站位样品信息!$B:$B,COUNTA(站位样品信息!$B:$B)+1),MATCH($F356,站位样品信息!$A$3:INDEX(站位样品信息!$A:$A,COUNTA(站位样品信息!$A:$A)+1),),))</f>
        <v/>
      </c>
      <c r="H356" s="55" t="str">
        <f>IF(OR(A356&lt;&gt;"",B356&lt;&gt;"",C356&lt;&gt;""),IF($C356&lt;&gt;0,INDEX(生物种群!$A$3:INDEX(生物种群!$A:$A,COUNTA(生物种群!$A:$A)),MATCH($C356,生物种群!$F$3:INDEX(生物种群!$F:$F,COUNTA(生物种群!$F:$F)),),),IF($A356&lt;&gt;0,INDEX(生物种群!$A$3:INDEX(生物种群!$A:$A,COUNTA(生物种群!$A:$A)),MATCH($A356,生物种群!$C$3:INDEX(生物种群!$C:$C,COUNTA(生物种群!$C:$C)),),),INDEX(生物种群!$A$3:INDEX(生物种群!$A:$A,COUNTA(生物种群!$A:$A)),MATCH($B356,生物种群!$D$3:INDEX(生物种群!$D:$D,COUNTA(生物种群!$D:$D)),),))),"")</f>
        <v/>
      </c>
      <c r="I356" s="56" t="str">
        <f>IF(H356="","",INDEX(生物种群!$B$3:INDEX(生物种群!$B:$B,COUNTA(生物种群!$B:$B)),MATCH($H356,生物种群!$A$3:INDEX(生物种群!$A:$A,COUNTA(生物种群!$A:$A)),),))</f>
        <v/>
      </c>
      <c r="J356" s="55" t="str">
        <f>IF(H356="","",INDEX(生物种群!$I$3:INDEX(生物种群!$I:$I,COUNTA(生物种群!$I:$I)),MATCH($H356,生物种群!$A$3:INDEX(生物种群!$A:$A,COUNTA(生物种群!$A:$A)),),))</f>
        <v/>
      </c>
      <c r="K356" s="55" t="str">
        <f>IF(H356="","",INDEX(生物种群!$E$3:INDEX(生物种群!$E:$E,COUNTA(生物种群!$E:$E)),MATCH($H356,生物种群!$A$3:INDEX(生物种群!$A:$A,COUNTA(生物种群!$A:$A)),),))</f>
        <v/>
      </c>
      <c r="L356" s="46" t="str">
        <f t="shared" si="21"/>
        <v/>
      </c>
      <c r="M356" s="47" t="str">
        <f>IF(L356="","",ROUND((L356)/VLOOKUP($F356,IF({1,0},站位样品信息!$A$3:INDEX(站位样品信息!$A:$A,COUNTA(站位样品信息!$A:$A)+1),站位样品信息!$H$3:INDEX(站位样品信息!$H:$H,COUNTA(站位样品信息!$H:$H)+1)),2,0),2))</f>
        <v/>
      </c>
      <c r="O356" s="49"/>
      <c r="P356" s="53" t="str">
        <f t="shared" si="19"/>
        <v/>
      </c>
      <c r="Q356" s="53" t="str">
        <f t="shared" si="20"/>
        <v/>
      </c>
    </row>
    <row r="357" spans="1:17" ht="19.5" customHeight="1">
      <c r="A357" s="38"/>
      <c r="B357" s="38"/>
      <c r="C357" s="38"/>
      <c r="D357" s="37"/>
      <c r="E357" s="37"/>
      <c r="F357" s="37"/>
      <c r="G357" s="37" t="str">
        <f>IF(F357="","",INDEX(站位样品信息!$B$3:INDEX(站位样品信息!$B:$B,COUNTA(站位样品信息!$B:$B)+1),MATCH($F357,站位样品信息!$A$3:INDEX(站位样品信息!$A:$A,COUNTA(站位样品信息!$A:$A)+1),),))</f>
        <v/>
      </c>
      <c r="H357" s="55" t="str">
        <f>IF(OR(A357&lt;&gt;"",B357&lt;&gt;"",C357&lt;&gt;""),IF($C357&lt;&gt;0,INDEX(生物种群!$A$3:INDEX(生物种群!$A:$A,COUNTA(生物种群!$A:$A)),MATCH($C357,生物种群!$F$3:INDEX(生物种群!$F:$F,COUNTA(生物种群!$F:$F)),),),IF($A357&lt;&gt;0,INDEX(生物种群!$A$3:INDEX(生物种群!$A:$A,COUNTA(生物种群!$A:$A)),MATCH($A357,生物种群!$C$3:INDEX(生物种群!$C:$C,COUNTA(生物种群!$C:$C)),),),INDEX(生物种群!$A$3:INDEX(生物种群!$A:$A,COUNTA(生物种群!$A:$A)),MATCH($B357,生物种群!$D$3:INDEX(生物种群!$D:$D,COUNTA(生物种群!$D:$D)),),))),"")</f>
        <v/>
      </c>
      <c r="I357" s="56" t="str">
        <f>IF(H357="","",INDEX(生物种群!$B$3:INDEX(生物种群!$B:$B,COUNTA(生物种群!$B:$B)),MATCH($H357,生物种群!$A$3:INDEX(生物种群!$A:$A,COUNTA(生物种群!$A:$A)),),))</f>
        <v/>
      </c>
      <c r="J357" s="55" t="str">
        <f>IF(H357="","",INDEX(生物种群!$I$3:INDEX(生物种群!$I:$I,COUNTA(生物种群!$I:$I)),MATCH($H357,生物种群!$A$3:INDEX(生物种群!$A:$A,COUNTA(生物种群!$A:$A)),),))</f>
        <v/>
      </c>
      <c r="K357" s="55" t="str">
        <f>IF(H357="","",INDEX(生物种群!$E$3:INDEX(生物种群!$E:$E,COUNTA(生物种群!$E:$E)),MATCH($H357,生物种群!$A$3:INDEX(生物种群!$A:$A,COUNTA(生物种群!$A:$A)),),))</f>
        <v/>
      </c>
      <c r="L357" s="46" t="str">
        <f t="shared" si="21"/>
        <v/>
      </c>
      <c r="M357" s="47" t="str">
        <f>IF(L357="","",ROUND((L357)/VLOOKUP($F357,IF({1,0},站位样品信息!$A$3:INDEX(站位样品信息!$A:$A,COUNTA(站位样品信息!$A:$A)+1),站位样品信息!$H$3:INDEX(站位样品信息!$H:$H,COUNTA(站位样品信息!$H:$H)+1)),2,0),2))</f>
        <v/>
      </c>
      <c r="O357" s="49"/>
      <c r="P357" s="53" t="str">
        <f t="shared" si="19"/>
        <v/>
      </c>
      <c r="Q357" s="53" t="str">
        <f t="shared" si="20"/>
        <v/>
      </c>
    </row>
    <row r="358" spans="1:17" ht="19.5" customHeight="1">
      <c r="A358" s="38"/>
      <c r="B358" s="38"/>
      <c r="C358" s="38"/>
      <c r="D358" s="37"/>
      <c r="E358" s="37"/>
      <c r="F358" s="37"/>
      <c r="G358" s="37" t="str">
        <f>IF(F358="","",INDEX(站位样品信息!$B$3:INDEX(站位样品信息!$B:$B,COUNTA(站位样品信息!$B:$B)+1),MATCH($F358,站位样品信息!$A$3:INDEX(站位样品信息!$A:$A,COUNTA(站位样品信息!$A:$A)+1),),))</f>
        <v/>
      </c>
      <c r="H358" s="55" t="str">
        <f>IF(OR(A358&lt;&gt;"",B358&lt;&gt;"",C358&lt;&gt;""),IF($C358&lt;&gt;0,INDEX(生物种群!$A$3:INDEX(生物种群!$A:$A,COUNTA(生物种群!$A:$A)),MATCH($C358,生物种群!$F$3:INDEX(生物种群!$F:$F,COUNTA(生物种群!$F:$F)),),),IF($A358&lt;&gt;0,INDEX(生物种群!$A$3:INDEX(生物种群!$A:$A,COUNTA(生物种群!$A:$A)),MATCH($A358,生物种群!$C$3:INDEX(生物种群!$C:$C,COUNTA(生物种群!$C:$C)),),),INDEX(生物种群!$A$3:INDEX(生物种群!$A:$A,COUNTA(生物种群!$A:$A)),MATCH($B358,生物种群!$D$3:INDEX(生物种群!$D:$D,COUNTA(生物种群!$D:$D)),),))),"")</f>
        <v/>
      </c>
      <c r="I358" s="56" t="str">
        <f>IF(H358="","",INDEX(生物种群!$B$3:INDEX(生物种群!$B:$B,COUNTA(生物种群!$B:$B)),MATCH($H358,生物种群!$A$3:INDEX(生物种群!$A:$A,COUNTA(生物种群!$A:$A)),),))</f>
        <v/>
      </c>
      <c r="J358" s="55" t="str">
        <f>IF(H358="","",INDEX(生物种群!$I$3:INDEX(生物种群!$I:$I,COUNTA(生物种群!$I:$I)),MATCH($H358,生物种群!$A$3:INDEX(生物种群!$A:$A,COUNTA(生物种群!$A:$A)),),))</f>
        <v/>
      </c>
      <c r="K358" s="55" t="str">
        <f>IF(H358="","",INDEX(生物种群!$E$3:INDEX(生物种群!$E:$E,COUNTA(生物种群!$E:$E)),MATCH($H358,生物种群!$A$3:INDEX(生物种群!$A:$A,COUNTA(生物种群!$A:$A)),),))</f>
        <v/>
      </c>
      <c r="L358" s="46" t="str">
        <f t="shared" si="21"/>
        <v/>
      </c>
      <c r="M358" s="47" t="str">
        <f>IF(L358="","",ROUND((L358)/VLOOKUP($F358,IF({1,0},站位样品信息!$A$3:INDEX(站位样品信息!$A:$A,COUNTA(站位样品信息!$A:$A)+1),站位样品信息!$H$3:INDEX(站位样品信息!$H:$H,COUNTA(站位样品信息!$H:$H)+1)),2,0),2))</f>
        <v/>
      </c>
      <c r="O358" s="49"/>
      <c r="P358" s="53" t="str">
        <f t="shared" si="19"/>
        <v/>
      </c>
      <c r="Q358" s="53" t="str">
        <f t="shared" si="20"/>
        <v/>
      </c>
    </row>
    <row r="359" spans="1:17" ht="19.5" customHeight="1">
      <c r="A359" s="38"/>
      <c r="B359" s="38"/>
      <c r="C359" s="38"/>
      <c r="D359" s="37"/>
      <c r="E359" s="37"/>
      <c r="F359" s="37"/>
      <c r="G359" s="37" t="str">
        <f>IF(F359="","",INDEX(站位样品信息!$B$3:INDEX(站位样品信息!$B:$B,COUNTA(站位样品信息!$B:$B)+1),MATCH($F359,站位样品信息!$A$3:INDEX(站位样品信息!$A:$A,COUNTA(站位样品信息!$A:$A)+1),),))</f>
        <v/>
      </c>
      <c r="H359" s="55" t="str">
        <f>IF(OR(A359&lt;&gt;"",B359&lt;&gt;"",C359&lt;&gt;""),IF($C359&lt;&gt;0,INDEX(生物种群!$A$3:INDEX(生物种群!$A:$A,COUNTA(生物种群!$A:$A)),MATCH($C359,生物种群!$F$3:INDEX(生物种群!$F:$F,COUNTA(生物种群!$F:$F)),),),IF($A359&lt;&gt;0,INDEX(生物种群!$A$3:INDEX(生物种群!$A:$A,COUNTA(生物种群!$A:$A)),MATCH($A359,生物种群!$C$3:INDEX(生物种群!$C:$C,COUNTA(生物种群!$C:$C)),),),INDEX(生物种群!$A$3:INDEX(生物种群!$A:$A,COUNTA(生物种群!$A:$A)),MATCH($B359,生物种群!$D$3:INDEX(生物种群!$D:$D,COUNTA(生物种群!$D:$D)),),))),"")</f>
        <v/>
      </c>
      <c r="I359" s="56" t="str">
        <f>IF(H359="","",INDEX(生物种群!$B$3:INDEX(生物种群!$B:$B,COUNTA(生物种群!$B:$B)),MATCH($H359,生物种群!$A$3:INDEX(生物种群!$A:$A,COUNTA(生物种群!$A:$A)),),))</f>
        <v/>
      </c>
      <c r="J359" s="55" t="str">
        <f>IF(H359="","",INDEX(生物种群!$I$3:INDEX(生物种群!$I:$I,COUNTA(生物种群!$I:$I)),MATCH($H359,生物种群!$A$3:INDEX(生物种群!$A:$A,COUNTA(生物种群!$A:$A)),),))</f>
        <v/>
      </c>
      <c r="K359" s="55" t="str">
        <f>IF(H359="","",INDEX(生物种群!$E$3:INDEX(生物种群!$E:$E,COUNTA(生物种群!$E:$E)),MATCH($H359,生物种群!$A$3:INDEX(生物种群!$A:$A,COUNTA(生物种群!$A:$A)),),))</f>
        <v/>
      </c>
      <c r="L359" s="46" t="str">
        <f t="shared" si="21"/>
        <v/>
      </c>
      <c r="M359" s="47" t="str">
        <f>IF(L359="","",ROUND((L359)/VLOOKUP($F359,IF({1,0},站位样品信息!$A$3:INDEX(站位样品信息!$A:$A,COUNTA(站位样品信息!$A:$A)+1),站位样品信息!$H$3:INDEX(站位样品信息!$H:$H,COUNTA(站位样品信息!$H:$H)+1)),2,0),2))</f>
        <v/>
      </c>
      <c r="O359" s="49"/>
      <c r="P359" s="53" t="str">
        <f t="shared" si="19"/>
        <v/>
      </c>
      <c r="Q359" s="53" t="str">
        <f t="shared" si="20"/>
        <v/>
      </c>
    </row>
    <row r="360" spans="1:17" ht="19.5" customHeight="1">
      <c r="A360" s="38"/>
      <c r="B360" s="38"/>
      <c r="C360" s="38"/>
      <c r="D360" s="37"/>
      <c r="E360" s="37"/>
      <c r="F360" s="37"/>
      <c r="G360" s="37" t="str">
        <f>IF(F360="","",INDEX(站位样品信息!$B$3:INDEX(站位样品信息!$B:$B,COUNTA(站位样品信息!$B:$B)+1),MATCH($F360,站位样品信息!$A$3:INDEX(站位样品信息!$A:$A,COUNTA(站位样品信息!$A:$A)+1),),))</f>
        <v/>
      </c>
      <c r="H360" s="55" t="str">
        <f>IF(OR(A360&lt;&gt;"",B360&lt;&gt;"",C360&lt;&gt;""),IF($C360&lt;&gt;0,INDEX(生物种群!$A$3:INDEX(生物种群!$A:$A,COUNTA(生物种群!$A:$A)),MATCH($C360,生物种群!$F$3:INDEX(生物种群!$F:$F,COUNTA(生物种群!$F:$F)),),),IF($A360&lt;&gt;0,INDEX(生物种群!$A$3:INDEX(生物种群!$A:$A,COUNTA(生物种群!$A:$A)),MATCH($A360,生物种群!$C$3:INDEX(生物种群!$C:$C,COUNTA(生物种群!$C:$C)),),),INDEX(生物种群!$A$3:INDEX(生物种群!$A:$A,COUNTA(生物种群!$A:$A)),MATCH($B360,生物种群!$D$3:INDEX(生物种群!$D:$D,COUNTA(生物种群!$D:$D)),),))),"")</f>
        <v/>
      </c>
      <c r="I360" s="56" t="str">
        <f>IF(H360="","",INDEX(生物种群!$B$3:INDEX(生物种群!$B:$B,COUNTA(生物种群!$B:$B)),MATCH($H360,生物种群!$A$3:INDEX(生物种群!$A:$A,COUNTA(生物种群!$A:$A)),),))</f>
        <v/>
      </c>
      <c r="J360" s="55" t="str">
        <f>IF(H360="","",INDEX(生物种群!$I$3:INDEX(生物种群!$I:$I,COUNTA(生物种群!$I:$I)),MATCH($H360,生物种群!$A$3:INDEX(生物种群!$A:$A,COUNTA(生物种群!$A:$A)),),))</f>
        <v/>
      </c>
      <c r="K360" s="55" t="str">
        <f>IF(H360="","",INDEX(生物种群!$E$3:INDEX(生物种群!$E:$E,COUNTA(生物种群!$E:$E)),MATCH($H360,生物种群!$A$3:INDEX(生物种群!$A:$A,COUNTA(生物种群!$A:$A)),),))</f>
        <v/>
      </c>
      <c r="L360" s="46" t="str">
        <f t="shared" si="21"/>
        <v/>
      </c>
      <c r="M360" s="47" t="str">
        <f>IF(L360="","",ROUND((L360)/VLOOKUP($F360,IF({1,0},站位样品信息!$A$3:INDEX(站位样品信息!$A:$A,COUNTA(站位样品信息!$A:$A)+1),站位样品信息!$H$3:INDEX(站位样品信息!$H:$H,COUNTA(站位样品信息!$H:$H)+1)),2,0),2))</f>
        <v/>
      </c>
      <c r="O360" s="49"/>
      <c r="P360" s="53" t="str">
        <f t="shared" si="19"/>
        <v/>
      </c>
      <c r="Q360" s="53" t="str">
        <f t="shared" si="20"/>
        <v/>
      </c>
    </row>
    <row r="361" spans="1:17" ht="19.5" customHeight="1">
      <c r="A361" s="38"/>
      <c r="B361" s="38"/>
      <c r="C361" s="38"/>
      <c r="D361" s="37"/>
      <c r="E361" s="37"/>
      <c r="F361" s="37"/>
      <c r="G361" s="37" t="str">
        <f>IF(F361="","",INDEX(站位样品信息!$B$3:INDEX(站位样品信息!$B:$B,COUNTA(站位样品信息!$B:$B)+1),MATCH($F361,站位样品信息!$A$3:INDEX(站位样品信息!$A:$A,COUNTA(站位样品信息!$A:$A)+1),),))</f>
        <v/>
      </c>
      <c r="H361" s="55" t="str">
        <f>IF(OR(A361&lt;&gt;"",B361&lt;&gt;"",C361&lt;&gt;""),IF($C361&lt;&gt;0,INDEX(生物种群!$A$3:INDEX(生物种群!$A:$A,COUNTA(生物种群!$A:$A)),MATCH($C361,生物种群!$F$3:INDEX(生物种群!$F:$F,COUNTA(生物种群!$F:$F)),),),IF($A361&lt;&gt;0,INDEX(生物种群!$A$3:INDEX(生物种群!$A:$A,COUNTA(生物种群!$A:$A)),MATCH($A361,生物种群!$C$3:INDEX(生物种群!$C:$C,COUNTA(生物种群!$C:$C)),),),INDEX(生物种群!$A$3:INDEX(生物种群!$A:$A,COUNTA(生物种群!$A:$A)),MATCH($B361,生物种群!$D$3:INDEX(生物种群!$D:$D,COUNTA(生物种群!$D:$D)),),))),"")</f>
        <v/>
      </c>
      <c r="I361" s="56" t="str">
        <f>IF(H361="","",INDEX(生物种群!$B$3:INDEX(生物种群!$B:$B,COUNTA(生物种群!$B:$B)),MATCH($H361,生物种群!$A$3:INDEX(生物种群!$A:$A,COUNTA(生物种群!$A:$A)),),))</f>
        <v/>
      </c>
      <c r="J361" s="55" t="str">
        <f>IF(H361="","",INDEX(生物种群!$I$3:INDEX(生物种群!$I:$I,COUNTA(生物种群!$I:$I)),MATCH($H361,生物种群!$A$3:INDEX(生物种群!$A:$A,COUNTA(生物种群!$A:$A)),),))</f>
        <v/>
      </c>
      <c r="K361" s="55" t="str">
        <f>IF(H361="","",INDEX(生物种群!$E$3:INDEX(生物种群!$E:$E,COUNTA(生物种群!$E:$E)),MATCH($H361,生物种群!$A$3:INDEX(生物种群!$A:$A,COUNTA(生物种群!$A:$A)),),))</f>
        <v/>
      </c>
      <c r="L361" s="46" t="str">
        <f t="shared" si="21"/>
        <v/>
      </c>
      <c r="M361" s="47" t="str">
        <f>IF(L361="","",ROUND((L361)/VLOOKUP($F361,IF({1,0},站位样品信息!$A$3:INDEX(站位样品信息!$A:$A,COUNTA(站位样品信息!$A:$A)+1),站位样品信息!$H$3:INDEX(站位样品信息!$H:$H,COUNTA(站位样品信息!$H:$H)+1)),2,0),2))</f>
        <v/>
      </c>
      <c r="O361" s="49"/>
      <c r="P361" s="53" t="str">
        <f t="shared" si="19"/>
        <v/>
      </c>
      <c r="Q361" s="53" t="str">
        <f t="shared" si="20"/>
        <v/>
      </c>
    </row>
    <row r="362" spans="1:17" ht="19.5" customHeight="1">
      <c r="A362" s="38"/>
      <c r="B362" s="38"/>
      <c r="C362" s="38"/>
      <c r="D362" s="37"/>
      <c r="E362" s="37"/>
      <c r="F362" s="37"/>
      <c r="G362" s="37" t="str">
        <f>IF(F362="","",INDEX(站位样品信息!$B$3:INDEX(站位样品信息!$B:$B,COUNTA(站位样品信息!$B:$B)+1),MATCH($F362,站位样品信息!$A$3:INDEX(站位样品信息!$A:$A,COUNTA(站位样品信息!$A:$A)+1),),))</f>
        <v/>
      </c>
      <c r="H362" s="55" t="str">
        <f>IF(OR(A362&lt;&gt;"",B362&lt;&gt;"",C362&lt;&gt;""),IF($C362&lt;&gt;0,INDEX(生物种群!$A$3:INDEX(生物种群!$A:$A,COUNTA(生物种群!$A:$A)),MATCH($C362,生物种群!$F$3:INDEX(生物种群!$F:$F,COUNTA(生物种群!$F:$F)),),),IF($A362&lt;&gt;0,INDEX(生物种群!$A$3:INDEX(生物种群!$A:$A,COUNTA(生物种群!$A:$A)),MATCH($A362,生物种群!$C$3:INDEX(生物种群!$C:$C,COUNTA(生物种群!$C:$C)),),),INDEX(生物种群!$A$3:INDEX(生物种群!$A:$A,COUNTA(生物种群!$A:$A)),MATCH($B362,生物种群!$D$3:INDEX(生物种群!$D:$D,COUNTA(生物种群!$D:$D)),),))),"")</f>
        <v/>
      </c>
      <c r="I362" s="56" t="str">
        <f>IF(H362="","",INDEX(生物种群!$B$3:INDEX(生物种群!$B:$B,COUNTA(生物种群!$B:$B)),MATCH($H362,生物种群!$A$3:INDEX(生物种群!$A:$A,COUNTA(生物种群!$A:$A)),),))</f>
        <v/>
      </c>
      <c r="J362" s="55" t="str">
        <f>IF(H362="","",INDEX(生物种群!$I$3:INDEX(生物种群!$I:$I,COUNTA(生物种群!$I:$I)),MATCH($H362,生物种群!$A$3:INDEX(生物种群!$A:$A,COUNTA(生物种群!$A:$A)),),))</f>
        <v/>
      </c>
      <c r="K362" s="55" t="str">
        <f>IF(H362="","",INDEX(生物种群!$E$3:INDEX(生物种群!$E:$E,COUNTA(生物种群!$E:$E)),MATCH($H362,生物种群!$A$3:INDEX(生物种群!$A:$A,COUNTA(生物种群!$A:$A)),),))</f>
        <v/>
      </c>
      <c r="L362" s="46" t="str">
        <f t="shared" si="21"/>
        <v/>
      </c>
      <c r="M362" s="47" t="str">
        <f>IF(L362="","",ROUND((L362)/VLOOKUP($F362,IF({1,0},站位样品信息!$A$3:INDEX(站位样品信息!$A:$A,COUNTA(站位样品信息!$A:$A)+1),站位样品信息!$H$3:INDEX(站位样品信息!$H:$H,COUNTA(站位样品信息!$H:$H)+1)),2,0),2))</f>
        <v/>
      </c>
      <c r="O362" s="49"/>
      <c r="P362" s="53" t="str">
        <f t="shared" si="19"/>
        <v/>
      </c>
      <c r="Q362" s="53" t="str">
        <f t="shared" si="20"/>
        <v/>
      </c>
    </row>
    <row r="363" spans="1:17" ht="19.5" customHeight="1">
      <c r="A363" s="38"/>
      <c r="B363" s="38"/>
      <c r="C363" s="38"/>
      <c r="D363" s="37"/>
      <c r="E363" s="37"/>
      <c r="F363" s="37"/>
      <c r="G363" s="37" t="str">
        <f>IF(F363="","",INDEX(站位样品信息!$B$3:INDEX(站位样品信息!$B:$B,COUNTA(站位样品信息!$B:$B)+1),MATCH($F363,站位样品信息!$A$3:INDEX(站位样品信息!$A:$A,COUNTA(站位样品信息!$A:$A)+1),),))</f>
        <v/>
      </c>
      <c r="H363" s="55" t="str">
        <f>IF(OR(A363&lt;&gt;"",B363&lt;&gt;"",C363&lt;&gt;""),IF($C363&lt;&gt;0,INDEX(生物种群!$A$3:INDEX(生物种群!$A:$A,COUNTA(生物种群!$A:$A)),MATCH($C363,生物种群!$F$3:INDEX(生物种群!$F:$F,COUNTA(生物种群!$F:$F)),),),IF($A363&lt;&gt;0,INDEX(生物种群!$A$3:INDEX(生物种群!$A:$A,COUNTA(生物种群!$A:$A)),MATCH($A363,生物种群!$C$3:INDEX(生物种群!$C:$C,COUNTA(生物种群!$C:$C)),),),INDEX(生物种群!$A$3:INDEX(生物种群!$A:$A,COUNTA(生物种群!$A:$A)),MATCH($B363,生物种群!$D$3:INDEX(生物种群!$D:$D,COUNTA(生物种群!$D:$D)),),))),"")</f>
        <v/>
      </c>
      <c r="I363" s="56" t="str">
        <f>IF(H363="","",INDEX(生物种群!$B$3:INDEX(生物种群!$B:$B,COUNTA(生物种群!$B:$B)),MATCH($H363,生物种群!$A$3:INDEX(生物种群!$A:$A,COUNTA(生物种群!$A:$A)),),))</f>
        <v/>
      </c>
      <c r="J363" s="55" t="str">
        <f>IF(H363="","",INDEX(生物种群!$I$3:INDEX(生物种群!$I:$I,COUNTA(生物种群!$I:$I)),MATCH($H363,生物种群!$A$3:INDEX(生物种群!$A:$A,COUNTA(生物种群!$A:$A)),),))</f>
        <v/>
      </c>
      <c r="K363" s="55" t="str">
        <f>IF(H363="","",INDEX(生物种群!$E$3:INDEX(生物种群!$E:$E,COUNTA(生物种群!$E:$E)),MATCH($H363,生物种群!$A$3:INDEX(生物种群!$A:$A,COUNTA(生物种群!$A:$A)),),))</f>
        <v/>
      </c>
      <c r="L363" s="46" t="str">
        <f t="shared" si="21"/>
        <v/>
      </c>
      <c r="M363" s="47" t="str">
        <f>IF(L363="","",ROUND((L363)/VLOOKUP($F363,IF({1,0},站位样品信息!$A$3:INDEX(站位样品信息!$A:$A,COUNTA(站位样品信息!$A:$A)+1),站位样品信息!$H$3:INDEX(站位样品信息!$H:$H,COUNTA(站位样品信息!$H:$H)+1)),2,0),2))</f>
        <v/>
      </c>
      <c r="O363" s="49"/>
      <c r="P363" s="53" t="str">
        <f t="shared" si="19"/>
        <v/>
      </c>
      <c r="Q363" s="53" t="str">
        <f t="shared" si="20"/>
        <v/>
      </c>
    </row>
    <row r="364" spans="1:17" ht="19.5" customHeight="1">
      <c r="A364" s="38"/>
      <c r="B364" s="38"/>
      <c r="C364" s="38"/>
      <c r="D364" s="37"/>
      <c r="E364" s="37"/>
      <c r="F364" s="37"/>
      <c r="G364" s="37" t="str">
        <f>IF(F364="","",INDEX(站位样品信息!$B$3:INDEX(站位样品信息!$B:$B,COUNTA(站位样品信息!$B:$B)+1),MATCH($F364,站位样品信息!$A$3:INDEX(站位样品信息!$A:$A,COUNTA(站位样品信息!$A:$A)+1),),))</f>
        <v/>
      </c>
      <c r="H364" s="55" t="str">
        <f>IF(OR(A364&lt;&gt;"",B364&lt;&gt;"",C364&lt;&gt;""),IF($C364&lt;&gt;0,INDEX(生物种群!$A$3:INDEX(生物种群!$A:$A,COUNTA(生物种群!$A:$A)),MATCH($C364,生物种群!$F$3:INDEX(生物种群!$F:$F,COUNTA(生物种群!$F:$F)),),),IF($A364&lt;&gt;0,INDEX(生物种群!$A$3:INDEX(生物种群!$A:$A,COUNTA(生物种群!$A:$A)),MATCH($A364,生物种群!$C$3:INDEX(生物种群!$C:$C,COUNTA(生物种群!$C:$C)),),),INDEX(生物种群!$A$3:INDEX(生物种群!$A:$A,COUNTA(生物种群!$A:$A)),MATCH($B364,生物种群!$D$3:INDEX(生物种群!$D:$D,COUNTA(生物种群!$D:$D)),),))),"")</f>
        <v/>
      </c>
      <c r="I364" s="56" t="str">
        <f>IF(H364="","",INDEX(生物种群!$B$3:INDEX(生物种群!$B:$B,COUNTA(生物种群!$B:$B)),MATCH($H364,生物种群!$A$3:INDEX(生物种群!$A:$A,COUNTA(生物种群!$A:$A)),),))</f>
        <v/>
      </c>
      <c r="J364" s="55" t="str">
        <f>IF(H364="","",INDEX(生物种群!$I$3:INDEX(生物种群!$I:$I,COUNTA(生物种群!$I:$I)),MATCH($H364,生物种群!$A$3:INDEX(生物种群!$A:$A,COUNTA(生物种群!$A:$A)),),))</f>
        <v/>
      </c>
      <c r="K364" s="55" t="str">
        <f>IF(H364="","",INDEX(生物种群!$E$3:INDEX(生物种群!$E:$E,COUNTA(生物种群!$E:$E)),MATCH($H364,生物种群!$A$3:INDEX(生物种群!$A:$A,COUNTA(生物种群!$A:$A)),),))</f>
        <v/>
      </c>
      <c r="L364" s="46" t="str">
        <f t="shared" si="21"/>
        <v/>
      </c>
      <c r="M364" s="47" t="str">
        <f>IF(L364="","",ROUND((L364)/VLOOKUP($F364,IF({1,0},站位样品信息!$A$3:INDEX(站位样品信息!$A:$A,COUNTA(站位样品信息!$A:$A)+1),站位样品信息!$H$3:INDEX(站位样品信息!$H:$H,COUNTA(站位样品信息!$H:$H)+1)),2,0),2))</f>
        <v/>
      </c>
      <c r="O364" s="49"/>
      <c r="P364" s="53" t="str">
        <f t="shared" si="19"/>
        <v/>
      </c>
      <c r="Q364" s="53" t="str">
        <f t="shared" si="20"/>
        <v/>
      </c>
    </row>
    <row r="365" spans="1:17" ht="19.5" customHeight="1">
      <c r="A365" s="38"/>
      <c r="B365" s="38"/>
      <c r="C365" s="38"/>
      <c r="D365" s="37"/>
      <c r="E365" s="37"/>
      <c r="F365" s="37"/>
      <c r="G365" s="37" t="str">
        <f>IF(F365="","",INDEX(站位样品信息!$B$3:INDEX(站位样品信息!$B:$B,COUNTA(站位样品信息!$B:$B)+1),MATCH($F365,站位样品信息!$A$3:INDEX(站位样品信息!$A:$A,COUNTA(站位样品信息!$A:$A)+1),),))</f>
        <v/>
      </c>
      <c r="H365" s="55" t="str">
        <f>IF(OR(A365&lt;&gt;"",B365&lt;&gt;"",C365&lt;&gt;""),IF($C365&lt;&gt;0,INDEX(生物种群!$A$3:INDEX(生物种群!$A:$A,COUNTA(生物种群!$A:$A)),MATCH($C365,生物种群!$F$3:INDEX(生物种群!$F:$F,COUNTA(生物种群!$F:$F)),),),IF($A365&lt;&gt;0,INDEX(生物种群!$A$3:INDEX(生物种群!$A:$A,COUNTA(生物种群!$A:$A)),MATCH($A365,生物种群!$C$3:INDEX(生物种群!$C:$C,COUNTA(生物种群!$C:$C)),),),INDEX(生物种群!$A$3:INDEX(生物种群!$A:$A,COUNTA(生物种群!$A:$A)),MATCH($B365,生物种群!$D$3:INDEX(生物种群!$D:$D,COUNTA(生物种群!$D:$D)),),))),"")</f>
        <v/>
      </c>
      <c r="I365" s="56" t="str">
        <f>IF(H365="","",INDEX(生物种群!$B$3:INDEX(生物种群!$B:$B,COUNTA(生物种群!$B:$B)),MATCH($H365,生物种群!$A$3:INDEX(生物种群!$A:$A,COUNTA(生物种群!$A:$A)),),))</f>
        <v/>
      </c>
      <c r="J365" s="55" t="str">
        <f>IF(H365="","",INDEX(生物种群!$I$3:INDEX(生物种群!$I:$I,COUNTA(生物种群!$I:$I)),MATCH($H365,生物种群!$A$3:INDEX(生物种群!$A:$A,COUNTA(生物种群!$A:$A)),),))</f>
        <v/>
      </c>
      <c r="K365" s="55" t="str">
        <f>IF(H365="","",INDEX(生物种群!$E$3:INDEX(生物种群!$E:$E,COUNTA(生物种群!$E:$E)),MATCH($H365,生物种群!$A$3:INDEX(生物种群!$A:$A,COUNTA(生物种群!$A:$A)),),))</f>
        <v/>
      </c>
      <c r="L365" s="46" t="str">
        <f t="shared" si="21"/>
        <v/>
      </c>
      <c r="M365" s="47" t="str">
        <f>IF(L365="","",ROUND((L365)/VLOOKUP($F365,IF({1,0},站位样品信息!$A$3:INDEX(站位样品信息!$A:$A,COUNTA(站位样品信息!$A:$A)+1),站位样品信息!$H$3:INDEX(站位样品信息!$H:$H,COUNTA(站位样品信息!$H:$H)+1)),2,0),2))</f>
        <v/>
      </c>
      <c r="O365" s="49"/>
      <c r="P365" s="53" t="str">
        <f t="shared" si="19"/>
        <v/>
      </c>
      <c r="Q365" s="53" t="str">
        <f t="shared" si="20"/>
        <v/>
      </c>
    </row>
    <row r="366" spans="1:17" ht="19.5" customHeight="1">
      <c r="A366" s="38"/>
      <c r="B366" s="38"/>
      <c r="C366" s="38"/>
      <c r="D366" s="37"/>
      <c r="E366" s="37"/>
      <c r="F366" s="37"/>
      <c r="G366" s="37" t="str">
        <f>IF(F366="","",INDEX(站位样品信息!$B$3:INDEX(站位样品信息!$B:$B,COUNTA(站位样品信息!$B:$B)+1),MATCH($F366,站位样品信息!$A$3:INDEX(站位样品信息!$A:$A,COUNTA(站位样品信息!$A:$A)+1),),))</f>
        <v/>
      </c>
      <c r="H366" s="55" t="str">
        <f>IF(OR(A366&lt;&gt;"",B366&lt;&gt;"",C366&lt;&gt;""),IF($C366&lt;&gt;0,INDEX(生物种群!$A$3:INDEX(生物种群!$A:$A,COUNTA(生物种群!$A:$A)),MATCH($C366,生物种群!$F$3:INDEX(生物种群!$F:$F,COUNTA(生物种群!$F:$F)),),),IF($A366&lt;&gt;0,INDEX(生物种群!$A$3:INDEX(生物种群!$A:$A,COUNTA(生物种群!$A:$A)),MATCH($A366,生物种群!$C$3:INDEX(生物种群!$C:$C,COUNTA(生物种群!$C:$C)),),),INDEX(生物种群!$A$3:INDEX(生物种群!$A:$A,COUNTA(生物种群!$A:$A)),MATCH($B366,生物种群!$D$3:INDEX(生物种群!$D:$D,COUNTA(生物种群!$D:$D)),),))),"")</f>
        <v/>
      </c>
      <c r="I366" s="56" t="str">
        <f>IF(H366="","",INDEX(生物种群!$B$3:INDEX(生物种群!$B:$B,COUNTA(生物种群!$B:$B)),MATCH($H366,生物种群!$A$3:INDEX(生物种群!$A:$A,COUNTA(生物种群!$A:$A)),),))</f>
        <v/>
      </c>
      <c r="J366" s="55" t="str">
        <f>IF(H366="","",INDEX(生物种群!$I$3:INDEX(生物种群!$I:$I,COUNTA(生物种群!$I:$I)),MATCH($H366,生物种群!$A$3:INDEX(生物种群!$A:$A,COUNTA(生物种群!$A:$A)),),))</f>
        <v/>
      </c>
      <c r="K366" s="55" t="str">
        <f>IF(H366="","",INDEX(生物种群!$E$3:INDEX(生物种群!$E:$E,COUNTA(生物种群!$E:$E)),MATCH($H366,生物种群!$A$3:INDEX(生物种群!$A:$A,COUNTA(生物种群!$A:$A)),),))</f>
        <v/>
      </c>
      <c r="L366" s="46" t="str">
        <f t="shared" si="21"/>
        <v/>
      </c>
      <c r="M366" s="47" t="str">
        <f>IF(L366="","",ROUND((L366)/VLOOKUP($F366,IF({1,0},站位样品信息!$A$3:INDEX(站位样品信息!$A:$A,COUNTA(站位样品信息!$A:$A)+1),站位样品信息!$H$3:INDEX(站位样品信息!$H:$H,COUNTA(站位样品信息!$H:$H)+1)),2,0),2))</f>
        <v/>
      </c>
      <c r="O366" s="49"/>
      <c r="P366" s="53" t="str">
        <f t="shared" si="19"/>
        <v/>
      </c>
      <c r="Q366" s="53" t="str">
        <f t="shared" si="20"/>
        <v/>
      </c>
    </row>
    <row r="367" spans="1:17" ht="19.5" customHeight="1">
      <c r="A367" s="38"/>
      <c r="B367" s="38"/>
      <c r="C367" s="38"/>
      <c r="D367" s="37"/>
      <c r="E367" s="37"/>
      <c r="F367" s="37"/>
      <c r="G367" s="37" t="str">
        <f>IF(F367="","",INDEX(站位样品信息!$B$3:INDEX(站位样品信息!$B:$B,COUNTA(站位样品信息!$B:$B)+1),MATCH($F367,站位样品信息!$A$3:INDEX(站位样品信息!$A:$A,COUNTA(站位样品信息!$A:$A)+1),),))</f>
        <v/>
      </c>
      <c r="H367" s="55" t="str">
        <f>IF(OR(A367&lt;&gt;"",B367&lt;&gt;"",C367&lt;&gt;""),IF($C367&lt;&gt;0,INDEX(生物种群!$A$3:INDEX(生物种群!$A:$A,COUNTA(生物种群!$A:$A)),MATCH($C367,生物种群!$F$3:INDEX(生物种群!$F:$F,COUNTA(生物种群!$F:$F)),),),IF($A367&lt;&gt;0,INDEX(生物种群!$A$3:INDEX(生物种群!$A:$A,COUNTA(生物种群!$A:$A)),MATCH($A367,生物种群!$C$3:INDEX(生物种群!$C:$C,COUNTA(生物种群!$C:$C)),),),INDEX(生物种群!$A$3:INDEX(生物种群!$A:$A,COUNTA(生物种群!$A:$A)),MATCH($B367,生物种群!$D$3:INDEX(生物种群!$D:$D,COUNTA(生物种群!$D:$D)),),))),"")</f>
        <v/>
      </c>
      <c r="I367" s="56" t="str">
        <f>IF(H367="","",INDEX(生物种群!$B$3:INDEX(生物种群!$B:$B,COUNTA(生物种群!$B:$B)),MATCH($H367,生物种群!$A$3:INDEX(生物种群!$A:$A,COUNTA(生物种群!$A:$A)),),))</f>
        <v/>
      </c>
      <c r="J367" s="55" t="str">
        <f>IF(H367="","",INDEX(生物种群!$I$3:INDEX(生物种群!$I:$I,COUNTA(生物种群!$I:$I)),MATCH($H367,生物种群!$A$3:INDEX(生物种群!$A:$A,COUNTA(生物种群!$A:$A)),),))</f>
        <v/>
      </c>
      <c r="K367" s="55" t="str">
        <f>IF(H367="","",INDEX(生物种群!$E$3:INDEX(生物种群!$E:$E,COUNTA(生物种群!$E:$E)),MATCH($H367,生物种群!$A$3:INDEX(生物种群!$A:$A,COUNTA(生物种群!$A:$A)),),))</f>
        <v/>
      </c>
      <c r="L367" s="46" t="str">
        <f t="shared" si="21"/>
        <v/>
      </c>
      <c r="M367" s="47" t="str">
        <f>IF(L367="","",ROUND((L367)/VLOOKUP($F367,IF({1,0},站位样品信息!$A$3:INDEX(站位样品信息!$A:$A,COUNTA(站位样品信息!$A:$A)+1),站位样品信息!$H$3:INDEX(站位样品信息!$H:$H,COUNTA(站位样品信息!$H:$H)+1)),2,0),2))</f>
        <v/>
      </c>
      <c r="O367" s="49"/>
      <c r="P367" s="53" t="str">
        <f t="shared" si="19"/>
        <v/>
      </c>
      <c r="Q367" s="53" t="str">
        <f t="shared" si="20"/>
        <v/>
      </c>
    </row>
    <row r="368" spans="1:17" ht="19.5" customHeight="1">
      <c r="A368" s="38"/>
      <c r="B368" s="38"/>
      <c r="C368" s="38"/>
      <c r="D368" s="37"/>
      <c r="E368" s="37"/>
      <c r="F368" s="37"/>
      <c r="G368" s="37" t="str">
        <f>IF(F368="","",INDEX(站位样品信息!$B$3:INDEX(站位样品信息!$B:$B,COUNTA(站位样品信息!$B:$B)+1),MATCH($F368,站位样品信息!$A$3:INDEX(站位样品信息!$A:$A,COUNTA(站位样品信息!$A:$A)+1),),))</f>
        <v/>
      </c>
      <c r="H368" s="55" t="str">
        <f>IF(OR(A368&lt;&gt;"",B368&lt;&gt;"",C368&lt;&gt;""),IF($C368&lt;&gt;0,INDEX(生物种群!$A$3:INDEX(生物种群!$A:$A,COUNTA(生物种群!$A:$A)),MATCH($C368,生物种群!$F$3:INDEX(生物种群!$F:$F,COUNTA(生物种群!$F:$F)),),),IF($A368&lt;&gt;0,INDEX(生物种群!$A$3:INDEX(生物种群!$A:$A,COUNTA(生物种群!$A:$A)),MATCH($A368,生物种群!$C$3:INDEX(生物种群!$C:$C,COUNTA(生物种群!$C:$C)),),),INDEX(生物种群!$A$3:INDEX(生物种群!$A:$A,COUNTA(生物种群!$A:$A)),MATCH($B368,生物种群!$D$3:INDEX(生物种群!$D:$D,COUNTA(生物种群!$D:$D)),),))),"")</f>
        <v/>
      </c>
      <c r="I368" s="56" t="str">
        <f>IF(H368="","",INDEX(生物种群!$B$3:INDEX(生物种群!$B:$B,COUNTA(生物种群!$B:$B)),MATCH($H368,生物种群!$A$3:INDEX(生物种群!$A:$A,COUNTA(生物种群!$A:$A)),),))</f>
        <v/>
      </c>
      <c r="J368" s="55" t="str">
        <f>IF(H368="","",INDEX(生物种群!$I$3:INDEX(生物种群!$I:$I,COUNTA(生物种群!$I:$I)),MATCH($H368,生物种群!$A$3:INDEX(生物种群!$A:$A,COUNTA(生物种群!$A:$A)),),))</f>
        <v/>
      </c>
      <c r="K368" s="55" t="str">
        <f>IF(H368="","",INDEX(生物种群!$E$3:INDEX(生物种群!$E:$E,COUNTA(生物种群!$E:$E)),MATCH($H368,生物种群!$A$3:INDEX(生物种群!$A:$A,COUNTA(生物种群!$A:$A)),),))</f>
        <v/>
      </c>
      <c r="L368" s="46" t="str">
        <f t="shared" si="21"/>
        <v/>
      </c>
      <c r="M368" s="47" t="str">
        <f>IF(L368="","",ROUND((L368)/VLOOKUP($F368,IF({1,0},站位样品信息!$A$3:INDEX(站位样品信息!$A:$A,COUNTA(站位样品信息!$A:$A)+1),站位样品信息!$H$3:INDEX(站位样品信息!$H:$H,COUNTA(站位样品信息!$H:$H)+1)),2,0),2))</f>
        <v/>
      </c>
      <c r="O368" s="49"/>
      <c r="P368" s="53" t="str">
        <f t="shared" si="19"/>
        <v/>
      </c>
      <c r="Q368" s="53" t="str">
        <f t="shared" si="20"/>
        <v/>
      </c>
    </row>
    <row r="369" spans="1:17" ht="19.5" customHeight="1">
      <c r="A369" s="38"/>
      <c r="B369" s="38"/>
      <c r="C369" s="38"/>
      <c r="D369" s="37"/>
      <c r="E369" s="37"/>
      <c r="F369" s="37"/>
      <c r="G369" s="37" t="str">
        <f>IF(F369="","",INDEX(站位样品信息!$B$3:INDEX(站位样品信息!$B:$B,COUNTA(站位样品信息!$B:$B)+1),MATCH($F369,站位样品信息!$A$3:INDEX(站位样品信息!$A:$A,COUNTA(站位样品信息!$A:$A)+1),),))</f>
        <v/>
      </c>
      <c r="H369" s="55" t="str">
        <f>IF(OR(A369&lt;&gt;"",B369&lt;&gt;"",C369&lt;&gt;""),IF($C369&lt;&gt;0,INDEX(生物种群!$A$3:INDEX(生物种群!$A:$A,COUNTA(生物种群!$A:$A)),MATCH($C369,生物种群!$F$3:INDEX(生物种群!$F:$F,COUNTA(生物种群!$F:$F)),),),IF($A369&lt;&gt;0,INDEX(生物种群!$A$3:INDEX(生物种群!$A:$A,COUNTA(生物种群!$A:$A)),MATCH($A369,生物种群!$C$3:INDEX(生物种群!$C:$C,COUNTA(生物种群!$C:$C)),),),INDEX(生物种群!$A$3:INDEX(生物种群!$A:$A,COUNTA(生物种群!$A:$A)),MATCH($B369,生物种群!$D$3:INDEX(生物种群!$D:$D,COUNTA(生物种群!$D:$D)),),))),"")</f>
        <v/>
      </c>
      <c r="I369" s="56" t="str">
        <f>IF(H369="","",INDEX(生物种群!$B$3:INDEX(生物种群!$B:$B,COUNTA(生物种群!$B:$B)),MATCH($H369,生物种群!$A$3:INDEX(生物种群!$A:$A,COUNTA(生物种群!$A:$A)),),))</f>
        <v/>
      </c>
      <c r="J369" s="55" t="str">
        <f>IF(H369="","",INDEX(生物种群!$I$3:INDEX(生物种群!$I:$I,COUNTA(生物种群!$I:$I)),MATCH($H369,生物种群!$A$3:INDEX(生物种群!$A:$A,COUNTA(生物种群!$A:$A)),),))</f>
        <v/>
      </c>
      <c r="K369" s="55" t="str">
        <f>IF(H369="","",INDEX(生物种群!$E$3:INDEX(生物种群!$E:$E,COUNTA(生物种群!$E:$E)),MATCH($H369,生物种群!$A$3:INDEX(生物种群!$A:$A,COUNTA(生物种群!$A:$A)),),))</f>
        <v/>
      </c>
      <c r="L369" s="46" t="str">
        <f t="shared" si="21"/>
        <v/>
      </c>
      <c r="M369" s="47" t="str">
        <f>IF(L369="","",ROUND((L369)/VLOOKUP($F369,IF({1,0},站位样品信息!$A$3:INDEX(站位样品信息!$A:$A,COUNTA(站位样品信息!$A:$A)+1),站位样品信息!$H$3:INDEX(站位样品信息!$H:$H,COUNTA(站位样品信息!$H:$H)+1)),2,0),2))</f>
        <v/>
      </c>
      <c r="O369" s="49"/>
      <c r="P369" s="53" t="str">
        <f t="shared" si="19"/>
        <v/>
      </c>
      <c r="Q369" s="53" t="str">
        <f t="shared" si="20"/>
        <v/>
      </c>
    </row>
    <row r="370" spans="1:17" ht="19.5" customHeight="1">
      <c r="A370" s="38"/>
      <c r="B370" s="38"/>
      <c r="C370" s="38"/>
      <c r="D370" s="37"/>
      <c r="E370" s="37"/>
      <c r="F370" s="37"/>
      <c r="G370" s="37" t="str">
        <f>IF(F370="","",INDEX(站位样品信息!$B$3:INDEX(站位样品信息!$B:$B,COUNTA(站位样品信息!$B:$B)+1),MATCH($F370,站位样品信息!$A$3:INDEX(站位样品信息!$A:$A,COUNTA(站位样品信息!$A:$A)+1),),))</f>
        <v/>
      </c>
      <c r="H370" s="55" t="str">
        <f>IF(OR(A370&lt;&gt;"",B370&lt;&gt;"",C370&lt;&gt;""),IF($C370&lt;&gt;0,INDEX(生物种群!$A$3:INDEX(生物种群!$A:$A,COUNTA(生物种群!$A:$A)),MATCH($C370,生物种群!$F$3:INDEX(生物种群!$F:$F,COUNTA(生物种群!$F:$F)),),),IF($A370&lt;&gt;0,INDEX(生物种群!$A$3:INDEX(生物种群!$A:$A,COUNTA(生物种群!$A:$A)),MATCH($A370,生物种群!$C$3:INDEX(生物种群!$C:$C,COUNTA(生物种群!$C:$C)),),),INDEX(生物种群!$A$3:INDEX(生物种群!$A:$A,COUNTA(生物种群!$A:$A)),MATCH($B370,生物种群!$D$3:INDEX(生物种群!$D:$D,COUNTA(生物种群!$D:$D)),),))),"")</f>
        <v/>
      </c>
      <c r="I370" s="56" t="str">
        <f>IF(H370="","",INDEX(生物种群!$B$3:INDEX(生物种群!$B:$B,COUNTA(生物种群!$B:$B)),MATCH($H370,生物种群!$A$3:INDEX(生物种群!$A:$A,COUNTA(生物种群!$A:$A)),),))</f>
        <v/>
      </c>
      <c r="J370" s="55" t="str">
        <f>IF(H370="","",INDEX(生物种群!$I$3:INDEX(生物种群!$I:$I,COUNTA(生物种群!$I:$I)),MATCH($H370,生物种群!$A$3:INDEX(生物种群!$A:$A,COUNTA(生物种群!$A:$A)),),))</f>
        <v/>
      </c>
      <c r="K370" s="55" t="str">
        <f>IF(H370="","",INDEX(生物种群!$E$3:INDEX(生物种群!$E:$E,COUNTA(生物种群!$E:$E)),MATCH($H370,生物种群!$A$3:INDEX(生物种群!$A:$A,COUNTA(生物种群!$A:$A)),),))</f>
        <v/>
      </c>
      <c r="L370" s="46" t="str">
        <f t="shared" si="21"/>
        <v/>
      </c>
      <c r="M370" s="47" t="str">
        <f>IF(L370="","",ROUND((L370)/VLOOKUP($F370,IF({1,0},站位样品信息!$A$3:INDEX(站位样品信息!$A:$A,COUNTA(站位样品信息!$A:$A)+1),站位样品信息!$H$3:INDEX(站位样品信息!$H:$H,COUNTA(站位样品信息!$H:$H)+1)),2,0),2))</f>
        <v/>
      </c>
      <c r="O370" s="49"/>
      <c r="P370" s="53" t="str">
        <f t="shared" si="19"/>
        <v/>
      </c>
      <c r="Q370" s="53" t="str">
        <f t="shared" si="20"/>
        <v/>
      </c>
    </row>
    <row r="371" spans="1:17" ht="19.5" customHeight="1">
      <c r="A371" s="38"/>
      <c r="B371" s="38"/>
      <c r="C371" s="38"/>
      <c r="D371" s="37"/>
      <c r="E371" s="37"/>
      <c r="F371" s="37"/>
      <c r="G371" s="37" t="str">
        <f>IF(F371="","",INDEX(站位样品信息!$B$3:INDEX(站位样品信息!$B:$B,COUNTA(站位样品信息!$B:$B)+1),MATCH($F371,站位样品信息!$A$3:INDEX(站位样品信息!$A:$A,COUNTA(站位样品信息!$A:$A)+1),),))</f>
        <v/>
      </c>
      <c r="H371" s="55" t="str">
        <f>IF(OR(A371&lt;&gt;"",B371&lt;&gt;"",C371&lt;&gt;""),IF($C371&lt;&gt;0,INDEX(生物种群!$A$3:INDEX(生物种群!$A:$A,COUNTA(生物种群!$A:$A)),MATCH($C371,生物种群!$F$3:INDEX(生物种群!$F:$F,COUNTA(生物种群!$F:$F)),),),IF($A371&lt;&gt;0,INDEX(生物种群!$A$3:INDEX(生物种群!$A:$A,COUNTA(生物种群!$A:$A)),MATCH($A371,生物种群!$C$3:INDEX(生物种群!$C:$C,COUNTA(生物种群!$C:$C)),),),INDEX(生物种群!$A$3:INDEX(生物种群!$A:$A,COUNTA(生物种群!$A:$A)),MATCH($B371,生物种群!$D$3:INDEX(生物种群!$D:$D,COUNTA(生物种群!$D:$D)),),))),"")</f>
        <v/>
      </c>
      <c r="I371" s="56" t="str">
        <f>IF(H371="","",INDEX(生物种群!$B$3:INDEX(生物种群!$B:$B,COUNTA(生物种群!$B:$B)),MATCH($H371,生物种群!$A$3:INDEX(生物种群!$A:$A,COUNTA(生物种群!$A:$A)),),))</f>
        <v/>
      </c>
      <c r="J371" s="55" t="str">
        <f>IF(H371="","",INDEX(生物种群!$I$3:INDEX(生物种群!$I:$I,COUNTA(生物种群!$I:$I)),MATCH($H371,生物种群!$A$3:INDEX(生物种群!$A:$A,COUNTA(生物种群!$A:$A)),),))</f>
        <v/>
      </c>
      <c r="K371" s="55" t="str">
        <f>IF(H371="","",INDEX(生物种群!$E$3:INDEX(生物种群!$E:$E,COUNTA(生物种群!$E:$E)),MATCH($H371,生物种群!$A$3:INDEX(生物种群!$A:$A,COUNTA(生物种群!$A:$A)),),))</f>
        <v/>
      </c>
      <c r="L371" s="46" t="str">
        <f t="shared" si="21"/>
        <v/>
      </c>
      <c r="M371" s="47" t="str">
        <f>IF(L371="","",ROUND((L371)/VLOOKUP($F371,IF({1,0},站位样品信息!$A$3:INDEX(站位样品信息!$A:$A,COUNTA(站位样品信息!$A:$A)+1),站位样品信息!$H$3:INDEX(站位样品信息!$H:$H,COUNTA(站位样品信息!$H:$H)+1)),2,0),2))</f>
        <v/>
      </c>
      <c r="O371" s="49"/>
      <c r="P371" s="53" t="str">
        <f t="shared" si="19"/>
        <v/>
      </c>
      <c r="Q371" s="53" t="str">
        <f t="shared" si="20"/>
        <v/>
      </c>
    </row>
    <row r="372" spans="1:17" ht="19.5" customHeight="1">
      <c r="A372" s="38"/>
      <c r="B372" s="38"/>
      <c r="C372" s="38"/>
      <c r="D372" s="37"/>
      <c r="E372" s="37"/>
      <c r="F372" s="37"/>
      <c r="G372" s="37" t="str">
        <f>IF(F372="","",INDEX(站位样品信息!$B$3:INDEX(站位样品信息!$B:$B,COUNTA(站位样品信息!$B:$B)+1),MATCH($F372,站位样品信息!$A$3:INDEX(站位样品信息!$A:$A,COUNTA(站位样品信息!$A:$A)+1),),))</f>
        <v/>
      </c>
      <c r="H372" s="55" t="str">
        <f>IF(OR(A372&lt;&gt;"",B372&lt;&gt;"",C372&lt;&gt;""),IF($C372&lt;&gt;0,INDEX(生物种群!$A$3:INDEX(生物种群!$A:$A,COUNTA(生物种群!$A:$A)),MATCH($C372,生物种群!$F$3:INDEX(生物种群!$F:$F,COUNTA(生物种群!$F:$F)),),),IF($A372&lt;&gt;0,INDEX(生物种群!$A$3:INDEX(生物种群!$A:$A,COUNTA(生物种群!$A:$A)),MATCH($A372,生物种群!$C$3:INDEX(生物种群!$C:$C,COUNTA(生物种群!$C:$C)),),),INDEX(生物种群!$A$3:INDEX(生物种群!$A:$A,COUNTA(生物种群!$A:$A)),MATCH($B372,生物种群!$D$3:INDEX(生物种群!$D:$D,COUNTA(生物种群!$D:$D)),),))),"")</f>
        <v/>
      </c>
      <c r="I372" s="56" t="str">
        <f>IF(H372="","",INDEX(生物种群!$B$3:INDEX(生物种群!$B:$B,COUNTA(生物种群!$B:$B)),MATCH($H372,生物种群!$A$3:INDEX(生物种群!$A:$A,COUNTA(生物种群!$A:$A)),),))</f>
        <v/>
      </c>
      <c r="J372" s="55" t="str">
        <f>IF(H372="","",INDEX(生物种群!$I$3:INDEX(生物种群!$I:$I,COUNTA(生物种群!$I:$I)),MATCH($H372,生物种群!$A$3:INDEX(生物种群!$A:$A,COUNTA(生物种群!$A:$A)),),))</f>
        <v/>
      </c>
      <c r="K372" s="55" t="str">
        <f>IF(H372="","",INDEX(生物种群!$E$3:INDEX(生物种群!$E:$E,COUNTA(生物种群!$E:$E)),MATCH($H372,生物种群!$A$3:INDEX(生物种群!$A:$A,COUNTA(生物种群!$A:$A)),),))</f>
        <v/>
      </c>
      <c r="L372" s="46" t="str">
        <f t="shared" si="21"/>
        <v/>
      </c>
      <c r="M372" s="47" t="str">
        <f>IF(L372="","",ROUND((L372)/VLOOKUP($F372,IF({1,0},站位样品信息!$A$3:INDEX(站位样品信息!$A:$A,COUNTA(站位样品信息!$A:$A)+1),站位样品信息!$H$3:INDEX(站位样品信息!$H:$H,COUNTA(站位样品信息!$H:$H)+1)),2,0),2))</f>
        <v/>
      </c>
      <c r="O372" s="49"/>
      <c r="P372" s="53" t="str">
        <f t="shared" si="19"/>
        <v/>
      </c>
      <c r="Q372" s="53" t="str">
        <f t="shared" si="20"/>
        <v/>
      </c>
    </row>
    <row r="373" spans="1:17" ht="19.5" customHeight="1">
      <c r="A373" s="38"/>
      <c r="B373" s="38"/>
      <c r="C373" s="38"/>
      <c r="D373" s="37"/>
      <c r="E373" s="37"/>
      <c r="F373" s="37"/>
      <c r="G373" s="37" t="str">
        <f>IF(F373="","",INDEX(站位样品信息!$B$3:INDEX(站位样品信息!$B:$B,COUNTA(站位样品信息!$B:$B)+1),MATCH($F373,站位样品信息!$A$3:INDEX(站位样品信息!$A:$A,COUNTA(站位样品信息!$A:$A)+1),),))</f>
        <v/>
      </c>
      <c r="H373" s="55" t="str">
        <f>IF(OR(A373&lt;&gt;"",B373&lt;&gt;"",C373&lt;&gt;""),IF($C373&lt;&gt;0,INDEX(生物种群!$A$3:INDEX(生物种群!$A:$A,COUNTA(生物种群!$A:$A)),MATCH($C373,生物种群!$F$3:INDEX(生物种群!$F:$F,COUNTA(生物种群!$F:$F)),),),IF($A373&lt;&gt;0,INDEX(生物种群!$A$3:INDEX(生物种群!$A:$A,COUNTA(生物种群!$A:$A)),MATCH($A373,生物种群!$C$3:INDEX(生物种群!$C:$C,COUNTA(生物种群!$C:$C)),),),INDEX(生物种群!$A$3:INDEX(生物种群!$A:$A,COUNTA(生物种群!$A:$A)),MATCH($B373,生物种群!$D$3:INDEX(生物种群!$D:$D,COUNTA(生物种群!$D:$D)),),))),"")</f>
        <v/>
      </c>
      <c r="I373" s="56" t="str">
        <f>IF(H373="","",INDEX(生物种群!$B$3:INDEX(生物种群!$B:$B,COUNTA(生物种群!$B:$B)),MATCH($H373,生物种群!$A$3:INDEX(生物种群!$A:$A,COUNTA(生物种群!$A:$A)),),))</f>
        <v/>
      </c>
      <c r="J373" s="55" t="str">
        <f>IF(H373="","",INDEX(生物种群!$I$3:INDEX(生物种群!$I:$I,COUNTA(生物种群!$I:$I)),MATCH($H373,生物种群!$A$3:INDEX(生物种群!$A:$A,COUNTA(生物种群!$A:$A)),),))</f>
        <v/>
      </c>
      <c r="K373" s="55" t="str">
        <f>IF(H373="","",INDEX(生物种群!$E$3:INDEX(生物种群!$E:$E,COUNTA(生物种群!$E:$E)),MATCH($H373,生物种群!$A$3:INDEX(生物种群!$A:$A,COUNTA(生物种群!$A:$A)),),))</f>
        <v/>
      </c>
      <c r="L373" s="46" t="str">
        <f t="shared" si="21"/>
        <v/>
      </c>
      <c r="M373" s="47" t="str">
        <f>IF(L373="","",ROUND((L373)/VLOOKUP($F373,IF({1,0},站位样品信息!$A$3:INDEX(站位样品信息!$A:$A,COUNTA(站位样品信息!$A:$A)+1),站位样品信息!$H$3:INDEX(站位样品信息!$H:$H,COUNTA(站位样品信息!$H:$H)+1)),2,0),2))</f>
        <v/>
      </c>
      <c r="O373" s="49"/>
      <c r="P373" s="53" t="str">
        <f t="shared" si="19"/>
        <v/>
      </c>
      <c r="Q373" s="53" t="str">
        <f t="shared" si="20"/>
        <v/>
      </c>
    </row>
    <row r="374" spans="1:17" ht="19.5" customHeight="1">
      <c r="A374" s="38"/>
      <c r="B374" s="38"/>
      <c r="C374" s="38"/>
      <c r="D374" s="37"/>
      <c r="E374" s="37"/>
      <c r="F374" s="37"/>
      <c r="G374" s="37" t="str">
        <f>IF(F374="","",INDEX(站位样品信息!$B$3:INDEX(站位样品信息!$B:$B,COUNTA(站位样品信息!$B:$B)+1),MATCH($F374,站位样品信息!$A$3:INDEX(站位样品信息!$A:$A,COUNTA(站位样品信息!$A:$A)+1),),))</f>
        <v/>
      </c>
      <c r="H374" s="55" t="str">
        <f>IF(OR(A374&lt;&gt;"",B374&lt;&gt;"",C374&lt;&gt;""),IF($C374&lt;&gt;0,INDEX(生物种群!$A$3:INDEX(生物种群!$A:$A,COUNTA(生物种群!$A:$A)),MATCH($C374,生物种群!$F$3:INDEX(生物种群!$F:$F,COUNTA(生物种群!$F:$F)),),),IF($A374&lt;&gt;0,INDEX(生物种群!$A$3:INDEX(生物种群!$A:$A,COUNTA(生物种群!$A:$A)),MATCH($A374,生物种群!$C$3:INDEX(生物种群!$C:$C,COUNTA(生物种群!$C:$C)),),),INDEX(生物种群!$A$3:INDEX(生物种群!$A:$A,COUNTA(生物种群!$A:$A)),MATCH($B374,生物种群!$D$3:INDEX(生物种群!$D:$D,COUNTA(生物种群!$D:$D)),),))),"")</f>
        <v/>
      </c>
      <c r="I374" s="56" t="str">
        <f>IF(H374="","",INDEX(生物种群!$B$3:INDEX(生物种群!$B:$B,COUNTA(生物种群!$B:$B)),MATCH($H374,生物种群!$A$3:INDEX(生物种群!$A:$A,COUNTA(生物种群!$A:$A)),),))</f>
        <v/>
      </c>
      <c r="J374" s="55" t="str">
        <f>IF(H374="","",INDEX(生物种群!$I$3:INDEX(生物种群!$I:$I,COUNTA(生物种群!$I:$I)),MATCH($H374,生物种群!$A$3:INDEX(生物种群!$A:$A,COUNTA(生物种群!$A:$A)),),))</f>
        <v/>
      </c>
      <c r="K374" s="55" t="str">
        <f>IF(H374="","",INDEX(生物种群!$E$3:INDEX(生物种群!$E:$E,COUNTA(生物种群!$E:$E)),MATCH($H374,生物种群!$A$3:INDEX(生物种群!$A:$A,COUNTA(生物种群!$A:$A)),),))</f>
        <v/>
      </c>
      <c r="L374" s="46" t="str">
        <f t="shared" si="21"/>
        <v/>
      </c>
      <c r="M374" s="47" t="str">
        <f>IF(L374="","",ROUND((L374)/VLOOKUP($F374,IF({1,0},站位样品信息!$A$3:INDEX(站位样品信息!$A:$A,COUNTA(站位样品信息!$A:$A)+1),站位样品信息!$H$3:INDEX(站位样品信息!$H:$H,COUNTA(站位样品信息!$H:$H)+1)),2,0),2))</f>
        <v/>
      </c>
      <c r="O374" s="49"/>
      <c r="P374" s="53" t="str">
        <f t="shared" si="19"/>
        <v/>
      </c>
      <c r="Q374" s="53" t="str">
        <f t="shared" si="20"/>
        <v/>
      </c>
    </row>
    <row r="375" spans="1:17" ht="19.5" customHeight="1">
      <c r="A375" s="38"/>
      <c r="B375" s="38"/>
      <c r="C375" s="38"/>
      <c r="D375" s="37"/>
      <c r="E375" s="37"/>
      <c r="F375" s="37"/>
      <c r="G375" s="37" t="str">
        <f>IF(F375="","",INDEX(站位样品信息!$B$3:INDEX(站位样品信息!$B:$B,COUNTA(站位样品信息!$B:$B)+1),MATCH($F375,站位样品信息!$A$3:INDEX(站位样品信息!$A:$A,COUNTA(站位样品信息!$A:$A)+1),),))</f>
        <v/>
      </c>
      <c r="H375" s="55" t="str">
        <f>IF(OR(A375&lt;&gt;"",B375&lt;&gt;"",C375&lt;&gt;""),IF($C375&lt;&gt;0,INDEX(生物种群!$A$3:INDEX(生物种群!$A:$A,COUNTA(生物种群!$A:$A)),MATCH($C375,生物种群!$F$3:INDEX(生物种群!$F:$F,COUNTA(生物种群!$F:$F)),),),IF($A375&lt;&gt;0,INDEX(生物种群!$A$3:INDEX(生物种群!$A:$A,COUNTA(生物种群!$A:$A)),MATCH($A375,生物种群!$C$3:INDEX(生物种群!$C:$C,COUNTA(生物种群!$C:$C)),),),INDEX(生物种群!$A$3:INDEX(生物种群!$A:$A,COUNTA(生物种群!$A:$A)),MATCH($B375,生物种群!$D$3:INDEX(生物种群!$D:$D,COUNTA(生物种群!$D:$D)),),))),"")</f>
        <v/>
      </c>
      <c r="I375" s="56" t="str">
        <f>IF(H375="","",INDEX(生物种群!$B$3:INDEX(生物种群!$B:$B,COUNTA(生物种群!$B:$B)),MATCH($H375,生物种群!$A$3:INDEX(生物种群!$A:$A,COUNTA(生物种群!$A:$A)),),))</f>
        <v/>
      </c>
      <c r="J375" s="55" t="str">
        <f>IF(H375="","",INDEX(生物种群!$I$3:INDEX(生物种群!$I:$I,COUNTA(生物种群!$I:$I)),MATCH($H375,生物种群!$A$3:INDEX(生物种群!$A:$A,COUNTA(生物种群!$A:$A)),),))</f>
        <v/>
      </c>
      <c r="K375" s="55" t="str">
        <f>IF(H375="","",INDEX(生物种群!$E$3:INDEX(生物种群!$E:$E,COUNTA(生物种群!$E:$E)),MATCH($H375,生物种群!$A$3:INDEX(生物种群!$A:$A,COUNTA(生物种群!$A:$A)),),))</f>
        <v/>
      </c>
      <c r="L375" s="46" t="str">
        <f t="shared" si="21"/>
        <v/>
      </c>
      <c r="M375" s="47" t="str">
        <f>IF(L375="","",ROUND((L375)/VLOOKUP($F375,IF({1,0},站位样品信息!$A$3:INDEX(站位样品信息!$A:$A,COUNTA(站位样品信息!$A:$A)+1),站位样品信息!$H$3:INDEX(站位样品信息!$H:$H,COUNTA(站位样品信息!$H:$H)+1)),2,0),2))</f>
        <v/>
      </c>
      <c r="O375" s="49"/>
      <c r="P375" s="53" t="str">
        <f t="shared" si="19"/>
        <v/>
      </c>
      <c r="Q375" s="53" t="str">
        <f t="shared" si="20"/>
        <v/>
      </c>
    </row>
    <row r="376" spans="1:17" ht="19.5" customHeight="1">
      <c r="A376" s="38"/>
      <c r="B376" s="38"/>
      <c r="C376" s="38"/>
      <c r="D376" s="37"/>
      <c r="E376" s="37"/>
      <c r="F376" s="37"/>
      <c r="G376" s="37" t="str">
        <f>IF(F376="","",INDEX(站位样品信息!$B$3:INDEX(站位样品信息!$B:$B,COUNTA(站位样品信息!$B:$B)+1),MATCH($F376,站位样品信息!$A$3:INDEX(站位样品信息!$A:$A,COUNTA(站位样品信息!$A:$A)+1),),))</f>
        <v/>
      </c>
      <c r="H376" s="55" t="str">
        <f>IF(OR(A376&lt;&gt;"",B376&lt;&gt;"",C376&lt;&gt;""),IF($C376&lt;&gt;0,INDEX(生物种群!$A$3:INDEX(生物种群!$A:$A,COUNTA(生物种群!$A:$A)),MATCH($C376,生物种群!$F$3:INDEX(生物种群!$F:$F,COUNTA(生物种群!$F:$F)),),),IF($A376&lt;&gt;0,INDEX(生物种群!$A$3:INDEX(生物种群!$A:$A,COUNTA(生物种群!$A:$A)),MATCH($A376,生物种群!$C$3:INDEX(生物种群!$C:$C,COUNTA(生物种群!$C:$C)),),),INDEX(生物种群!$A$3:INDEX(生物种群!$A:$A,COUNTA(生物种群!$A:$A)),MATCH($B376,生物种群!$D$3:INDEX(生物种群!$D:$D,COUNTA(生物种群!$D:$D)),),))),"")</f>
        <v/>
      </c>
      <c r="I376" s="56" t="str">
        <f>IF(H376="","",INDEX(生物种群!$B$3:INDEX(生物种群!$B:$B,COUNTA(生物种群!$B:$B)),MATCH($H376,生物种群!$A$3:INDEX(生物种群!$A:$A,COUNTA(生物种群!$A:$A)),),))</f>
        <v/>
      </c>
      <c r="J376" s="55" t="str">
        <f>IF(H376="","",INDEX(生物种群!$I$3:INDEX(生物种群!$I:$I,COUNTA(生物种群!$I:$I)),MATCH($H376,生物种群!$A$3:INDEX(生物种群!$A:$A,COUNTA(生物种群!$A:$A)),),))</f>
        <v/>
      </c>
      <c r="K376" s="55" t="str">
        <f>IF(H376="","",INDEX(生物种群!$E$3:INDEX(生物种群!$E:$E,COUNTA(生物种群!$E:$E)),MATCH($H376,生物种群!$A$3:INDEX(生物种群!$A:$A,COUNTA(生物种群!$A:$A)),),))</f>
        <v/>
      </c>
      <c r="L376" s="46" t="str">
        <f t="shared" si="21"/>
        <v/>
      </c>
      <c r="M376" s="47" t="str">
        <f>IF(L376="","",ROUND((L376)/VLOOKUP($F376,IF({1,0},站位样品信息!$A$3:INDEX(站位样品信息!$A:$A,COUNTA(站位样品信息!$A:$A)+1),站位样品信息!$H$3:INDEX(站位样品信息!$H:$H,COUNTA(站位样品信息!$H:$H)+1)),2,0),2))</f>
        <v/>
      </c>
      <c r="O376" s="49"/>
      <c r="P376" s="53" t="str">
        <f t="shared" si="19"/>
        <v/>
      </c>
      <c r="Q376" s="53" t="str">
        <f t="shared" si="20"/>
        <v/>
      </c>
    </row>
    <row r="377" spans="1:17" ht="19.5" customHeight="1">
      <c r="A377" s="38"/>
      <c r="B377" s="38"/>
      <c r="C377" s="38"/>
      <c r="D377" s="37"/>
      <c r="E377" s="37"/>
      <c r="F377" s="37"/>
      <c r="G377" s="37" t="str">
        <f>IF(F377="","",INDEX(站位样品信息!$B$3:INDEX(站位样品信息!$B:$B,COUNTA(站位样品信息!$B:$B)+1),MATCH($F377,站位样品信息!$A$3:INDEX(站位样品信息!$A:$A,COUNTA(站位样品信息!$A:$A)+1),),))</f>
        <v/>
      </c>
      <c r="H377" s="55" t="str">
        <f>IF(OR(A377&lt;&gt;"",B377&lt;&gt;"",C377&lt;&gt;""),IF($C377&lt;&gt;0,INDEX(生物种群!$A$3:INDEX(生物种群!$A:$A,COUNTA(生物种群!$A:$A)),MATCH($C377,生物种群!$F$3:INDEX(生物种群!$F:$F,COUNTA(生物种群!$F:$F)),),),IF($A377&lt;&gt;0,INDEX(生物种群!$A$3:INDEX(生物种群!$A:$A,COUNTA(生物种群!$A:$A)),MATCH($A377,生物种群!$C$3:INDEX(生物种群!$C:$C,COUNTA(生物种群!$C:$C)),),),INDEX(生物种群!$A$3:INDEX(生物种群!$A:$A,COUNTA(生物种群!$A:$A)),MATCH($B377,生物种群!$D$3:INDEX(生物种群!$D:$D,COUNTA(生物种群!$D:$D)),),))),"")</f>
        <v/>
      </c>
      <c r="I377" s="56" t="str">
        <f>IF(H377="","",INDEX(生物种群!$B$3:INDEX(生物种群!$B:$B,COUNTA(生物种群!$B:$B)),MATCH($H377,生物种群!$A$3:INDEX(生物种群!$A:$A,COUNTA(生物种群!$A:$A)),),))</f>
        <v/>
      </c>
      <c r="J377" s="55" t="str">
        <f>IF(H377="","",INDEX(生物种群!$I$3:INDEX(生物种群!$I:$I,COUNTA(生物种群!$I:$I)),MATCH($H377,生物种群!$A$3:INDEX(生物种群!$A:$A,COUNTA(生物种群!$A:$A)),),))</f>
        <v/>
      </c>
      <c r="K377" s="55" t="str">
        <f>IF(H377="","",INDEX(生物种群!$E$3:INDEX(生物种群!$E:$E,COUNTA(生物种群!$E:$E)),MATCH($H377,生物种群!$A$3:INDEX(生物种群!$A:$A,COUNTA(生物种群!$A:$A)),),))</f>
        <v/>
      </c>
      <c r="L377" s="46" t="str">
        <f t="shared" si="21"/>
        <v/>
      </c>
      <c r="M377" s="47" t="str">
        <f>IF(L377="","",ROUND((L377)/VLOOKUP($F377,IF({1,0},站位样品信息!$A$3:INDEX(站位样品信息!$A:$A,COUNTA(站位样品信息!$A:$A)+1),站位样品信息!$H$3:INDEX(站位样品信息!$H:$H,COUNTA(站位样品信息!$H:$H)+1)),2,0),2))</f>
        <v/>
      </c>
      <c r="O377" s="49"/>
      <c r="P377" s="53" t="str">
        <f t="shared" si="19"/>
        <v/>
      </c>
      <c r="Q377" s="53" t="str">
        <f t="shared" si="20"/>
        <v/>
      </c>
    </row>
    <row r="378" spans="1:17" ht="19.5" customHeight="1">
      <c r="A378" s="38"/>
      <c r="B378" s="38"/>
      <c r="C378" s="38"/>
      <c r="D378" s="37"/>
      <c r="E378" s="37"/>
      <c r="F378" s="37"/>
      <c r="G378" s="37" t="str">
        <f>IF(F378="","",INDEX(站位样品信息!$B$3:INDEX(站位样品信息!$B:$B,COUNTA(站位样品信息!$B:$B)+1),MATCH($F378,站位样品信息!$A$3:INDEX(站位样品信息!$A:$A,COUNTA(站位样品信息!$A:$A)+1),),))</f>
        <v/>
      </c>
      <c r="H378" s="55" t="str">
        <f>IF(OR(A378&lt;&gt;"",B378&lt;&gt;"",C378&lt;&gt;""),IF($C378&lt;&gt;0,INDEX(生物种群!$A$3:INDEX(生物种群!$A:$A,COUNTA(生物种群!$A:$A)),MATCH($C378,生物种群!$F$3:INDEX(生物种群!$F:$F,COUNTA(生物种群!$F:$F)),),),IF($A378&lt;&gt;0,INDEX(生物种群!$A$3:INDEX(生物种群!$A:$A,COUNTA(生物种群!$A:$A)),MATCH($A378,生物种群!$C$3:INDEX(生物种群!$C:$C,COUNTA(生物种群!$C:$C)),),),INDEX(生物种群!$A$3:INDEX(生物种群!$A:$A,COUNTA(生物种群!$A:$A)),MATCH($B378,生物种群!$D$3:INDEX(生物种群!$D:$D,COUNTA(生物种群!$D:$D)),),))),"")</f>
        <v/>
      </c>
      <c r="I378" s="56" t="str">
        <f>IF(H378="","",INDEX(生物种群!$B$3:INDEX(生物种群!$B:$B,COUNTA(生物种群!$B:$B)),MATCH($H378,生物种群!$A$3:INDEX(生物种群!$A:$A,COUNTA(生物种群!$A:$A)),),))</f>
        <v/>
      </c>
      <c r="J378" s="55" t="str">
        <f>IF(H378="","",INDEX(生物种群!$I$3:INDEX(生物种群!$I:$I,COUNTA(生物种群!$I:$I)),MATCH($H378,生物种群!$A$3:INDEX(生物种群!$A:$A,COUNTA(生物种群!$A:$A)),),))</f>
        <v/>
      </c>
      <c r="K378" s="55" t="str">
        <f>IF(H378="","",INDEX(生物种群!$E$3:INDEX(生物种群!$E:$E,COUNTA(生物种群!$E:$E)),MATCH($H378,生物种群!$A$3:INDEX(生物种群!$A:$A,COUNTA(生物种群!$A:$A)),),))</f>
        <v/>
      </c>
      <c r="L378" s="46" t="str">
        <f t="shared" si="21"/>
        <v/>
      </c>
      <c r="M378" s="47" t="str">
        <f>IF(L378="","",ROUND((L378)/VLOOKUP($F378,IF({1,0},站位样品信息!$A$3:INDEX(站位样品信息!$A:$A,COUNTA(站位样品信息!$A:$A)+1),站位样品信息!$H$3:INDEX(站位样品信息!$H:$H,COUNTA(站位样品信息!$H:$H)+1)),2,0),2))</f>
        <v/>
      </c>
      <c r="O378" s="49"/>
      <c r="P378" s="53" t="str">
        <f t="shared" si="19"/>
        <v/>
      </c>
      <c r="Q378" s="53" t="str">
        <f t="shared" si="20"/>
        <v/>
      </c>
    </row>
    <row r="379" spans="1:17" ht="19.5" customHeight="1">
      <c r="A379" s="38"/>
      <c r="B379" s="38"/>
      <c r="C379" s="38"/>
      <c r="D379" s="37"/>
      <c r="E379" s="37"/>
      <c r="F379" s="37"/>
      <c r="G379" s="37" t="str">
        <f>IF(F379="","",INDEX(站位样品信息!$B$3:INDEX(站位样品信息!$B:$B,COUNTA(站位样品信息!$B:$B)+1),MATCH($F379,站位样品信息!$A$3:INDEX(站位样品信息!$A:$A,COUNTA(站位样品信息!$A:$A)+1),),))</f>
        <v/>
      </c>
      <c r="H379" s="55" t="str">
        <f>IF(OR(A379&lt;&gt;"",B379&lt;&gt;"",C379&lt;&gt;""),IF($C379&lt;&gt;0,INDEX(生物种群!$A$3:INDEX(生物种群!$A:$A,COUNTA(生物种群!$A:$A)),MATCH($C379,生物种群!$F$3:INDEX(生物种群!$F:$F,COUNTA(生物种群!$F:$F)),),),IF($A379&lt;&gt;0,INDEX(生物种群!$A$3:INDEX(生物种群!$A:$A,COUNTA(生物种群!$A:$A)),MATCH($A379,生物种群!$C$3:INDEX(生物种群!$C:$C,COUNTA(生物种群!$C:$C)),),),INDEX(生物种群!$A$3:INDEX(生物种群!$A:$A,COUNTA(生物种群!$A:$A)),MATCH($B379,生物种群!$D$3:INDEX(生物种群!$D:$D,COUNTA(生物种群!$D:$D)),),))),"")</f>
        <v/>
      </c>
      <c r="I379" s="56" t="str">
        <f>IF(H379="","",INDEX(生物种群!$B$3:INDEX(生物种群!$B:$B,COUNTA(生物种群!$B:$B)),MATCH($H379,生物种群!$A$3:INDEX(生物种群!$A:$A,COUNTA(生物种群!$A:$A)),),))</f>
        <v/>
      </c>
      <c r="J379" s="55" t="str">
        <f>IF(H379="","",INDEX(生物种群!$I$3:INDEX(生物种群!$I:$I,COUNTA(生物种群!$I:$I)),MATCH($H379,生物种群!$A$3:INDEX(生物种群!$A:$A,COUNTA(生物种群!$A:$A)),),))</f>
        <v/>
      </c>
      <c r="K379" s="55" t="str">
        <f>IF(H379="","",INDEX(生物种群!$E$3:INDEX(生物种群!$E:$E,COUNTA(生物种群!$E:$E)),MATCH($H379,生物种群!$A$3:INDEX(生物种群!$A:$A,COUNTA(生物种群!$A:$A)),),))</f>
        <v/>
      </c>
      <c r="L379" s="46" t="str">
        <f t="shared" si="21"/>
        <v/>
      </c>
      <c r="M379" s="47" t="str">
        <f>IF(L379="","",ROUND((L379)/VLOOKUP($F379,IF({1,0},站位样品信息!$A$3:INDEX(站位样品信息!$A:$A,COUNTA(站位样品信息!$A:$A)+1),站位样品信息!$H$3:INDEX(站位样品信息!$H:$H,COUNTA(站位样品信息!$H:$H)+1)),2,0),2))</f>
        <v/>
      </c>
      <c r="O379" s="49"/>
      <c r="P379" s="53" t="str">
        <f t="shared" si="19"/>
        <v/>
      </c>
      <c r="Q379" s="53" t="str">
        <f t="shared" si="20"/>
        <v/>
      </c>
    </row>
    <row r="380" spans="1:17" ht="19.5" customHeight="1">
      <c r="A380" s="38"/>
      <c r="B380" s="38"/>
      <c r="C380" s="38"/>
      <c r="D380" s="37"/>
      <c r="E380" s="37"/>
      <c r="F380" s="37"/>
      <c r="G380" s="37" t="str">
        <f>IF(F380="","",INDEX(站位样品信息!$B$3:INDEX(站位样品信息!$B:$B,COUNTA(站位样品信息!$B:$B)+1),MATCH($F380,站位样品信息!$A$3:INDEX(站位样品信息!$A:$A,COUNTA(站位样品信息!$A:$A)+1),),))</f>
        <v/>
      </c>
      <c r="H380" s="55" t="str">
        <f>IF(OR(A380&lt;&gt;"",B380&lt;&gt;"",C380&lt;&gt;""),IF($C380&lt;&gt;0,INDEX(生物种群!$A$3:INDEX(生物种群!$A:$A,COUNTA(生物种群!$A:$A)),MATCH($C380,生物种群!$F$3:INDEX(生物种群!$F:$F,COUNTA(生物种群!$F:$F)),),),IF($A380&lt;&gt;0,INDEX(生物种群!$A$3:INDEX(生物种群!$A:$A,COUNTA(生物种群!$A:$A)),MATCH($A380,生物种群!$C$3:INDEX(生物种群!$C:$C,COUNTA(生物种群!$C:$C)),),),INDEX(生物种群!$A$3:INDEX(生物种群!$A:$A,COUNTA(生物种群!$A:$A)),MATCH($B380,生物种群!$D$3:INDEX(生物种群!$D:$D,COUNTA(生物种群!$D:$D)),),))),"")</f>
        <v/>
      </c>
      <c r="I380" s="56" t="str">
        <f>IF(H380="","",INDEX(生物种群!$B$3:INDEX(生物种群!$B:$B,COUNTA(生物种群!$B:$B)),MATCH($H380,生物种群!$A$3:INDEX(生物种群!$A:$A,COUNTA(生物种群!$A:$A)),),))</f>
        <v/>
      </c>
      <c r="J380" s="55" t="str">
        <f>IF(H380="","",INDEX(生物种群!$I$3:INDEX(生物种群!$I:$I,COUNTA(生物种群!$I:$I)),MATCH($H380,生物种群!$A$3:INDEX(生物种群!$A:$A,COUNTA(生物种群!$A:$A)),),))</f>
        <v/>
      </c>
      <c r="K380" s="55" t="str">
        <f>IF(H380="","",INDEX(生物种群!$E$3:INDEX(生物种群!$E:$E,COUNTA(生物种群!$E:$E)),MATCH($H380,生物种群!$A$3:INDEX(生物种群!$A:$A,COUNTA(生物种群!$A:$A)),),))</f>
        <v/>
      </c>
      <c r="L380" s="46" t="str">
        <f t="shared" si="21"/>
        <v/>
      </c>
      <c r="M380" s="47" t="str">
        <f>IF(L380="","",ROUND((L380)/VLOOKUP($F380,IF({1,0},站位样品信息!$A$3:INDEX(站位样品信息!$A:$A,COUNTA(站位样品信息!$A:$A)+1),站位样品信息!$H$3:INDEX(站位样品信息!$H:$H,COUNTA(站位样品信息!$H:$H)+1)),2,0),2))</f>
        <v/>
      </c>
      <c r="O380" s="49"/>
      <c r="P380" s="53" t="str">
        <f t="shared" si="19"/>
        <v/>
      </c>
      <c r="Q380" s="53" t="str">
        <f t="shared" si="20"/>
        <v/>
      </c>
    </row>
    <row r="381" spans="1:17" ht="19.5" customHeight="1">
      <c r="A381" s="38"/>
      <c r="B381" s="38"/>
      <c r="C381" s="38"/>
      <c r="D381" s="37"/>
      <c r="E381" s="37"/>
      <c r="F381" s="37"/>
      <c r="G381" s="37" t="str">
        <f>IF(F381="","",INDEX(站位样品信息!$B$3:INDEX(站位样品信息!$B:$B,COUNTA(站位样品信息!$B:$B)+1),MATCH($F381,站位样品信息!$A$3:INDEX(站位样品信息!$A:$A,COUNTA(站位样品信息!$A:$A)+1),),))</f>
        <v/>
      </c>
      <c r="H381" s="55" t="str">
        <f>IF(OR(A381&lt;&gt;"",B381&lt;&gt;"",C381&lt;&gt;""),IF($C381&lt;&gt;0,INDEX(生物种群!$A$3:INDEX(生物种群!$A:$A,COUNTA(生物种群!$A:$A)),MATCH($C381,生物种群!$F$3:INDEX(生物种群!$F:$F,COUNTA(生物种群!$F:$F)),),),IF($A381&lt;&gt;0,INDEX(生物种群!$A$3:INDEX(生物种群!$A:$A,COUNTA(生物种群!$A:$A)),MATCH($A381,生物种群!$C$3:INDEX(生物种群!$C:$C,COUNTA(生物种群!$C:$C)),),),INDEX(生物种群!$A$3:INDEX(生物种群!$A:$A,COUNTA(生物种群!$A:$A)),MATCH($B381,生物种群!$D$3:INDEX(生物种群!$D:$D,COUNTA(生物种群!$D:$D)),),))),"")</f>
        <v/>
      </c>
      <c r="I381" s="56" t="str">
        <f>IF(H381="","",INDEX(生物种群!$B$3:INDEX(生物种群!$B:$B,COUNTA(生物种群!$B:$B)),MATCH($H381,生物种群!$A$3:INDEX(生物种群!$A:$A,COUNTA(生物种群!$A:$A)),),))</f>
        <v/>
      </c>
      <c r="J381" s="55" t="str">
        <f>IF(H381="","",INDEX(生物种群!$I$3:INDEX(生物种群!$I:$I,COUNTA(生物种群!$I:$I)),MATCH($H381,生物种群!$A$3:INDEX(生物种群!$A:$A,COUNTA(生物种群!$A:$A)),),))</f>
        <v/>
      </c>
      <c r="K381" s="55" t="str">
        <f>IF(H381="","",INDEX(生物种群!$E$3:INDEX(生物种群!$E:$E,COUNTA(生物种群!$E:$E)),MATCH($H381,生物种群!$A$3:INDEX(生物种群!$A:$A,COUNTA(生物种群!$A:$A)),),))</f>
        <v/>
      </c>
      <c r="L381" s="46" t="str">
        <f t="shared" si="21"/>
        <v/>
      </c>
      <c r="M381" s="47" t="str">
        <f>IF(L381="","",ROUND((L381)/VLOOKUP($F381,IF({1,0},站位样品信息!$A$3:INDEX(站位样品信息!$A:$A,COUNTA(站位样品信息!$A:$A)+1),站位样品信息!$H$3:INDEX(站位样品信息!$H:$H,COUNTA(站位样品信息!$H:$H)+1)),2,0),2))</f>
        <v/>
      </c>
      <c r="O381" s="49"/>
      <c r="P381" s="53" t="str">
        <f t="shared" si="19"/>
        <v/>
      </c>
      <c r="Q381" s="53" t="str">
        <f t="shared" si="20"/>
        <v/>
      </c>
    </row>
    <row r="382" spans="1:17" ht="19.5" customHeight="1">
      <c r="A382" s="38"/>
      <c r="B382" s="38"/>
      <c r="C382" s="38"/>
      <c r="D382" s="37"/>
      <c r="E382" s="37"/>
      <c r="F382" s="37"/>
      <c r="G382" s="37" t="str">
        <f>IF(F382="","",INDEX(站位样品信息!$B$3:INDEX(站位样品信息!$B:$B,COUNTA(站位样品信息!$B:$B)+1),MATCH($F382,站位样品信息!$A$3:INDEX(站位样品信息!$A:$A,COUNTA(站位样品信息!$A:$A)+1),),))</f>
        <v/>
      </c>
      <c r="H382" s="55" t="str">
        <f>IF(OR(A382&lt;&gt;"",B382&lt;&gt;"",C382&lt;&gt;""),IF($C382&lt;&gt;0,INDEX(生物种群!$A$3:INDEX(生物种群!$A:$A,COUNTA(生物种群!$A:$A)),MATCH($C382,生物种群!$F$3:INDEX(生物种群!$F:$F,COUNTA(生物种群!$F:$F)),),),IF($A382&lt;&gt;0,INDEX(生物种群!$A$3:INDEX(生物种群!$A:$A,COUNTA(生物种群!$A:$A)),MATCH($A382,生物种群!$C$3:INDEX(生物种群!$C:$C,COUNTA(生物种群!$C:$C)),),),INDEX(生物种群!$A$3:INDEX(生物种群!$A:$A,COUNTA(生物种群!$A:$A)),MATCH($B382,生物种群!$D$3:INDEX(生物种群!$D:$D,COUNTA(生物种群!$D:$D)),),))),"")</f>
        <v/>
      </c>
      <c r="I382" s="56" t="str">
        <f>IF(H382="","",INDEX(生物种群!$B$3:INDEX(生物种群!$B:$B,COUNTA(生物种群!$B:$B)),MATCH($H382,生物种群!$A$3:INDEX(生物种群!$A:$A,COUNTA(生物种群!$A:$A)),),))</f>
        <v/>
      </c>
      <c r="J382" s="55" t="str">
        <f>IF(H382="","",INDEX(生物种群!$I$3:INDEX(生物种群!$I:$I,COUNTA(生物种群!$I:$I)),MATCH($H382,生物种群!$A$3:INDEX(生物种群!$A:$A,COUNTA(生物种群!$A:$A)),),))</f>
        <v/>
      </c>
      <c r="K382" s="55" t="str">
        <f>IF(H382="","",INDEX(生物种群!$E$3:INDEX(生物种群!$E:$E,COUNTA(生物种群!$E:$E)),MATCH($H382,生物种群!$A$3:INDEX(生物种群!$A:$A,COUNTA(生物种群!$A:$A)),),))</f>
        <v/>
      </c>
      <c r="L382" s="46" t="str">
        <f t="shared" si="21"/>
        <v/>
      </c>
      <c r="M382" s="47" t="str">
        <f>IF(L382="","",ROUND((L382)/VLOOKUP($F382,IF({1,0},站位样品信息!$A$3:INDEX(站位样品信息!$A:$A,COUNTA(站位样品信息!$A:$A)+1),站位样品信息!$H$3:INDEX(站位样品信息!$H:$H,COUNTA(站位样品信息!$H:$H)+1)),2,0),2))</f>
        <v/>
      </c>
      <c r="O382" s="49"/>
      <c r="P382" s="53" t="str">
        <f t="shared" si="19"/>
        <v/>
      </c>
      <c r="Q382" s="53" t="str">
        <f t="shared" si="20"/>
        <v/>
      </c>
    </row>
    <row r="383" spans="1:17" ht="19.5" customHeight="1">
      <c r="A383" s="38"/>
      <c r="B383" s="38"/>
      <c r="C383" s="38"/>
      <c r="D383" s="37"/>
      <c r="E383" s="37"/>
      <c r="F383" s="37"/>
      <c r="G383" s="37" t="str">
        <f>IF(F383="","",INDEX(站位样品信息!$B$3:INDEX(站位样品信息!$B:$B,COUNTA(站位样品信息!$B:$B)+1),MATCH($F383,站位样品信息!$A$3:INDEX(站位样品信息!$A:$A,COUNTA(站位样品信息!$A:$A)+1),),))</f>
        <v/>
      </c>
      <c r="H383" s="55" t="str">
        <f>IF(OR(A383&lt;&gt;"",B383&lt;&gt;"",C383&lt;&gt;""),IF($C383&lt;&gt;0,INDEX(生物种群!$A$3:INDEX(生物种群!$A:$A,COUNTA(生物种群!$A:$A)),MATCH($C383,生物种群!$F$3:INDEX(生物种群!$F:$F,COUNTA(生物种群!$F:$F)),),),IF($A383&lt;&gt;0,INDEX(生物种群!$A$3:INDEX(生物种群!$A:$A,COUNTA(生物种群!$A:$A)),MATCH($A383,生物种群!$C$3:INDEX(生物种群!$C:$C,COUNTA(生物种群!$C:$C)),),),INDEX(生物种群!$A$3:INDEX(生物种群!$A:$A,COUNTA(生物种群!$A:$A)),MATCH($B383,生物种群!$D$3:INDEX(生物种群!$D:$D,COUNTA(生物种群!$D:$D)),),))),"")</f>
        <v/>
      </c>
      <c r="I383" s="56" t="str">
        <f>IF(H383="","",INDEX(生物种群!$B$3:INDEX(生物种群!$B:$B,COUNTA(生物种群!$B:$B)),MATCH($H383,生物种群!$A$3:INDEX(生物种群!$A:$A,COUNTA(生物种群!$A:$A)),),))</f>
        <v/>
      </c>
      <c r="J383" s="55" t="str">
        <f>IF(H383="","",INDEX(生物种群!$I$3:INDEX(生物种群!$I:$I,COUNTA(生物种群!$I:$I)),MATCH($H383,生物种群!$A$3:INDEX(生物种群!$A:$A,COUNTA(生物种群!$A:$A)),),))</f>
        <v/>
      </c>
      <c r="K383" s="55" t="str">
        <f>IF(H383="","",INDEX(生物种群!$E$3:INDEX(生物种群!$E:$E,COUNTA(生物种群!$E:$E)),MATCH($H383,生物种群!$A$3:INDEX(生物种群!$A:$A,COUNTA(生物种群!$A:$A)),),))</f>
        <v/>
      </c>
      <c r="L383" s="46" t="str">
        <f t="shared" si="21"/>
        <v/>
      </c>
      <c r="M383" s="47" t="str">
        <f>IF(L383="","",ROUND((L383)/VLOOKUP($F383,IF({1,0},站位样品信息!$A$3:INDEX(站位样品信息!$A:$A,COUNTA(站位样品信息!$A:$A)+1),站位样品信息!$H$3:INDEX(站位样品信息!$H:$H,COUNTA(站位样品信息!$H:$H)+1)),2,0),2))</f>
        <v/>
      </c>
      <c r="O383" s="49"/>
      <c r="P383" s="53" t="str">
        <f t="shared" si="19"/>
        <v/>
      </c>
      <c r="Q383" s="53" t="str">
        <f t="shared" si="20"/>
        <v/>
      </c>
    </row>
    <row r="384" spans="1:17" ht="19.5" customHeight="1">
      <c r="A384" s="38"/>
      <c r="B384" s="38"/>
      <c r="C384" s="38"/>
      <c r="D384" s="37"/>
      <c r="E384" s="37"/>
      <c r="F384" s="37"/>
      <c r="G384" s="37" t="str">
        <f>IF(F384="","",INDEX(站位样品信息!$B$3:INDEX(站位样品信息!$B:$B,COUNTA(站位样品信息!$B:$B)+1),MATCH($F384,站位样品信息!$A$3:INDEX(站位样品信息!$A:$A,COUNTA(站位样品信息!$A:$A)+1),),))</f>
        <v/>
      </c>
      <c r="H384" s="55" t="str">
        <f>IF(OR(A384&lt;&gt;"",B384&lt;&gt;"",C384&lt;&gt;""),IF($C384&lt;&gt;0,INDEX(生物种群!$A$3:INDEX(生物种群!$A:$A,COUNTA(生物种群!$A:$A)),MATCH($C384,生物种群!$F$3:INDEX(生物种群!$F:$F,COUNTA(生物种群!$F:$F)),),),IF($A384&lt;&gt;0,INDEX(生物种群!$A$3:INDEX(生物种群!$A:$A,COUNTA(生物种群!$A:$A)),MATCH($A384,生物种群!$C$3:INDEX(生物种群!$C:$C,COUNTA(生物种群!$C:$C)),),),INDEX(生物种群!$A$3:INDEX(生物种群!$A:$A,COUNTA(生物种群!$A:$A)),MATCH($B384,生物种群!$D$3:INDEX(生物种群!$D:$D,COUNTA(生物种群!$D:$D)),),))),"")</f>
        <v/>
      </c>
      <c r="I384" s="56" t="str">
        <f>IF(H384="","",INDEX(生物种群!$B$3:INDEX(生物种群!$B:$B,COUNTA(生物种群!$B:$B)),MATCH($H384,生物种群!$A$3:INDEX(生物种群!$A:$A,COUNTA(生物种群!$A:$A)),),))</f>
        <v/>
      </c>
      <c r="J384" s="55" t="str">
        <f>IF(H384="","",INDEX(生物种群!$I$3:INDEX(生物种群!$I:$I,COUNTA(生物种群!$I:$I)),MATCH($H384,生物种群!$A$3:INDEX(生物种群!$A:$A,COUNTA(生物种群!$A:$A)),),))</f>
        <v/>
      </c>
      <c r="K384" s="55" t="str">
        <f>IF(H384="","",INDEX(生物种群!$E$3:INDEX(生物种群!$E:$E,COUNTA(生物种群!$E:$E)),MATCH($H384,生物种群!$A$3:INDEX(生物种群!$A:$A,COUNTA(生物种群!$A:$A)),),))</f>
        <v/>
      </c>
      <c r="L384" s="46" t="str">
        <f t="shared" si="21"/>
        <v/>
      </c>
      <c r="M384" s="47" t="str">
        <f>IF(L384="","",ROUND((L384)/VLOOKUP($F384,IF({1,0},站位样品信息!$A$3:INDEX(站位样品信息!$A:$A,COUNTA(站位样品信息!$A:$A)+1),站位样品信息!$H$3:INDEX(站位样品信息!$H:$H,COUNTA(站位样品信息!$H:$H)+1)),2,0),2))</f>
        <v/>
      </c>
      <c r="O384" s="49"/>
      <c r="P384" s="53" t="str">
        <f t="shared" si="19"/>
        <v/>
      </c>
      <c r="Q384" s="53" t="str">
        <f t="shared" si="20"/>
        <v/>
      </c>
    </row>
    <row r="385" spans="1:17" ht="19.5" customHeight="1">
      <c r="A385" s="38"/>
      <c r="B385" s="38"/>
      <c r="C385" s="38"/>
      <c r="D385" s="37"/>
      <c r="E385" s="37"/>
      <c r="F385" s="37"/>
      <c r="G385" s="37" t="str">
        <f>IF(F385="","",INDEX(站位样品信息!$B$3:INDEX(站位样品信息!$B:$B,COUNTA(站位样品信息!$B:$B)+1),MATCH($F385,站位样品信息!$A$3:INDEX(站位样品信息!$A:$A,COUNTA(站位样品信息!$A:$A)+1),),))</f>
        <v/>
      </c>
      <c r="H385" s="55" t="str">
        <f>IF(OR(A385&lt;&gt;"",B385&lt;&gt;"",C385&lt;&gt;""),IF($C385&lt;&gt;0,INDEX(生物种群!$A$3:INDEX(生物种群!$A:$A,COUNTA(生物种群!$A:$A)),MATCH($C385,生物种群!$F$3:INDEX(生物种群!$F:$F,COUNTA(生物种群!$F:$F)),),),IF($A385&lt;&gt;0,INDEX(生物种群!$A$3:INDEX(生物种群!$A:$A,COUNTA(生物种群!$A:$A)),MATCH($A385,生物种群!$C$3:INDEX(生物种群!$C:$C,COUNTA(生物种群!$C:$C)),),),INDEX(生物种群!$A$3:INDEX(生物种群!$A:$A,COUNTA(生物种群!$A:$A)),MATCH($B385,生物种群!$D$3:INDEX(生物种群!$D:$D,COUNTA(生物种群!$D:$D)),),))),"")</f>
        <v/>
      </c>
      <c r="I385" s="56" t="str">
        <f>IF(H385="","",INDEX(生物种群!$B$3:INDEX(生物种群!$B:$B,COUNTA(生物种群!$B:$B)),MATCH($H385,生物种群!$A$3:INDEX(生物种群!$A:$A,COUNTA(生物种群!$A:$A)),),))</f>
        <v/>
      </c>
      <c r="J385" s="55" t="str">
        <f>IF(H385="","",INDEX(生物种群!$I$3:INDEX(生物种群!$I:$I,COUNTA(生物种群!$I:$I)),MATCH($H385,生物种群!$A$3:INDEX(生物种群!$A:$A,COUNTA(生物种群!$A:$A)),),))</f>
        <v/>
      </c>
      <c r="K385" s="55" t="str">
        <f>IF(H385="","",INDEX(生物种群!$E$3:INDEX(生物种群!$E:$E,COUNTA(生物种群!$E:$E)),MATCH($H385,生物种群!$A$3:INDEX(生物种群!$A:$A,COUNTA(生物种群!$A:$A)),),))</f>
        <v/>
      </c>
      <c r="L385" s="46" t="str">
        <f t="shared" si="21"/>
        <v/>
      </c>
      <c r="M385" s="47" t="str">
        <f>IF(L385="","",ROUND((L385)/VLOOKUP($F385,IF({1,0},站位样品信息!$A$3:INDEX(站位样品信息!$A:$A,COUNTA(站位样品信息!$A:$A)+1),站位样品信息!$H$3:INDEX(站位样品信息!$H:$H,COUNTA(站位样品信息!$H:$H)+1)),2,0),2))</f>
        <v/>
      </c>
      <c r="O385" s="49"/>
      <c r="P385" s="53" t="str">
        <f t="shared" si="19"/>
        <v/>
      </c>
      <c r="Q385" s="53" t="str">
        <f t="shared" si="20"/>
        <v/>
      </c>
    </row>
    <row r="386" spans="1:17" ht="19.5" customHeight="1">
      <c r="A386" s="38"/>
      <c r="B386" s="38"/>
      <c r="C386" s="38"/>
      <c r="D386" s="37"/>
      <c r="E386" s="37"/>
      <c r="F386" s="37"/>
      <c r="G386" s="37" t="str">
        <f>IF(F386="","",INDEX(站位样品信息!$B$3:INDEX(站位样品信息!$B:$B,COUNTA(站位样品信息!$B:$B)+1),MATCH($F386,站位样品信息!$A$3:INDEX(站位样品信息!$A:$A,COUNTA(站位样品信息!$A:$A)+1),),))</f>
        <v/>
      </c>
      <c r="H386" s="55" t="str">
        <f>IF(OR(A386&lt;&gt;"",B386&lt;&gt;"",C386&lt;&gt;""),IF($C386&lt;&gt;0,INDEX(生物种群!$A$3:INDEX(生物种群!$A:$A,COUNTA(生物种群!$A:$A)),MATCH($C386,生物种群!$F$3:INDEX(生物种群!$F:$F,COUNTA(生物种群!$F:$F)),),),IF($A386&lt;&gt;0,INDEX(生物种群!$A$3:INDEX(生物种群!$A:$A,COUNTA(生物种群!$A:$A)),MATCH($A386,生物种群!$C$3:INDEX(生物种群!$C:$C,COUNTA(生物种群!$C:$C)),),),INDEX(生物种群!$A$3:INDEX(生物种群!$A:$A,COUNTA(生物种群!$A:$A)),MATCH($B386,生物种群!$D$3:INDEX(生物种群!$D:$D,COUNTA(生物种群!$D:$D)),),))),"")</f>
        <v/>
      </c>
      <c r="I386" s="56" t="str">
        <f>IF(H386="","",INDEX(生物种群!$B$3:INDEX(生物种群!$B:$B,COUNTA(生物种群!$B:$B)),MATCH($H386,生物种群!$A$3:INDEX(生物种群!$A:$A,COUNTA(生物种群!$A:$A)),),))</f>
        <v/>
      </c>
      <c r="J386" s="55" t="str">
        <f>IF(H386="","",INDEX(生物种群!$I$3:INDEX(生物种群!$I:$I,COUNTA(生物种群!$I:$I)),MATCH($H386,生物种群!$A$3:INDEX(生物种群!$A:$A,COUNTA(生物种群!$A:$A)),),))</f>
        <v/>
      </c>
      <c r="K386" s="55" t="str">
        <f>IF(H386="","",INDEX(生物种群!$E$3:INDEX(生物种群!$E:$E,COUNTA(生物种群!$E:$E)),MATCH($H386,生物种群!$A$3:INDEX(生物种群!$A:$A,COUNTA(生物种群!$A:$A)),),))</f>
        <v/>
      </c>
      <c r="L386" s="46" t="str">
        <f t="shared" si="21"/>
        <v/>
      </c>
      <c r="M386" s="47" t="str">
        <f>IF(L386="","",ROUND((L386)/VLOOKUP($F386,IF({1,0},站位样品信息!$A$3:INDEX(站位样品信息!$A:$A,COUNTA(站位样品信息!$A:$A)+1),站位样品信息!$H$3:INDEX(站位样品信息!$H:$H,COUNTA(站位样品信息!$H:$H)+1)),2,0),2))</f>
        <v/>
      </c>
      <c r="O386" s="49"/>
      <c r="P386" s="53" t="str">
        <f t="shared" si="19"/>
        <v/>
      </c>
      <c r="Q386" s="53" t="str">
        <f t="shared" si="20"/>
        <v/>
      </c>
    </row>
    <row r="387" spans="1:17" ht="19.5" customHeight="1">
      <c r="A387" s="38"/>
      <c r="B387" s="38"/>
      <c r="C387" s="38"/>
      <c r="D387" s="37"/>
      <c r="E387" s="37"/>
      <c r="F387" s="37"/>
      <c r="G387" s="37" t="str">
        <f>IF(F387="","",INDEX(站位样品信息!$B$3:INDEX(站位样品信息!$B:$B,COUNTA(站位样品信息!$B:$B)+1),MATCH($F387,站位样品信息!$A$3:INDEX(站位样品信息!$A:$A,COUNTA(站位样品信息!$A:$A)+1),),))</f>
        <v/>
      </c>
      <c r="H387" s="55" t="str">
        <f>IF(OR(A387&lt;&gt;"",B387&lt;&gt;"",C387&lt;&gt;""),IF($C387&lt;&gt;0,INDEX(生物种群!$A$3:INDEX(生物种群!$A:$A,COUNTA(生物种群!$A:$A)),MATCH($C387,生物种群!$F$3:INDEX(生物种群!$F:$F,COUNTA(生物种群!$F:$F)),),),IF($A387&lt;&gt;0,INDEX(生物种群!$A$3:INDEX(生物种群!$A:$A,COUNTA(生物种群!$A:$A)),MATCH($A387,生物种群!$C$3:INDEX(生物种群!$C:$C,COUNTA(生物种群!$C:$C)),),),INDEX(生物种群!$A$3:INDEX(生物种群!$A:$A,COUNTA(生物种群!$A:$A)),MATCH($B387,生物种群!$D$3:INDEX(生物种群!$D:$D,COUNTA(生物种群!$D:$D)),),))),"")</f>
        <v/>
      </c>
      <c r="I387" s="56" t="str">
        <f>IF(H387="","",INDEX(生物种群!$B$3:INDEX(生物种群!$B:$B,COUNTA(生物种群!$B:$B)),MATCH($H387,生物种群!$A$3:INDEX(生物种群!$A:$A,COUNTA(生物种群!$A:$A)),),))</f>
        <v/>
      </c>
      <c r="J387" s="55" t="str">
        <f>IF(H387="","",INDEX(生物种群!$I$3:INDEX(生物种群!$I:$I,COUNTA(生物种群!$I:$I)),MATCH($H387,生物种群!$A$3:INDEX(生物种群!$A:$A,COUNTA(生物种群!$A:$A)),),))</f>
        <v/>
      </c>
      <c r="K387" s="55" t="str">
        <f>IF(H387="","",INDEX(生物种群!$E$3:INDEX(生物种群!$E:$E,COUNTA(生物种群!$E:$E)),MATCH($H387,生物种群!$A$3:INDEX(生物种群!$A:$A,COUNTA(生物种群!$A:$A)),),))</f>
        <v/>
      </c>
      <c r="L387" s="46" t="str">
        <f t="shared" si="21"/>
        <v/>
      </c>
      <c r="M387" s="47" t="str">
        <f>IF(L387="","",ROUND((L387)/VLOOKUP($F387,IF({1,0},站位样品信息!$A$3:INDEX(站位样品信息!$A:$A,COUNTA(站位样品信息!$A:$A)+1),站位样品信息!$H$3:INDEX(站位样品信息!$H:$H,COUNTA(站位样品信息!$H:$H)+1)),2,0),2))</f>
        <v/>
      </c>
      <c r="O387" s="49"/>
      <c r="P387" s="53" t="str">
        <f t="shared" si="22" ref="P387:P450">IF(F387&gt;0,F387&amp;I387,"")</f>
        <v/>
      </c>
      <c r="Q387" s="53" t="str">
        <f t="shared" si="23" ref="Q387:Q450">IF(COUNTIF($P:$P,P387)=1,"",IF(A387&amp;B387&amp;C387="","","重复"))</f>
        <v/>
      </c>
    </row>
    <row r="388" spans="1:17" ht="19.5" customHeight="1">
      <c r="A388" s="38"/>
      <c r="B388" s="38"/>
      <c r="C388" s="38"/>
      <c r="D388" s="37"/>
      <c r="E388" s="37"/>
      <c r="F388" s="37"/>
      <c r="G388" s="37" t="str">
        <f>IF(F388="","",INDEX(站位样品信息!$B$3:INDEX(站位样品信息!$B:$B,COUNTA(站位样品信息!$B:$B)+1),MATCH($F388,站位样品信息!$A$3:INDEX(站位样品信息!$A:$A,COUNTA(站位样品信息!$A:$A)+1),),))</f>
        <v/>
      </c>
      <c r="H388" s="55" t="str">
        <f>IF(OR(A388&lt;&gt;"",B388&lt;&gt;"",C388&lt;&gt;""),IF($C388&lt;&gt;0,INDEX(生物种群!$A$3:INDEX(生物种群!$A:$A,COUNTA(生物种群!$A:$A)),MATCH($C388,生物种群!$F$3:INDEX(生物种群!$F:$F,COUNTA(生物种群!$F:$F)),),),IF($A388&lt;&gt;0,INDEX(生物种群!$A$3:INDEX(生物种群!$A:$A,COUNTA(生物种群!$A:$A)),MATCH($A388,生物种群!$C$3:INDEX(生物种群!$C:$C,COUNTA(生物种群!$C:$C)),),),INDEX(生物种群!$A$3:INDEX(生物种群!$A:$A,COUNTA(生物种群!$A:$A)),MATCH($B388,生物种群!$D$3:INDEX(生物种群!$D:$D,COUNTA(生物种群!$D:$D)),),))),"")</f>
        <v/>
      </c>
      <c r="I388" s="56" t="str">
        <f>IF(H388="","",INDEX(生物种群!$B$3:INDEX(生物种群!$B:$B,COUNTA(生物种群!$B:$B)),MATCH($H388,生物种群!$A$3:INDEX(生物种群!$A:$A,COUNTA(生物种群!$A:$A)),),))</f>
        <v/>
      </c>
      <c r="J388" s="55" t="str">
        <f>IF(H388="","",INDEX(生物种群!$I$3:INDEX(生物种群!$I:$I,COUNTA(生物种群!$I:$I)),MATCH($H388,生物种群!$A$3:INDEX(生物种群!$A:$A,COUNTA(生物种群!$A:$A)),),))</f>
        <v/>
      </c>
      <c r="K388" s="55" t="str">
        <f>IF(H388="","",INDEX(生物种群!$E$3:INDEX(生物种群!$E:$E,COUNTA(生物种群!$E:$E)),MATCH($H388,生物种群!$A$3:INDEX(生物种群!$A:$A,COUNTA(生物种群!$A:$A)),),))</f>
        <v/>
      </c>
      <c r="L388" s="46" t="str">
        <f t="shared" si="21"/>
        <v/>
      </c>
      <c r="M388" s="47" t="str">
        <f>IF(L388="","",ROUND((L388)/VLOOKUP($F388,IF({1,0},站位样品信息!$A$3:INDEX(站位样品信息!$A:$A,COUNTA(站位样品信息!$A:$A)+1),站位样品信息!$H$3:INDEX(站位样品信息!$H:$H,COUNTA(站位样品信息!$H:$H)+1)),2,0),2))</f>
        <v/>
      </c>
      <c r="O388" s="49"/>
      <c r="P388" s="53" t="str">
        <f t="shared" si="22"/>
        <v/>
      </c>
      <c r="Q388" s="53" t="str">
        <f t="shared" si="23"/>
        <v/>
      </c>
    </row>
    <row r="389" spans="1:17" ht="19.5" customHeight="1">
      <c r="A389" s="38"/>
      <c r="B389" s="38"/>
      <c r="C389" s="38"/>
      <c r="D389" s="37"/>
      <c r="E389" s="37"/>
      <c r="F389" s="37"/>
      <c r="G389" s="37" t="str">
        <f>IF(F389="","",INDEX(站位样品信息!$B$3:INDEX(站位样品信息!$B:$B,COUNTA(站位样品信息!$B:$B)+1),MATCH($F389,站位样品信息!$A$3:INDEX(站位样品信息!$A:$A,COUNTA(站位样品信息!$A:$A)+1),),))</f>
        <v/>
      </c>
      <c r="H389" s="55" t="str">
        <f>IF(OR(A389&lt;&gt;"",B389&lt;&gt;"",C389&lt;&gt;""),IF($C389&lt;&gt;0,INDEX(生物种群!$A$3:INDEX(生物种群!$A:$A,COUNTA(生物种群!$A:$A)),MATCH($C389,生物种群!$F$3:INDEX(生物种群!$F:$F,COUNTA(生物种群!$F:$F)),),),IF($A389&lt;&gt;0,INDEX(生物种群!$A$3:INDEX(生物种群!$A:$A,COUNTA(生物种群!$A:$A)),MATCH($A389,生物种群!$C$3:INDEX(生物种群!$C:$C,COUNTA(生物种群!$C:$C)),),),INDEX(生物种群!$A$3:INDEX(生物种群!$A:$A,COUNTA(生物种群!$A:$A)),MATCH($B389,生物种群!$D$3:INDEX(生物种群!$D:$D,COUNTA(生物种群!$D:$D)),),))),"")</f>
        <v/>
      </c>
      <c r="I389" s="56" t="str">
        <f>IF(H389="","",INDEX(生物种群!$B$3:INDEX(生物种群!$B:$B,COUNTA(生物种群!$B:$B)),MATCH($H389,生物种群!$A$3:INDEX(生物种群!$A:$A,COUNTA(生物种群!$A:$A)),),))</f>
        <v/>
      </c>
      <c r="J389" s="55" t="str">
        <f>IF(H389="","",INDEX(生物种群!$I$3:INDEX(生物种群!$I:$I,COUNTA(生物种群!$I:$I)),MATCH($H389,生物种群!$A$3:INDEX(生物种群!$A:$A,COUNTA(生物种群!$A:$A)),),))</f>
        <v/>
      </c>
      <c r="K389" s="55" t="str">
        <f>IF(H389="","",INDEX(生物种群!$E$3:INDEX(生物种群!$E:$E,COUNTA(生物种群!$E:$E)),MATCH($H389,生物种群!$A$3:INDEX(生物种群!$A:$A,COUNTA(生物种群!$A:$A)),),))</f>
        <v/>
      </c>
      <c r="L389" s="46" t="str">
        <f t="shared" si="21"/>
        <v/>
      </c>
      <c r="M389" s="47" t="str">
        <f>IF(L389="","",ROUND((L389)/VLOOKUP($F389,IF({1,0},站位样品信息!$A$3:INDEX(站位样品信息!$A:$A,COUNTA(站位样品信息!$A:$A)+1),站位样品信息!$H$3:INDEX(站位样品信息!$H:$H,COUNTA(站位样品信息!$H:$H)+1)),2,0),2))</f>
        <v/>
      </c>
      <c r="O389" s="49"/>
      <c r="P389" s="53" t="str">
        <f t="shared" si="22"/>
        <v/>
      </c>
      <c r="Q389" s="53" t="str">
        <f t="shared" si="23"/>
        <v/>
      </c>
    </row>
    <row r="390" spans="1:17" ht="19.5" customHeight="1">
      <c r="A390" s="38"/>
      <c r="B390" s="38"/>
      <c r="C390" s="38"/>
      <c r="D390" s="37"/>
      <c r="E390" s="37"/>
      <c r="F390" s="37"/>
      <c r="G390" s="37" t="str">
        <f>IF(F390="","",INDEX(站位样品信息!$B$3:INDEX(站位样品信息!$B:$B,COUNTA(站位样品信息!$B:$B)+1),MATCH($F390,站位样品信息!$A$3:INDEX(站位样品信息!$A:$A,COUNTA(站位样品信息!$A:$A)+1),),))</f>
        <v/>
      </c>
      <c r="H390" s="55" t="str">
        <f>IF(OR(A390&lt;&gt;"",B390&lt;&gt;"",C390&lt;&gt;""),IF($C390&lt;&gt;0,INDEX(生物种群!$A$3:INDEX(生物种群!$A:$A,COUNTA(生物种群!$A:$A)),MATCH($C390,生物种群!$F$3:INDEX(生物种群!$F:$F,COUNTA(生物种群!$F:$F)),),),IF($A390&lt;&gt;0,INDEX(生物种群!$A$3:INDEX(生物种群!$A:$A,COUNTA(生物种群!$A:$A)),MATCH($A390,生物种群!$C$3:INDEX(生物种群!$C:$C,COUNTA(生物种群!$C:$C)),),),INDEX(生物种群!$A$3:INDEX(生物种群!$A:$A,COUNTA(生物种群!$A:$A)),MATCH($B390,生物种群!$D$3:INDEX(生物种群!$D:$D,COUNTA(生物种群!$D:$D)),),))),"")</f>
        <v/>
      </c>
      <c r="I390" s="56" t="str">
        <f>IF(H390="","",INDEX(生物种群!$B$3:INDEX(生物种群!$B:$B,COUNTA(生物种群!$B:$B)),MATCH($H390,生物种群!$A$3:INDEX(生物种群!$A:$A,COUNTA(生物种群!$A:$A)),),))</f>
        <v/>
      </c>
      <c r="J390" s="55" t="str">
        <f>IF(H390="","",INDEX(生物种群!$I$3:INDEX(生物种群!$I:$I,COUNTA(生物种群!$I:$I)),MATCH($H390,生物种群!$A$3:INDEX(生物种群!$A:$A,COUNTA(生物种群!$A:$A)),),))</f>
        <v/>
      </c>
      <c r="K390" s="55" t="str">
        <f>IF(H390="","",INDEX(生物种群!$E$3:INDEX(生物种群!$E:$E,COUNTA(生物种群!$E:$E)),MATCH($H390,生物种群!$A$3:INDEX(生物种群!$A:$A,COUNTA(生物种群!$A:$A)),),))</f>
        <v/>
      </c>
      <c r="L390" s="46" t="str">
        <f t="shared" si="21"/>
        <v/>
      </c>
      <c r="M390" s="47" t="str">
        <f>IF(L390="","",ROUND((L390)/VLOOKUP($F390,IF({1,0},站位样品信息!$A$3:INDEX(站位样品信息!$A:$A,COUNTA(站位样品信息!$A:$A)+1),站位样品信息!$H$3:INDEX(站位样品信息!$H:$H,COUNTA(站位样品信息!$H:$H)+1)),2,0),2))</f>
        <v/>
      </c>
      <c r="O390" s="49"/>
      <c r="P390" s="53" t="str">
        <f t="shared" si="22"/>
        <v/>
      </c>
      <c r="Q390" s="53" t="str">
        <f t="shared" si="23"/>
        <v/>
      </c>
    </row>
    <row r="391" spans="1:17" ht="19.5" customHeight="1">
      <c r="A391" s="38"/>
      <c r="B391" s="38"/>
      <c r="C391" s="38"/>
      <c r="D391" s="37"/>
      <c r="E391" s="37"/>
      <c r="F391" s="37"/>
      <c r="G391" s="37" t="str">
        <f>IF(F391="","",INDEX(站位样品信息!$B$3:INDEX(站位样品信息!$B:$B,COUNTA(站位样品信息!$B:$B)+1),MATCH($F391,站位样品信息!$A$3:INDEX(站位样品信息!$A:$A,COUNTA(站位样品信息!$A:$A)+1),),))</f>
        <v/>
      </c>
      <c r="H391" s="55" t="str">
        <f>IF(OR(A391&lt;&gt;"",B391&lt;&gt;"",C391&lt;&gt;""),IF($C391&lt;&gt;0,INDEX(生物种群!$A$3:INDEX(生物种群!$A:$A,COUNTA(生物种群!$A:$A)),MATCH($C391,生物种群!$F$3:INDEX(生物种群!$F:$F,COUNTA(生物种群!$F:$F)),),),IF($A391&lt;&gt;0,INDEX(生物种群!$A$3:INDEX(生物种群!$A:$A,COUNTA(生物种群!$A:$A)),MATCH($A391,生物种群!$C$3:INDEX(生物种群!$C:$C,COUNTA(生物种群!$C:$C)),),),INDEX(生物种群!$A$3:INDEX(生物种群!$A:$A,COUNTA(生物种群!$A:$A)),MATCH($B391,生物种群!$D$3:INDEX(生物种群!$D:$D,COUNTA(生物种群!$D:$D)),),))),"")</f>
        <v/>
      </c>
      <c r="I391" s="56" t="str">
        <f>IF(H391="","",INDEX(生物种群!$B$3:INDEX(生物种群!$B:$B,COUNTA(生物种群!$B:$B)),MATCH($H391,生物种群!$A$3:INDEX(生物种群!$A:$A,COUNTA(生物种群!$A:$A)),),))</f>
        <v/>
      </c>
      <c r="J391" s="55" t="str">
        <f>IF(H391="","",INDEX(生物种群!$I$3:INDEX(生物种群!$I:$I,COUNTA(生物种群!$I:$I)),MATCH($H391,生物种群!$A$3:INDEX(生物种群!$A:$A,COUNTA(生物种群!$A:$A)),),))</f>
        <v/>
      </c>
      <c r="K391" s="55" t="str">
        <f>IF(H391="","",INDEX(生物种群!$E$3:INDEX(生物种群!$E:$E,COUNTA(生物种群!$E:$E)),MATCH($H391,生物种群!$A$3:INDEX(生物种群!$A:$A,COUNTA(生物种群!$A:$A)),),))</f>
        <v/>
      </c>
      <c r="L391" s="46" t="str">
        <f t="shared" si="21"/>
        <v/>
      </c>
      <c r="M391" s="47" t="str">
        <f>IF(L391="","",ROUND((L391)/VLOOKUP($F391,IF({1,0},站位样品信息!$A$3:INDEX(站位样品信息!$A:$A,COUNTA(站位样品信息!$A:$A)+1),站位样品信息!$H$3:INDEX(站位样品信息!$H:$H,COUNTA(站位样品信息!$H:$H)+1)),2,0),2))</f>
        <v/>
      </c>
      <c r="O391" s="49"/>
      <c r="P391" s="53" t="str">
        <f t="shared" si="22"/>
        <v/>
      </c>
      <c r="Q391" s="53" t="str">
        <f t="shared" si="23"/>
        <v/>
      </c>
    </row>
    <row r="392" spans="1:17" ht="19.5" customHeight="1">
      <c r="A392" s="38"/>
      <c r="B392" s="38"/>
      <c r="C392" s="38"/>
      <c r="D392" s="37"/>
      <c r="E392" s="37"/>
      <c r="F392" s="37"/>
      <c r="G392" s="37" t="str">
        <f>IF(F392="","",INDEX(站位样品信息!$B$3:INDEX(站位样品信息!$B:$B,COUNTA(站位样品信息!$B:$B)+1),MATCH($F392,站位样品信息!$A$3:INDEX(站位样品信息!$A:$A,COUNTA(站位样品信息!$A:$A)+1),),))</f>
        <v/>
      </c>
      <c r="H392" s="55" t="str">
        <f>IF(OR(A392&lt;&gt;"",B392&lt;&gt;"",C392&lt;&gt;""),IF($C392&lt;&gt;0,INDEX(生物种群!$A$3:INDEX(生物种群!$A:$A,COUNTA(生物种群!$A:$A)),MATCH($C392,生物种群!$F$3:INDEX(生物种群!$F:$F,COUNTA(生物种群!$F:$F)),),),IF($A392&lt;&gt;0,INDEX(生物种群!$A$3:INDEX(生物种群!$A:$A,COUNTA(生物种群!$A:$A)),MATCH($A392,生物种群!$C$3:INDEX(生物种群!$C:$C,COUNTA(生物种群!$C:$C)),),),INDEX(生物种群!$A$3:INDEX(生物种群!$A:$A,COUNTA(生物种群!$A:$A)),MATCH($B392,生物种群!$D$3:INDEX(生物种群!$D:$D,COUNTA(生物种群!$D:$D)),),))),"")</f>
        <v/>
      </c>
      <c r="I392" s="56" t="str">
        <f>IF(H392="","",INDEX(生物种群!$B$3:INDEX(生物种群!$B:$B,COUNTA(生物种群!$B:$B)),MATCH($H392,生物种群!$A$3:INDEX(生物种群!$A:$A,COUNTA(生物种群!$A:$A)),),))</f>
        <v/>
      </c>
      <c r="J392" s="55" t="str">
        <f>IF(H392="","",INDEX(生物种群!$I$3:INDEX(生物种群!$I:$I,COUNTA(生物种群!$I:$I)),MATCH($H392,生物种群!$A$3:INDEX(生物种群!$A:$A,COUNTA(生物种群!$A:$A)),),))</f>
        <v/>
      </c>
      <c r="K392" s="55" t="str">
        <f>IF(H392="","",INDEX(生物种群!$E$3:INDEX(生物种群!$E:$E,COUNTA(生物种群!$E:$E)),MATCH($H392,生物种群!$A$3:INDEX(生物种群!$A:$A,COUNTA(生物种群!$A:$A)),),))</f>
        <v/>
      </c>
      <c r="L392" s="46" t="str">
        <f t="shared" si="21"/>
        <v/>
      </c>
      <c r="M392" s="47" t="str">
        <f>IF(L392="","",ROUND((L392)/VLOOKUP($F392,IF({1,0},站位样品信息!$A$3:INDEX(站位样品信息!$A:$A,COUNTA(站位样品信息!$A:$A)+1),站位样品信息!$H$3:INDEX(站位样品信息!$H:$H,COUNTA(站位样品信息!$H:$H)+1)),2,0),2))</f>
        <v/>
      </c>
      <c r="O392" s="49"/>
      <c r="P392" s="53" t="str">
        <f t="shared" si="22"/>
        <v/>
      </c>
      <c r="Q392" s="53" t="str">
        <f t="shared" si="23"/>
        <v/>
      </c>
    </row>
    <row r="393" spans="1:17" ht="19.5" customHeight="1">
      <c r="A393" s="38"/>
      <c r="B393" s="38"/>
      <c r="C393" s="38"/>
      <c r="D393" s="37"/>
      <c r="E393" s="37"/>
      <c r="F393" s="37"/>
      <c r="G393" s="37" t="str">
        <f>IF(F393="","",INDEX(站位样品信息!$B$3:INDEX(站位样品信息!$B:$B,COUNTA(站位样品信息!$B:$B)+1),MATCH($F393,站位样品信息!$A$3:INDEX(站位样品信息!$A:$A,COUNTA(站位样品信息!$A:$A)+1),),))</f>
        <v/>
      </c>
      <c r="H393" s="55" t="str">
        <f>IF(OR(A393&lt;&gt;"",B393&lt;&gt;"",C393&lt;&gt;""),IF($C393&lt;&gt;0,INDEX(生物种群!$A$3:INDEX(生物种群!$A:$A,COUNTA(生物种群!$A:$A)),MATCH($C393,生物种群!$F$3:INDEX(生物种群!$F:$F,COUNTA(生物种群!$F:$F)),),),IF($A393&lt;&gt;0,INDEX(生物种群!$A$3:INDEX(生物种群!$A:$A,COUNTA(生物种群!$A:$A)),MATCH($A393,生物种群!$C$3:INDEX(生物种群!$C:$C,COUNTA(生物种群!$C:$C)),),),INDEX(生物种群!$A$3:INDEX(生物种群!$A:$A,COUNTA(生物种群!$A:$A)),MATCH($B393,生物种群!$D$3:INDEX(生物种群!$D:$D,COUNTA(生物种群!$D:$D)),),))),"")</f>
        <v/>
      </c>
      <c r="I393" s="56" t="str">
        <f>IF(H393="","",INDEX(生物种群!$B$3:INDEX(生物种群!$B:$B,COUNTA(生物种群!$B:$B)),MATCH($H393,生物种群!$A$3:INDEX(生物种群!$A:$A,COUNTA(生物种群!$A:$A)),),))</f>
        <v/>
      </c>
      <c r="J393" s="55" t="str">
        <f>IF(H393="","",INDEX(生物种群!$I$3:INDEX(生物种群!$I:$I,COUNTA(生物种群!$I:$I)),MATCH($H393,生物种群!$A$3:INDEX(生物种群!$A:$A,COUNTA(生物种群!$A:$A)),),))</f>
        <v/>
      </c>
      <c r="K393" s="55" t="str">
        <f>IF(H393="","",INDEX(生物种群!$E$3:INDEX(生物种群!$E:$E,COUNTA(生物种群!$E:$E)),MATCH($H393,生物种群!$A$3:INDEX(生物种群!$A:$A,COUNTA(生物种群!$A:$A)),),))</f>
        <v/>
      </c>
      <c r="L393" s="46" t="str">
        <f t="shared" si="21"/>
        <v/>
      </c>
      <c r="M393" s="47" t="str">
        <f>IF(L393="","",ROUND((L393)/VLOOKUP($F393,IF({1,0},站位样品信息!$A$3:INDEX(站位样品信息!$A:$A,COUNTA(站位样品信息!$A:$A)+1),站位样品信息!$H$3:INDEX(站位样品信息!$H:$H,COUNTA(站位样品信息!$H:$H)+1)),2,0),2))</f>
        <v/>
      </c>
      <c r="O393" s="49"/>
      <c r="P393" s="53" t="str">
        <f t="shared" si="22"/>
        <v/>
      </c>
      <c r="Q393" s="53" t="str">
        <f t="shared" si="23"/>
        <v/>
      </c>
    </row>
    <row r="394" spans="1:17" ht="19.5" customHeight="1">
      <c r="A394" s="38"/>
      <c r="B394" s="38"/>
      <c r="C394" s="38"/>
      <c r="D394" s="37"/>
      <c r="E394" s="37"/>
      <c r="F394" s="37"/>
      <c r="G394" s="37" t="str">
        <f>IF(F394="","",INDEX(站位样品信息!$B$3:INDEX(站位样品信息!$B:$B,COUNTA(站位样品信息!$B:$B)+1),MATCH($F394,站位样品信息!$A$3:INDEX(站位样品信息!$A:$A,COUNTA(站位样品信息!$A:$A)+1),),))</f>
        <v/>
      </c>
      <c r="H394" s="55" t="str">
        <f>IF(OR(A394&lt;&gt;"",B394&lt;&gt;"",C394&lt;&gt;""),IF($C394&lt;&gt;0,INDEX(生物种群!$A$3:INDEX(生物种群!$A:$A,COUNTA(生物种群!$A:$A)),MATCH($C394,生物种群!$F$3:INDEX(生物种群!$F:$F,COUNTA(生物种群!$F:$F)),),),IF($A394&lt;&gt;0,INDEX(生物种群!$A$3:INDEX(生物种群!$A:$A,COUNTA(生物种群!$A:$A)),MATCH($A394,生物种群!$C$3:INDEX(生物种群!$C:$C,COUNTA(生物种群!$C:$C)),),),INDEX(生物种群!$A$3:INDEX(生物种群!$A:$A,COUNTA(生物种群!$A:$A)),MATCH($B394,生物种群!$D$3:INDEX(生物种群!$D:$D,COUNTA(生物种群!$D:$D)),),))),"")</f>
        <v/>
      </c>
      <c r="I394" s="56" t="str">
        <f>IF(H394="","",INDEX(生物种群!$B$3:INDEX(生物种群!$B:$B,COUNTA(生物种群!$B:$B)),MATCH($H394,生物种群!$A$3:INDEX(生物种群!$A:$A,COUNTA(生物种群!$A:$A)),),))</f>
        <v/>
      </c>
      <c r="J394" s="55" t="str">
        <f>IF(H394="","",INDEX(生物种群!$I$3:INDEX(生物种群!$I:$I,COUNTA(生物种群!$I:$I)),MATCH($H394,生物种群!$A$3:INDEX(生物种群!$A:$A,COUNTA(生物种群!$A:$A)),),))</f>
        <v/>
      </c>
      <c r="K394" s="55" t="str">
        <f>IF(H394="","",INDEX(生物种群!$E$3:INDEX(生物种群!$E:$E,COUNTA(生物种群!$E:$E)),MATCH($H394,生物种群!$A$3:INDEX(生物种群!$A:$A,COUNTA(生物种群!$A:$A)),),))</f>
        <v/>
      </c>
      <c r="L394" s="46" t="str">
        <f t="shared" si="21"/>
        <v/>
      </c>
      <c r="M394" s="47" t="str">
        <f>IF(L394="","",ROUND((L394)/VLOOKUP($F394,IF({1,0},站位样品信息!$A$3:INDEX(站位样品信息!$A:$A,COUNTA(站位样品信息!$A:$A)+1),站位样品信息!$H$3:INDEX(站位样品信息!$H:$H,COUNTA(站位样品信息!$H:$H)+1)),2,0),2))</f>
        <v/>
      </c>
      <c r="O394" s="49"/>
      <c r="P394" s="53" t="str">
        <f t="shared" si="22"/>
        <v/>
      </c>
      <c r="Q394" s="53" t="str">
        <f t="shared" si="23"/>
        <v/>
      </c>
    </row>
    <row r="395" spans="1:17" ht="19.5" customHeight="1">
      <c r="A395" s="38"/>
      <c r="B395" s="38"/>
      <c r="C395" s="38"/>
      <c r="D395" s="37"/>
      <c r="E395" s="37"/>
      <c r="F395" s="37"/>
      <c r="G395" s="37" t="str">
        <f>IF(F395="","",INDEX(站位样品信息!$B$3:INDEX(站位样品信息!$B:$B,COUNTA(站位样品信息!$B:$B)+1),MATCH($F395,站位样品信息!$A$3:INDEX(站位样品信息!$A:$A,COUNTA(站位样品信息!$A:$A)+1),),))</f>
        <v/>
      </c>
      <c r="H395" s="55" t="str">
        <f>IF(OR(A395&lt;&gt;"",B395&lt;&gt;"",C395&lt;&gt;""),IF($C395&lt;&gt;0,INDEX(生物种群!$A$3:INDEX(生物种群!$A:$A,COUNTA(生物种群!$A:$A)),MATCH($C395,生物种群!$F$3:INDEX(生物种群!$F:$F,COUNTA(生物种群!$F:$F)),),),IF($A395&lt;&gt;0,INDEX(生物种群!$A$3:INDEX(生物种群!$A:$A,COUNTA(生物种群!$A:$A)),MATCH($A395,生物种群!$C$3:INDEX(生物种群!$C:$C,COUNTA(生物种群!$C:$C)),),),INDEX(生物种群!$A$3:INDEX(生物种群!$A:$A,COUNTA(生物种群!$A:$A)),MATCH($B395,生物种群!$D$3:INDEX(生物种群!$D:$D,COUNTA(生物种群!$D:$D)),),))),"")</f>
        <v/>
      </c>
      <c r="I395" s="56" t="str">
        <f>IF(H395="","",INDEX(生物种群!$B$3:INDEX(生物种群!$B:$B,COUNTA(生物种群!$B:$B)),MATCH($H395,生物种群!$A$3:INDEX(生物种群!$A:$A,COUNTA(生物种群!$A:$A)),),))</f>
        <v/>
      </c>
      <c r="J395" s="55" t="str">
        <f>IF(H395="","",INDEX(生物种群!$I$3:INDEX(生物种群!$I:$I,COUNTA(生物种群!$I:$I)),MATCH($H395,生物种群!$A$3:INDEX(生物种群!$A:$A,COUNTA(生物种群!$A:$A)),),))</f>
        <v/>
      </c>
      <c r="K395" s="55" t="str">
        <f>IF(H395="","",INDEX(生物种群!$E$3:INDEX(生物种群!$E:$E,COUNTA(生物种群!$E:$E)),MATCH($H395,生物种群!$A$3:INDEX(生物种群!$A:$A,COUNTA(生物种群!$A:$A)),),))</f>
        <v/>
      </c>
      <c r="L395" s="46" t="str">
        <f t="shared" si="21"/>
        <v/>
      </c>
      <c r="M395" s="47" t="str">
        <f>IF(L395="","",ROUND((L395)/VLOOKUP($F395,IF({1,0},站位样品信息!$A$3:INDEX(站位样品信息!$A:$A,COUNTA(站位样品信息!$A:$A)+1),站位样品信息!$H$3:INDEX(站位样品信息!$H:$H,COUNTA(站位样品信息!$H:$H)+1)),2,0),2))</f>
        <v/>
      </c>
      <c r="O395" s="49"/>
      <c r="P395" s="53" t="str">
        <f t="shared" si="22"/>
        <v/>
      </c>
      <c r="Q395" s="53" t="str">
        <f t="shared" si="23"/>
        <v/>
      </c>
    </row>
    <row r="396" spans="1:17" ht="19.5" customHeight="1">
      <c r="A396" s="38"/>
      <c r="B396" s="38"/>
      <c r="C396" s="38"/>
      <c r="D396" s="37"/>
      <c r="E396" s="37"/>
      <c r="F396" s="37"/>
      <c r="G396" s="37" t="str">
        <f>IF(F396="","",INDEX(站位样品信息!$B$3:INDEX(站位样品信息!$B:$B,COUNTA(站位样品信息!$B:$B)+1),MATCH($F396,站位样品信息!$A$3:INDEX(站位样品信息!$A:$A,COUNTA(站位样品信息!$A:$A)+1),),))</f>
        <v/>
      </c>
      <c r="H396" s="55" t="str">
        <f>IF(OR(A396&lt;&gt;"",B396&lt;&gt;"",C396&lt;&gt;""),IF($C396&lt;&gt;0,INDEX(生物种群!$A$3:INDEX(生物种群!$A:$A,COUNTA(生物种群!$A:$A)),MATCH($C396,生物种群!$F$3:INDEX(生物种群!$F:$F,COUNTA(生物种群!$F:$F)),),),IF($A396&lt;&gt;0,INDEX(生物种群!$A$3:INDEX(生物种群!$A:$A,COUNTA(生物种群!$A:$A)),MATCH($A396,生物种群!$C$3:INDEX(生物种群!$C:$C,COUNTA(生物种群!$C:$C)),),),INDEX(生物种群!$A$3:INDEX(生物种群!$A:$A,COUNTA(生物种群!$A:$A)),MATCH($B396,生物种群!$D$3:INDEX(生物种群!$D:$D,COUNTA(生物种群!$D:$D)),),))),"")</f>
        <v/>
      </c>
      <c r="I396" s="56" t="str">
        <f>IF(H396="","",INDEX(生物种群!$B$3:INDEX(生物种群!$B:$B,COUNTA(生物种群!$B:$B)),MATCH($H396,生物种群!$A$3:INDEX(生物种群!$A:$A,COUNTA(生物种群!$A:$A)),),))</f>
        <v/>
      </c>
      <c r="J396" s="55" t="str">
        <f>IF(H396="","",INDEX(生物种群!$I$3:INDEX(生物种群!$I:$I,COUNTA(生物种群!$I:$I)),MATCH($H396,生物种群!$A$3:INDEX(生物种群!$A:$A,COUNTA(生物种群!$A:$A)),),))</f>
        <v/>
      </c>
      <c r="K396" s="55" t="str">
        <f>IF(H396="","",INDEX(生物种群!$E$3:INDEX(生物种群!$E:$E,COUNTA(生物种群!$E:$E)),MATCH($H396,生物种群!$A$3:INDEX(生物种群!$A:$A,COUNTA(生物种群!$A:$A)),),))</f>
        <v/>
      </c>
      <c r="L396" s="46" t="str">
        <f t="shared" si="21"/>
        <v/>
      </c>
      <c r="M396" s="47" t="str">
        <f>IF(L396="","",ROUND((L396)/VLOOKUP($F396,IF({1,0},站位样品信息!$A$3:INDEX(站位样品信息!$A:$A,COUNTA(站位样品信息!$A:$A)+1),站位样品信息!$H$3:INDEX(站位样品信息!$H:$H,COUNTA(站位样品信息!$H:$H)+1)),2,0),2))</f>
        <v/>
      </c>
      <c r="O396" s="49"/>
      <c r="P396" s="53" t="str">
        <f t="shared" si="22"/>
        <v/>
      </c>
      <c r="Q396" s="53" t="str">
        <f t="shared" si="23"/>
        <v/>
      </c>
    </row>
    <row r="397" spans="1:17" ht="19.5" customHeight="1">
      <c r="A397" s="38"/>
      <c r="B397" s="38"/>
      <c r="C397" s="38"/>
      <c r="D397" s="37"/>
      <c r="E397" s="37"/>
      <c r="F397" s="37"/>
      <c r="G397" s="37" t="str">
        <f>IF(F397="","",INDEX(站位样品信息!$B$3:INDEX(站位样品信息!$B:$B,COUNTA(站位样品信息!$B:$B)+1),MATCH($F397,站位样品信息!$A$3:INDEX(站位样品信息!$A:$A,COUNTA(站位样品信息!$A:$A)+1),),))</f>
        <v/>
      </c>
      <c r="H397" s="55" t="str">
        <f>IF(OR(A397&lt;&gt;"",B397&lt;&gt;"",C397&lt;&gt;""),IF($C397&lt;&gt;0,INDEX(生物种群!$A$3:INDEX(生物种群!$A:$A,COUNTA(生物种群!$A:$A)),MATCH($C397,生物种群!$F$3:INDEX(生物种群!$F:$F,COUNTA(生物种群!$F:$F)),),),IF($A397&lt;&gt;0,INDEX(生物种群!$A$3:INDEX(生物种群!$A:$A,COUNTA(生物种群!$A:$A)),MATCH($A397,生物种群!$C$3:INDEX(生物种群!$C:$C,COUNTA(生物种群!$C:$C)),),),INDEX(生物种群!$A$3:INDEX(生物种群!$A:$A,COUNTA(生物种群!$A:$A)),MATCH($B397,生物种群!$D$3:INDEX(生物种群!$D:$D,COUNTA(生物种群!$D:$D)),),))),"")</f>
        <v/>
      </c>
      <c r="I397" s="56" t="str">
        <f>IF(H397="","",INDEX(生物种群!$B$3:INDEX(生物种群!$B:$B,COUNTA(生物种群!$B:$B)),MATCH($H397,生物种群!$A$3:INDEX(生物种群!$A:$A,COUNTA(生物种群!$A:$A)),),))</f>
        <v/>
      </c>
      <c r="J397" s="55" t="str">
        <f>IF(H397="","",INDEX(生物种群!$I$3:INDEX(生物种群!$I:$I,COUNTA(生物种群!$I:$I)),MATCH($H397,生物种群!$A$3:INDEX(生物种群!$A:$A,COUNTA(生物种群!$A:$A)),),))</f>
        <v/>
      </c>
      <c r="K397" s="55" t="str">
        <f>IF(H397="","",INDEX(生物种群!$E$3:INDEX(生物种群!$E:$E,COUNTA(生物种群!$E:$E)),MATCH($H397,生物种群!$A$3:INDEX(生物种群!$A:$A,COUNTA(生物种群!$A:$A)),),))</f>
        <v/>
      </c>
      <c r="L397" s="46" t="str">
        <f t="shared" si="24" ref="L397:L460">IFERROR(IF(OR(D397="",E397=""),"",D397/E397*100),"")</f>
        <v/>
      </c>
      <c r="M397" s="47" t="str">
        <f>IF(L397="","",ROUND((L397)/VLOOKUP($F397,IF({1,0},站位样品信息!$A$3:INDEX(站位样品信息!$A:$A,COUNTA(站位样品信息!$A:$A)+1),站位样品信息!$H$3:INDEX(站位样品信息!$H:$H,COUNTA(站位样品信息!$H:$H)+1)),2,0),2))</f>
        <v/>
      </c>
      <c r="O397" s="49"/>
      <c r="P397" s="53" t="str">
        <f t="shared" si="22"/>
        <v/>
      </c>
      <c r="Q397" s="53" t="str">
        <f t="shared" si="23"/>
        <v/>
      </c>
    </row>
    <row r="398" spans="1:17" ht="19.5" customHeight="1">
      <c r="A398" s="38"/>
      <c r="B398" s="38"/>
      <c r="C398" s="38"/>
      <c r="D398" s="37"/>
      <c r="E398" s="37"/>
      <c r="F398" s="37"/>
      <c r="G398" s="37" t="str">
        <f>IF(F398="","",INDEX(站位样品信息!$B$3:INDEX(站位样品信息!$B:$B,COUNTA(站位样品信息!$B:$B)+1),MATCH($F398,站位样品信息!$A$3:INDEX(站位样品信息!$A:$A,COUNTA(站位样品信息!$A:$A)+1),),))</f>
        <v/>
      </c>
      <c r="H398" s="55" t="str">
        <f>IF(OR(A398&lt;&gt;"",B398&lt;&gt;"",C398&lt;&gt;""),IF($C398&lt;&gt;0,INDEX(生物种群!$A$3:INDEX(生物种群!$A:$A,COUNTA(生物种群!$A:$A)),MATCH($C398,生物种群!$F$3:INDEX(生物种群!$F:$F,COUNTA(生物种群!$F:$F)),),),IF($A398&lt;&gt;0,INDEX(生物种群!$A$3:INDEX(生物种群!$A:$A,COUNTA(生物种群!$A:$A)),MATCH($A398,生物种群!$C$3:INDEX(生物种群!$C:$C,COUNTA(生物种群!$C:$C)),),),INDEX(生物种群!$A$3:INDEX(生物种群!$A:$A,COUNTA(生物种群!$A:$A)),MATCH($B398,生物种群!$D$3:INDEX(生物种群!$D:$D,COUNTA(生物种群!$D:$D)),),))),"")</f>
        <v/>
      </c>
      <c r="I398" s="56" t="str">
        <f>IF(H398="","",INDEX(生物种群!$B$3:INDEX(生物种群!$B:$B,COUNTA(生物种群!$B:$B)),MATCH($H398,生物种群!$A$3:INDEX(生物种群!$A:$A,COUNTA(生物种群!$A:$A)),),))</f>
        <v/>
      </c>
      <c r="J398" s="55" t="str">
        <f>IF(H398="","",INDEX(生物种群!$I$3:INDEX(生物种群!$I:$I,COUNTA(生物种群!$I:$I)),MATCH($H398,生物种群!$A$3:INDEX(生物种群!$A:$A,COUNTA(生物种群!$A:$A)),),))</f>
        <v/>
      </c>
      <c r="K398" s="55" t="str">
        <f>IF(H398="","",INDEX(生物种群!$E$3:INDEX(生物种群!$E:$E,COUNTA(生物种群!$E:$E)),MATCH($H398,生物种群!$A$3:INDEX(生物种群!$A:$A,COUNTA(生物种群!$A:$A)),),))</f>
        <v/>
      </c>
      <c r="L398" s="46" t="str">
        <f t="shared" si="24"/>
        <v/>
      </c>
      <c r="M398" s="47" t="str">
        <f>IF(L398="","",ROUND((L398)/VLOOKUP($F398,IF({1,0},站位样品信息!$A$3:INDEX(站位样品信息!$A:$A,COUNTA(站位样品信息!$A:$A)+1),站位样品信息!$H$3:INDEX(站位样品信息!$H:$H,COUNTA(站位样品信息!$H:$H)+1)),2,0),2))</f>
        <v/>
      </c>
      <c r="O398" s="49"/>
      <c r="P398" s="53" t="str">
        <f t="shared" si="22"/>
        <v/>
      </c>
      <c r="Q398" s="53" t="str">
        <f t="shared" si="23"/>
        <v/>
      </c>
    </row>
    <row r="399" spans="1:17" ht="19.5" customHeight="1">
      <c r="A399" s="38"/>
      <c r="B399" s="38"/>
      <c r="C399" s="38"/>
      <c r="D399" s="37"/>
      <c r="E399" s="37"/>
      <c r="F399" s="37"/>
      <c r="G399" s="37" t="str">
        <f>IF(F399="","",INDEX(站位样品信息!$B$3:INDEX(站位样品信息!$B:$B,COUNTA(站位样品信息!$B:$B)+1),MATCH($F399,站位样品信息!$A$3:INDEX(站位样品信息!$A:$A,COUNTA(站位样品信息!$A:$A)+1),),))</f>
        <v/>
      </c>
      <c r="H399" s="55" t="str">
        <f>IF(OR(A399&lt;&gt;"",B399&lt;&gt;"",C399&lt;&gt;""),IF($C399&lt;&gt;0,INDEX(生物种群!$A$3:INDEX(生物种群!$A:$A,COUNTA(生物种群!$A:$A)),MATCH($C399,生物种群!$F$3:INDEX(生物种群!$F:$F,COUNTA(生物种群!$F:$F)),),),IF($A399&lt;&gt;0,INDEX(生物种群!$A$3:INDEX(生物种群!$A:$A,COUNTA(生物种群!$A:$A)),MATCH($A399,生物种群!$C$3:INDEX(生物种群!$C:$C,COUNTA(生物种群!$C:$C)),),),INDEX(生物种群!$A$3:INDEX(生物种群!$A:$A,COUNTA(生物种群!$A:$A)),MATCH($B399,生物种群!$D$3:INDEX(生物种群!$D:$D,COUNTA(生物种群!$D:$D)),),))),"")</f>
        <v/>
      </c>
      <c r="I399" s="56" t="str">
        <f>IF(H399="","",INDEX(生物种群!$B$3:INDEX(生物种群!$B:$B,COUNTA(生物种群!$B:$B)),MATCH($H399,生物种群!$A$3:INDEX(生物种群!$A:$A,COUNTA(生物种群!$A:$A)),),))</f>
        <v/>
      </c>
      <c r="J399" s="55" t="str">
        <f>IF(H399="","",INDEX(生物种群!$I$3:INDEX(生物种群!$I:$I,COUNTA(生物种群!$I:$I)),MATCH($H399,生物种群!$A$3:INDEX(生物种群!$A:$A,COUNTA(生物种群!$A:$A)),),))</f>
        <v/>
      </c>
      <c r="K399" s="55" t="str">
        <f>IF(H399="","",INDEX(生物种群!$E$3:INDEX(生物种群!$E:$E,COUNTA(生物种群!$E:$E)),MATCH($H399,生物种群!$A$3:INDEX(生物种群!$A:$A,COUNTA(生物种群!$A:$A)),),))</f>
        <v/>
      </c>
      <c r="L399" s="46" t="str">
        <f t="shared" si="24"/>
        <v/>
      </c>
      <c r="M399" s="47" t="str">
        <f>IF(L399="","",ROUND((L399)/VLOOKUP($F399,IF({1,0},站位样品信息!$A$3:INDEX(站位样品信息!$A:$A,COUNTA(站位样品信息!$A:$A)+1),站位样品信息!$H$3:INDEX(站位样品信息!$H:$H,COUNTA(站位样品信息!$H:$H)+1)),2,0),2))</f>
        <v/>
      </c>
      <c r="O399" s="49"/>
      <c r="P399" s="53" t="str">
        <f t="shared" si="22"/>
        <v/>
      </c>
      <c r="Q399" s="53" t="str">
        <f t="shared" si="23"/>
        <v/>
      </c>
    </row>
    <row r="400" spans="1:17" ht="19.5" customHeight="1">
      <c r="A400" s="38"/>
      <c r="B400" s="38"/>
      <c r="C400" s="38"/>
      <c r="D400" s="37"/>
      <c r="E400" s="37"/>
      <c r="F400" s="37"/>
      <c r="G400" s="37" t="str">
        <f>IF(F400="","",INDEX(站位样品信息!$B$3:INDEX(站位样品信息!$B:$B,COUNTA(站位样品信息!$B:$B)+1),MATCH($F400,站位样品信息!$A$3:INDEX(站位样品信息!$A:$A,COUNTA(站位样品信息!$A:$A)+1),),))</f>
        <v/>
      </c>
      <c r="H400" s="55" t="str">
        <f>IF(OR(A400&lt;&gt;"",B400&lt;&gt;"",C400&lt;&gt;""),IF($C400&lt;&gt;0,INDEX(生物种群!$A$3:INDEX(生物种群!$A:$A,COUNTA(生物种群!$A:$A)),MATCH($C400,生物种群!$F$3:INDEX(生物种群!$F:$F,COUNTA(生物种群!$F:$F)),),),IF($A400&lt;&gt;0,INDEX(生物种群!$A$3:INDEX(生物种群!$A:$A,COUNTA(生物种群!$A:$A)),MATCH($A400,生物种群!$C$3:INDEX(生物种群!$C:$C,COUNTA(生物种群!$C:$C)),),),INDEX(生物种群!$A$3:INDEX(生物种群!$A:$A,COUNTA(生物种群!$A:$A)),MATCH($B400,生物种群!$D$3:INDEX(生物种群!$D:$D,COUNTA(生物种群!$D:$D)),),))),"")</f>
        <v/>
      </c>
      <c r="I400" s="56" t="str">
        <f>IF(H400="","",INDEX(生物种群!$B$3:INDEX(生物种群!$B:$B,COUNTA(生物种群!$B:$B)),MATCH($H400,生物种群!$A$3:INDEX(生物种群!$A:$A,COUNTA(生物种群!$A:$A)),),))</f>
        <v/>
      </c>
      <c r="J400" s="55" t="str">
        <f>IF(H400="","",INDEX(生物种群!$I$3:INDEX(生物种群!$I:$I,COUNTA(生物种群!$I:$I)),MATCH($H400,生物种群!$A$3:INDEX(生物种群!$A:$A,COUNTA(生物种群!$A:$A)),),))</f>
        <v/>
      </c>
      <c r="K400" s="55" t="str">
        <f>IF(H400="","",INDEX(生物种群!$E$3:INDEX(生物种群!$E:$E,COUNTA(生物种群!$E:$E)),MATCH($H400,生物种群!$A$3:INDEX(生物种群!$A:$A,COUNTA(生物种群!$A:$A)),),))</f>
        <v/>
      </c>
      <c r="L400" s="46" t="str">
        <f t="shared" si="24"/>
        <v/>
      </c>
      <c r="M400" s="47" t="str">
        <f>IF(L400="","",ROUND((L400)/VLOOKUP($F400,IF({1,0},站位样品信息!$A$3:INDEX(站位样品信息!$A:$A,COUNTA(站位样品信息!$A:$A)+1),站位样品信息!$H$3:INDEX(站位样品信息!$H:$H,COUNTA(站位样品信息!$H:$H)+1)),2,0),2))</f>
        <v/>
      </c>
      <c r="O400" s="49"/>
      <c r="P400" s="53" t="str">
        <f t="shared" si="22"/>
        <v/>
      </c>
      <c r="Q400" s="53" t="str">
        <f t="shared" si="23"/>
        <v/>
      </c>
    </row>
    <row r="401" spans="1:17" ht="19.5" customHeight="1">
      <c r="A401" s="38"/>
      <c r="B401" s="38"/>
      <c r="C401" s="38"/>
      <c r="D401" s="37"/>
      <c r="E401" s="37"/>
      <c r="F401" s="37"/>
      <c r="G401" s="37" t="str">
        <f>IF(F401="","",INDEX(站位样品信息!$B$3:INDEX(站位样品信息!$B:$B,COUNTA(站位样品信息!$B:$B)+1),MATCH($F401,站位样品信息!$A$3:INDEX(站位样品信息!$A:$A,COUNTA(站位样品信息!$A:$A)+1),),))</f>
        <v/>
      </c>
      <c r="H401" s="55" t="str">
        <f>IF(OR(A401&lt;&gt;"",B401&lt;&gt;"",C401&lt;&gt;""),IF($C401&lt;&gt;0,INDEX(生物种群!$A$3:INDEX(生物种群!$A:$A,COUNTA(生物种群!$A:$A)),MATCH($C401,生物种群!$F$3:INDEX(生物种群!$F:$F,COUNTA(生物种群!$F:$F)),),),IF($A401&lt;&gt;0,INDEX(生物种群!$A$3:INDEX(生物种群!$A:$A,COUNTA(生物种群!$A:$A)),MATCH($A401,生物种群!$C$3:INDEX(生物种群!$C:$C,COUNTA(生物种群!$C:$C)),),),INDEX(生物种群!$A$3:INDEX(生物种群!$A:$A,COUNTA(生物种群!$A:$A)),MATCH($B401,生物种群!$D$3:INDEX(生物种群!$D:$D,COUNTA(生物种群!$D:$D)),),))),"")</f>
        <v/>
      </c>
      <c r="I401" s="56" t="str">
        <f>IF(H401="","",INDEX(生物种群!$B$3:INDEX(生物种群!$B:$B,COUNTA(生物种群!$B:$B)),MATCH($H401,生物种群!$A$3:INDEX(生物种群!$A:$A,COUNTA(生物种群!$A:$A)),),))</f>
        <v/>
      </c>
      <c r="J401" s="55" t="str">
        <f>IF(H401="","",INDEX(生物种群!$I$3:INDEX(生物种群!$I:$I,COUNTA(生物种群!$I:$I)),MATCH($H401,生物种群!$A$3:INDEX(生物种群!$A:$A,COUNTA(生物种群!$A:$A)),),))</f>
        <v/>
      </c>
      <c r="K401" s="55" t="str">
        <f>IF(H401="","",INDEX(生物种群!$E$3:INDEX(生物种群!$E:$E,COUNTA(生物种群!$E:$E)),MATCH($H401,生物种群!$A$3:INDEX(生物种群!$A:$A,COUNTA(生物种群!$A:$A)),),))</f>
        <v/>
      </c>
      <c r="L401" s="46" t="str">
        <f t="shared" si="24"/>
        <v/>
      </c>
      <c r="M401" s="47" t="str">
        <f>IF(L401="","",ROUND((L401)/VLOOKUP($F401,IF({1,0},站位样品信息!$A$3:INDEX(站位样品信息!$A:$A,COUNTA(站位样品信息!$A:$A)+1),站位样品信息!$H$3:INDEX(站位样品信息!$H:$H,COUNTA(站位样品信息!$H:$H)+1)),2,0),2))</f>
        <v/>
      </c>
      <c r="O401" s="49"/>
      <c r="P401" s="53" t="str">
        <f t="shared" si="22"/>
        <v/>
      </c>
      <c r="Q401" s="53" t="str">
        <f t="shared" si="23"/>
        <v/>
      </c>
    </row>
    <row r="402" spans="1:17" ht="19.5" customHeight="1">
      <c r="A402" s="38"/>
      <c r="B402" s="38"/>
      <c r="C402" s="38"/>
      <c r="D402" s="37"/>
      <c r="E402" s="37"/>
      <c r="F402" s="37"/>
      <c r="G402" s="37" t="str">
        <f>IF(F402="","",INDEX(站位样品信息!$B$3:INDEX(站位样品信息!$B:$B,COUNTA(站位样品信息!$B:$B)+1),MATCH($F402,站位样品信息!$A$3:INDEX(站位样品信息!$A:$A,COUNTA(站位样品信息!$A:$A)+1),),))</f>
        <v/>
      </c>
      <c r="H402" s="55" t="str">
        <f>IF(OR(A402&lt;&gt;"",B402&lt;&gt;"",C402&lt;&gt;""),IF($C402&lt;&gt;0,INDEX(生物种群!$A$3:INDEX(生物种群!$A:$A,COUNTA(生物种群!$A:$A)),MATCH($C402,生物种群!$F$3:INDEX(生物种群!$F:$F,COUNTA(生物种群!$F:$F)),),),IF($A402&lt;&gt;0,INDEX(生物种群!$A$3:INDEX(生物种群!$A:$A,COUNTA(生物种群!$A:$A)),MATCH($A402,生物种群!$C$3:INDEX(生物种群!$C:$C,COUNTA(生物种群!$C:$C)),),),INDEX(生物种群!$A$3:INDEX(生物种群!$A:$A,COUNTA(生物种群!$A:$A)),MATCH($B402,生物种群!$D$3:INDEX(生物种群!$D:$D,COUNTA(生物种群!$D:$D)),),))),"")</f>
        <v/>
      </c>
      <c r="I402" s="56" t="str">
        <f>IF(H402="","",INDEX(生物种群!$B$3:INDEX(生物种群!$B:$B,COUNTA(生物种群!$B:$B)),MATCH($H402,生物种群!$A$3:INDEX(生物种群!$A:$A,COUNTA(生物种群!$A:$A)),),))</f>
        <v/>
      </c>
      <c r="J402" s="55" t="str">
        <f>IF(H402="","",INDEX(生物种群!$I$3:INDEX(生物种群!$I:$I,COUNTA(生物种群!$I:$I)),MATCH($H402,生物种群!$A$3:INDEX(生物种群!$A:$A,COUNTA(生物种群!$A:$A)),),))</f>
        <v/>
      </c>
      <c r="K402" s="55" t="str">
        <f>IF(H402="","",INDEX(生物种群!$E$3:INDEX(生物种群!$E:$E,COUNTA(生物种群!$E:$E)),MATCH($H402,生物种群!$A$3:INDEX(生物种群!$A:$A,COUNTA(生物种群!$A:$A)),),))</f>
        <v/>
      </c>
      <c r="L402" s="46" t="str">
        <f t="shared" si="24"/>
        <v/>
      </c>
      <c r="M402" s="47" t="str">
        <f>IF(L402="","",ROUND((L402)/VLOOKUP($F402,IF({1,0},站位样品信息!$A$3:INDEX(站位样品信息!$A:$A,COUNTA(站位样品信息!$A:$A)+1),站位样品信息!$H$3:INDEX(站位样品信息!$H:$H,COUNTA(站位样品信息!$H:$H)+1)),2,0),2))</f>
        <v/>
      </c>
      <c r="O402" s="49"/>
      <c r="P402" s="53" t="str">
        <f t="shared" si="22"/>
        <v/>
      </c>
      <c r="Q402" s="53" t="str">
        <f t="shared" si="23"/>
        <v/>
      </c>
    </row>
    <row r="403" spans="1:17" ht="19.5" customHeight="1">
      <c r="A403" s="38"/>
      <c r="B403" s="38"/>
      <c r="C403" s="38"/>
      <c r="D403" s="37"/>
      <c r="E403" s="37"/>
      <c r="F403" s="37"/>
      <c r="G403" s="37" t="str">
        <f>IF(F403="","",INDEX(站位样品信息!$B$3:INDEX(站位样品信息!$B:$B,COUNTA(站位样品信息!$B:$B)+1),MATCH($F403,站位样品信息!$A$3:INDEX(站位样品信息!$A:$A,COUNTA(站位样品信息!$A:$A)+1),),))</f>
        <v/>
      </c>
      <c r="H403" s="55" t="str">
        <f>IF(OR(A403&lt;&gt;"",B403&lt;&gt;"",C403&lt;&gt;""),IF($C403&lt;&gt;0,INDEX(生物种群!$A$3:INDEX(生物种群!$A:$A,COUNTA(生物种群!$A:$A)),MATCH($C403,生物种群!$F$3:INDEX(生物种群!$F:$F,COUNTA(生物种群!$F:$F)),),),IF($A403&lt;&gt;0,INDEX(生物种群!$A$3:INDEX(生物种群!$A:$A,COUNTA(生物种群!$A:$A)),MATCH($A403,生物种群!$C$3:INDEX(生物种群!$C:$C,COUNTA(生物种群!$C:$C)),),),INDEX(生物种群!$A$3:INDEX(生物种群!$A:$A,COUNTA(生物种群!$A:$A)),MATCH($B403,生物种群!$D$3:INDEX(生物种群!$D:$D,COUNTA(生物种群!$D:$D)),),))),"")</f>
        <v/>
      </c>
      <c r="I403" s="56" t="str">
        <f>IF(H403="","",INDEX(生物种群!$B$3:INDEX(生物种群!$B:$B,COUNTA(生物种群!$B:$B)),MATCH($H403,生物种群!$A$3:INDEX(生物种群!$A:$A,COUNTA(生物种群!$A:$A)),),))</f>
        <v/>
      </c>
      <c r="J403" s="55" t="str">
        <f>IF(H403="","",INDEX(生物种群!$I$3:INDEX(生物种群!$I:$I,COUNTA(生物种群!$I:$I)),MATCH($H403,生物种群!$A$3:INDEX(生物种群!$A:$A,COUNTA(生物种群!$A:$A)),),))</f>
        <v/>
      </c>
      <c r="K403" s="55" t="str">
        <f>IF(H403="","",INDEX(生物种群!$E$3:INDEX(生物种群!$E:$E,COUNTA(生物种群!$E:$E)),MATCH($H403,生物种群!$A$3:INDEX(生物种群!$A:$A,COUNTA(生物种群!$A:$A)),),))</f>
        <v/>
      </c>
      <c r="L403" s="46" t="str">
        <f t="shared" si="24"/>
        <v/>
      </c>
      <c r="M403" s="47" t="str">
        <f>IF(L403="","",ROUND((L403)/VLOOKUP($F403,IF({1,0},站位样品信息!$A$3:INDEX(站位样品信息!$A:$A,COUNTA(站位样品信息!$A:$A)+1),站位样品信息!$H$3:INDEX(站位样品信息!$H:$H,COUNTA(站位样品信息!$H:$H)+1)),2,0),2))</f>
        <v/>
      </c>
      <c r="O403" s="49"/>
      <c r="P403" s="53" t="str">
        <f t="shared" si="22"/>
        <v/>
      </c>
      <c r="Q403" s="53" t="str">
        <f t="shared" si="23"/>
        <v/>
      </c>
    </row>
    <row r="404" spans="1:17" ht="19.5" customHeight="1">
      <c r="A404" s="38"/>
      <c r="B404" s="38"/>
      <c r="C404" s="38"/>
      <c r="D404" s="37"/>
      <c r="E404" s="37"/>
      <c r="F404" s="37"/>
      <c r="G404" s="37" t="str">
        <f>IF(F404="","",INDEX(站位样品信息!$B$3:INDEX(站位样品信息!$B:$B,COUNTA(站位样品信息!$B:$B)+1),MATCH($F404,站位样品信息!$A$3:INDEX(站位样品信息!$A:$A,COUNTA(站位样品信息!$A:$A)+1),),))</f>
        <v/>
      </c>
      <c r="H404" s="55" t="str">
        <f>IF(OR(A404&lt;&gt;"",B404&lt;&gt;"",C404&lt;&gt;""),IF($C404&lt;&gt;0,INDEX(生物种群!$A$3:INDEX(生物种群!$A:$A,COUNTA(生物种群!$A:$A)),MATCH($C404,生物种群!$F$3:INDEX(生物种群!$F:$F,COUNTA(生物种群!$F:$F)),),),IF($A404&lt;&gt;0,INDEX(生物种群!$A$3:INDEX(生物种群!$A:$A,COUNTA(生物种群!$A:$A)),MATCH($A404,生物种群!$C$3:INDEX(生物种群!$C:$C,COUNTA(生物种群!$C:$C)),),),INDEX(生物种群!$A$3:INDEX(生物种群!$A:$A,COUNTA(生物种群!$A:$A)),MATCH($B404,生物种群!$D$3:INDEX(生物种群!$D:$D,COUNTA(生物种群!$D:$D)),),))),"")</f>
        <v/>
      </c>
      <c r="I404" s="56" t="str">
        <f>IF(H404="","",INDEX(生物种群!$B$3:INDEX(生物种群!$B:$B,COUNTA(生物种群!$B:$B)),MATCH($H404,生物种群!$A$3:INDEX(生物种群!$A:$A,COUNTA(生物种群!$A:$A)),),))</f>
        <v/>
      </c>
      <c r="J404" s="55" t="str">
        <f>IF(H404="","",INDEX(生物种群!$I$3:INDEX(生物种群!$I:$I,COUNTA(生物种群!$I:$I)),MATCH($H404,生物种群!$A$3:INDEX(生物种群!$A:$A,COUNTA(生物种群!$A:$A)),),))</f>
        <v/>
      </c>
      <c r="K404" s="55" t="str">
        <f>IF(H404="","",INDEX(生物种群!$E$3:INDEX(生物种群!$E:$E,COUNTA(生物种群!$E:$E)),MATCH($H404,生物种群!$A$3:INDEX(生物种群!$A:$A,COUNTA(生物种群!$A:$A)),),))</f>
        <v/>
      </c>
      <c r="L404" s="46" t="str">
        <f t="shared" si="24"/>
        <v/>
      </c>
      <c r="M404" s="47" t="str">
        <f>IF(L404="","",ROUND((L404)/VLOOKUP($F404,IF({1,0},站位样品信息!$A$3:INDEX(站位样品信息!$A:$A,COUNTA(站位样品信息!$A:$A)+1),站位样品信息!$H$3:INDEX(站位样品信息!$H:$H,COUNTA(站位样品信息!$H:$H)+1)),2,0),2))</f>
        <v/>
      </c>
      <c r="O404" s="49"/>
      <c r="P404" s="53" t="str">
        <f t="shared" si="22"/>
        <v/>
      </c>
      <c r="Q404" s="53" t="str">
        <f t="shared" si="23"/>
        <v/>
      </c>
    </row>
    <row r="405" spans="1:17" ht="19.5" customHeight="1">
      <c r="A405" s="38"/>
      <c r="B405" s="38"/>
      <c r="C405" s="38"/>
      <c r="D405" s="37"/>
      <c r="E405" s="37"/>
      <c r="F405" s="37"/>
      <c r="G405" s="37" t="str">
        <f>IF(F405="","",INDEX(站位样品信息!$B$3:INDEX(站位样品信息!$B:$B,COUNTA(站位样品信息!$B:$B)+1),MATCH($F405,站位样品信息!$A$3:INDEX(站位样品信息!$A:$A,COUNTA(站位样品信息!$A:$A)+1),),))</f>
        <v/>
      </c>
      <c r="H405" s="55" t="str">
        <f>IF(OR(A405&lt;&gt;"",B405&lt;&gt;"",C405&lt;&gt;""),IF($C405&lt;&gt;0,INDEX(生物种群!$A$3:INDEX(生物种群!$A:$A,COUNTA(生物种群!$A:$A)),MATCH($C405,生物种群!$F$3:INDEX(生物种群!$F:$F,COUNTA(生物种群!$F:$F)),),),IF($A405&lt;&gt;0,INDEX(生物种群!$A$3:INDEX(生物种群!$A:$A,COUNTA(生物种群!$A:$A)),MATCH($A405,生物种群!$C$3:INDEX(生物种群!$C:$C,COUNTA(生物种群!$C:$C)),),),INDEX(生物种群!$A$3:INDEX(生物种群!$A:$A,COUNTA(生物种群!$A:$A)),MATCH($B405,生物种群!$D$3:INDEX(生物种群!$D:$D,COUNTA(生物种群!$D:$D)),),))),"")</f>
        <v/>
      </c>
      <c r="I405" s="56" t="str">
        <f>IF(H405="","",INDEX(生物种群!$B$3:INDEX(生物种群!$B:$B,COUNTA(生物种群!$B:$B)),MATCH($H405,生物种群!$A$3:INDEX(生物种群!$A:$A,COUNTA(生物种群!$A:$A)),),))</f>
        <v/>
      </c>
      <c r="J405" s="55" t="str">
        <f>IF(H405="","",INDEX(生物种群!$I$3:INDEX(生物种群!$I:$I,COUNTA(生物种群!$I:$I)),MATCH($H405,生物种群!$A$3:INDEX(生物种群!$A:$A,COUNTA(生物种群!$A:$A)),),))</f>
        <v/>
      </c>
      <c r="K405" s="55" t="str">
        <f>IF(H405="","",INDEX(生物种群!$E$3:INDEX(生物种群!$E:$E,COUNTA(生物种群!$E:$E)),MATCH($H405,生物种群!$A$3:INDEX(生物种群!$A:$A,COUNTA(生物种群!$A:$A)),),))</f>
        <v/>
      </c>
      <c r="L405" s="46" t="str">
        <f t="shared" si="24"/>
        <v/>
      </c>
      <c r="M405" s="47" t="str">
        <f>IF(L405="","",ROUND((L405)/VLOOKUP($F405,IF({1,0},站位样品信息!$A$3:INDEX(站位样品信息!$A:$A,COUNTA(站位样品信息!$A:$A)+1),站位样品信息!$H$3:INDEX(站位样品信息!$H:$H,COUNTA(站位样品信息!$H:$H)+1)),2,0),2))</f>
        <v/>
      </c>
      <c r="O405" s="49"/>
      <c r="P405" s="53" t="str">
        <f t="shared" si="22"/>
        <v/>
      </c>
      <c r="Q405" s="53" t="str">
        <f t="shared" si="23"/>
        <v/>
      </c>
    </row>
    <row r="406" spans="1:17" ht="19.5" customHeight="1">
      <c r="A406" s="38"/>
      <c r="B406" s="38"/>
      <c r="C406" s="38"/>
      <c r="D406" s="37"/>
      <c r="E406" s="37"/>
      <c r="F406" s="37"/>
      <c r="G406" s="37" t="str">
        <f>IF(F406="","",INDEX(站位样品信息!$B$3:INDEX(站位样品信息!$B:$B,COUNTA(站位样品信息!$B:$B)+1),MATCH($F406,站位样品信息!$A$3:INDEX(站位样品信息!$A:$A,COUNTA(站位样品信息!$A:$A)+1),),))</f>
        <v/>
      </c>
      <c r="H406" s="55" t="str">
        <f>IF(OR(A406&lt;&gt;"",B406&lt;&gt;"",C406&lt;&gt;""),IF($C406&lt;&gt;0,INDEX(生物种群!$A$3:INDEX(生物种群!$A:$A,COUNTA(生物种群!$A:$A)),MATCH($C406,生物种群!$F$3:INDEX(生物种群!$F:$F,COUNTA(生物种群!$F:$F)),),),IF($A406&lt;&gt;0,INDEX(生物种群!$A$3:INDEX(生物种群!$A:$A,COUNTA(生物种群!$A:$A)),MATCH($A406,生物种群!$C$3:INDEX(生物种群!$C:$C,COUNTA(生物种群!$C:$C)),),),INDEX(生物种群!$A$3:INDEX(生物种群!$A:$A,COUNTA(生物种群!$A:$A)),MATCH($B406,生物种群!$D$3:INDEX(生物种群!$D:$D,COUNTA(生物种群!$D:$D)),),))),"")</f>
        <v/>
      </c>
      <c r="I406" s="56" t="str">
        <f>IF(H406="","",INDEX(生物种群!$B$3:INDEX(生物种群!$B:$B,COUNTA(生物种群!$B:$B)),MATCH($H406,生物种群!$A$3:INDEX(生物种群!$A:$A,COUNTA(生物种群!$A:$A)),),))</f>
        <v/>
      </c>
      <c r="J406" s="55" t="str">
        <f>IF(H406="","",INDEX(生物种群!$I$3:INDEX(生物种群!$I:$I,COUNTA(生物种群!$I:$I)),MATCH($H406,生物种群!$A$3:INDEX(生物种群!$A:$A,COUNTA(生物种群!$A:$A)),),))</f>
        <v/>
      </c>
      <c r="K406" s="55" t="str">
        <f>IF(H406="","",INDEX(生物种群!$E$3:INDEX(生物种群!$E:$E,COUNTA(生物种群!$E:$E)),MATCH($H406,生物种群!$A$3:INDEX(生物种群!$A:$A,COUNTA(生物种群!$A:$A)),),))</f>
        <v/>
      </c>
      <c r="L406" s="46" t="str">
        <f t="shared" si="24"/>
        <v/>
      </c>
      <c r="M406" s="47" t="str">
        <f>IF(L406="","",ROUND((L406)/VLOOKUP($F406,IF({1,0},站位样品信息!$A$3:INDEX(站位样品信息!$A:$A,COUNTA(站位样品信息!$A:$A)+1),站位样品信息!$H$3:INDEX(站位样品信息!$H:$H,COUNTA(站位样品信息!$H:$H)+1)),2,0),2))</f>
        <v/>
      </c>
      <c r="O406" s="49"/>
      <c r="P406" s="53" t="str">
        <f t="shared" si="22"/>
        <v/>
      </c>
      <c r="Q406" s="53" t="str">
        <f t="shared" si="23"/>
        <v/>
      </c>
    </row>
    <row r="407" spans="1:17" ht="19.5" customHeight="1">
      <c r="A407" s="38"/>
      <c r="B407" s="38"/>
      <c r="C407" s="38"/>
      <c r="D407" s="37"/>
      <c r="E407" s="37"/>
      <c r="F407" s="37"/>
      <c r="G407" s="37" t="str">
        <f>IF(F407="","",INDEX(站位样品信息!$B$3:INDEX(站位样品信息!$B:$B,COUNTA(站位样品信息!$B:$B)+1),MATCH($F407,站位样品信息!$A$3:INDEX(站位样品信息!$A:$A,COUNTA(站位样品信息!$A:$A)+1),),))</f>
        <v/>
      </c>
      <c r="H407" s="55" t="str">
        <f>IF(OR(A407&lt;&gt;"",B407&lt;&gt;"",C407&lt;&gt;""),IF($C407&lt;&gt;0,INDEX(生物种群!$A$3:INDEX(生物种群!$A:$A,COUNTA(生物种群!$A:$A)),MATCH($C407,生物种群!$F$3:INDEX(生物种群!$F:$F,COUNTA(生物种群!$F:$F)),),),IF($A407&lt;&gt;0,INDEX(生物种群!$A$3:INDEX(生物种群!$A:$A,COUNTA(生物种群!$A:$A)),MATCH($A407,生物种群!$C$3:INDEX(生物种群!$C:$C,COUNTA(生物种群!$C:$C)),),),INDEX(生物种群!$A$3:INDEX(生物种群!$A:$A,COUNTA(生物种群!$A:$A)),MATCH($B407,生物种群!$D$3:INDEX(生物种群!$D:$D,COUNTA(生物种群!$D:$D)),),))),"")</f>
        <v/>
      </c>
      <c r="I407" s="56" t="str">
        <f>IF(H407="","",INDEX(生物种群!$B$3:INDEX(生物种群!$B:$B,COUNTA(生物种群!$B:$B)),MATCH($H407,生物种群!$A$3:INDEX(生物种群!$A:$A,COUNTA(生物种群!$A:$A)),),))</f>
        <v/>
      </c>
      <c r="J407" s="55" t="str">
        <f>IF(H407="","",INDEX(生物种群!$I$3:INDEX(生物种群!$I:$I,COUNTA(生物种群!$I:$I)),MATCH($H407,生物种群!$A$3:INDEX(生物种群!$A:$A,COUNTA(生物种群!$A:$A)),),))</f>
        <v/>
      </c>
      <c r="K407" s="55" t="str">
        <f>IF(H407="","",INDEX(生物种群!$E$3:INDEX(生物种群!$E:$E,COUNTA(生物种群!$E:$E)),MATCH($H407,生物种群!$A$3:INDEX(生物种群!$A:$A,COUNTA(生物种群!$A:$A)),),))</f>
        <v/>
      </c>
      <c r="L407" s="46" t="str">
        <f t="shared" si="24"/>
        <v/>
      </c>
      <c r="M407" s="47" t="str">
        <f>IF(L407="","",ROUND((L407)/VLOOKUP($F407,IF({1,0},站位样品信息!$A$3:INDEX(站位样品信息!$A:$A,COUNTA(站位样品信息!$A:$A)+1),站位样品信息!$H$3:INDEX(站位样品信息!$H:$H,COUNTA(站位样品信息!$H:$H)+1)),2,0),2))</f>
        <v/>
      </c>
      <c r="O407" s="49"/>
      <c r="P407" s="53" t="str">
        <f t="shared" si="22"/>
        <v/>
      </c>
      <c r="Q407" s="53" t="str">
        <f t="shared" si="23"/>
        <v/>
      </c>
    </row>
    <row r="408" spans="1:17" ht="19.5" customHeight="1">
      <c r="A408" s="38"/>
      <c r="B408" s="38"/>
      <c r="C408" s="38"/>
      <c r="D408" s="37"/>
      <c r="E408" s="37"/>
      <c r="F408" s="37"/>
      <c r="G408" s="37" t="str">
        <f>IF(F408="","",INDEX(站位样品信息!$B$3:INDEX(站位样品信息!$B:$B,COUNTA(站位样品信息!$B:$B)+1),MATCH($F408,站位样品信息!$A$3:INDEX(站位样品信息!$A:$A,COUNTA(站位样品信息!$A:$A)+1),),))</f>
        <v/>
      </c>
      <c r="H408" s="55" t="str">
        <f>IF(OR(A408&lt;&gt;"",B408&lt;&gt;"",C408&lt;&gt;""),IF($C408&lt;&gt;0,INDEX(生物种群!$A$3:INDEX(生物种群!$A:$A,COUNTA(生物种群!$A:$A)),MATCH($C408,生物种群!$F$3:INDEX(生物种群!$F:$F,COUNTA(生物种群!$F:$F)),),),IF($A408&lt;&gt;0,INDEX(生物种群!$A$3:INDEX(生物种群!$A:$A,COUNTA(生物种群!$A:$A)),MATCH($A408,生物种群!$C$3:INDEX(生物种群!$C:$C,COUNTA(生物种群!$C:$C)),),),INDEX(生物种群!$A$3:INDEX(生物种群!$A:$A,COUNTA(生物种群!$A:$A)),MATCH($B408,生物种群!$D$3:INDEX(生物种群!$D:$D,COUNTA(生物种群!$D:$D)),),))),"")</f>
        <v/>
      </c>
      <c r="I408" s="56" t="str">
        <f>IF(H408="","",INDEX(生物种群!$B$3:INDEX(生物种群!$B:$B,COUNTA(生物种群!$B:$B)),MATCH($H408,生物种群!$A$3:INDEX(生物种群!$A:$A,COUNTA(生物种群!$A:$A)),),))</f>
        <v/>
      </c>
      <c r="J408" s="55" t="str">
        <f>IF(H408="","",INDEX(生物种群!$I$3:INDEX(生物种群!$I:$I,COUNTA(生物种群!$I:$I)),MATCH($H408,生物种群!$A$3:INDEX(生物种群!$A:$A,COUNTA(生物种群!$A:$A)),),))</f>
        <v/>
      </c>
      <c r="K408" s="55" t="str">
        <f>IF(H408="","",INDEX(生物种群!$E$3:INDEX(生物种群!$E:$E,COUNTA(生物种群!$E:$E)),MATCH($H408,生物种群!$A$3:INDEX(生物种群!$A:$A,COUNTA(生物种群!$A:$A)),),))</f>
        <v/>
      </c>
      <c r="L408" s="46" t="str">
        <f t="shared" si="24"/>
        <v/>
      </c>
      <c r="M408" s="47" t="str">
        <f>IF(L408="","",ROUND((L408)/VLOOKUP($F408,IF({1,0},站位样品信息!$A$3:INDEX(站位样品信息!$A:$A,COUNTA(站位样品信息!$A:$A)+1),站位样品信息!$H$3:INDEX(站位样品信息!$H:$H,COUNTA(站位样品信息!$H:$H)+1)),2,0),2))</f>
        <v/>
      </c>
      <c r="O408" s="49"/>
      <c r="P408" s="53" t="str">
        <f t="shared" si="22"/>
        <v/>
      </c>
      <c r="Q408" s="53" t="str">
        <f t="shared" si="23"/>
        <v/>
      </c>
    </row>
    <row r="409" spans="1:17" ht="19.5" customHeight="1">
      <c r="A409" s="38"/>
      <c r="B409" s="38"/>
      <c r="C409" s="38"/>
      <c r="D409" s="37"/>
      <c r="E409" s="37"/>
      <c r="F409" s="37"/>
      <c r="G409" s="37" t="str">
        <f>IF(F409="","",INDEX(站位样品信息!$B$3:INDEX(站位样品信息!$B:$B,COUNTA(站位样品信息!$B:$B)+1),MATCH($F409,站位样品信息!$A$3:INDEX(站位样品信息!$A:$A,COUNTA(站位样品信息!$A:$A)+1),),))</f>
        <v/>
      </c>
      <c r="H409" s="55" t="str">
        <f>IF(OR(A409&lt;&gt;"",B409&lt;&gt;"",C409&lt;&gt;""),IF($C409&lt;&gt;0,INDEX(生物种群!$A$3:INDEX(生物种群!$A:$A,COUNTA(生物种群!$A:$A)),MATCH($C409,生物种群!$F$3:INDEX(生物种群!$F:$F,COUNTA(生物种群!$F:$F)),),),IF($A409&lt;&gt;0,INDEX(生物种群!$A$3:INDEX(生物种群!$A:$A,COUNTA(生物种群!$A:$A)),MATCH($A409,生物种群!$C$3:INDEX(生物种群!$C:$C,COUNTA(生物种群!$C:$C)),),),INDEX(生物种群!$A$3:INDEX(生物种群!$A:$A,COUNTA(生物种群!$A:$A)),MATCH($B409,生物种群!$D$3:INDEX(生物种群!$D:$D,COUNTA(生物种群!$D:$D)),),))),"")</f>
        <v/>
      </c>
      <c r="I409" s="56" t="str">
        <f>IF(H409="","",INDEX(生物种群!$B$3:INDEX(生物种群!$B:$B,COUNTA(生物种群!$B:$B)),MATCH($H409,生物种群!$A$3:INDEX(生物种群!$A:$A,COUNTA(生物种群!$A:$A)),),))</f>
        <v/>
      </c>
      <c r="J409" s="55" t="str">
        <f>IF(H409="","",INDEX(生物种群!$I$3:INDEX(生物种群!$I:$I,COUNTA(生物种群!$I:$I)),MATCH($H409,生物种群!$A$3:INDEX(生物种群!$A:$A,COUNTA(生物种群!$A:$A)),),))</f>
        <v/>
      </c>
      <c r="K409" s="55" t="str">
        <f>IF(H409="","",INDEX(生物种群!$E$3:INDEX(生物种群!$E:$E,COUNTA(生物种群!$E:$E)),MATCH($H409,生物种群!$A$3:INDEX(生物种群!$A:$A,COUNTA(生物种群!$A:$A)),),))</f>
        <v/>
      </c>
      <c r="L409" s="46" t="str">
        <f t="shared" si="24"/>
        <v/>
      </c>
      <c r="M409" s="47" t="str">
        <f>IF(L409="","",ROUND((L409)/VLOOKUP($F409,IF({1,0},站位样品信息!$A$3:INDEX(站位样品信息!$A:$A,COUNTA(站位样品信息!$A:$A)+1),站位样品信息!$H$3:INDEX(站位样品信息!$H:$H,COUNTA(站位样品信息!$H:$H)+1)),2,0),2))</f>
        <v/>
      </c>
      <c r="O409" s="49"/>
      <c r="P409" s="53" t="str">
        <f t="shared" si="22"/>
        <v/>
      </c>
      <c r="Q409" s="53" t="str">
        <f t="shared" si="23"/>
        <v/>
      </c>
    </row>
    <row r="410" spans="1:17" ht="19.5" customHeight="1">
      <c r="A410" s="38"/>
      <c r="B410" s="38"/>
      <c r="C410" s="38"/>
      <c r="D410" s="37"/>
      <c r="E410" s="37"/>
      <c r="F410" s="37"/>
      <c r="G410" s="37" t="str">
        <f>IF(F410="","",INDEX(站位样品信息!$B$3:INDEX(站位样品信息!$B:$B,COUNTA(站位样品信息!$B:$B)+1),MATCH($F410,站位样品信息!$A$3:INDEX(站位样品信息!$A:$A,COUNTA(站位样品信息!$A:$A)+1),),))</f>
        <v/>
      </c>
      <c r="H410" s="55" t="str">
        <f>IF(OR(A410&lt;&gt;"",B410&lt;&gt;"",C410&lt;&gt;""),IF($C410&lt;&gt;0,INDEX(生物种群!$A$3:INDEX(生物种群!$A:$A,COUNTA(生物种群!$A:$A)),MATCH($C410,生物种群!$F$3:INDEX(生物种群!$F:$F,COUNTA(生物种群!$F:$F)),),),IF($A410&lt;&gt;0,INDEX(生物种群!$A$3:INDEX(生物种群!$A:$A,COUNTA(生物种群!$A:$A)),MATCH($A410,生物种群!$C$3:INDEX(生物种群!$C:$C,COUNTA(生物种群!$C:$C)),),),INDEX(生物种群!$A$3:INDEX(生物种群!$A:$A,COUNTA(生物种群!$A:$A)),MATCH($B410,生物种群!$D$3:INDEX(生物种群!$D:$D,COUNTA(生物种群!$D:$D)),),))),"")</f>
        <v/>
      </c>
      <c r="I410" s="56" t="str">
        <f>IF(H410="","",INDEX(生物种群!$B$3:INDEX(生物种群!$B:$B,COUNTA(生物种群!$B:$B)),MATCH($H410,生物种群!$A$3:INDEX(生物种群!$A:$A,COUNTA(生物种群!$A:$A)),),))</f>
        <v/>
      </c>
      <c r="J410" s="55" t="str">
        <f>IF(H410="","",INDEX(生物种群!$I$3:INDEX(生物种群!$I:$I,COUNTA(生物种群!$I:$I)),MATCH($H410,生物种群!$A$3:INDEX(生物种群!$A:$A,COUNTA(生物种群!$A:$A)),),))</f>
        <v/>
      </c>
      <c r="K410" s="55" t="str">
        <f>IF(H410="","",INDEX(生物种群!$E$3:INDEX(生物种群!$E:$E,COUNTA(生物种群!$E:$E)),MATCH($H410,生物种群!$A$3:INDEX(生物种群!$A:$A,COUNTA(生物种群!$A:$A)),),))</f>
        <v/>
      </c>
      <c r="L410" s="46" t="str">
        <f t="shared" si="24"/>
        <v/>
      </c>
      <c r="M410" s="47" t="str">
        <f>IF(L410="","",ROUND((L410)/VLOOKUP($F410,IF({1,0},站位样品信息!$A$3:INDEX(站位样品信息!$A:$A,COUNTA(站位样品信息!$A:$A)+1),站位样品信息!$H$3:INDEX(站位样品信息!$H:$H,COUNTA(站位样品信息!$H:$H)+1)),2,0),2))</f>
        <v/>
      </c>
      <c r="O410" s="49"/>
      <c r="P410" s="53" t="str">
        <f t="shared" si="22"/>
        <v/>
      </c>
      <c r="Q410" s="53" t="str">
        <f t="shared" si="23"/>
        <v/>
      </c>
    </row>
    <row r="411" spans="1:17" ht="19.5" customHeight="1">
      <c r="A411" s="38"/>
      <c r="B411" s="38"/>
      <c r="C411" s="38"/>
      <c r="D411" s="37"/>
      <c r="E411" s="37"/>
      <c r="F411" s="37"/>
      <c r="G411" s="37" t="str">
        <f>IF(F411="","",INDEX(站位样品信息!$B$3:INDEX(站位样品信息!$B:$B,COUNTA(站位样品信息!$B:$B)+1),MATCH($F411,站位样品信息!$A$3:INDEX(站位样品信息!$A:$A,COUNTA(站位样品信息!$A:$A)+1),),))</f>
        <v/>
      </c>
      <c r="H411" s="55" t="str">
        <f>IF(OR(A411&lt;&gt;"",B411&lt;&gt;"",C411&lt;&gt;""),IF($C411&lt;&gt;0,INDEX(生物种群!$A$3:INDEX(生物种群!$A:$A,COUNTA(生物种群!$A:$A)),MATCH($C411,生物种群!$F$3:INDEX(生物种群!$F:$F,COUNTA(生物种群!$F:$F)),),),IF($A411&lt;&gt;0,INDEX(生物种群!$A$3:INDEX(生物种群!$A:$A,COUNTA(生物种群!$A:$A)),MATCH($A411,生物种群!$C$3:INDEX(生物种群!$C:$C,COUNTA(生物种群!$C:$C)),),),INDEX(生物种群!$A$3:INDEX(生物种群!$A:$A,COUNTA(生物种群!$A:$A)),MATCH($B411,生物种群!$D$3:INDEX(生物种群!$D:$D,COUNTA(生物种群!$D:$D)),),))),"")</f>
        <v/>
      </c>
      <c r="I411" s="56" t="str">
        <f>IF(H411="","",INDEX(生物种群!$B$3:INDEX(生物种群!$B:$B,COUNTA(生物种群!$B:$B)),MATCH($H411,生物种群!$A$3:INDEX(生物种群!$A:$A,COUNTA(生物种群!$A:$A)),),))</f>
        <v/>
      </c>
      <c r="J411" s="55" t="str">
        <f>IF(H411="","",INDEX(生物种群!$I$3:INDEX(生物种群!$I:$I,COUNTA(生物种群!$I:$I)),MATCH($H411,生物种群!$A$3:INDEX(生物种群!$A:$A,COUNTA(生物种群!$A:$A)),),))</f>
        <v/>
      </c>
      <c r="K411" s="55" t="str">
        <f>IF(H411="","",INDEX(生物种群!$E$3:INDEX(生物种群!$E:$E,COUNTA(生物种群!$E:$E)),MATCH($H411,生物种群!$A$3:INDEX(生物种群!$A:$A,COUNTA(生物种群!$A:$A)),),))</f>
        <v/>
      </c>
      <c r="L411" s="46" t="str">
        <f t="shared" si="24"/>
        <v/>
      </c>
      <c r="M411" s="47" t="str">
        <f>IF(L411="","",ROUND((L411)/VLOOKUP($F411,IF({1,0},站位样品信息!$A$3:INDEX(站位样品信息!$A:$A,COUNTA(站位样品信息!$A:$A)+1),站位样品信息!$H$3:INDEX(站位样品信息!$H:$H,COUNTA(站位样品信息!$H:$H)+1)),2,0),2))</f>
        <v/>
      </c>
      <c r="O411" s="49"/>
      <c r="P411" s="53" t="str">
        <f t="shared" si="22"/>
        <v/>
      </c>
      <c r="Q411" s="53" t="str">
        <f t="shared" si="23"/>
        <v/>
      </c>
    </row>
    <row r="412" spans="1:17" ht="19.5" customHeight="1">
      <c r="A412" s="38"/>
      <c r="B412" s="38"/>
      <c r="C412" s="38"/>
      <c r="D412" s="37"/>
      <c r="E412" s="37"/>
      <c r="F412" s="37"/>
      <c r="G412" s="37" t="str">
        <f>IF(F412="","",INDEX(站位样品信息!$B$3:INDEX(站位样品信息!$B:$B,COUNTA(站位样品信息!$B:$B)+1),MATCH($F412,站位样品信息!$A$3:INDEX(站位样品信息!$A:$A,COUNTA(站位样品信息!$A:$A)+1),),))</f>
        <v/>
      </c>
      <c r="H412" s="55" t="str">
        <f>IF(OR(A412&lt;&gt;"",B412&lt;&gt;"",C412&lt;&gt;""),IF($C412&lt;&gt;0,INDEX(生物种群!$A$3:INDEX(生物种群!$A:$A,COUNTA(生物种群!$A:$A)),MATCH($C412,生物种群!$F$3:INDEX(生物种群!$F:$F,COUNTA(生物种群!$F:$F)),),),IF($A412&lt;&gt;0,INDEX(生物种群!$A$3:INDEX(生物种群!$A:$A,COUNTA(生物种群!$A:$A)),MATCH($A412,生物种群!$C$3:INDEX(生物种群!$C:$C,COUNTA(生物种群!$C:$C)),),),INDEX(生物种群!$A$3:INDEX(生物种群!$A:$A,COUNTA(生物种群!$A:$A)),MATCH($B412,生物种群!$D$3:INDEX(生物种群!$D:$D,COUNTA(生物种群!$D:$D)),),))),"")</f>
        <v/>
      </c>
      <c r="I412" s="56" t="str">
        <f>IF(H412="","",INDEX(生物种群!$B$3:INDEX(生物种群!$B:$B,COUNTA(生物种群!$B:$B)),MATCH($H412,生物种群!$A$3:INDEX(生物种群!$A:$A,COUNTA(生物种群!$A:$A)),),))</f>
        <v/>
      </c>
      <c r="J412" s="55" t="str">
        <f>IF(H412="","",INDEX(生物种群!$I$3:INDEX(生物种群!$I:$I,COUNTA(生物种群!$I:$I)),MATCH($H412,生物种群!$A$3:INDEX(生物种群!$A:$A,COUNTA(生物种群!$A:$A)),),))</f>
        <v/>
      </c>
      <c r="K412" s="55" t="str">
        <f>IF(H412="","",INDEX(生物种群!$E$3:INDEX(生物种群!$E:$E,COUNTA(生物种群!$E:$E)),MATCH($H412,生物种群!$A$3:INDEX(生物种群!$A:$A,COUNTA(生物种群!$A:$A)),),))</f>
        <v/>
      </c>
      <c r="L412" s="46" t="str">
        <f t="shared" si="24"/>
        <v/>
      </c>
      <c r="M412" s="47" t="str">
        <f>IF(L412="","",ROUND((L412)/VLOOKUP($F412,IF({1,0},站位样品信息!$A$3:INDEX(站位样品信息!$A:$A,COUNTA(站位样品信息!$A:$A)+1),站位样品信息!$H$3:INDEX(站位样品信息!$H:$H,COUNTA(站位样品信息!$H:$H)+1)),2,0),2))</f>
        <v/>
      </c>
      <c r="O412" s="49"/>
      <c r="P412" s="53" t="str">
        <f t="shared" si="22"/>
        <v/>
      </c>
      <c r="Q412" s="53" t="str">
        <f t="shared" si="23"/>
        <v/>
      </c>
    </row>
    <row r="413" spans="1:17" ht="19.5" customHeight="1">
      <c r="A413" s="38"/>
      <c r="B413" s="38"/>
      <c r="C413" s="38"/>
      <c r="D413" s="37"/>
      <c r="E413" s="37"/>
      <c r="F413" s="37"/>
      <c r="G413" s="37" t="str">
        <f>IF(F413="","",INDEX(站位样品信息!$B$3:INDEX(站位样品信息!$B:$B,COUNTA(站位样品信息!$B:$B)+1),MATCH($F413,站位样品信息!$A$3:INDEX(站位样品信息!$A:$A,COUNTA(站位样品信息!$A:$A)+1),),))</f>
        <v/>
      </c>
      <c r="H413" s="55" t="str">
        <f>IF(OR(A413&lt;&gt;"",B413&lt;&gt;"",C413&lt;&gt;""),IF($C413&lt;&gt;0,INDEX(生物种群!$A$3:INDEX(生物种群!$A:$A,COUNTA(生物种群!$A:$A)),MATCH($C413,生物种群!$F$3:INDEX(生物种群!$F:$F,COUNTA(生物种群!$F:$F)),),),IF($A413&lt;&gt;0,INDEX(生物种群!$A$3:INDEX(生物种群!$A:$A,COUNTA(生物种群!$A:$A)),MATCH($A413,生物种群!$C$3:INDEX(生物种群!$C:$C,COUNTA(生物种群!$C:$C)),),),INDEX(生物种群!$A$3:INDEX(生物种群!$A:$A,COUNTA(生物种群!$A:$A)),MATCH($B413,生物种群!$D$3:INDEX(生物种群!$D:$D,COUNTA(生物种群!$D:$D)),),))),"")</f>
        <v/>
      </c>
      <c r="I413" s="56" t="str">
        <f>IF(H413="","",INDEX(生物种群!$B$3:INDEX(生物种群!$B:$B,COUNTA(生物种群!$B:$B)),MATCH($H413,生物种群!$A$3:INDEX(生物种群!$A:$A,COUNTA(生物种群!$A:$A)),),))</f>
        <v/>
      </c>
      <c r="J413" s="55" t="str">
        <f>IF(H413="","",INDEX(生物种群!$I$3:INDEX(生物种群!$I:$I,COUNTA(生物种群!$I:$I)),MATCH($H413,生物种群!$A$3:INDEX(生物种群!$A:$A,COUNTA(生物种群!$A:$A)),),))</f>
        <v/>
      </c>
      <c r="K413" s="55" t="str">
        <f>IF(H413="","",INDEX(生物种群!$E$3:INDEX(生物种群!$E:$E,COUNTA(生物种群!$E:$E)),MATCH($H413,生物种群!$A$3:INDEX(生物种群!$A:$A,COUNTA(生物种群!$A:$A)),),))</f>
        <v/>
      </c>
      <c r="L413" s="46" t="str">
        <f t="shared" si="24"/>
        <v/>
      </c>
      <c r="M413" s="47" t="str">
        <f>IF(L413="","",ROUND((L413)/VLOOKUP($F413,IF({1,0},站位样品信息!$A$3:INDEX(站位样品信息!$A:$A,COUNTA(站位样品信息!$A:$A)+1),站位样品信息!$H$3:INDEX(站位样品信息!$H:$H,COUNTA(站位样品信息!$H:$H)+1)),2,0),2))</f>
        <v/>
      </c>
      <c r="O413" s="49"/>
      <c r="P413" s="53" t="str">
        <f t="shared" si="22"/>
        <v/>
      </c>
      <c r="Q413" s="53" t="str">
        <f t="shared" si="23"/>
        <v/>
      </c>
    </row>
    <row r="414" spans="1:17" ht="19.5" customHeight="1">
      <c r="A414" s="38"/>
      <c r="B414" s="38"/>
      <c r="C414" s="38"/>
      <c r="D414" s="37"/>
      <c r="E414" s="37"/>
      <c r="F414" s="37"/>
      <c r="G414" s="37" t="str">
        <f>IF(F414="","",INDEX(站位样品信息!$B$3:INDEX(站位样品信息!$B:$B,COUNTA(站位样品信息!$B:$B)+1),MATCH($F414,站位样品信息!$A$3:INDEX(站位样品信息!$A:$A,COUNTA(站位样品信息!$A:$A)+1),),))</f>
        <v/>
      </c>
      <c r="H414" s="55" t="str">
        <f>IF(OR(A414&lt;&gt;"",B414&lt;&gt;"",C414&lt;&gt;""),IF($C414&lt;&gt;0,INDEX(生物种群!$A$3:INDEX(生物种群!$A:$A,COUNTA(生物种群!$A:$A)),MATCH($C414,生物种群!$F$3:INDEX(生物种群!$F:$F,COUNTA(生物种群!$F:$F)),),),IF($A414&lt;&gt;0,INDEX(生物种群!$A$3:INDEX(生物种群!$A:$A,COUNTA(生物种群!$A:$A)),MATCH($A414,生物种群!$C$3:INDEX(生物种群!$C:$C,COUNTA(生物种群!$C:$C)),),),INDEX(生物种群!$A$3:INDEX(生物种群!$A:$A,COUNTA(生物种群!$A:$A)),MATCH($B414,生物种群!$D$3:INDEX(生物种群!$D:$D,COUNTA(生物种群!$D:$D)),),))),"")</f>
        <v/>
      </c>
      <c r="I414" s="56" t="str">
        <f>IF(H414="","",INDEX(生物种群!$B$3:INDEX(生物种群!$B:$B,COUNTA(生物种群!$B:$B)),MATCH($H414,生物种群!$A$3:INDEX(生物种群!$A:$A,COUNTA(生物种群!$A:$A)),),))</f>
        <v/>
      </c>
      <c r="J414" s="55" t="str">
        <f>IF(H414="","",INDEX(生物种群!$I$3:INDEX(生物种群!$I:$I,COUNTA(生物种群!$I:$I)),MATCH($H414,生物种群!$A$3:INDEX(生物种群!$A:$A,COUNTA(生物种群!$A:$A)),),))</f>
        <v/>
      </c>
      <c r="K414" s="55" t="str">
        <f>IF(H414="","",INDEX(生物种群!$E$3:INDEX(生物种群!$E:$E,COUNTA(生物种群!$E:$E)),MATCH($H414,生物种群!$A$3:INDEX(生物种群!$A:$A,COUNTA(生物种群!$A:$A)),),))</f>
        <v/>
      </c>
      <c r="L414" s="46" t="str">
        <f t="shared" si="24"/>
        <v/>
      </c>
      <c r="M414" s="47" t="str">
        <f>IF(L414="","",ROUND((L414)/VLOOKUP($F414,IF({1,0},站位样品信息!$A$3:INDEX(站位样品信息!$A:$A,COUNTA(站位样品信息!$A:$A)+1),站位样品信息!$H$3:INDEX(站位样品信息!$H:$H,COUNTA(站位样品信息!$H:$H)+1)),2,0),2))</f>
        <v/>
      </c>
      <c r="O414" s="49"/>
      <c r="P414" s="53" t="str">
        <f t="shared" si="22"/>
        <v/>
      </c>
      <c r="Q414" s="53" t="str">
        <f t="shared" si="23"/>
        <v/>
      </c>
    </row>
    <row r="415" spans="1:17" ht="19.5" customHeight="1">
      <c r="A415" s="38"/>
      <c r="B415" s="38"/>
      <c r="C415" s="38"/>
      <c r="D415" s="37"/>
      <c r="E415" s="37"/>
      <c r="F415" s="37"/>
      <c r="G415" s="37" t="str">
        <f>IF(F415="","",INDEX(站位样品信息!$B$3:INDEX(站位样品信息!$B:$B,COUNTA(站位样品信息!$B:$B)+1),MATCH($F415,站位样品信息!$A$3:INDEX(站位样品信息!$A:$A,COUNTA(站位样品信息!$A:$A)+1),),))</f>
        <v/>
      </c>
      <c r="H415" s="55" t="str">
        <f>IF(OR(A415&lt;&gt;"",B415&lt;&gt;"",C415&lt;&gt;""),IF($C415&lt;&gt;0,INDEX(生物种群!$A$3:INDEX(生物种群!$A:$A,COUNTA(生物种群!$A:$A)),MATCH($C415,生物种群!$F$3:INDEX(生物种群!$F:$F,COUNTA(生物种群!$F:$F)),),),IF($A415&lt;&gt;0,INDEX(生物种群!$A$3:INDEX(生物种群!$A:$A,COUNTA(生物种群!$A:$A)),MATCH($A415,生物种群!$C$3:INDEX(生物种群!$C:$C,COUNTA(生物种群!$C:$C)),),),INDEX(生物种群!$A$3:INDEX(生物种群!$A:$A,COUNTA(生物种群!$A:$A)),MATCH($B415,生物种群!$D$3:INDEX(生物种群!$D:$D,COUNTA(生物种群!$D:$D)),),))),"")</f>
        <v/>
      </c>
      <c r="I415" s="56" t="str">
        <f>IF(H415="","",INDEX(生物种群!$B$3:INDEX(生物种群!$B:$B,COUNTA(生物种群!$B:$B)),MATCH($H415,生物种群!$A$3:INDEX(生物种群!$A:$A,COUNTA(生物种群!$A:$A)),),))</f>
        <v/>
      </c>
      <c r="J415" s="55" t="str">
        <f>IF(H415="","",INDEX(生物种群!$I$3:INDEX(生物种群!$I:$I,COUNTA(生物种群!$I:$I)),MATCH($H415,生物种群!$A$3:INDEX(生物种群!$A:$A,COUNTA(生物种群!$A:$A)),),))</f>
        <v/>
      </c>
      <c r="K415" s="55" t="str">
        <f>IF(H415="","",INDEX(生物种群!$E$3:INDEX(生物种群!$E:$E,COUNTA(生物种群!$E:$E)),MATCH($H415,生物种群!$A$3:INDEX(生物种群!$A:$A,COUNTA(生物种群!$A:$A)),),))</f>
        <v/>
      </c>
      <c r="L415" s="46" t="str">
        <f t="shared" si="24"/>
        <v/>
      </c>
      <c r="M415" s="47" t="str">
        <f>IF(L415="","",ROUND((L415)/VLOOKUP($F415,IF({1,0},站位样品信息!$A$3:INDEX(站位样品信息!$A:$A,COUNTA(站位样品信息!$A:$A)+1),站位样品信息!$H$3:INDEX(站位样品信息!$H:$H,COUNTA(站位样品信息!$H:$H)+1)),2,0),2))</f>
        <v/>
      </c>
      <c r="O415" s="49"/>
      <c r="P415" s="53" t="str">
        <f t="shared" si="22"/>
        <v/>
      </c>
      <c r="Q415" s="53" t="str">
        <f t="shared" si="23"/>
        <v/>
      </c>
    </row>
    <row r="416" spans="1:17" ht="19.5" customHeight="1">
      <c r="A416" s="38"/>
      <c r="B416" s="38"/>
      <c r="C416" s="38"/>
      <c r="D416" s="37"/>
      <c r="E416" s="37"/>
      <c r="F416" s="37"/>
      <c r="G416" s="37" t="str">
        <f>IF(F416="","",INDEX(站位样品信息!$B$3:INDEX(站位样品信息!$B:$B,COUNTA(站位样品信息!$B:$B)+1),MATCH($F416,站位样品信息!$A$3:INDEX(站位样品信息!$A:$A,COUNTA(站位样品信息!$A:$A)+1),),))</f>
        <v/>
      </c>
      <c r="H416" s="55" t="str">
        <f>IF(OR(A416&lt;&gt;"",B416&lt;&gt;"",C416&lt;&gt;""),IF($C416&lt;&gt;0,INDEX(生物种群!$A$3:INDEX(生物种群!$A:$A,COUNTA(生物种群!$A:$A)),MATCH($C416,生物种群!$F$3:INDEX(生物种群!$F:$F,COUNTA(生物种群!$F:$F)),),),IF($A416&lt;&gt;0,INDEX(生物种群!$A$3:INDEX(生物种群!$A:$A,COUNTA(生物种群!$A:$A)),MATCH($A416,生物种群!$C$3:INDEX(生物种群!$C:$C,COUNTA(生物种群!$C:$C)),),),INDEX(生物种群!$A$3:INDEX(生物种群!$A:$A,COUNTA(生物种群!$A:$A)),MATCH($B416,生物种群!$D$3:INDEX(生物种群!$D:$D,COUNTA(生物种群!$D:$D)),),))),"")</f>
        <v/>
      </c>
      <c r="I416" s="56" t="str">
        <f>IF(H416="","",INDEX(生物种群!$B$3:INDEX(生物种群!$B:$B,COUNTA(生物种群!$B:$B)),MATCH($H416,生物种群!$A$3:INDEX(生物种群!$A:$A,COUNTA(生物种群!$A:$A)),),))</f>
        <v/>
      </c>
      <c r="J416" s="55" t="str">
        <f>IF(H416="","",INDEX(生物种群!$I$3:INDEX(生物种群!$I:$I,COUNTA(生物种群!$I:$I)),MATCH($H416,生物种群!$A$3:INDEX(生物种群!$A:$A,COUNTA(生物种群!$A:$A)),),))</f>
        <v/>
      </c>
      <c r="K416" s="55" t="str">
        <f>IF(H416="","",INDEX(生物种群!$E$3:INDEX(生物种群!$E:$E,COUNTA(生物种群!$E:$E)),MATCH($H416,生物种群!$A$3:INDEX(生物种群!$A:$A,COUNTA(生物种群!$A:$A)),),))</f>
        <v/>
      </c>
      <c r="L416" s="46" t="str">
        <f t="shared" si="24"/>
        <v/>
      </c>
      <c r="M416" s="47" t="str">
        <f>IF(L416="","",ROUND((L416)/VLOOKUP($F416,IF({1,0},站位样品信息!$A$3:INDEX(站位样品信息!$A:$A,COUNTA(站位样品信息!$A:$A)+1),站位样品信息!$H$3:INDEX(站位样品信息!$H:$H,COUNTA(站位样品信息!$H:$H)+1)),2,0),2))</f>
        <v/>
      </c>
      <c r="O416" s="49"/>
      <c r="P416" s="53" t="str">
        <f t="shared" si="22"/>
        <v/>
      </c>
      <c r="Q416" s="53" t="str">
        <f t="shared" si="23"/>
        <v/>
      </c>
    </row>
    <row r="417" spans="1:17" ht="19.5" customHeight="1">
      <c r="A417" s="38"/>
      <c r="B417" s="38"/>
      <c r="C417" s="38"/>
      <c r="D417" s="37"/>
      <c r="E417" s="37"/>
      <c r="F417" s="37"/>
      <c r="G417" s="37" t="str">
        <f>IF(F417="","",INDEX(站位样品信息!$B$3:INDEX(站位样品信息!$B:$B,COUNTA(站位样品信息!$B:$B)+1),MATCH($F417,站位样品信息!$A$3:INDEX(站位样品信息!$A:$A,COUNTA(站位样品信息!$A:$A)+1),),))</f>
        <v/>
      </c>
      <c r="H417" s="55" t="str">
        <f>IF(OR(A417&lt;&gt;"",B417&lt;&gt;"",C417&lt;&gt;""),IF($C417&lt;&gt;0,INDEX(生物种群!$A$3:INDEX(生物种群!$A:$A,COUNTA(生物种群!$A:$A)),MATCH($C417,生物种群!$F$3:INDEX(生物种群!$F:$F,COUNTA(生物种群!$F:$F)),),),IF($A417&lt;&gt;0,INDEX(生物种群!$A$3:INDEX(生物种群!$A:$A,COUNTA(生物种群!$A:$A)),MATCH($A417,生物种群!$C$3:INDEX(生物种群!$C:$C,COUNTA(生物种群!$C:$C)),),),INDEX(生物种群!$A$3:INDEX(生物种群!$A:$A,COUNTA(生物种群!$A:$A)),MATCH($B417,生物种群!$D$3:INDEX(生物种群!$D:$D,COUNTA(生物种群!$D:$D)),),))),"")</f>
        <v/>
      </c>
      <c r="I417" s="56" t="str">
        <f>IF(H417="","",INDEX(生物种群!$B$3:INDEX(生物种群!$B:$B,COUNTA(生物种群!$B:$B)),MATCH($H417,生物种群!$A$3:INDEX(生物种群!$A:$A,COUNTA(生物种群!$A:$A)),),))</f>
        <v/>
      </c>
      <c r="J417" s="55" t="str">
        <f>IF(H417="","",INDEX(生物种群!$I$3:INDEX(生物种群!$I:$I,COUNTA(生物种群!$I:$I)),MATCH($H417,生物种群!$A$3:INDEX(生物种群!$A:$A,COUNTA(生物种群!$A:$A)),),))</f>
        <v/>
      </c>
      <c r="K417" s="55" t="str">
        <f>IF(H417="","",INDEX(生物种群!$E$3:INDEX(生物种群!$E:$E,COUNTA(生物种群!$E:$E)),MATCH($H417,生物种群!$A$3:INDEX(生物种群!$A:$A,COUNTA(生物种群!$A:$A)),),))</f>
        <v/>
      </c>
      <c r="L417" s="46" t="str">
        <f t="shared" si="24"/>
        <v/>
      </c>
      <c r="M417" s="47" t="str">
        <f>IF(L417="","",ROUND((L417)/VLOOKUP($F417,IF({1,0},站位样品信息!$A$3:INDEX(站位样品信息!$A:$A,COUNTA(站位样品信息!$A:$A)+1),站位样品信息!$H$3:INDEX(站位样品信息!$H:$H,COUNTA(站位样品信息!$H:$H)+1)),2,0),2))</f>
        <v/>
      </c>
      <c r="O417" s="49"/>
      <c r="P417" s="53" t="str">
        <f t="shared" si="22"/>
        <v/>
      </c>
      <c r="Q417" s="53" t="str">
        <f t="shared" si="23"/>
        <v/>
      </c>
    </row>
    <row r="418" spans="1:17" ht="19.5" customHeight="1">
      <c r="A418" s="38"/>
      <c r="B418" s="38"/>
      <c r="C418" s="38"/>
      <c r="D418" s="37"/>
      <c r="E418" s="37"/>
      <c r="F418" s="37"/>
      <c r="G418" s="37" t="str">
        <f>IF(F418="","",INDEX(站位样品信息!$B$3:INDEX(站位样品信息!$B:$B,COUNTA(站位样品信息!$B:$B)+1),MATCH($F418,站位样品信息!$A$3:INDEX(站位样品信息!$A:$A,COUNTA(站位样品信息!$A:$A)+1),),))</f>
        <v/>
      </c>
      <c r="H418" s="55" t="str">
        <f>IF(OR(A418&lt;&gt;"",B418&lt;&gt;"",C418&lt;&gt;""),IF($C418&lt;&gt;0,INDEX(生物种群!$A$3:INDEX(生物种群!$A:$A,COUNTA(生物种群!$A:$A)),MATCH($C418,生物种群!$F$3:INDEX(生物种群!$F:$F,COUNTA(生物种群!$F:$F)),),),IF($A418&lt;&gt;0,INDEX(生物种群!$A$3:INDEX(生物种群!$A:$A,COUNTA(生物种群!$A:$A)),MATCH($A418,生物种群!$C$3:INDEX(生物种群!$C:$C,COUNTA(生物种群!$C:$C)),),),INDEX(生物种群!$A$3:INDEX(生物种群!$A:$A,COUNTA(生物种群!$A:$A)),MATCH($B418,生物种群!$D$3:INDEX(生物种群!$D:$D,COUNTA(生物种群!$D:$D)),),))),"")</f>
        <v/>
      </c>
      <c r="I418" s="56" t="str">
        <f>IF(H418="","",INDEX(生物种群!$B$3:INDEX(生物种群!$B:$B,COUNTA(生物种群!$B:$B)),MATCH($H418,生物种群!$A$3:INDEX(生物种群!$A:$A,COUNTA(生物种群!$A:$A)),),))</f>
        <v/>
      </c>
      <c r="J418" s="55" t="str">
        <f>IF(H418="","",INDEX(生物种群!$I$3:INDEX(生物种群!$I:$I,COUNTA(生物种群!$I:$I)),MATCH($H418,生物种群!$A$3:INDEX(生物种群!$A:$A,COUNTA(生物种群!$A:$A)),),))</f>
        <v/>
      </c>
      <c r="K418" s="55" t="str">
        <f>IF(H418="","",INDEX(生物种群!$E$3:INDEX(生物种群!$E:$E,COUNTA(生物种群!$E:$E)),MATCH($H418,生物种群!$A$3:INDEX(生物种群!$A:$A,COUNTA(生物种群!$A:$A)),),))</f>
        <v/>
      </c>
      <c r="L418" s="46" t="str">
        <f t="shared" si="24"/>
        <v/>
      </c>
      <c r="M418" s="47" t="str">
        <f>IF(L418="","",ROUND((L418)/VLOOKUP($F418,IF({1,0},站位样品信息!$A$3:INDEX(站位样品信息!$A:$A,COUNTA(站位样品信息!$A:$A)+1),站位样品信息!$H$3:INDEX(站位样品信息!$H:$H,COUNTA(站位样品信息!$H:$H)+1)),2,0),2))</f>
        <v/>
      </c>
      <c r="O418" s="49"/>
      <c r="P418" s="53" t="str">
        <f t="shared" si="22"/>
        <v/>
      </c>
      <c r="Q418" s="53" t="str">
        <f t="shared" si="23"/>
        <v/>
      </c>
    </row>
    <row r="419" spans="1:17" ht="19.5" customHeight="1">
      <c r="A419" s="38"/>
      <c r="B419" s="38"/>
      <c r="C419" s="38"/>
      <c r="D419" s="37"/>
      <c r="E419" s="37"/>
      <c r="F419" s="37"/>
      <c r="G419" s="37" t="str">
        <f>IF(F419="","",INDEX(站位样品信息!$B$3:INDEX(站位样品信息!$B:$B,COUNTA(站位样品信息!$B:$B)+1),MATCH($F419,站位样品信息!$A$3:INDEX(站位样品信息!$A:$A,COUNTA(站位样品信息!$A:$A)+1),),))</f>
        <v/>
      </c>
      <c r="H419" s="55" t="str">
        <f>IF(OR(A419&lt;&gt;"",B419&lt;&gt;"",C419&lt;&gt;""),IF($C419&lt;&gt;0,INDEX(生物种群!$A$3:INDEX(生物种群!$A:$A,COUNTA(生物种群!$A:$A)),MATCH($C419,生物种群!$F$3:INDEX(生物种群!$F:$F,COUNTA(生物种群!$F:$F)),),),IF($A419&lt;&gt;0,INDEX(生物种群!$A$3:INDEX(生物种群!$A:$A,COUNTA(生物种群!$A:$A)),MATCH($A419,生物种群!$C$3:INDEX(生物种群!$C:$C,COUNTA(生物种群!$C:$C)),),),INDEX(生物种群!$A$3:INDEX(生物种群!$A:$A,COUNTA(生物种群!$A:$A)),MATCH($B419,生物种群!$D$3:INDEX(生物种群!$D:$D,COUNTA(生物种群!$D:$D)),),))),"")</f>
        <v/>
      </c>
      <c r="I419" s="56" t="str">
        <f>IF(H419="","",INDEX(生物种群!$B$3:INDEX(生物种群!$B:$B,COUNTA(生物种群!$B:$B)),MATCH($H419,生物种群!$A$3:INDEX(生物种群!$A:$A,COUNTA(生物种群!$A:$A)),),))</f>
        <v/>
      </c>
      <c r="J419" s="55" t="str">
        <f>IF(H419="","",INDEX(生物种群!$I$3:INDEX(生物种群!$I:$I,COUNTA(生物种群!$I:$I)),MATCH($H419,生物种群!$A$3:INDEX(生物种群!$A:$A,COUNTA(生物种群!$A:$A)),),))</f>
        <v/>
      </c>
      <c r="K419" s="55" t="str">
        <f>IF(H419="","",INDEX(生物种群!$E$3:INDEX(生物种群!$E:$E,COUNTA(生物种群!$E:$E)),MATCH($H419,生物种群!$A$3:INDEX(生物种群!$A:$A,COUNTA(生物种群!$A:$A)),),))</f>
        <v/>
      </c>
      <c r="L419" s="46" t="str">
        <f t="shared" si="24"/>
        <v/>
      </c>
      <c r="M419" s="47" t="str">
        <f>IF(L419="","",ROUND((L419)/VLOOKUP($F419,IF({1,0},站位样品信息!$A$3:INDEX(站位样品信息!$A:$A,COUNTA(站位样品信息!$A:$A)+1),站位样品信息!$H$3:INDEX(站位样品信息!$H:$H,COUNTA(站位样品信息!$H:$H)+1)),2,0),2))</f>
        <v/>
      </c>
      <c r="O419" s="49"/>
      <c r="P419" s="53" t="str">
        <f t="shared" si="22"/>
        <v/>
      </c>
      <c r="Q419" s="53" t="str">
        <f t="shared" si="23"/>
        <v/>
      </c>
    </row>
    <row r="420" spans="1:17" ht="19.5" customHeight="1">
      <c r="A420" s="38"/>
      <c r="B420" s="38"/>
      <c r="C420" s="38"/>
      <c r="D420" s="37"/>
      <c r="E420" s="37"/>
      <c r="F420" s="37"/>
      <c r="G420" s="37" t="str">
        <f>IF(F420="","",INDEX(站位样品信息!$B$3:INDEX(站位样品信息!$B:$B,COUNTA(站位样品信息!$B:$B)+1),MATCH($F420,站位样品信息!$A$3:INDEX(站位样品信息!$A:$A,COUNTA(站位样品信息!$A:$A)+1),),))</f>
        <v/>
      </c>
      <c r="H420" s="55" t="str">
        <f>IF(OR(A420&lt;&gt;"",B420&lt;&gt;"",C420&lt;&gt;""),IF($C420&lt;&gt;0,INDEX(生物种群!$A$3:INDEX(生物种群!$A:$A,COUNTA(生物种群!$A:$A)),MATCH($C420,生物种群!$F$3:INDEX(生物种群!$F:$F,COUNTA(生物种群!$F:$F)),),),IF($A420&lt;&gt;0,INDEX(生物种群!$A$3:INDEX(生物种群!$A:$A,COUNTA(生物种群!$A:$A)),MATCH($A420,生物种群!$C$3:INDEX(生物种群!$C:$C,COUNTA(生物种群!$C:$C)),),),INDEX(生物种群!$A$3:INDEX(生物种群!$A:$A,COUNTA(生物种群!$A:$A)),MATCH($B420,生物种群!$D$3:INDEX(生物种群!$D:$D,COUNTA(生物种群!$D:$D)),),))),"")</f>
        <v/>
      </c>
      <c r="I420" s="56" t="str">
        <f>IF(H420="","",INDEX(生物种群!$B$3:INDEX(生物种群!$B:$B,COUNTA(生物种群!$B:$B)),MATCH($H420,生物种群!$A$3:INDEX(生物种群!$A:$A,COUNTA(生物种群!$A:$A)),),))</f>
        <v/>
      </c>
      <c r="J420" s="55" t="str">
        <f>IF(H420="","",INDEX(生物种群!$I$3:INDEX(生物种群!$I:$I,COUNTA(生物种群!$I:$I)),MATCH($H420,生物种群!$A$3:INDEX(生物种群!$A:$A,COUNTA(生物种群!$A:$A)),),))</f>
        <v/>
      </c>
      <c r="K420" s="55" t="str">
        <f>IF(H420="","",INDEX(生物种群!$E$3:INDEX(生物种群!$E:$E,COUNTA(生物种群!$E:$E)),MATCH($H420,生物种群!$A$3:INDEX(生物种群!$A:$A,COUNTA(生物种群!$A:$A)),),))</f>
        <v/>
      </c>
      <c r="L420" s="46" t="str">
        <f t="shared" si="24"/>
        <v/>
      </c>
      <c r="M420" s="47" t="str">
        <f>IF(L420="","",ROUND((L420)/VLOOKUP($F420,IF({1,0},站位样品信息!$A$3:INDEX(站位样品信息!$A:$A,COUNTA(站位样品信息!$A:$A)+1),站位样品信息!$H$3:INDEX(站位样品信息!$H:$H,COUNTA(站位样品信息!$H:$H)+1)),2,0),2))</f>
        <v/>
      </c>
      <c r="O420" s="49"/>
      <c r="P420" s="53" t="str">
        <f t="shared" si="22"/>
        <v/>
      </c>
      <c r="Q420" s="53" t="str">
        <f t="shared" si="23"/>
        <v/>
      </c>
    </row>
    <row r="421" spans="1:17" ht="19.5" customHeight="1">
      <c r="A421" s="38"/>
      <c r="B421" s="38"/>
      <c r="C421" s="38"/>
      <c r="D421" s="37"/>
      <c r="E421" s="37"/>
      <c r="F421" s="37"/>
      <c r="G421" s="37" t="str">
        <f>IF(F421="","",INDEX(站位样品信息!$B$3:INDEX(站位样品信息!$B:$B,COUNTA(站位样品信息!$B:$B)+1),MATCH($F421,站位样品信息!$A$3:INDEX(站位样品信息!$A:$A,COUNTA(站位样品信息!$A:$A)+1),),))</f>
        <v/>
      </c>
      <c r="H421" s="55" t="str">
        <f>IF(OR(A421&lt;&gt;"",B421&lt;&gt;"",C421&lt;&gt;""),IF($C421&lt;&gt;0,INDEX(生物种群!$A$3:INDEX(生物种群!$A:$A,COUNTA(生物种群!$A:$A)),MATCH($C421,生物种群!$F$3:INDEX(生物种群!$F:$F,COUNTA(生物种群!$F:$F)),),),IF($A421&lt;&gt;0,INDEX(生物种群!$A$3:INDEX(生物种群!$A:$A,COUNTA(生物种群!$A:$A)),MATCH($A421,生物种群!$C$3:INDEX(生物种群!$C:$C,COUNTA(生物种群!$C:$C)),),),INDEX(生物种群!$A$3:INDEX(生物种群!$A:$A,COUNTA(生物种群!$A:$A)),MATCH($B421,生物种群!$D$3:INDEX(生物种群!$D:$D,COUNTA(生物种群!$D:$D)),),))),"")</f>
        <v/>
      </c>
      <c r="I421" s="56" t="str">
        <f>IF(H421="","",INDEX(生物种群!$B$3:INDEX(生物种群!$B:$B,COUNTA(生物种群!$B:$B)),MATCH($H421,生物种群!$A$3:INDEX(生物种群!$A:$A,COUNTA(生物种群!$A:$A)),),))</f>
        <v/>
      </c>
      <c r="J421" s="55" t="str">
        <f>IF(H421="","",INDEX(生物种群!$I$3:INDEX(生物种群!$I:$I,COUNTA(生物种群!$I:$I)),MATCH($H421,生物种群!$A$3:INDEX(生物种群!$A:$A,COUNTA(生物种群!$A:$A)),),))</f>
        <v/>
      </c>
      <c r="K421" s="55" t="str">
        <f>IF(H421="","",INDEX(生物种群!$E$3:INDEX(生物种群!$E:$E,COUNTA(生物种群!$E:$E)),MATCH($H421,生物种群!$A$3:INDEX(生物种群!$A:$A,COUNTA(生物种群!$A:$A)),),))</f>
        <v/>
      </c>
      <c r="L421" s="46" t="str">
        <f t="shared" si="24"/>
        <v/>
      </c>
      <c r="M421" s="47" t="str">
        <f>IF(L421="","",ROUND((L421)/VLOOKUP($F421,IF({1,0},站位样品信息!$A$3:INDEX(站位样品信息!$A:$A,COUNTA(站位样品信息!$A:$A)+1),站位样品信息!$H$3:INDEX(站位样品信息!$H:$H,COUNTA(站位样品信息!$H:$H)+1)),2,0),2))</f>
        <v/>
      </c>
      <c r="O421" s="49"/>
      <c r="P421" s="53" t="str">
        <f t="shared" si="22"/>
        <v/>
      </c>
      <c r="Q421" s="53" t="str">
        <f t="shared" si="23"/>
        <v/>
      </c>
    </row>
    <row r="422" spans="1:17" ht="19.5" customHeight="1">
      <c r="A422" s="38"/>
      <c r="B422" s="38"/>
      <c r="C422" s="38"/>
      <c r="D422" s="37"/>
      <c r="E422" s="37"/>
      <c r="F422" s="37"/>
      <c r="G422" s="37" t="str">
        <f>IF(F422="","",INDEX(站位样品信息!$B$3:INDEX(站位样品信息!$B:$B,COUNTA(站位样品信息!$B:$B)+1),MATCH($F422,站位样品信息!$A$3:INDEX(站位样品信息!$A:$A,COUNTA(站位样品信息!$A:$A)+1),),))</f>
        <v/>
      </c>
      <c r="H422" s="55" t="str">
        <f>IF(OR(A422&lt;&gt;"",B422&lt;&gt;"",C422&lt;&gt;""),IF($C422&lt;&gt;0,INDEX(生物种群!$A$3:INDEX(生物种群!$A:$A,COUNTA(生物种群!$A:$A)),MATCH($C422,生物种群!$F$3:INDEX(生物种群!$F:$F,COUNTA(生物种群!$F:$F)),),),IF($A422&lt;&gt;0,INDEX(生物种群!$A$3:INDEX(生物种群!$A:$A,COUNTA(生物种群!$A:$A)),MATCH($A422,生物种群!$C$3:INDEX(生物种群!$C:$C,COUNTA(生物种群!$C:$C)),),),INDEX(生物种群!$A$3:INDEX(生物种群!$A:$A,COUNTA(生物种群!$A:$A)),MATCH($B422,生物种群!$D$3:INDEX(生物种群!$D:$D,COUNTA(生物种群!$D:$D)),),))),"")</f>
        <v/>
      </c>
      <c r="I422" s="56" t="str">
        <f>IF(H422="","",INDEX(生物种群!$B$3:INDEX(生物种群!$B:$B,COUNTA(生物种群!$B:$B)),MATCH($H422,生物种群!$A$3:INDEX(生物种群!$A:$A,COUNTA(生物种群!$A:$A)),),))</f>
        <v/>
      </c>
      <c r="J422" s="55" t="str">
        <f>IF(H422="","",INDEX(生物种群!$I$3:INDEX(生物种群!$I:$I,COUNTA(生物种群!$I:$I)),MATCH($H422,生物种群!$A$3:INDEX(生物种群!$A:$A,COUNTA(生物种群!$A:$A)),),))</f>
        <v/>
      </c>
      <c r="K422" s="55" t="str">
        <f>IF(H422="","",INDEX(生物种群!$E$3:INDEX(生物种群!$E:$E,COUNTA(生物种群!$E:$E)),MATCH($H422,生物种群!$A$3:INDEX(生物种群!$A:$A,COUNTA(生物种群!$A:$A)),),))</f>
        <v/>
      </c>
      <c r="L422" s="46" t="str">
        <f t="shared" si="24"/>
        <v/>
      </c>
      <c r="M422" s="47" t="str">
        <f>IF(L422="","",ROUND((L422)/VLOOKUP($F422,IF({1,0},站位样品信息!$A$3:INDEX(站位样品信息!$A:$A,COUNTA(站位样品信息!$A:$A)+1),站位样品信息!$H$3:INDEX(站位样品信息!$H:$H,COUNTA(站位样品信息!$H:$H)+1)),2,0),2))</f>
        <v/>
      </c>
      <c r="O422" s="49"/>
      <c r="P422" s="53" t="str">
        <f t="shared" si="22"/>
        <v/>
      </c>
      <c r="Q422" s="53" t="str">
        <f t="shared" si="23"/>
        <v/>
      </c>
    </row>
    <row r="423" spans="1:17" ht="19.5" customHeight="1">
      <c r="A423" s="38"/>
      <c r="B423" s="38"/>
      <c r="C423" s="38"/>
      <c r="D423" s="37"/>
      <c r="E423" s="37"/>
      <c r="F423" s="37"/>
      <c r="G423" s="37" t="str">
        <f>IF(F423="","",INDEX(站位样品信息!$B$3:INDEX(站位样品信息!$B:$B,COUNTA(站位样品信息!$B:$B)+1),MATCH($F423,站位样品信息!$A$3:INDEX(站位样品信息!$A:$A,COUNTA(站位样品信息!$A:$A)+1),),))</f>
        <v/>
      </c>
      <c r="H423" s="55" t="str">
        <f>IF(OR(A423&lt;&gt;"",B423&lt;&gt;"",C423&lt;&gt;""),IF($C423&lt;&gt;0,INDEX(生物种群!$A$3:INDEX(生物种群!$A:$A,COUNTA(生物种群!$A:$A)),MATCH($C423,生物种群!$F$3:INDEX(生物种群!$F:$F,COUNTA(生物种群!$F:$F)),),),IF($A423&lt;&gt;0,INDEX(生物种群!$A$3:INDEX(生物种群!$A:$A,COUNTA(生物种群!$A:$A)),MATCH($A423,生物种群!$C$3:INDEX(生物种群!$C:$C,COUNTA(生物种群!$C:$C)),),),INDEX(生物种群!$A$3:INDEX(生物种群!$A:$A,COUNTA(生物种群!$A:$A)),MATCH($B423,生物种群!$D$3:INDEX(生物种群!$D:$D,COUNTA(生物种群!$D:$D)),),))),"")</f>
        <v/>
      </c>
      <c r="I423" s="56" t="str">
        <f>IF(H423="","",INDEX(生物种群!$B$3:INDEX(生物种群!$B:$B,COUNTA(生物种群!$B:$B)),MATCH($H423,生物种群!$A$3:INDEX(生物种群!$A:$A,COUNTA(生物种群!$A:$A)),),))</f>
        <v/>
      </c>
      <c r="J423" s="55" t="str">
        <f>IF(H423="","",INDEX(生物种群!$I$3:INDEX(生物种群!$I:$I,COUNTA(生物种群!$I:$I)),MATCH($H423,生物种群!$A$3:INDEX(生物种群!$A:$A,COUNTA(生物种群!$A:$A)),),))</f>
        <v/>
      </c>
      <c r="K423" s="55" t="str">
        <f>IF(H423="","",INDEX(生物种群!$E$3:INDEX(生物种群!$E:$E,COUNTA(生物种群!$E:$E)),MATCH($H423,生物种群!$A$3:INDEX(生物种群!$A:$A,COUNTA(生物种群!$A:$A)),),))</f>
        <v/>
      </c>
      <c r="L423" s="46" t="str">
        <f t="shared" si="24"/>
        <v/>
      </c>
      <c r="M423" s="47" t="str">
        <f>IF(L423="","",ROUND((L423)/VLOOKUP($F423,IF({1,0},站位样品信息!$A$3:INDEX(站位样品信息!$A:$A,COUNTA(站位样品信息!$A:$A)+1),站位样品信息!$H$3:INDEX(站位样品信息!$H:$H,COUNTA(站位样品信息!$H:$H)+1)),2,0),2))</f>
        <v/>
      </c>
      <c r="O423" s="49"/>
      <c r="P423" s="53" t="str">
        <f t="shared" si="22"/>
        <v/>
      </c>
      <c r="Q423" s="53" t="str">
        <f t="shared" si="23"/>
        <v/>
      </c>
    </row>
    <row r="424" spans="1:17" ht="19.5" customHeight="1">
      <c r="A424" s="38"/>
      <c r="B424" s="38"/>
      <c r="C424" s="38"/>
      <c r="D424" s="37"/>
      <c r="E424" s="37"/>
      <c r="F424" s="37"/>
      <c r="G424" s="37" t="str">
        <f>IF(F424="","",INDEX(站位样品信息!$B$3:INDEX(站位样品信息!$B:$B,COUNTA(站位样品信息!$B:$B)+1),MATCH($F424,站位样品信息!$A$3:INDEX(站位样品信息!$A:$A,COUNTA(站位样品信息!$A:$A)+1),),))</f>
        <v/>
      </c>
      <c r="H424" s="55" t="str">
        <f>IF(OR(A424&lt;&gt;"",B424&lt;&gt;"",C424&lt;&gt;""),IF($C424&lt;&gt;0,INDEX(生物种群!$A$3:INDEX(生物种群!$A:$A,COUNTA(生物种群!$A:$A)),MATCH($C424,生物种群!$F$3:INDEX(生物种群!$F:$F,COUNTA(生物种群!$F:$F)),),),IF($A424&lt;&gt;0,INDEX(生物种群!$A$3:INDEX(生物种群!$A:$A,COUNTA(生物种群!$A:$A)),MATCH($A424,生物种群!$C$3:INDEX(生物种群!$C:$C,COUNTA(生物种群!$C:$C)),),),INDEX(生物种群!$A$3:INDEX(生物种群!$A:$A,COUNTA(生物种群!$A:$A)),MATCH($B424,生物种群!$D$3:INDEX(生物种群!$D:$D,COUNTA(生物种群!$D:$D)),),))),"")</f>
        <v/>
      </c>
      <c r="I424" s="56" t="str">
        <f>IF(H424="","",INDEX(生物种群!$B$3:INDEX(生物种群!$B:$B,COUNTA(生物种群!$B:$B)),MATCH($H424,生物种群!$A$3:INDEX(生物种群!$A:$A,COUNTA(生物种群!$A:$A)),),))</f>
        <v/>
      </c>
      <c r="J424" s="55" t="str">
        <f>IF(H424="","",INDEX(生物种群!$I$3:INDEX(生物种群!$I:$I,COUNTA(生物种群!$I:$I)),MATCH($H424,生物种群!$A$3:INDEX(生物种群!$A:$A,COUNTA(生物种群!$A:$A)),),))</f>
        <v/>
      </c>
      <c r="K424" s="55" t="str">
        <f>IF(H424="","",INDEX(生物种群!$E$3:INDEX(生物种群!$E:$E,COUNTA(生物种群!$E:$E)),MATCH($H424,生物种群!$A$3:INDEX(生物种群!$A:$A,COUNTA(生物种群!$A:$A)),),))</f>
        <v/>
      </c>
      <c r="L424" s="46" t="str">
        <f t="shared" si="24"/>
        <v/>
      </c>
      <c r="M424" s="47" t="str">
        <f>IF(L424="","",ROUND((L424)/VLOOKUP($F424,IF({1,0},站位样品信息!$A$3:INDEX(站位样品信息!$A:$A,COUNTA(站位样品信息!$A:$A)+1),站位样品信息!$H$3:INDEX(站位样品信息!$H:$H,COUNTA(站位样品信息!$H:$H)+1)),2,0),2))</f>
        <v/>
      </c>
      <c r="O424" s="49"/>
      <c r="P424" s="53" t="str">
        <f t="shared" si="22"/>
        <v/>
      </c>
      <c r="Q424" s="53" t="str">
        <f t="shared" si="23"/>
        <v/>
      </c>
    </row>
    <row r="425" spans="1:17" ht="19.5" customHeight="1">
      <c r="A425" s="38"/>
      <c r="B425" s="38"/>
      <c r="C425" s="38"/>
      <c r="D425" s="37"/>
      <c r="E425" s="37"/>
      <c r="F425" s="37"/>
      <c r="G425" s="37" t="str">
        <f>IF(F425="","",INDEX(站位样品信息!$B$3:INDEX(站位样品信息!$B:$B,COUNTA(站位样品信息!$B:$B)+1),MATCH($F425,站位样品信息!$A$3:INDEX(站位样品信息!$A:$A,COUNTA(站位样品信息!$A:$A)+1),),))</f>
        <v/>
      </c>
      <c r="H425" s="55" t="str">
        <f>IF(OR(A425&lt;&gt;"",B425&lt;&gt;"",C425&lt;&gt;""),IF($C425&lt;&gt;0,INDEX(生物种群!$A$3:INDEX(生物种群!$A:$A,COUNTA(生物种群!$A:$A)),MATCH($C425,生物种群!$F$3:INDEX(生物种群!$F:$F,COUNTA(生物种群!$F:$F)),),),IF($A425&lt;&gt;0,INDEX(生物种群!$A$3:INDEX(生物种群!$A:$A,COUNTA(生物种群!$A:$A)),MATCH($A425,生物种群!$C$3:INDEX(生物种群!$C:$C,COUNTA(生物种群!$C:$C)),),),INDEX(生物种群!$A$3:INDEX(生物种群!$A:$A,COUNTA(生物种群!$A:$A)),MATCH($B425,生物种群!$D$3:INDEX(生物种群!$D:$D,COUNTA(生物种群!$D:$D)),),))),"")</f>
        <v/>
      </c>
      <c r="I425" s="56" t="str">
        <f>IF(H425="","",INDEX(生物种群!$B$3:INDEX(生物种群!$B:$B,COUNTA(生物种群!$B:$B)),MATCH($H425,生物种群!$A$3:INDEX(生物种群!$A:$A,COUNTA(生物种群!$A:$A)),),))</f>
        <v/>
      </c>
      <c r="J425" s="55" t="str">
        <f>IF(H425="","",INDEX(生物种群!$I$3:INDEX(生物种群!$I:$I,COUNTA(生物种群!$I:$I)),MATCH($H425,生物种群!$A$3:INDEX(生物种群!$A:$A,COUNTA(生物种群!$A:$A)),),))</f>
        <v/>
      </c>
      <c r="K425" s="55" t="str">
        <f>IF(H425="","",INDEX(生物种群!$E$3:INDEX(生物种群!$E:$E,COUNTA(生物种群!$E:$E)),MATCH($H425,生物种群!$A$3:INDEX(生物种群!$A:$A,COUNTA(生物种群!$A:$A)),),))</f>
        <v/>
      </c>
      <c r="L425" s="46" t="str">
        <f t="shared" si="24"/>
        <v/>
      </c>
      <c r="M425" s="47" t="str">
        <f>IF(L425="","",ROUND((L425)/VLOOKUP($F425,IF({1,0},站位样品信息!$A$3:INDEX(站位样品信息!$A:$A,COUNTA(站位样品信息!$A:$A)+1),站位样品信息!$H$3:INDEX(站位样品信息!$H:$H,COUNTA(站位样品信息!$H:$H)+1)),2,0),2))</f>
        <v/>
      </c>
      <c r="O425" s="49"/>
      <c r="P425" s="53" t="str">
        <f t="shared" si="22"/>
        <v/>
      </c>
      <c r="Q425" s="53" t="str">
        <f t="shared" si="23"/>
        <v/>
      </c>
    </row>
    <row r="426" spans="1:17" ht="19.5" customHeight="1">
      <c r="A426" s="38"/>
      <c r="B426" s="38"/>
      <c r="C426" s="38"/>
      <c r="D426" s="37"/>
      <c r="E426" s="37"/>
      <c r="F426" s="37"/>
      <c r="G426" s="37" t="str">
        <f>IF(F426="","",INDEX(站位样品信息!$B$3:INDEX(站位样品信息!$B:$B,COUNTA(站位样品信息!$B:$B)+1),MATCH($F426,站位样品信息!$A$3:INDEX(站位样品信息!$A:$A,COUNTA(站位样品信息!$A:$A)+1),),))</f>
        <v/>
      </c>
      <c r="H426" s="55" t="str">
        <f>IF(OR(A426&lt;&gt;"",B426&lt;&gt;"",C426&lt;&gt;""),IF($C426&lt;&gt;0,INDEX(生物种群!$A$3:INDEX(生物种群!$A:$A,COUNTA(生物种群!$A:$A)),MATCH($C426,生物种群!$F$3:INDEX(生物种群!$F:$F,COUNTA(生物种群!$F:$F)),),),IF($A426&lt;&gt;0,INDEX(生物种群!$A$3:INDEX(生物种群!$A:$A,COUNTA(生物种群!$A:$A)),MATCH($A426,生物种群!$C$3:INDEX(生物种群!$C:$C,COUNTA(生物种群!$C:$C)),),),INDEX(生物种群!$A$3:INDEX(生物种群!$A:$A,COUNTA(生物种群!$A:$A)),MATCH($B426,生物种群!$D$3:INDEX(生物种群!$D:$D,COUNTA(生物种群!$D:$D)),),))),"")</f>
        <v/>
      </c>
      <c r="I426" s="56" t="str">
        <f>IF(H426="","",INDEX(生物种群!$B$3:INDEX(生物种群!$B:$B,COUNTA(生物种群!$B:$B)),MATCH($H426,生物种群!$A$3:INDEX(生物种群!$A:$A,COUNTA(生物种群!$A:$A)),),))</f>
        <v/>
      </c>
      <c r="J426" s="55" t="str">
        <f>IF(H426="","",INDEX(生物种群!$I$3:INDEX(生物种群!$I:$I,COUNTA(生物种群!$I:$I)),MATCH($H426,生物种群!$A$3:INDEX(生物种群!$A:$A,COUNTA(生物种群!$A:$A)),),))</f>
        <v/>
      </c>
      <c r="K426" s="55" t="str">
        <f>IF(H426="","",INDEX(生物种群!$E$3:INDEX(生物种群!$E:$E,COUNTA(生物种群!$E:$E)),MATCH($H426,生物种群!$A$3:INDEX(生物种群!$A:$A,COUNTA(生物种群!$A:$A)),),))</f>
        <v/>
      </c>
      <c r="L426" s="46" t="str">
        <f t="shared" si="24"/>
        <v/>
      </c>
      <c r="M426" s="47" t="str">
        <f>IF(L426="","",ROUND((L426)/VLOOKUP($F426,IF({1,0},站位样品信息!$A$3:INDEX(站位样品信息!$A:$A,COUNTA(站位样品信息!$A:$A)+1),站位样品信息!$H$3:INDEX(站位样品信息!$H:$H,COUNTA(站位样品信息!$H:$H)+1)),2,0),2))</f>
        <v/>
      </c>
      <c r="O426" s="49"/>
      <c r="P426" s="53" t="str">
        <f t="shared" si="22"/>
        <v/>
      </c>
      <c r="Q426" s="53" t="str">
        <f t="shared" si="23"/>
        <v/>
      </c>
    </row>
    <row r="427" spans="1:17" ht="19.5" customHeight="1">
      <c r="A427" s="38"/>
      <c r="B427" s="38"/>
      <c r="C427" s="38"/>
      <c r="D427" s="37"/>
      <c r="E427" s="37"/>
      <c r="F427" s="37"/>
      <c r="G427" s="37" t="str">
        <f>IF(F427="","",INDEX(站位样品信息!$B$3:INDEX(站位样品信息!$B:$B,COUNTA(站位样品信息!$B:$B)+1),MATCH($F427,站位样品信息!$A$3:INDEX(站位样品信息!$A:$A,COUNTA(站位样品信息!$A:$A)+1),),))</f>
        <v/>
      </c>
      <c r="H427" s="55" t="str">
        <f>IF(OR(A427&lt;&gt;"",B427&lt;&gt;"",C427&lt;&gt;""),IF($C427&lt;&gt;0,INDEX(生物种群!$A$3:INDEX(生物种群!$A:$A,COUNTA(生物种群!$A:$A)),MATCH($C427,生物种群!$F$3:INDEX(生物种群!$F:$F,COUNTA(生物种群!$F:$F)),),),IF($A427&lt;&gt;0,INDEX(生物种群!$A$3:INDEX(生物种群!$A:$A,COUNTA(生物种群!$A:$A)),MATCH($A427,生物种群!$C$3:INDEX(生物种群!$C:$C,COUNTA(生物种群!$C:$C)),),),INDEX(生物种群!$A$3:INDEX(生物种群!$A:$A,COUNTA(生物种群!$A:$A)),MATCH($B427,生物种群!$D$3:INDEX(生物种群!$D:$D,COUNTA(生物种群!$D:$D)),),))),"")</f>
        <v/>
      </c>
      <c r="I427" s="56" t="str">
        <f>IF(H427="","",INDEX(生物种群!$B$3:INDEX(生物种群!$B:$B,COUNTA(生物种群!$B:$B)),MATCH($H427,生物种群!$A$3:INDEX(生物种群!$A:$A,COUNTA(生物种群!$A:$A)),),))</f>
        <v/>
      </c>
      <c r="J427" s="55" t="str">
        <f>IF(H427="","",INDEX(生物种群!$I$3:INDEX(生物种群!$I:$I,COUNTA(生物种群!$I:$I)),MATCH($H427,生物种群!$A$3:INDEX(生物种群!$A:$A,COUNTA(生物种群!$A:$A)),),))</f>
        <v/>
      </c>
      <c r="K427" s="55" t="str">
        <f>IF(H427="","",INDEX(生物种群!$E$3:INDEX(生物种群!$E:$E,COUNTA(生物种群!$E:$E)),MATCH($H427,生物种群!$A$3:INDEX(生物种群!$A:$A,COUNTA(生物种群!$A:$A)),),))</f>
        <v/>
      </c>
      <c r="L427" s="46" t="str">
        <f t="shared" si="24"/>
        <v/>
      </c>
      <c r="M427" s="47" t="str">
        <f>IF(L427="","",ROUND((L427)/VLOOKUP($F427,IF({1,0},站位样品信息!$A$3:INDEX(站位样品信息!$A:$A,COUNTA(站位样品信息!$A:$A)+1),站位样品信息!$H$3:INDEX(站位样品信息!$H:$H,COUNTA(站位样品信息!$H:$H)+1)),2,0),2))</f>
        <v/>
      </c>
      <c r="O427" s="49"/>
      <c r="P427" s="53" t="str">
        <f t="shared" si="22"/>
        <v/>
      </c>
      <c r="Q427" s="53" t="str">
        <f t="shared" si="23"/>
        <v/>
      </c>
    </row>
    <row r="428" spans="1:17" ht="19.5" customHeight="1">
      <c r="A428" s="38"/>
      <c r="B428" s="38"/>
      <c r="C428" s="38"/>
      <c r="D428" s="37"/>
      <c r="E428" s="37"/>
      <c r="F428" s="37"/>
      <c r="G428" s="37" t="str">
        <f>IF(F428="","",INDEX(站位样品信息!$B$3:INDEX(站位样品信息!$B:$B,COUNTA(站位样品信息!$B:$B)+1),MATCH($F428,站位样品信息!$A$3:INDEX(站位样品信息!$A:$A,COUNTA(站位样品信息!$A:$A)+1),),))</f>
        <v/>
      </c>
      <c r="H428" s="55" t="str">
        <f>IF(OR(A428&lt;&gt;"",B428&lt;&gt;"",C428&lt;&gt;""),IF($C428&lt;&gt;0,INDEX(生物种群!$A$3:INDEX(生物种群!$A:$A,COUNTA(生物种群!$A:$A)),MATCH($C428,生物种群!$F$3:INDEX(生物种群!$F:$F,COUNTA(生物种群!$F:$F)),),),IF($A428&lt;&gt;0,INDEX(生物种群!$A$3:INDEX(生物种群!$A:$A,COUNTA(生物种群!$A:$A)),MATCH($A428,生物种群!$C$3:INDEX(生物种群!$C:$C,COUNTA(生物种群!$C:$C)),),),INDEX(生物种群!$A$3:INDEX(生物种群!$A:$A,COUNTA(生物种群!$A:$A)),MATCH($B428,生物种群!$D$3:INDEX(生物种群!$D:$D,COUNTA(生物种群!$D:$D)),),))),"")</f>
        <v/>
      </c>
      <c r="I428" s="56" t="str">
        <f>IF(H428="","",INDEX(生物种群!$B$3:INDEX(生物种群!$B:$B,COUNTA(生物种群!$B:$B)),MATCH($H428,生物种群!$A$3:INDEX(生物种群!$A:$A,COUNTA(生物种群!$A:$A)),),))</f>
        <v/>
      </c>
      <c r="J428" s="55" t="str">
        <f>IF(H428="","",INDEX(生物种群!$I$3:INDEX(生物种群!$I:$I,COUNTA(生物种群!$I:$I)),MATCH($H428,生物种群!$A$3:INDEX(生物种群!$A:$A,COUNTA(生物种群!$A:$A)),),))</f>
        <v/>
      </c>
      <c r="K428" s="55" t="str">
        <f>IF(H428="","",INDEX(生物种群!$E$3:INDEX(生物种群!$E:$E,COUNTA(生物种群!$E:$E)),MATCH($H428,生物种群!$A$3:INDEX(生物种群!$A:$A,COUNTA(生物种群!$A:$A)),),))</f>
        <v/>
      </c>
      <c r="L428" s="46" t="str">
        <f t="shared" si="24"/>
        <v/>
      </c>
      <c r="M428" s="47" t="str">
        <f>IF(L428="","",ROUND((L428)/VLOOKUP($F428,IF({1,0},站位样品信息!$A$3:INDEX(站位样品信息!$A:$A,COUNTA(站位样品信息!$A:$A)+1),站位样品信息!$H$3:INDEX(站位样品信息!$H:$H,COUNTA(站位样品信息!$H:$H)+1)),2,0),2))</f>
        <v/>
      </c>
      <c r="O428" s="49"/>
      <c r="P428" s="53" t="str">
        <f t="shared" si="22"/>
        <v/>
      </c>
      <c r="Q428" s="53" t="str">
        <f t="shared" si="23"/>
        <v/>
      </c>
    </row>
    <row r="429" spans="1:17" ht="19.5" customHeight="1">
      <c r="A429" s="38"/>
      <c r="B429" s="38"/>
      <c r="C429" s="38"/>
      <c r="D429" s="37"/>
      <c r="E429" s="37"/>
      <c r="F429" s="37"/>
      <c r="G429" s="37" t="str">
        <f>IF(F429="","",INDEX(站位样品信息!$B$3:INDEX(站位样品信息!$B:$B,COUNTA(站位样品信息!$B:$B)+1),MATCH($F429,站位样品信息!$A$3:INDEX(站位样品信息!$A:$A,COUNTA(站位样品信息!$A:$A)+1),),))</f>
        <v/>
      </c>
      <c r="H429" s="55" t="str">
        <f>IF(OR(A429&lt;&gt;"",B429&lt;&gt;"",C429&lt;&gt;""),IF($C429&lt;&gt;0,INDEX(生物种群!$A$3:INDEX(生物种群!$A:$A,COUNTA(生物种群!$A:$A)),MATCH($C429,生物种群!$F$3:INDEX(生物种群!$F:$F,COUNTA(生物种群!$F:$F)),),),IF($A429&lt;&gt;0,INDEX(生物种群!$A$3:INDEX(生物种群!$A:$A,COUNTA(生物种群!$A:$A)),MATCH($A429,生物种群!$C$3:INDEX(生物种群!$C:$C,COUNTA(生物种群!$C:$C)),),),INDEX(生物种群!$A$3:INDEX(生物种群!$A:$A,COUNTA(生物种群!$A:$A)),MATCH($B429,生物种群!$D$3:INDEX(生物种群!$D:$D,COUNTA(生物种群!$D:$D)),),))),"")</f>
        <v/>
      </c>
      <c r="I429" s="56" t="str">
        <f>IF(H429="","",INDEX(生物种群!$B$3:INDEX(生物种群!$B:$B,COUNTA(生物种群!$B:$B)),MATCH($H429,生物种群!$A$3:INDEX(生物种群!$A:$A,COUNTA(生物种群!$A:$A)),),))</f>
        <v/>
      </c>
      <c r="J429" s="55" t="str">
        <f>IF(H429="","",INDEX(生物种群!$I$3:INDEX(生物种群!$I:$I,COUNTA(生物种群!$I:$I)),MATCH($H429,生物种群!$A$3:INDEX(生物种群!$A:$A,COUNTA(生物种群!$A:$A)),),))</f>
        <v/>
      </c>
      <c r="K429" s="55" t="str">
        <f>IF(H429="","",INDEX(生物种群!$E$3:INDEX(生物种群!$E:$E,COUNTA(生物种群!$E:$E)),MATCH($H429,生物种群!$A$3:INDEX(生物种群!$A:$A,COUNTA(生物种群!$A:$A)),),))</f>
        <v/>
      </c>
      <c r="L429" s="46" t="str">
        <f t="shared" si="24"/>
        <v/>
      </c>
      <c r="M429" s="47" t="str">
        <f>IF(L429="","",ROUND((L429)/VLOOKUP($F429,IF({1,0},站位样品信息!$A$3:INDEX(站位样品信息!$A:$A,COUNTA(站位样品信息!$A:$A)+1),站位样品信息!$H$3:INDEX(站位样品信息!$H:$H,COUNTA(站位样品信息!$H:$H)+1)),2,0),2))</f>
        <v/>
      </c>
      <c r="O429" s="49"/>
      <c r="P429" s="53" t="str">
        <f t="shared" si="22"/>
        <v/>
      </c>
      <c r="Q429" s="53" t="str">
        <f t="shared" si="23"/>
        <v/>
      </c>
    </row>
    <row r="430" spans="1:17" ht="19.5" customHeight="1">
      <c r="A430" s="38"/>
      <c r="B430" s="38"/>
      <c r="C430" s="38"/>
      <c r="D430" s="37"/>
      <c r="E430" s="37"/>
      <c r="F430" s="37"/>
      <c r="G430" s="37" t="str">
        <f>IF(F430="","",INDEX(站位样品信息!$B$3:INDEX(站位样品信息!$B:$B,COUNTA(站位样品信息!$B:$B)+1),MATCH($F430,站位样品信息!$A$3:INDEX(站位样品信息!$A:$A,COUNTA(站位样品信息!$A:$A)+1),),))</f>
        <v/>
      </c>
      <c r="H430" s="55" t="str">
        <f>IF(OR(A430&lt;&gt;"",B430&lt;&gt;"",C430&lt;&gt;""),IF($C430&lt;&gt;0,INDEX(生物种群!$A$3:INDEX(生物种群!$A:$A,COUNTA(生物种群!$A:$A)),MATCH($C430,生物种群!$F$3:INDEX(生物种群!$F:$F,COUNTA(生物种群!$F:$F)),),),IF($A430&lt;&gt;0,INDEX(生物种群!$A$3:INDEX(生物种群!$A:$A,COUNTA(生物种群!$A:$A)),MATCH($A430,生物种群!$C$3:INDEX(生物种群!$C:$C,COUNTA(生物种群!$C:$C)),),),INDEX(生物种群!$A$3:INDEX(生物种群!$A:$A,COUNTA(生物种群!$A:$A)),MATCH($B430,生物种群!$D$3:INDEX(生物种群!$D:$D,COUNTA(生物种群!$D:$D)),),))),"")</f>
        <v/>
      </c>
      <c r="I430" s="56" t="str">
        <f>IF(H430="","",INDEX(生物种群!$B$3:INDEX(生物种群!$B:$B,COUNTA(生物种群!$B:$B)),MATCH($H430,生物种群!$A$3:INDEX(生物种群!$A:$A,COUNTA(生物种群!$A:$A)),),))</f>
        <v/>
      </c>
      <c r="J430" s="55" t="str">
        <f>IF(H430="","",INDEX(生物种群!$I$3:INDEX(生物种群!$I:$I,COUNTA(生物种群!$I:$I)),MATCH($H430,生物种群!$A$3:INDEX(生物种群!$A:$A,COUNTA(生物种群!$A:$A)),),))</f>
        <v/>
      </c>
      <c r="K430" s="55" t="str">
        <f>IF(H430="","",INDEX(生物种群!$E$3:INDEX(生物种群!$E:$E,COUNTA(生物种群!$E:$E)),MATCH($H430,生物种群!$A$3:INDEX(生物种群!$A:$A,COUNTA(生物种群!$A:$A)),),))</f>
        <v/>
      </c>
      <c r="L430" s="46" t="str">
        <f t="shared" si="24"/>
        <v/>
      </c>
      <c r="M430" s="47" t="str">
        <f>IF(L430="","",ROUND((L430)/VLOOKUP($F430,IF({1,0},站位样品信息!$A$3:INDEX(站位样品信息!$A:$A,COUNTA(站位样品信息!$A:$A)+1),站位样品信息!$H$3:INDEX(站位样品信息!$H:$H,COUNTA(站位样品信息!$H:$H)+1)),2,0),2))</f>
        <v/>
      </c>
      <c r="O430" s="49"/>
      <c r="P430" s="53" t="str">
        <f t="shared" si="22"/>
        <v/>
      </c>
      <c r="Q430" s="53" t="str">
        <f t="shared" si="23"/>
        <v/>
      </c>
    </row>
    <row r="431" spans="1:17" ht="19.5" customHeight="1">
      <c r="A431" s="38"/>
      <c r="B431" s="38"/>
      <c r="C431" s="38"/>
      <c r="D431" s="37"/>
      <c r="E431" s="37"/>
      <c r="F431" s="37"/>
      <c r="G431" s="37" t="str">
        <f>IF(F431="","",INDEX(站位样品信息!$B$3:INDEX(站位样品信息!$B:$B,COUNTA(站位样品信息!$B:$B)+1),MATCH($F431,站位样品信息!$A$3:INDEX(站位样品信息!$A:$A,COUNTA(站位样品信息!$A:$A)+1),),))</f>
        <v/>
      </c>
      <c r="H431" s="55" t="str">
        <f>IF(OR(A431&lt;&gt;"",B431&lt;&gt;"",C431&lt;&gt;""),IF($C431&lt;&gt;0,INDEX(生物种群!$A$3:INDEX(生物种群!$A:$A,COUNTA(生物种群!$A:$A)),MATCH($C431,生物种群!$F$3:INDEX(生物种群!$F:$F,COUNTA(生物种群!$F:$F)),),),IF($A431&lt;&gt;0,INDEX(生物种群!$A$3:INDEX(生物种群!$A:$A,COUNTA(生物种群!$A:$A)),MATCH($A431,生物种群!$C$3:INDEX(生物种群!$C:$C,COUNTA(生物种群!$C:$C)),),),INDEX(生物种群!$A$3:INDEX(生物种群!$A:$A,COUNTA(生物种群!$A:$A)),MATCH($B431,生物种群!$D$3:INDEX(生物种群!$D:$D,COUNTA(生物种群!$D:$D)),),))),"")</f>
        <v/>
      </c>
      <c r="I431" s="56" t="str">
        <f>IF(H431="","",INDEX(生物种群!$B$3:INDEX(生物种群!$B:$B,COUNTA(生物种群!$B:$B)),MATCH($H431,生物种群!$A$3:INDEX(生物种群!$A:$A,COUNTA(生物种群!$A:$A)),),))</f>
        <v/>
      </c>
      <c r="J431" s="55" t="str">
        <f>IF(H431="","",INDEX(生物种群!$I$3:INDEX(生物种群!$I:$I,COUNTA(生物种群!$I:$I)),MATCH($H431,生物种群!$A$3:INDEX(生物种群!$A:$A,COUNTA(生物种群!$A:$A)),),))</f>
        <v/>
      </c>
      <c r="K431" s="55" t="str">
        <f>IF(H431="","",INDEX(生物种群!$E$3:INDEX(生物种群!$E:$E,COUNTA(生物种群!$E:$E)),MATCH($H431,生物种群!$A$3:INDEX(生物种群!$A:$A,COUNTA(生物种群!$A:$A)),),))</f>
        <v/>
      </c>
      <c r="L431" s="46" t="str">
        <f t="shared" si="24"/>
        <v/>
      </c>
      <c r="M431" s="47" t="str">
        <f>IF(L431="","",ROUND((L431)/VLOOKUP($F431,IF({1,0},站位样品信息!$A$3:INDEX(站位样品信息!$A:$A,COUNTA(站位样品信息!$A:$A)+1),站位样品信息!$H$3:INDEX(站位样品信息!$H:$H,COUNTA(站位样品信息!$H:$H)+1)),2,0),2))</f>
        <v/>
      </c>
      <c r="O431" s="49"/>
      <c r="P431" s="53" t="str">
        <f t="shared" si="22"/>
        <v/>
      </c>
      <c r="Q431" s="53" t="str">
        <f t="shared" si="23"/>
        <v/>
      </c>
    </row>
    <row r="432" spans="1:17" ht="19.5" customHeight="1">
      <c r="A432" s="38"/>
      <c r="B432" s="38"/>
      <c r="C432" s="38"/>
      <c r="D432" s="37"/>
      <c r="E432" s="37"/>
      <c r="F432" s="37"/>
      <c r="G432" s="37" t="str">
        <f>IF(F432="","",INDEX(站位样品信息!$B$3:INDEX(站位样品信息!$B:$B,COUNTA(站位样品信息!$B:$B)+1),MATCH($F432,站位样品信息!$A$3:INDEX(站位样品信息!$A:$A,COUNTA(站位样品信息!$A:$A)+1),),))</f>
        <v/>
      </c>
      <c r="H432" s="55" t="str">
        <f>IF(OR(A432&lt;&gt;"",B432&lt;&gt;"",C432&lt;&gt;""),IF($C432&lt;&gt;0,INDEX(生物种群!$A$3:INDEX(生物种群!$A:$A,COUNTA(生物种群!$A:$A)),MATCH($C432,生物种群!$F$3:INDEX(生物种群!$F:$F,COUNTA(生物种群!$F:$F)),),),IF($A432&lt;&gt;0,INDEX(生物种群!$A$3:INDEX(生物种群!$A:$A,COUNTA(生物种群!$A:$A)),MATCH($A432,生物种群!$C$3:INDEX(生物种群!$C:$C,COUNTA(生物种群!$C:$C)),),),INDEX(生物种群!$A$3:INDEX(生物种群!$A:$A,COUNTA(生物种群!$A:$A)),MATCH($B432,生物种群!$D$3:INDEX(生物种群!$D:$D,COUNTA(生物种群!$D:$D)),),))),"")</f>
        <v/>
      </c>
      <c r="I432" s="56" t="str">
        <f>IF(H432="","",INDEX(生物种群!$B$3:INDEX(生物种群!$B:$B,COUNTA(生物种群!$B:$B)),MATCH($H432,生物种群!$A$3:INDEX(生物种群!$A:$A,COUNTA(生物种群!$A:$A)),),))</f>
        <v/>
      </c>
      <c r="J432" s="55" t="str">
        <f>IF(H432="","",INDEX(生物种群!$I$3:INDEX(生物种群!$I:$I,COUNTA(生物种群!$I:$I)),MATCH($H432,生物种群!$A$3:INDEX(生物种群!$A:$A,COUNTA(生物种群!$A:$A)),),))</f>
        <v/>
      </c>
      <c r="K432" s="55" t="str">
        <f>IF(H432="","",INDEX(生物种群!$E$3:INDEX(生物种群!$E:$E,COUNTA(生物种群!$E:$E)),MATCH($H432,生物种群!$A$3:INDEX(生物种群!$A:$A,COUNTA(生物种群!$A:$A)),),))</f>
        <v/>
      </c>
      <c r="L432" s="46" t="str">
        <f t="shared" si="24"/>
        <v/>
      </c>
      <c r="M432" s="47" t="str">
        <f>IF(L432="","",ROUND((L432)/VLOOKUP($F432,IF({1,0},站位样品信息!$A$3:INDEX(站位样品信息!$A:$A,COUNTA(站位样品信息!$A:$A)+1),站位样品信息!$H$3:INDEX(站位样品信息!$H:$H,COUNTA(站位样品信息!$H:$H)+1)),2,0),2))</f>
        <v/>
      </c>
      <c r="O432" s="49"/>
      <c r="P432" s="53" t="str">
        <f t="shared" si="22"/>
        <v/>
      </c>
      <c r="Q432" s="53" t="str">
        <f t="shared" si="23"/>
        <v/>
      </c>
    </row>
    <row r="433" spans="1:17" ht="19.5" customHeight="1">
      <c r="A433" s="38"/>
      <c r="B433" s="38"/>
      <c r="C433" s="38"/>
      <c r="D433" s="37"/>
      <c r="E433" s="37"/>
      <c r="F433" s="37"/>
      <c r="G433" s="37" t="str">
        <f>IF(F433="","",INDEX(站位样品信息!$B$3:INDEX(站位样品信息!$B:$B,COUNTA(站位样品信息!$B:$B)+1),MATCH($F433,站位样品信息!$A$3:INDEX(站位样品信息!$A:$A,COUNTA(站位样品信息!$A:$A)+1),),))</f>
        <v/>
      </c>
      <c r="H433" s="55" t="str">
        <f>IF(OR(A433&lt;&gt;"",B433&lt;&gt;"",C433&lt;&gt;""),IF($C433&lt;&gt;0,INDEX(生物种群!$A$3:INDEX(生物种群!$A:$A,COUNTA(生物种群!$A:$A)),MATCH($C433,生物种群!$F$3:INDEX(生物种群!$F:$F,COUNTA(生物种群!$F:$F)),),),IF($A433&lt;&gt;0,INDEX(生物种群!$A$3:INDEX(生物种群!$A:$A,COUNTA(生物种群!$A:$A)),MATCH($A433,生物种群!$C$3:INDEX(生物种群!$C:$C,COUNTA(生物种群!$C:$C)),),),INDEX(生物种群!$A$3:INDEX(生物种群!$A:$A,COUNTA(生物种群!$A:$A)),MATCH($B433,生物种群!$D$3:INDEX(生物种群!$D:$D,COUNTA(生物种群!$D:$D)),),))),"")</f>
        <v/>
      </c>
      <c r="I433" s="56" t="str">
        <f>IF(H433="","",INDEX(生物种群!$B$3:INDEX(生物种群!$B:$B,COUNTA(生物种群!$B:$B)),MATCH($H433,生物种群!$A$3:INDEX(生物种群!$A:$A,COUNTA(生物种群!$A:$A)),),))</f>
        <v/>
      </c>
      <c r="J433" s="55" t="str">
        <f>IF(H433="","",INDEX(生物种群!$I$3:INDEX(生物种群!$I:$I,COUNTA(生物种群!$I:$I)),MATCH($H433,生物种群!$A$3:INDEX(生物种群!$A:$A,COUNTA(生物种群!$A:$A)),),))</f>
        <v/>
      </c>
      <c r="K433" s="55" t="str">
        <f>IF(H433="","",INDEX(生物种群!$E$3:INDEX(生物种群!$E:$E,COUNTA(生物种群!$E:$E)),MATCH($H433,生物种群!$A$3:INDEX(生物种群!$A:$A,COUNTA(生物种群!$A:$A)),),))</f>
        <v/>
      </c>
      <c r="L433" s="46" t="str">
        <f t="shared" si="24"/>
        <v/>
      </c>
      <c r="M433" s="47" t="str">
        <f>IF(L433="","",ROUND((L433)/VLOOKUP($F433,IF({1,0},站位样品信息!$A$3:INDEX(站位样品信息!$A:$A,COUNTA(站位样品信息!$A:$A)+1),站位样品信息!$H$3:INDEX(站位样品信息!$H:$H,COUNTA(站位样品信息!$H:$H)+1)),2,0),2))</f>
        <v/>
      </c>
      <c r="O433" s="49"/>
      <c r="P433" s="53" t="str">
        <f t="shared" si="22"/>
        <v/>
      </c>
      <c r="Q433" s="53" t="str">
        <f t="shared" si="23"/>
        <v/>
      </c>
    </row>
    <row r="434" spans="1:17" ht="19.5" customHeight="1">
      <c r="A434" s="38"/>
      <c r="B434" s="38"/>
      <c r="C434" s="38"/>
      <c r="D434" s="37"/>
      <c r="E434" s="37"/>
      <c r="F434" s="37"/>
      <c r="G434" s="37" t="str">
        <f>IF(F434="","",INDEX(站位样品信息!$B$3:INDEX(站位样品信息!$B:$B,COUNTA(站位样品信息!$B:$B)+1),MATCH($F434,站位样品信息!$A$3:INDEX(站位样品信息!$A:$A,COUNTA(站位样品信息!$A:$A)+1),),))</f>
        <v/>
      </c>
      <c r="H434" s="55" t="str">
        <f>IF(OR(A434&lt;&gt;"",B434&lt;&gt;"",C434&lt;&gt;""),IF($C434&lt;&gt;0,INDEX(生物种群!$A$3:INDEX(生物种群!$A:$A,COUNTA(生物种群!$A:$A)),MATCH($C434,生物种群!$F$3:INDEX(生物种群!$F:$F,COUNTA(生物种群!$F:$F)),),),IF($A434&lt;&gt;0,INDEX(生物种群!$A$3:INDEX(生物种群!$A:$A,COUNTA(生物种群!$A:$A)),MATCH($A434,生物种群!$C$3:INDEX(生物种群!$C:$C,COUNTA(生物种群!$C:$C)),),),INDEX(生物种群!$A$3:INDEX(生物种群!$A:$A,COUNTA(生物种群!$A:$A)),MATCH($B434,生物种群!$D$3:INDEX(生物种群!$D:$D,COUNTA(生物种群!$D:$D)),),))),"")</f>
        <v/>
      </c>
      <c r="I434" s="56" t="str">
        <f>IF(H434="","",INDEX(生物种群!$B$3:INDEX(生物种群!$B:$B,COUNTA(生物种群!$B:$B)),MATCH($H434,生物种群!$A$3:INDEX(生物种群!$A:$A,COUNTA(生物种群!$A:$A)),),))</f>
        <v/>
      </c>
      <c r="J434" s="55" t="str">
        <f>IF(H434="","",INDEX(生物种群!$I$3:INDEX(生物种群!$I:$I,COUNTA(生物种群!$I:$I)),MATCH($H434,生物种群!$A$3:INDEX(生物种群!$A:$A,COUNTA(生物种群!$A:$A)),),))</f>
        <v/>
      </c>
      <c r="K434" s="55" t="str">
        <f>IF(H434="","",INDEX(生物种群!$E$3:INDEX(生物种群!$E:$E,COUNTA(生物种群!$E:$E)),MATCH($H434,生物种群!$A$3:INDEX(生物种群!$A:$A,COUNTA(生物种群!$A:$A)),),))</f>
        <v/>
      </c>
      <c r="L434" s="46" t="str">
        <f t="shared" si="24"/>
        <v/>
      </c>
      <c r="M434" s="47" t="str">
        <f>IF(L434="","",ROUND((L434)/VLOOKUP($F434,IF({1,0},站位样品信息!$A$3:INDEX(站位样品信息!$A:$A,COUNTA(站位样品信息!$A:$A)+1),站位样品信息!$H$3:INDEX(站位样品信息!$H:$H,COUNTA(站位样品信息!$H:$H)+1)),2,0),2))</f>
        <v/>
      </c>
      <c r="O434" s="49"/>
      <c r="P434" s="53" t="str">
        <f t="shared" si="22"/>
        <v/>
      </c>
      <c r="Q434" s="53" t="str">
        <f t="shared" si="23"/>
        <v/>
      </c>
    </row>
    <row r="435" spans="1:17" ht="19.5" customHeight="1">
      <c r="A435" s="38"/>
      <c r="B435" s="38"/>
      <c r="C435" s="38"/>
      <c r="D435" s="37"/>
      <c r="E435" s="37"/>
      <c r="F435" s="37"/>
      <c r="G435" s="37" t="str">
        <f>IF(F435="","",INDEX(站位样品信息!$B$3:INDEX(站位样品信息!$B:$B,COUNTA(站位样品信息!$B:$B)+1),MATCH($F435,站位样品信息!$A$3:INDEX(站位样品信息!$A:$A,COUNTA(站位样品信息!$A:$A)+1),),))</f>
        <v/>
      </c>
      <c r="H435" s="55" t="str">
        <f>IF(OR(A435&lt;&gt;"",B435&lt;&gt;"",C435&lt;&gt;""),IF($C435&lt;&gt;0,INDEX(生物种群!$A$3:INDEX(生物种群!$A:$A,COUNTA(生物种群!$A:$A)),MATCH($C435,生物种群!$F$3:INDEX(生物种群!$F:$F,COUNTA(生物种群!$F:$F)),),),IF($A435&lt;&gt;0,INDEX(生物种群!$A$3:INDEX(生物种群!$A:$A,COUNTA(生物种群!$A:$A)),MATCH($A435,生物种群!$C$3:INDEX(生物种群!$C:$C,COUNTA(生物种群!$C:$C)),),),INDEX(生物种群!$A$3:INDEX(生物种群!$A:$A,COUNTA(生物种群!$A:$A)),MATCH($B435,生物种群!$D$3:INDEX(生物种群!$D:$D,COUNTA(生物种群!$D:$D)),),))),"")</f>
        <v/>
      </c>
      <c r="I435" s="56" t="str">
        <f>IF(H435="","",INDEX(生物种群!$B$3:INDEX(生物种群!$B:$B,COUNTA(生物种群!$B:$B)),MATCH($H435,生物种群!$A$3:INDEX(生物种群!$A:$A,COUNTA(生物种群!$A:$A)),),))</f>
        <v/>
      </c>
      <c r="J435" s="55" t="str">
        <f>IF(H435="","",INDEX(生物种群!$I$3:INDEX(生物种群!$I:$I,COUNTA(生物种群!$I:$I)),MATCH($H435,生物种群!$A$3:INDEX(生物种群!$A:$A,COUNTA(生物种群!$A:$A)),),))</f>
        <v/>
      </c>
      <c r="K435" s="55" t="str">
        <f>IF(H435="","",INDEX(生物种群!$E$3:INDEX(生物种群!$E:$E,COUNTA(生物种群!$E:$E)),MATCH($H435,生物种群!$A$3:INDEX(生物种群!$A:$A,COUNTA(生物种群!$A:$A)),),))</f>
        <v/>
      </c>
      <c r="L435" s="46" t="str">
        <f t="shared" si="24"/>
        <v/>
      </c>
      <c r="M435" s="47" t="str">
        <f>IF(L435="","",ROUND((L435)/VLOOKUP($F435,IF({1,0},站位样品信息!$A$3:INDEX(站位样品信息!$A:$A,COUNTA(站位样品信息!$A:$A)+1),站位样品信息!$H$3:INDEX(站位样品信息!$H:$H,COUNTA(站位样品信息!$H:$H)+1)),2,0),2))</f>
        <v/>
      </c>
      <c r="O435" s="49"/>
      <c r="P435" s="53" t="str">
        <f t="shared" si="22"/>
        <v/>
      </c>
      <c r="Q435" s="53" t="str">
        <f t="shared" si="23"/>
        <v/>
      </c>
    </row>
    <row r="436" spans="1:17" ht="19.5" customHeight="1">
      <c r="A436" s="38"/>
      <c r="B436" s="38"/>
      <c r="C436" s="38"/>
      <c r="D436" s="37"/>
      <c r="E436" s="37"/>
      <c r="F436" s="37"/>
      <c r="G436" s="37" t="str">
        <f>IF(F436="","",INDEX(站位样品信息!$B$3:INDEX(站位样品信息!$B:$B,COUNTA(站位样品信息!$B:$B)+1),MATCH($F436,站位样品信息!$A$3:INDEX(站位样品信息!$A:$A,COUNTA(站位样品信息!$A:$A)+1),),))</f>
        <v/>
      </c>
      <c r="H436" s="55" t="str">
        <f>IF(OR(A436&lt;&gt;"",B436&lt;&gt;"",C436&lt;&gt;""),IF($C436&lt;&gt;0,INDEX(生物种群!$A$3:INDEX(生物种群!$A:$A,COUNTA(生物种群!$A:$A)),MATCH($C436,生物种群!$F$3:INDEX(生物种群!$F:$F,COUNTA(生物种群!$F:$F)),),),IF($A436&lt;&gt;0,INDEX(生物种群!$A$3:INDEX(生物种群!$A:$A,COUNTA(生物种群!$A:$A)),MATCH($A436,生物种群!$C$3:INDEX(生物种群!$C:$C,COUNTA(生物种群!$C:$C)),),),INDEX(生物种群!$A$3:INDEX(生物种群!$A:$A,COUNTA(生物种群!$A:$A)),MATCH($B436,生物种群!$D$3:INDEX(生物种群!$D:$D,COUNTA(生物种群!$D:$D)),),))),"")</f>
        <v/>
      </c>
      <c r="I436" s="56" t="str">
        <f>IF(H436="","",INDEX(生物种群!$B$3:INDEX(生物种群!$B:$B,COUNTA(生物种群!$B:$B)),MATCH($H436,生物种群!$A$3:INDEX(生物种群!$A:$A,COUNTA(生物种群!$A:$A)),),))</f>
        <v/>
      </c>
      <c r="J436" s="55" t="str">
        <f>IF(H436="","",INDEX(生物种群!$I$3:INDEX(生物种群!$I:$I,COUNTA(生物种群!$I:$I)),MATCH($H436,生物种群!$A$3:INDEX(生物种群!$A:$A,COUNTA(生物种群!$A:$A)),),))</f>
        <v/>
      </c>
      <c r="K436" s="55" t="str">
        <f>IF(H436="","",INDEX(生物种群!$E$3:INDEX(生物种群!$E:$E,COUNTA(生物种群!$E:$E)),MATCH($H436,生物种群!$A$3:INDEX(生物种群!$A:$A,COUNTA(生物种群!$A:$A)),),))</f>
        <v/>
      </c>
      <c r="L436" s="46" t="str">
        <f t="shared" si="24"/>
        <v/>
      </c>
      <c r="M436" s="47" t="str">
        <f>IF(L436="","",ROUND((L436)/VLOOKUP($F436,IF({1,0},站位样品信息!$A$3:INDEX(站位样品信息!$A:$A,COUNTA(站位样品信息!$A:$A)+1),站位样品信息!$H$3:INDEX(站位样品信息!$H:$H,COUNTA(站位样品信息!$H:$H)+1)),2,0),2))</f>
        <v/>
      </c>
      <c r="O436" s="49"/>
      <c r="P436" s="53" t="str">
        <f t="shared" si="22"/>
        <v/>
      </c>
      <c r="Q436" s="53" t="str">
        <f t="shared" si="23"/>
        <v/>
      </c>
    </row>
    <row r="437" spans="1:17" ht="19.5" customHeight="1">
      <c r="A437" s="38"/>
      <c r="B437" s="38"/>
      <c r="C437" s="38"/>
      <c r="D437" s="37"/>
      <c r="E437" s="37"/>
      <c r="F437" s="37"/>
      <c r="G437" s="37" t="str">
        <f>IF(F437="","",INDEX(站位样品信息!$B$3:INDEX(站位样品信息!$B:$B,COUNTA(站位样品信息!$B:$B)+1),MATCH($F437,站位样品信息!$A$3:INDEX(站位样品信息!$A:$A,COUNTA(站位样品信息!$A:$A)+1),),))</f>
        <v/>
      </c>
      <c r="H437" s="55" t="str">
        <f>IF(OR(A437&lt;&gt;"",B437&lt;&gt;"",C437&lt;&gt;""),IF($C437&lt;&gt;0,INDEX(生物种群!$A$3:INDEX(生物种群!$A:$A,COUNTA(生物种群!$A:$A)),MATCH($C437,生物种群!$F$3:INDEX(生物种群!$F:$F,COUNTA(生物种群!$F:$F)),),),IF($A437&lt;&gt;0,INDEX(生物种群!$A$3:INDEX(生物种群!$A:$A,COUNTA(生物种群!$A:$A)),MATCH($A437,生物种群!$C$3:INDEX(生物种群!$C:$C,COUNTA(生物种群!$C:$C)),),),INDEX(生物种群!$A$3:INDEX(生物种群!$A:$A,COUNTA(生物种群!$A:$A)),MATCH($B437,生物种群!$D$3:INDEX(生物种群!$D:$D,COUNTA(生物种群!$D:$D)),),))),"")</f>
        <v/>
      </c>
      <c r="I437" s="56" t="str">
        <f>IF(H437="","",INDEX(生物种群!$B$3:INDEX(生物种群!$B:$B,COUNTA(生物种群!$B:$B)),MATCH($H437,生物种群!$A$3:INDEX(生物种群!$A:$A,COUNTA(生物种群!$A:$A)),),))</f>
        <v/>
      </c>
      <c r="J437" s="55" t="str">
        <f>IF(H437="","",INDEX(生物种群!$I$3:INDEX(生物种群!$I:$I,COUNTA(生物种群!$I:$I)),MATCH($H437,生物种群!$A$3:INDEX(生物种群!$A:$A,COUNTA(生物种群!$A:$A)),),))</f>
        <v/>
      </c>
      <c r="K437" s="55" t="str">
        <f>IF(H437="","",INDEX(生物种群!$E$3:INDEX(生物种群!$E:$E,COUNTA(生物种群!$E:$E)),MATCH($H437,生物种群!$A$3:INDEX(生物种群!$A:$A,COUNTA(生物种群!$A:$A)),),))</f>
        <v/>
      </c>
      <c r="L437" s="46" t="str">
        <f t="shared" si="24"/>
        <v/>
      </c>
      <c r="M437" s="47" t="str">
        <f>IF(L437="","",ROUND((L437)/VLOOKUP($F437,IF({1,0},站位样品信息!$A$3:INDEX(站位样品信息!$A:$A,COUNTA(站位样品信息!$A:$A)+1),站位样品信息!$H$3:INDEX(站位样品信息!$H:$H,COUNTA(站位样品信息!$H:$H)+1)),2,0),2))</f>
        <v/>
      </c>
      <c r="O437" s="49"/>
      <c r="P437" s="53" t="str">
        <f t="shared" si="22"/>
        <v/>
      </c>
      <c r="Q437" s="53" t="str">
        <f t="shared" si="23"/>
        <v/>
      </c>
    </row>
    <row r="438" spans="1:17" ht="19.5" customHeight="1">
      <c r="A438" s="38"/>
      <c r="B438" s="38"/>
      <c r="C438" s="38"/>
      <c r="D438" s="37"/>
      <c r="E438" s="37"/>
      <c r="F438" s="37"/>
      <c r="G438" s="37" t="str">
        <f>IF(F438="","",INDEX(站位样品信息!$B$3:INDEX(站位样品信息!$B:$B,COUNTA(站位样品信息!$B:$B)+1),MATCH($F438,站位样品信息!$A$3:INDEX(站位样品信息!$A:$A,COUNTA(站位样品信息!$A:$A)+1),),))</f>
        <v/>
      </c>
      <c r="H438" s="55" t="str">
        <f>IF(OR(A438&lt;&gt;"",B438&lt;&gt;"",C438&lt;&gt;""),IF($C438&lt;&gt;0,INDEX(生物种群!$A$3:INDEX(生物种群!$A:$A,COUNTA(生物种群!$A:$A)),MATCH($C438,生物种群!$F$3:INDEX(生物种群!$F:$F,COUNTA(生物种群!$F:$F)),),),IF($A438&lt;&gt;0,INDEX(生物种群!$A$3:INDEX(生物种群!$A:$A,COUNTA(生物种群!$A:$A)),MATCH($A438,生物种群!$C$3:INDEX(生物种群!$C:$C,COUNTA(生物种群!$C:$C)),),),INDEX(生物种群!$A$3:INDEX(生物种群!$A:$A,COUNTA(生物种群!$A:$A)),MATCH($B438,生物种群!$D$3:INDEX(生物种群!$D:$D,COUNTA(生物种群!$D:$D)),),))),"")</f>
        <v/>
      </c>
      <c r="I438" s="56" t="str">
        <f>IF(H438="","",INDEX(生物种群!$B$3:INDEX(生物种群!$B:$B,COUNTA(生物种群!$B:$B)),MATCH($H438,生物种群!$A$3:INDEX(生物种群!$A:$A,COUNTA(生物种群!$A:$A)),),))</f>
        <v/>
      </c>
      <c r="J438" s="55" t="str">
        <f>IF(H438="","",INDEX(生物种群!$I$3:INDEX(生物种群!$I:$I,COUNTA(生物种群!$I:$I)),MATCH($H438,生物种群!$A$3:INDEX(生物种群!$A:$A,COUNTA(生物种群!$A:$A)),),))</f>
        <v/>
      </c>
      <c r="K438" s="55" t="str">
        <f>IF(H438="","",INDEX(生物种群!$E$3:INDEX(生物种群!$E:$E,COUNTA(生物种群!$E:$E)),MATCH($H438,生物种群!$A$3:INDEX(生物种群!$A:$A,COUNTA(生物种群!$A:$A)),),))</f>
        <v/>
      </c>
      <c r="L438" s="46" t="str">
        <f t="shared" si="24"/>
        <v/>
      </c>
      <c r="M438" s="47" t="str">
        <f>IF(L438="","",ROUND((L438)/VLOOKUP($F438,IF({1,0},站位样品信息!$A$3:INDEX(站位样品信息!$A:$A,COUNTA(站位样品信息!$A:$A)+1),站位样品信息!$H$3:INDEX(站位样品信息!$H:$H,COUNTA(站位样品信息!$H:$H)+1)),2,0),2))</f>
        <v/>
      </c>
      <c r="O438" s="49"/>
      <c r="P438" s="53" t="str">
        <f t="shared" si="22"/>
        <v/>
      </c>
      <c r="Q438" s="53" t="str">
        <f t="shared" si="23"/>
        <v/>
      </c>
    </row>
    <row r="439" spans="1:17" ht="19.5" customHeight="1">
      <c r="A439" s="38"/>
      <c r="B439" s="38"/>
      <c r="C439" s="38"/>
      <c r="D439" s="37"/>
      <c r="E439" s="37"/>
      <c r="F439" s="37"/>
      <c r="G439" s="37" t="str">
        <f>IF(F439="","",INDEX(站位样品信息!$B$3:INDEX(站位样品信息!$B:$B,COUNTA(站位样品信息!$B:$B)+1),MATCH($F439,站位样品信息!$A$3:INDEX(站位样品信息!$A:$A,COUNTA(站位样品信息!$A:$A)+1),),))</f>
        <v/>
      </c>
      <c r="H439" s="55" t="str">
        <f>IF(OR(A439&lt;&gt;"",B439&lt;&gt;"",C439&lt;&gt;""),IF($C439&lt;&gt;0,INDEX(生物种群!$A$3:INDEX(生物种群!$A:$A,COUNTA(生物种群!$A:$A)),MATCH($C439,生物种群!$F$3:INDEX(生物种群!$F:$F,COUNTA(生物种群!$F:$F)),),),IF($A439&lt;&gt;0,INDEX(生物种群!$A$3:INDEX(生物种群!$A:$A,COUNTA(生物种群!$A:$A)),MATCH($A439,生物种群!$C$3:INDEX(生物种群!$C:$C,COUNTA(生物种群!$C:$C)),),),INDEX(生物种群!$A$3:INDEX(生物种群!$A:$A,COUNTA(生物种群!$A:$A)),MATCH($B439,生物种群!$D$3:INDEX(生物种群!$D:$D,COUNTA(生物种群!$D:$D)),),))),"")</f>
        <v/>
      </c>
      <c r="I439" s="56" t="str">
        <f>IF(H439="","",INDEX(生物种群!$B$3:INDEX(生物种群!$B:$B,COUNTA(生物种群!$B:$B)),MATCH($H439,生物种群!$A$3:INDEX(生物种群!$A:$A,COUNTA(生物种群!$A:$A)),),))</f>
        <v/>
      </c>
      <c r="J439" s="55" t="str">
        <f>IF(H439="","",INDEX(生物种群!$I$3:INDEX(生物种群!$I:$I,COUNTA(生物种群!$I:$I)),MATCH($H439,生物种群!$A$3:INDEX(生物种群!$A:$A,COUNTA(生物种群!$A:$A)),),))</f>
        <v/>
      </c>
      <c r="K439" s="55" t="str">
        <f>IF(H439="","",INDEX(生物种群!$E$3:INDEX(生物种群!$E:$E,COUNTA(生物种群!$E:$E)),MATCH($H439,生物种群!$A$3:INDEX(生物种群!$A:$A,COUNTA(生物种群!$A:$A)),),))</f>
        <v/>
      </c>
      <c r="L439" s="46" t="str">
        <f t="shared" si="24"/>
        <v/>
      </c>
      <c r="M439" s="47" t="str">
        <f>IF(L439="","",ROUND((L439)/VLOOKUP($F439,IF({1,0},站位样品信息!$A$3:INDEX(站位样品信息!$A:$A,COUNTA(站位样品信息!$A:$A)+1),站位样品信息!$H$3:INDEX(站位样品信息!$H:$H,COUNTA(站位样品信息!$H:$H)+1)),2,0),2))</f>
        <v/>
      </c>
      <c r="O439" s="49"/>
      <c r="P439" s="53" t="str">
        <f t="shared" si="22"/>
        <v/>
      </c>
      <c r="Q439" s="53" t="str">
        <f t="shared" si="23"/>
        <v/>
      </c>
    </row>
    <row r="440" spans="1:17" ht="19.5" customHeight="1">
      <c r="A440" s="38"/>
      <c r="B440" s="38"/>
      <c r="C440" s="38"/>
      <c r="D440" s="37"/>
      <c r="E440" s="37"/>
      <c r="F440" s="37"/>
      <c r="G440" s="37" t="str">
        <f>IF(F440="","",INDEX(站位样品信息!$B$3:INDEX(站位样品信息!$B:$B,COUNTA(站位样品信息!$B:$B)+1),MATCH($F440,站位样品信息!$A$3:INDEX(站位样品信息!$A:$A,COUNTA(站位样品信息!$A:$A)+1),),))</f>
        <v/>
      </c>
      <c r="H440" s="55" t="str">
        <f>IF(OR(A440&lt;&gt;"",B440&lt;&gt;"",C440&lt;&gt;""),IF($C440&lt;&gt;0,INDEX(生物种群!$A$3:INDEX(生物种群!$A:$A,COUNTA(生物种群!$A:$A)),MATCH($C440,生物种群!$F$3:INDEX(生物种群!$F:$F,COUNTA(生物种群!$F:$F)),),),IF($A440&lt;&gt;0,INDEX(生物种群!$A$3:INDEX(生物种群!$A:$A,COUNTA(生物种群!$A:$A)),MATCH($A440,生物种群!$C$3:INDEX(生物种群!$C:$C,COUNTA(生物种群!$C:$C)),),),INDEX(生物种群!$A$3:INDEX(生物种群!$A:$A,COUNTA(生物种群!$A:$A)),MATCH($B440,生物种群!$D$3:INDEX(生物种群!$D:$D,COUNTA(生物种群!$D:$D)),),))),"")</f>
        <v/>
      </c>
      <c r="I440" s="56" t="str">
        <f>IF(H440="","",INDEX(生物种群!$B$3:INDEX(生物种群!$B:$B,COUNTA(生物种群!$B:$B)),MATCH($H440,生物种群!$A$3:INDEX(生物种群!$A:$A,COUNTA(生物种群!$A:$A)),),))</f>
        <v/>
      </c>
      <c r="J440" s="55" t="str">
        <f>IF(H440="","",INDEX(生物种群!$I$3:INDEX(生物种群!$I:$I,COUNTA(生物种群!$I:$I)),MATCH($H440,生物种群!$A$3:INDEX(生物种群!$A:$A,COUNTA(生物种群!$A:$A)),),))</f>
        <v/>
      </c>
      <c r="K440" s="55" t="str">
        <f>IF(H440="","",INDEX(生物种群!$E$3:INDEX(生物种群!$E:$E,COUNTA(生物种群!$E:$E)),MATCH($H440,生物种群!$A$3:INDEX(生物种群!$A:$A,COUNTA(生物种群!$A:$A)),),))</f>
        <v/>
      </c>
      <c r="L440" s="46" t="str">
        <f t="shared" si="24"/>
        <v/>
      </c>
      <c r="M440" s="47" t="str">
        <f>IF(L440="","",ROUND((L440)/VLOOKUP($F440,IF({1,0},站位样品信息!$A$3:INDEX(站位样品信息!$A:$A,COUNTA(站位样品信息!$A:$A)+1),站位样品信息!$H$3:INDEX(站位样品信息!$H:$H,COUNTA(站位样品信息!$H:$H)+1)),2,0),2))</f>
        <v/>
      </c>
      <c r="O440" s="49"/>
      <c r="P440" s="53" t="str">
        <f t="shared" si="22"/>
        <v/>
      </c>
      <c r="Q440" s="53" t="str">
        <f t="shared" si="23"/>
        <v/>
      </c>
    </row>
    <row r="441" spans="1:17" ht="19.5" customHeight="1">
      <c r="A441" s="38"/>
      <c r="B441" s="38"/>
      <c r="C441" s="38"/>
      <c r="D441" s="37"/>
      <c r="E441" s="37"/>
      <c r="F441" s="37"/>
      <c r="G441" s="37" t="str">
        <f>IF(F441="","",INDEX(站位样品信息!$B$3:INDEX(站位样品信息!$B:$B,COUNTA(站位样品信息!$B:$B)+1),MATCH($F441,站位样品信息!$A$3:INDEX(站位样品信息!$A:$A,COUNTA(站位样品信息!$A:$A)+1),),))</f>
        <v/>
      </c>
      <c r="H441" s="55" t="str">
        <f>IF(OR(A441&lt;&gt;"",B441&lt;&gt;"",C441&lt;&gt;""),IF($C441&lt;&gt;0,INDEX(生物种群!$A$3:INDEX(生物种群!$A:$A,COUNTA(生物种群!$A:$A)),MATCH($C441,生物种群!$F$3:INDEX(生物种群!$F:$F,COUNTA(生物种群!$F:$F)),),),IF($A441&lt;&gt;0,INDEX(生物种群!$A$3:INDEX(生物种群!$A:$A,COUNTA(生物种群!$A:$A)),MATCH($A441,生物种群!$C$3:INDEX(生物种群!$C:$C,COUNTA(生物种群!$C:$C)),),),INDEX(生物种群!$A$3:INDEX(生物种群!$A:$A,COUNTA(生物种群!$A:$A)),MATCH($B441,生物种群!$D$3:INDEX(生物种群!$D:$D,COUNTA(生物种群!$D:$D)),),))),"")</f>
        <v/>
      </c>
      <c r="I441" s="56" t="str">
        <f>IF(H441="","",INDEX(生物种群!$B$3:INDEX(生物种群!$B:$B,COUNTA(生物种群!$B:$B)),MATCH($H441,生物种群!$A$3:INDEX(生物种群!$A:$A,COUNTA(生物种群!$A:$A)),),))</f>
        <v/>
      </c>
      <c r="J441" s="55" t="str">
        <f>IF(H441="","",INDEX(生物种群!$I$3:INDEX(生物种群!$I:$I,COUNTA(生物种群!$I:$I)),MATCH($H441,生物种群!$A$3:INDEX(生物种群!$A:$A,COUNTA(生物种群!$A:$A)),),))</f>
        <v/>
      </c>
      <c r="K441" s="55" t="str">
        <f>IF(H441="","",INDEX(生物种群!$E$3:INDEX(生物种群!$E:$E,COUNTA(生物种群!$E:$E)),MATCH($H441,生物种群!$A$3:INDEX(生物种群!$A:$A,COUNTA(生物种群!$A:$A)),),))</f>
        <v/>
      </c>
      <c r="L441" s="46" t="str">
        <f t="shared" si="24"/>
        <v/>
      </c>
      <c r="M441" s="47" t="str">
        <f>IF(L441="","",ROUND((L441)/VLOOKUP($F441,IF({1,0},站位样品信息!$A$3:INDEX(站位样品信息!$A:$A,COUNTA(站位样品信息!$A:$A)+1),站位样品信息!$H$3:INDEX(站位样品信息!$H:$H,COUNTA(站位样品信息!$H:$H)+1)),2,0),2))</f>
        <v/>
      </c>
      <c r="O441" s="49"/>
      <c r="P441" s="53" t="str">
        <f t="shared" si="22"/>
        <v/>
      </c>
      <c r="Q441" s="53" t="str">
        <f t="shared" si="23"/>
        <v/>
      </c>
    </row>
    <row r="442" spans="1:17" ht="19.5" customHeight="1">
      <c r="A442" s="38"/>
      <c r="B442" s="38"/>
      <c r="C442" s="38"/>
      <c r="D442" s="37"/>
      <c r="E442" s="37"/>
      <c r="F442" s="37"/>
      <c r="G442" s="37" t="str">
        <f>IF(F442="","",INDEX(站位样品信息!$B$3:INDEX(站位样品信息!$B:$B,COUNTA(站位样品信息!$B:$B)+1),MATCH($F442,站位样品信息!$A$3:INDEX(站位样品信息!$A:$A,COUNTA(站位样品信息!$A:$A)+1),),))</f>
        <v/>
      </c>
      <c r="H442" s="55" t="str">
        <f>IF(OR(A442&lt;&gt;"",B442&lt;&gt;"",C442&lt;&gt;""),IF($C442&lt;&gt;0,INDEX(生物种群!$A$3:INDEX(生物种群!$A:$A,COUNTA(生物种群!$A:$A)),MATCH($C442,生物种群!$F$3:INDEX(生物种群!$F:$F,COUNTA(生物种群!$F:$F)),),),IF($A442&lt;&gt;0,INDEX(生物种群!$A$3:INDEX(生物种群!$A:$A,COUNTA(生物种群!$A:$A)),MATCH($A442,生物种群!$C$3:INDEX(生物种群!$C:$C,COUNTA(生物种群!$C:$C)),),),INDEX(生物种群!$A$3:INDEX(生物种群!$A:$A,COUNTA(生物种群!$A:$A)),MATCH($B442,生物种群!$D$3:INDEX(生物种群!$D:$D,COUNTA(生物种群!$D:$D)),),))),"")</f>
        <v/>
      </c>
      <c r="I442" s="56" t="str">
        <f>IF(H442="","",INDEX(生物种群!$B$3:INDEX(生物种群!$B:$B,COUNTA(生物种群!$B:$B)),MATCH($H442,生物种群!$A$3:INDEX(生物种群!$A:$A,COUNTA(生物种群!$A:$A)),),))</f>
        <v/>
      </c>
      <c r="J442" s="55" t="str">
        <f>IF(H442="","",INDEX(生物种群!$I$3:INDEX(生物种群!$I:$I,COUNTA(生物种群!$I:$I)),MATCH($H442,生物种群!$A$3:INDEX(生物种群!$A:$A,COUNTA(生物种群!$A:$A)),),))</f>
        <v/>
      </c>
      <c r="K442" s="55" t="str">
        <f>IF(H442="","",INDEX(生物种群!$E$3:INDEX(生物种群!$E:$E,COUNTA(生物种群!$E:$E)),MATCH($H442,生物种群!$A$3:INDEX(生物种群!$A:$A,COUNTA(生物种群!$A:$A)),),))</f>
        <v/>
      </c>
      <c r="L442" s="46" t="str">
        <f t="shared" si="24"/>
        <v/>
      </c>
      <c r="M442" s="47" t="str">
        <f>IF(L442="","",ROUND((L442)/VLOOKUP($F442,IF({1,0},站位样品信息!$A$3:INDEX(站位样品信息!$A:$A,COUNTA(站位样品信息!$A:$A)+1),站位样品信息!$H$3:INDEX(站位样品信息!$H:$H,COUNTA(站位样品信息!$H:$H)+1)),2,0),2))</f>
        <v/>
      </c>
      <c r="O442" s="49"/>
      <c r="P442" s="53" t="str">
        <f t="shared" si="22"/>
        <v/>
      </c>
      <c r="Q442" s="53" t="str">
        <f t="shared" si="23"/>
        <v/>
      </c>
    </row>
    <row r="443" spans="1:17" ht="19.5" customHeight="1">
      <c r="A443" s="38"/>
      <c r="B443" s="38"/>
      <c r="C443" s="38"/>
      <c r="D443" s="37"/>
      <c r="E443" s="37"/>
      <c r="F443" s="37"/>
      <c r="G443" s="37" t="str">
        <f>IF(F443="","",INDEX(站位样品信息!$B$3:INDEX(站位样品信息!$B:$B,COUNTA(站位样品信息!$B:$B)+1),MATCH($F443,站位样品信息!$A$3:INDEX(站位样品信息!$A:$A,COUNTA(站位样品信息!$A:$A)+1),),))</f>
        <v/>
      </c>
      <c r="H443" s="55" t="str">
        <f>IF(OR(A443&lt;&gt;"",B443&lt;&gt;"",C443&lt;&gt;""),IF($C443&lt;&gt;0,INDEX(生物种群!$A$3:INDEX(生物种群!$A:$A,COUNTA(生物种群!$A:$A)),MATCH($C443,生物种群!$F$3:INDEX(生物种群!$F:$F,COUNTA(生物种群!$F:$F)),),),IF($A443&lt;&gt;0,INDEX(生物种群!$A$3:INDEX(生物种群!$A:$A,COUNTA(生物种群!$A:$A)),MATCH($A443,生物种群!$C$3:INDEX(生物种群!$C:$C,COUNTA(生物种群!$C:$C)),),),INDEX(生物种群!$A$3:INDEX(生物种群!$A:$A,COUNTA(生物种群!$A:$A)),MATCH($B443,生物种群!$D$3:INDEX(生物种群!$D:$D,COUNTA(生物种群!$D:$D)),),))),"")</f>
        <v/>
      </c>
      <c r="I443" s="56" t="str">
        <f>IF(H443="","",INDEX(生物种群!$B$3:INDEX(生物种群!$B:$B,COUNTA(生物种群!$B:$B)),MATCH($H443,生物种群!$A$3:INDEX(生物种群!$A:$A,COUNTA(生物种群!$A:$A)),),))</f>
        <v/>
      </c>
      <c r="J443" s="55" t="str">
        <f>IF(H443="","",INDEX(生物种群!$I$3:INDEX(生物种群!$I:$I,COUNTA(生物种群!$I:$I)),MATCH($H443,生物种群!$A$3:INDEX(生物种群!$A:$A,COUNTA(生物种群!$A:$A)),),))</f>
        <v/>
      </c>
      <c r="K443" s="55" t="str">
        <f>IF(H443="","",INDEX(生物种群!$E$3:INDEX(生物种群!$E:$E,COUNTA(生物种群!$E:$E)),MATCH($H443,生物种群!$A$3:INDEX(生物种群!$A:$A,COUNTA(生物种群!$A:$A)),),))</f>
        <v/>
      </c>
      <c r="L443" s="46" t="str">
        <f t="shared" si="24"/>
        <v/>
      </c>
      <c r="M443" s="47" t="str">
        <f>IF(L443="","",ROUND((L443)/VLOOKUP($F443,IF({1,0},站位样品信息!$A$3:INDEX(站位样品信息!$A:$A,COUNTA(站位样品信息!$A:$A)+1),站位样品信息!$H$3:INDEX(站位样品信息!$H:$H,COUNTA(站位样品信息!$H:$H)+1)),2,0),2))</f>
        <v/>
      </c>
      <c r="O443" s="49"/>
      <c r="P443" s="53" t="str">
        <f t="shared" si="22"/>
        <v/>
      </c>
      <c r="Q443" s="53" t="str">
        <f t="shared" si="23"/>
        <v/>
      </c>
    </row>
    <row r="444" spans="1:17" ht="19.5" customHeight="1">
      <c r="A444" s="38"/>
      <c r="B444" s="38"/>
      <c r="C444" s="38"/>
      <c r="D444" s="37"/>
      <c r="E444" s="37"/>
      <c r="F444" s="37"/>
      <c r="G444" s="37" t="str">
        <f>IF(F444="","",INDEX(站位样品信息!$B$3:INDEX(站位样品信息!$B:$B,COUNTA(站位样品信息!$B:$B)+1),MATCH($F444,站位样品信息!$A$3:INDEX(站位样品信息!$A:$A,COUNTA(站位样品信息!$A:$A)+1),),))</f>
        <v/>
      </c>
      <c r="H444" s="55" t="str">
        <f>IF(OR(A444&lt;&gt;"",B444&lt;&gt;"",C444&lt;&gt;""),IF($C444&lt;&gt;0,INDEX(生物种群!$A$3:INDEX(生物种群!$A:$A,COUNTA(生物种群!$A:$A)),MATCH($C444,生物种群!$F$3:INDEX(生物种群!$F:$F,COUNTA(生物种群!$F:$F)),),),IF($A444&lt;&gt;0,INDEX(生物种群!$A$3:INDEX(生物种群!$A:$A,COUNTA(生物种群!$A:$A)),MATCH($A444,生物种群!$C$3:INDEX(生物种群!$C:$C,COUNTA(生物种群!$C:$C)),),),INDEX(生物种群!$A$3:INDEX(生物种群!$A:$A,COUNTA(生物种群!$A:$A)),MATCH($B444,生物种群!$D$3:INDEX(生物种群!$D:$D,COUNTA(生物种群!$D:$D)),),))),"")</f>
        <v/>
      </c>
      <c r="I444" s="56" t="str">
        <f>IF(H444="","",INDEX(生物种群!$B$3:INDEX(生物种群!$B:$B,COUNTA(生物种群!$B:$B)),MATCH($H444,生物种群!$A$3:INDEX(生物种群!$A:$A,COUNTA(生物种群!$A:$A)),),))</f>
        <v/>
      </c>
      <c r="J444" s="55" t="str">
        <f>IF(H444="","",INDEX(生物种群!$I$3:INDEX(生物种群!$I:$I,COUNTA(生物种群!$I:$I)),MATCH($H444,生物种群!$A$3:INDEX(生物种群!$A:$A,COUNTA(生物种群!$A:$A)),),))</f>
        <v/>
      </c>
      <c r="K444" s="55" t="str">
        <f>IF(H444="","",INDEX(生物种群!$E$3:INDEX(生物种群!$E:$E,COUNTA(生物种群!$E:$E)),MATCH($H444,生物种群!$A$3:INDEX(生物种群!$A:$A,COUNTA(生物种群!$A:$A)),),))</f>
        <v/>
      </c>
      <c r="L444" s="46" t="str">
        <f t="shared" si="24"/>
        <v/>
      </c>
      <c r="M444" s="47" t="str">
        <f>IF(L444="","",ROUND((L444)/VLOOKUP($F444,IF({1,0},站位样品信息!$A$3:INDEX(站位样品信息!$A:$A,COUNTA(站位样品信息!$A:$A)+1),站位样品信息!$H$3:INDEX(站位样品信息!$H:$H,COUNTA(站位样品信息!$H:$H)+1)),2,0),2))</f>
        <v/>
      </c>
      <c r="O444" s="49"/>
      <c r="P444" s="53" t="str">
        <f t="shared" si="22"/>
        <v/>
      </c>
      <c r="Q444" s="53" t="str">
        <f t="shared" si="23"/>
        <v/>
      </c>
    </row>
    <row r="445" spans="1:17" ht="19.5" customHeight="1">
      <c r="A445" s="38"/>
      <c r="B445" s="38"/>
      <c r="C445" s="38"/>
      <c r="D445" s="37"/>
      <c r="E445" s="37"/>
      <c r="F445" s="37"/>
      <c r="G445" s="37" t="str">
        <f>IF(F445="","",INDEX(站位样品信息!$B$3:INDEX(站位样品信息!$B:$B,COUNTA(站位样品信息!$B:$B)+1),MATCH($F445,站位样品信息!$A$3:INDEX(站位样品信息!$A:$A,COUNTA(站位样品信息!$A:$A)+1),),))</f>
        <v/>
      </c>
      <c r="H445" s="55" t="str">
        <f>IF(OR(A445&lt;&gt;"",B445&lt;&gt;"",C445&lt;&gt;""),IF($C445&lt;&gt;0,INDEX(生物种群!$A$3:INDEX(生物种群!$A:$A,COUNTA(生物种群!$A:$A)),MATCH($C445,生物种群!$F$3:INDEX(生物种群!$F:$F,COUNTA(生物种群!$F:$F)),),),IF($A445&lt;&gt;0,INDEX(生物种群!$A$3:INDEX(生物种群!$A:$A,COUNTA(生物种群!$A:$A)),MATCH($A445,生物种群!$C$3:INDEX(生物种群!$C:$C,COUNTA(生物种群!$C:$C)),),),INDEX(生物种群!$A$3:INDEX(生物种群!$A:$A,COUNTA(生物种群!$A:$A)),MATCH($B445,生物种群!$D$3:INDEX(生物种群!$D:$D,COUNTA(生物种群!$D:$D)),),))),"")</f>
        <v/>
      </c>
      <c r="I445" s="56" t="str">
        <f>IF(H445="","",INDEX(生物种群!$B$3:INDEX(生物种群!$B:$B,COUNTA(生物种群!$B:$B)),MATCH($H445,生物种群!$A$3:INDEX(生物种群!$A:$A,COUNTA(生物种群!$A:$A)),),))</f>
        <v/>
      </c>
      <c r="J445" s="55" t="str">
        <f>IF(H445="","",INDEX(生物种群!$I$3:INDEX(生物种群!$I:$I,COUNTA(生物种群!$I:$I)),MATCH($H445,生物种群!$A$3:INDEX(生物种群!$A:$A,COUNTA(生物种群!$A:$A)),),))</f>
        <v/>
      </c>
      <c r="K445" s="55" t="str">
        <f>IF(H445="","",INDEX(生物种群!$E$3:INDEX(生物种群!$E:$E,COUNTA(生物种群!$E:$E)),MATCH($H445,生物种群!$A$3:INDEX(生物种群!$A:$A,COUNTA(生物种群!$A:$A)),),))</f>
        <v/>
      </c>
      <c r="L445" s="46" t="str">
        <f t="shared" si="24"/>
        <v/>
      </c>
      <c r="M445" s="47" t="str">
        <f>IF(L445="","",ROUND((L445)/VLOOKUP($F445,IF({1,0},站位样品信息!$A$3:INDEX(站位样品信息!$A:$A,COUNTA(站位样品信息!$A:$A)+1),站位样品信息!$H$3:INDEX(站位样品信息!$H:$H,COUNTA(站位样品信息!$H:$H)+1)),2,0),2))</f>
        <v/>
      </c>
      <c r="O445" s="49"/>
      <c r="P445" s="53" t="str">
        <f t="shared" si="22"/>
        <v/>
      </c>
      <c r="Q445" s="53" t="str">
        <f t="shared" si="23"/>
        <v/>
      </c>
    </row>
    <row r="446" spans="1:17" ht="19.5" customHeight="1">
      <c r="A446" s="38"/>
      <c r="B446" s="38"/>
      <c r="C446" s="38"/>
      <c r="D446" s="37"/>
      <c r="E446" s="37"/>
      <c r="F446" s="37"/>
      <c r="G446" s="37" t="str">
        <f>IF(F446="","",INDEX(站位样品信息!$B$3:INDEX(站位样品信息!$B:$B,COUNTA(站位样品信息!$B:$B)+1),MATCH($F446,站位样品信息!$A$3:INDEX(站位样品信息!$A:$A,COUNTA(站位样品信息!$A:$A)+1),),))</f>
        <v/>
      </c>
      <c r="H446" s="55" t="str">
        <f>IF(OR(A446&lt;&gt;"",B446&lt;&gt;"",C446&lt;&gt;""),IF($C446&lt;&gt;0,INDEX(生物种群!$A$3:INDEX(生物种群!$A:$A,COUNTA(生物种群!$A:$A)),MATCH($C446,生物种群!$F$3:INDEX(生物种群!$F:$F,COUNTA(生物种群!$F:$F)),),),IF($A446&lt;&gt;0,INDEX(生物种群!$A$3:INDEX(生物种群!$A:$A,COUNTA(生物种群!$A:$A)),MATCH($A446,生物种群!$C$3:INDEX(生物种群!$C:$C,COUNTA(生物种群!$C:$C)),),),INDEX(生物种群!$A$3:INDEX(生物种群!$A:$A,COUNTA(生物种群!$A:$A)),MATCH($B446,生物种群!$D$3:INDEX(生物种群!$D:$D,COUNTA(生物种群!$D:$D)),),))),"")</f>
        <v/>
      </c>
      <c r="I446" s="56" t="str">
        <f>IF(H446="","",INDEX(生物种群!$B$3:INDEX(生物种群!$B:$B,COUNTA(生物种群!$B:$B)),MATCH($H446,生物种群!$A$3:INDEX(生物种群!$A:$A,COUNTA(生物种群!$A:$A)),),))</f>
        <v/>
      </c>
      <c r="J446" s="55" t="str">
        <f>IF(H446="","",INDEX(生物种群!$I$3:INDEX(生物种群!$I:$I,COUNTA(生物种群!$I:$I)),MATCH($H446,生物种群!$A$3:INDEX(生物种群!$A:$A,COUNTA(生物种群!$A:$A)),),))</f>
        <v/>
      </c>
      <c r="K446" s="55" t="str">
        <f>IF(H446="","",INDEX(生物种群!$E$3:INDEX(生物种群!$E:$E,COUNTA(生物种群!$E:$E)),MATCH($H446,生物种群!$A$3:INDEX(生物种群!$A:$A,COUNTA(生物种群!$A:$A)),),))</f>
        <v/>
      </c>
      <c r="L446" s="46" t="str">
        <f t="shared" si="24"/>
        <v/>
      </c>
      <c r="M446" s="47" t="str">
        <f>IF(L446="","",ROUND((L446)/VLOOKUP($F446,IF({1,0},站位样品信息!$A$3:INDEX(站位样品信息!$A:$A,COUNTA(站位样品信息!$A:$A)+1),站位样品信息!$H$3:INDEX(站位样品信息!$H:$H,COUNTA(站位样品信息!$H:$H)+1)),2,0),2))</f>
        <v/>
      </c>
      <c r="O446" s="49"/>
      <c r="P446" s="53" t="str">
        <f t="shared" si="22"/>
        <v/>
      </c>
      <c r="Q446" s="53" t="str">
        <f t="shared" si="23"/>
        <v/>
      </c>
    </row>
    <row r="447" spans="1:17" ht="19.5" customHeight="1">
      <c r="A447" s="38"/>
      <c r="B447" s="38"/>
      <c r="C447" s="38"/>
      <c r="D447" s="37"/>
      <c r="E447" s="37"/>
      <c r="F447" s="37"/>
      <c r="G447" s="37" t="str">
        <f>IF(F447="","",INDEX(站位样品信息!$B$3:INDEX(站位样品信息!$B:$B,COUNTA(站位样品信息!$B:$B)+1),MATCH($F447,站位样品信息!$A$3:INDEX(站位样品信息!$A:$A,COUNTA(站位样品信息!$A:$A)+1),),))</f>
        <v/>
      </c>
      <c r="H447" s="55" t="str">
        <f>IF(OR(A447&lt;&gt;"",B447&lt;&gt;"",C447&lt;&gt;""),IF($C447&lt;&gt;0,INDEX(生物种群!$A$3:INDEX(生物种群!$A:$A,COUNTA(生物种群!$A:$A)),MATCH($C447,生物种群!$F$3:INDEX(生物种群!$F:$F,COUNTA(生物种群!$F:$F)),),),IF($A447&lt;&gt;0,INDEX(生物种群!$A$3:INDEX(生物种群!$A:$A,COUNTA(生物种群!$A:$A)),MATCH($A447,生物种群!$C$3:INDEX(生物种群!$C:$C,COUNTA(生物种群!$C:$C)),),),INDEX(生物种群!$A$3:INDEX(生物种群!$A:$A,COUNTA(生物种群!$A:$A)),MATCH($B447,生物种群!$D$3:INDEX(生物种群!$D:$D,COUNTA(生物种群!$D:$D)),),))),"")</f>
        <v/>
      </c>
      <c r="I447" s="56" t="str">
        <f>IF(H447="","",INDEX(生物种群!$B$3:INDEX(生物种群!$B:$B,COUNTA(生物种群!$B:$B)),MATCH($H447,生物种群!$A$3:INDEX(生物种群!$A:$A,COUNTA(生物种群!$A:$A)),),))</f>
        <v/>
      </c>
      <c r="J447" s="55" t="str">
        <f>IF(H447="","",INDEX(生物种群!$I$3:INDEX(生物种群!$I:$I,COUNTA(生物种群!$I:$I)),MATCH($H447,生物种群!$A$3:INDEX(生物种群!$A:$A,COUNTA(生物种群!$A:$A)),),))</f>
        <v/>
      </c>
      <c r="K447" s="55" t="str">
        <f>IF(H447="","",INDEX(生物种群!$E$3:INDEX(生物种群!$E:$E,COUNTA(生物种群!$E:$E)),MATCH($H447,生物种群!$A$3:INDEX(生物种群!$A:$A,COUNTA(生物种群!$A:$A)),),))</f>
        <v/>
      </c>
      <c r="L447" s="46" t="str">
        <f t="shared" si="24"/>
        <v/>
      </c>
      <c r="M447" s="47" t="str">
        <f>IF(L447="","",ROUND((L447)/VLOOKUP($F447,IF({1,0},站位样品信息!$A$3:INDEX(站位样品信息!$A:$A,COUNTA(站位样品信息!$A:$A)+1),站位样品信息!$H$3:INDEX(站位样品信息!$H:$H,COUNTA(站位样品信息!$H:$H)+1)),2,0),2))</f>
        <v/>
      </c>
      <c r="O447" s="49"/>
      <c r="P447" s="53" t="str">
        <f t="shared" si="22"/>
        <v/>
      </c>
      <c r="Q447" s="53" t="str">
        <f t="shared" si="23"/>
        <v/>
      </c>
    </row>
    <row r="448" spans="1:17" ht="19.5" customHeight="1">
      <c r="A448" s="38"/>
      <c r="B448" s="38"/>
      <c r="C448" s="38"/>
      <c r="D448" s="37"/>
      <c r="E448" s="37"/>
      <c r="F448" s="37"/>
      <c r="G448" s="37" t="str">
        <f>IF(F448="","",INDEX(站位样品信息!$B$3:INDEX(站位样品信息!$B:$B,COUNTA(站位样品信息!$B:$B)+1),MATCH($F448,站位样品信息!$A$3:INDEX(站位样品信息!$A:$A,COUNTA(站位样品信息!$A:$A)+1),),))</f>
        <v/>
      </c>
      <c r="H448" s="55" t="str">
        <f>IF(OR(A448&lt;&gt;"",B448&lt;&gt;"",C448&lt;&gt;""),IF($C448&lt;&gt;0,INDEX(生物种群!$A$3:INDEX(生物种群!$A:$A,COUNTA(生物种群!$A:$A)),MATCH($C448,生物种群!$F$3:INDEX(生物种群!$F:$F,COUNTA(生物种群!$F:$F)),),),IF($A448&lt;&gt;0,INDEX(生物种群!$A$3:INDEX(生物种群!$A:$A,COUNTA(生物种群!$A:$A)),MATCH($A448,生物种群!$C$3:INDEX(生物种群!$C:$C,COUNTA(生物种群!$C:$C)),),),INDEX(生物种群!$A$3:INDEX(生物种群!$A:$A,COUNTA(生物种群!$A:$A)),MATCH($B448,生物种群!$D$3:INDEX(生物种群!$D:$D,COUNTA(生物种群!$D:$D)),),))),"")</f>
        <v/>
      </c>
      <c r="I448" s="56" t="str">
        <f>IF(H448="","",INDEX(生物种群!$B$3:INDEX(生物种群!$B:$B,COUNTA(生物种群!$B:$B)),MATCH($H448,生物种群!$A$3:INDEX(生物种群!$A:$A,COUNTA(生物种群!$A:$A)),),))</f>
        <v/>
      </c>
      <c r="J448" s="55" t="str">
        <f>IF(H448="","",INDEX(生物种群!$I$3:INDEX(生物种群!$I:$I,COUNTA(生物种群!$I:$I)),MATCH($H448,生物种群!$A$3:INDEX(生物种群!$A:$A,COUNTA(生物种群!$A:$A)),),))</f>
        <v/>
      </c>
      <c r="K448" s="55" t="str">
        <f>IF(H448="","",INDEX(生物种群!$E$3:INDEX(生物种群!$E:$E,COUNTA(生物种群!$E:$E)),MATCH($H448,生物种群!$A$3:INDEX(生物种群!$A:$A,COUNTA(生物种群!$A:$A)),),))</f>
        <v/>
      </c>
      <c r="L448" s="46" t="str">
        <f t="shared" si="24"/>
        <v/>
      </c>
      <c r="M448" s="47" t="str">
        <f>IF(L448="","",ROUND((L448)/VLOOKUP($F448,IF({1,0},站位样品信息!$A$3:INDEX(站位样品信息!$A:$A,COUNTA(站位样品信息!$A:$A)+1),站位样品信息!$H$3:INDEX(站位样品信息!$H:$H,COUNTA(站位样品信息!$H:$H)+1)),2,0),2))</f>
        <v/>
      </c>
      <c r="O448" s="49"/>
      <c r="P448" s="53" t="str">
        <f t="shared" si="22"/>
        <v/>
      </c>
      <c r="Q448" s="53" t="str">
        <f t="shared" si="23"/>
        <v/>
      </c>
    </row>
    <row r="449" spans="1:17" ht="19.5" customHeight="1">
      <c r="A449" s="38"/>
      <c r="B449" s="38"/>
      <c r="C449" s="38"/>
      <c r="D449" s="37"/>
      <c r="E449" s="37"/>
      <c r="F449" s="37"/>
      <c r="G449" s="37" t="str">
        <f>IF(F449="","",INDEX(站位样品信息!$B$3:INDEX(站位样品信息!$B:$B,COUNTA(站位样品信息!$B:$B)+1),MATCH($F449,站位样品信息!$A$3:INDEX(站位样品信息!$A:$A,COUNTA(站位样品信息!$A:$A)+1),),))</f>
        <v/>
      </c>
      <c r="H449" s="55" t="str">
        <f>IF(OR(A449&lt;&gt;"",B449&lt;&gt;"",C449&lt;&gt;""),IF($C449&lt;&gt;0,INDEX(生物种群!$A$3:INDEX(生物种群!$A:$A,COUNTA(生物种群!$A:$A)),MATCH($C449,生物种群!$F$3:INDEX(生物种群!$F:$F,COUNTA(生物种群!$F:$F)),),),IF($A449&lt;&gt;0,INDEX(生物种群!$A$3:INDEX(生物种群!$A:$A,COUNTA(生物种群!$A:$A)),MATCH($A449,生物种群!$C$3:INDEX(生物种群!$C:$C,COUNTA(生物种群!$C:$C)),),),INDEX(生物种群!$A$3:INDEX(生物种群!$A:$A,COUNTA(生物种群!$A:$A)),MATCH($B449,生物种群!$D$3:INDEX(生物种群!$D:$D,COUNTA(生物种群!$D:$D)),),))),"")</f>
        <v/>
      </c>
      <c r="I449" s="56" t="str">
        <f>IF(H449="","",INDEX(生物种群!$B$3:INDEX(生物种群!$B:$B,COUNTA(生物种群!$B:$B)),MATCH($H449,生物种群!$A$3:INDEX(生物种群!$A:$A,COUNTA(生物种群!$A:$A)),),))</f>
        <v/>
      </c>
      <c r="J449" s="55" t="str">
        <f>IF(H449="","",INDEX(生物种群!$I$3:INDEX(生物种群!$I:$I,COUNTA(生物种群!$I:$I)),MATCH($H449,生物种群!$A$3:INDEX(生物种群!$A:$A,COUNTA(生物种群!$A:$A)),),))</f>
        <v/>
      </c>
      <c r="K449" s="55" t="str">
        <f>IF(H449="","",INDEX(生物种群!$E$3:INDEX(生物种群!$E:$E,COUNTA(生物种群!$E:$E)),MATCH($H449,生物种群!$A$3:INDEX(生物种群!$A:$A,COUNTA(生物种群!$A:$A)),),))</f>
        <v/>
      </c>
      <c r="L449" s="46" t="str">
        <f t="shared" si="24"/>
        <v/>
      </c>
      <c r="M449" s="47" t="str">
        <f>IF(L449="","",ROUND((L449)/VLOOKUP($F449,IF({1,0},站位样品信息!$A$3:INDEX(站位样品信息!$A:$A,COUNTA(站位样品信息!$A:$A)+1),站位样品信息!$H$3:INDEX(站位样品信息!$H:$H,COUNTA(站位样品信息!$H:$H)+1)),2,0),2))</f>
        <v/>
      </c>
      <c r="O449" s="49"/>
      <c r="P449" s="53" t="str">
        <f t="shared" si="22"/>
        <v/>
      </c>
      <c r="Q449" s="53" t="str">
        <f t="shared" si="23"/>
        <v/>
      </c>
    </row>
    <row r="450" spans="1:17" ht="19.5" customHeight="1">
      <c r="A450" s="38"/>
      <c r="B450" s="38"/>
      <c r="C450" s="38"/>
      <c r="D450" s="37"/>
      <c r="E450" s="37"/>
      <c r="F450" s="37"/>
      <c r="G450" s="37" t="str">
        <f>IF(F450="","",INDEX(站位样品信息!$B$3:INDEX(站位样品信息!$B:$B,COUNTA(站位样品信息!$B:$B)+1),MATCH($F450,站位样品信息!$A$3:INDEX(站位样品信息!$A:$A,COUNTA(站位样品信息!$A:$A)+1),),))</f>
        <v/>
      </c>
      <c r="H450" s="55" t="str">
        <f>IF(OR(A450&lt;&gt;"",B450&lt;&gt;"",C450&lt;&gt;""),IF($C450&lt;&gt;0,INDEX(生物种群!$A$3:INDEX(生物种群!$A:$A,COUNTA(生物种群!$A:$A)),MATCH($C450,生物种群!$F$3:INDEX(生物种群!$F:$F,COUNTA(生物种群!$F:$F)),),),IF($A450&lt;&gt;0,INDEX(生物种群!$A$3:INDEX(生物种群!$A:$A,COUNTA(生物种群!$A:$A)),MATCH($A450,生物种群!$C$3:INDEX(生物种群!$C:$C,COUNTA(生物种群!$C:$C)),),),INDEX(生物种群!$A$3:INDEX(生物种群!$A:$A,COUNTA(生物种群!$A:$A)),MATCH($B450,生物种群!$D$3:INDEX(生物种群!$D:$D,COUNTA(生物种群!$D:$D)),),))),"")</f>
        <v/>
      </c>
      <c r="I450" s="56" t="str">
        <f>IF(H450="","",INDEX(生物种群!$B$3:INDEX(生物种群!$B:$B,COUNTA(生物种群!$B:$B)),MATCH($H450,生物种群!$A$3:INDEX(生物种群!$A:$A,COUNTA(生物种群!$A:$A)),),))</f>
        <v/>
      </c>
      <c r="J450" s="55" t="str">
        <f>IF(H450="","",INDEX(生物种群!$I$3:INDEX(生物种群!$I:$I,COUNTA(生物种群!$I:$I)),MATCH($H450,生物种群!$A$3:INDEX(生物种群!$A:$A,COUNTA(生物种群!$A:$A)),),))</f>
        <v/>
      </c>
      <c r="K450" s="55" t="str">
        <f>IF(H450="","",INDEX(生物种群!$E$3:INDEX(生物种群!$E:$E,COUNTA(生物种群!$E:$E)),MATCH($H450,生物种群!$A$3:INDEX(生物种群!$A:$A,COUNTA(生物种群!$A:$A)),),))</f>
        <v/>
      </c>
      <c r="L450" s="46" t="str">
        <f t="shared" si="24"/>
        <v/>
      </c>
      <c r="M450" s="47" t="str">
        <f>IF(L450="","",ROUND((L450)/VLOOKUP($F450,IF({1,0},站位样品信息!$A$3:INDEX(站位样品信息!$A:$A,COUNTA(站位样品信息!$A:$A)+1),站位样品信息!$H$3:INDEX(站位样品信息!$H:$H,COUNTA(站位样品信息!$H:$H)+1)),2,0),2))</f>
        <v/>
      </c>
      <c r="O450" s="49"/>
      <c r="P450" s="53" t="str">
        <f t="shared" si="22"/>
        <v/>
      </c>
      <c r="Q450" s="53" t="str">
        <f t="shared" si="23"/>
        <v/>
      </c>
    </row>
    <row r="451" spans="1:17" ht="19.5" customHeight="1">
      <c r="A451" s="38"/>
      <c r="B451" s="38"/>
      <c r="C451" s="38"/>
      <c r="D451" s="37"/>
      <c r="E451" s="37"/>
      <c r="F451" s="37"/>
      <c r="G451" s="37" t="str">
        <f>IF(F451="","",INDEX(站位样品信息!$B$3:INDEX(站位样品信息!$B:$B,COUNTA(站位样品信息!$B:$B)+1),MATCH($F451,站位样品信息!$A$3:INDEX(站位样品信息!$A:$A,COUNTA(站位样品信息!$A:$A)+1),),))</f>
        <v/>
      </c>
      <c r="H451" s="55" t="str">
        <f>IF(OR(A451&lt;&gt;"",B451&lt;&gt;"",C451&lt;&gt;""),IF($C451&lt;&gt;0,INDEX(生物种群!$A$3:INDEX(生物种群!$A:$A,COUNTA(生物种群!$A:$A)),MATCH($C451,生物种群!$F$3:INDEX(生物种群!$F:$F,COUNTA(生物种群!$F:$F)),),),IF($A451&lt;&gt;0,INDEX(生物种群!$A$3:INDEX(生物种群!$A:$A,COUNTA(生物种群!$A:$A)),MATCH($A451,生物种群!$C$3:INDEX(生物种群!$C:$C,COUNTA(生物种群!$C:$C)),),),INDEX(生物种群!$A$3:INDEX(生物种群!$A:$A,COUNTA(生物种群!$A:$A)),MATCH($B451,生物种群!$D$3:INDEX(生物种群!$D:$D,COUNTA(生物种群!$D:$D)),),))),"")</f>
        <v/>
      </c>
      <c r="I451" s="56" t="str">
        <f>IF(H451="","",INDEX(生物种群!$B$3:INDEX(生物种群!$B:$B,COUNTA(生物种群!$B:$B)),MATCH($H451,生物种群!$A$3:INDEX(生物种群!$A:$A,COUNTA(生物种群!$A:$A)),),))</f>
        <v/>
      </c>
      <c r="J451" s="55" t="str">
        <f>IF(H451="","",INDEX(生物种群!$I$3:INDEX(生物种群!$I:$I,COUNTA(生物种群!$I:$I)),MATCH($H451,生物种群!$A$3:INDEX(生物种群!$A:$A,COUNTA(生物种群!$A:$A)),),))</f>
        <v/>
      </c>
      <c r="K451" s="55" t="str">
        <f>IF(H451="","",INDEX(生物种群!$E$3:INDEX(生物种群!$E:$E,COUNTA(生物种群!$E:$E)),MATCH($H451,生物种群!$A$3:INDEX(生物种群!$A:$A,COUNTA(生物种群!$A:$A)),),))</f>
        <v/>
      </c>
      <c r="L451" s="46" t="str">
        <f t="shared" si="24"/>
        <v/>
      </c>
      <c r="M451" s="47" t="str">
        <f>IF(L451="","",ROUND((L451)/VLOOKUP($F451,IF({1,0},站位样品信息!$A$3:INDEX(站位样品信息!$A:$A,COUNTA(站位样品信息!$A:$A)+1),站位样品信息!$H$3:INDEX(站位样品信息!$H:$H,COUNTA(站位样品信息!$H:$H)+1)),2,0),2))</f>
        <v/>
      </c>
      <c r="O451" s="49"/>
      <c r="P451" s="53" t="str">
        <f t="shared" si="25" ref="P451:P514">IF(F451&gt;0,F451&amp;I451,"")</f>
        <v/>
      </c>
      <c r="Q451" s="53" t="str">
        <f t="shared" si="26" ref="Q451:Q514">IF(COUNTIF($P:$P,P451)=1,"",IF(A451&amp;B451&amp;C451="","","重复"))</f>
        <v/>
      </c>
    </row>
    <row r="452" spans="1:17" ht="19.5" customHeight="1">
      <c r="A452" s="38"/>
      <c r="B452" s="38"/>
      <c r="C452" s="38"/>
      <c r="D452" s="37"/>
      <c r="E452" s="37"/>
      <c r="F452" s="37"/>
      <c r="G452" s="37" t="str">
        <f>IF(F452="","",INDEX(站位样品信息!$B$3:INDEX(站位样品信息!$B:$B,COUNTA(站位样品信息!$B:$B)+1),MATCH($F452,站位样品信息!$A$3:INDEX(站位样品信息!$A:$A,COUNTA(站位样品信息!$A:$A)+1),),))</f>
        <v/>
      </c>
      <c r="H452" s="55" t="str">
        <f>IF(OR(A452&lt;&gt;"",B452&lt;&gt;"",C452&lt;&gt;""),IF($C452&lt;&gt;0,INDEX(生物种群!$A$3:INDEX(生物种群!$A:$A,COUNTA(生物种群!$A:$A)),MATCH($C452,生物种群!$F$3:INDEX(生物种群!$F:$F,COUNTA(生物种群!$F:$F)),),),IF($A452&lt;&gt;0,INDEX(生物种群!$A$3:INDEX(生物种群!$A:$A,COUNTA(生物种群!$A:$A)),MATCH($A452,生物种群!$C$3:INDEX(生物种群!$C:$C,COUNTA(生物种群!$C:$C)),),),INDEX(生物种群!$A$3:INDEX(生物种群!$A:$A,COUNTA(生物种群!$A:$A)),MATCH($B452,生物种群!$D$3:INDEX(生物种群!$D:$D,COUNTA(生物种群!$D:$D)),),))),"")</f>
        <v/>
      </c>
      <c r="I452" s="56" t="str">
        <f>IF(H452="","",INDEX(生物种群!$B$3:INDEX(生物种群!$B:$B,COUNTA(生物种群!$B:$B)),MATCH($H452,生物种群!$A$3:INDEX(生物种群!$A:$A,COUNTA(生物种群!$A:$A)),),))</f>
        <v/>
      </c>
      <c r="J452" s="55" t="str">
        <f>IF(H452="","",INDEX(生物种群!$I$3:INDEX(生物种群!$I:$I,COUNTA(生物种群!$I:$I)),MATCH($H452,生物种群!$A$3:INDEX(生物种群!$A:$A,COUNTA(生物种群!$A:$A)),),))</f>
        <v/>
      </c>
      <c r="K452" s="55" t="str">
        <f>IF(H452="","",INDEX(生物种群!$E$3:INDEX(生物种群!$E:$E,COUNTA(生物种群!$E:$E)),MATCH($H452,生物种群!$A$3:INDEX(生物种群!$A:$A,COUNTA(生物种群!$A:$A)),),))</f>
        <v/>
      </c>
      <c r="L452" s="46" t="str">
        <f t="shared" si="24"/>
        <v/>
      </c>
      <c r="M452" s="47" t="str">
        <f>IF(L452="","",ROUND((L452)/VLOOKUP($F452,IF({1,0},站位样品信息!$A$3:INDEX(站位样品信息!$A:$A,COUNTA(站位样品信息!$A:$A)+1),站位样品信息!$H$3:INDEX(站位样品信息!$H:$H,COUNTA(站位样品信息!$H:$H)+1)),2,0),2))</f>
        <v/>
      </c>
      <c r="O452" s="49"/>
      <c r="P452" s="53" t="str">
        <f t="shared" si="25"/>
        <v/>
      </c>
      <c r="Q452" s="53" t="str">
        <f t="shared" si="26"/>
        <v/>
      </c>
    </row>
    <row r="453" spans="1:17" ht="19.5" customHeight="1">
      <c r="A453" s="38"/>
      <c r="B453" s="38"/>
      <c r="C453" s="38"/>
      <c r="D453" s="37"/>
      <c r="E453" s="37"/>
      <c r="F453" s="37"/>
      <c r="G453" s="37" t="str">
        <f>IF(F453="","",INDEX(站位样品信息!$B$3:INDEX(站位样品信息!$B:$B,COUNTA(站位样品信息!$B:$B)+1),MATCH($F453,站位样品信息!$A$3:INDEX(站位样品信息!$A:$A,COUNTA(站位样品信息!$A:$A)+1),),))</f>
        <v/>
      </c>
      <c r="H453" s="55" t="str">
        <f>IF(OR(A453&lt;&gt;"",B453&lt;&gt;"",C453&lt;&gt;""),IF($C453&lt;&gt;0,INDEX(生物种群!$A$3:INDEX(生物种群!$A:$A,COUNTA(生物种群!$A:$A)),MATCH($C453,生物种群!$F$3:INDEX(生物种群!$F:$F,COUNTA(生物种群!$F:$F)),),),IF($A453&lt;&gt;0,INDEX(生物种群!$A$3:INDEX(生物种群!$A:$A,COUNTA(生物种群!$A:$A)),MATCH($A453,生物种群!$C$3:INDEX(生物种群!$C:$C,COUNTA(生物种群!$C:$C)),),),INDEX(生物种群!$A$3:INDEX(生物种群!$A:$A,COUNTA(生物种群!$A:$A)),MATCH($B453,生物种群!$D$3:INDEX(生物种群!$D:$D,COUNTA(生物种群!$D:$D)),),))),"")</f>
        <v/>
      </c>
      <c r="I453" s="56" t="str">
        <f>IF(H453="","",INDEX(生物种群!$B$3:INDEX(生物种群!$B:$B,COUNTA(生物种群!$B:$B)),MATCH($H453,生物种群!$A$3:INDEX(生物种群!$A:$A,COUNTA(生物种群!$A:$A)),),))</f>
        <v/>
      </c>
      <c r="J453" s="55" t="str">
        <f>IF(H453="","",INDEX(生物种群!$I$3:INDEX(生物种群!$I:$I,COUNTA(生物种群!$I:$I)),MATCH($H453,生物种群!$A$3:INDEX(生物种群!$A:$A,COUNTA(生物种群!$A:$A)),),))</f>
        <v/>
      </c>
      <c r="K453" s="55" t="str">
        <f>IF(H453="","",INDEX(生物种群!$E$3:INDEX(生物种群!$E:$E,COUNTA(生物种群!$E:$E)),MATCH($H453,生物种群!$A$3:INDEX(生物种群!$A:$A,COUNTA(生物种群!$A:$A)),),))</f>
        <v/>
      </c>
      <c r="L453" s="46" t="str">
        <f t="shared" si="24"/>
        <v/>
      </c>
      <c r="M453" s="47" t="str">
        <f>IF(L453="","",ROUND((L453)/VLOOKUP($F453,IF({1,0},站位样品信息!$A$3:INDEX(站位样品信息!$A:$A,COUNTA(站位样品信息!$A:$A)+1),站位样品信息!$H$3:INDEX(站位样品信息!$H:$H,COUNTA(站位样品信息!$H:$H)+1)),2,0),2))</f>
        <v/>
      </c>
      <c r="O453" s="49"/>
      <c r="P453" s="53" t="str">
        <f t="shared" si="25"/>
        <v/>
      </c>
      <c r="Q453" s="53" t="str">
        <f t="shared" si="26"/>
        <v/>
      </c>
    </row>
    <row r="454" spans="1:17" ht="19.5" customHeight="1">
      <c r="A454" s="38"/>
      <c r="B454" s="38"/>
      <c r="C454" s="38"/>
      <c r="D454" s="37"/>
      <c r="E454" s="37"/>
      <c r="F454" s="37"/>
      <c r="G454" s="37" t="str">
        <f>IF(F454="","",INDEX(站位样品信息!$B$3:INDEX(站位样品信息!$B:$B,COUNTA(站位样品信息!$B:$B)+1),MATCH($F454,站位样品信息!$A$3:INDEX(站位样品信息!$A:$A,COUNTA(站位样品信息!$A:$A)+1),),))</f>
        <v/>
      </c>
      <c r="H454" s="55" t="str">
        <f>IF(OR(A454&lt;&gt;"",B454&lt;&gt;"",C454&lt;&gt;""),IF($C454&lt;&gt;0,INDEX(生物种群!$A$3:INDEX(生物种群!$A:$A,COUNTA(生物种群!$A:$A)),MATCH($C454,生物种群!$F$3:INDEX(生物种群!$F:$F,COUNTA(生物种群!$F:$F)),),),IF($A454&lt;&gt;0,INDEX(生物种群!$A$3:INDEX(生物种群!$A:$A,COUNTA(生物种群!$A:$A)),MATCH($A454,生物种群!$C$3:INDEX(生物种群!$C:$C,COUNTA(生物种群!$C:$C)),),),INDEX(生物种群!$A$3:INDEX(生物种群!$A:$A,COUNTA(生物种群!$A:$A)),MATCH($B454,生物种群!$D$3:INDEX(生物种群!$D:$D,COUNTA(生物种群!$D:$D)),),))),"")</f>
        <v/>
      </c>
      <c r="I454" s="56" t="str">
        <f>IF(H454="","",INDEX(生物种群!$B$3:INDEX(生物种群!$B:$B,COUNTA(生物种群!$B:$B)),MATCH($H454,生物种群!$A$3:INDEX(生物种群!$A:$A,COUNTA(生物种群!$A:$A)),),))</f>
        <v/>
      </c>
      <c r="J454" s="55" t="str">
        <f>IF(H454="","",INDEX(生物种群!$I$3:INDEX(生物种群!$I:$I,COUNTA(生物种群!$I:$I)),MATCH($H454,生物种群!$A$3:INDEX(生物种群!$A:$A,COUNTA(生物种群!$A:$A)),),))</f>
        <v/>
      </c>
      <c r="K454" s="55" t="str">
        <f>IF(H454="","",INDEX(生物种群!$E$3:INDEX(生物种群!$E:$E,COUNTA(生物种群!$E:$E)),MATCH($H454,生物种群!$A$3:INDEX(生物种群!$A:$A,COUNTA(生物种群!$A:$A)),),))</f>
        <v/>
      </c>
      <c r="L454" s="46" t="str">
        <f t="shared" si="24"/>
        <v/>
      </c>
      <c r="M454" s="47" t="str">
        <f>IF(L454="","",ROUND((L454)/VLOOKUP($F454,IF({1,0},站位样品信息!$A$3:INDEX(站位样品信息!$A:$A,COUNTA(站位样品信息!$A:$A)+1),站位样品信息!$H$3:INDEX(站位样品信息!$H:$H,COUNTA(站位样品信息!$H:$H)+1)),2,0),2))</f>
        <v/>
      </c>
      <c r="O454" s="49"/>
      <c r="P454" s="53" t="str">
        <f t="shared" si="25"/>
        <v/>
      </c>
      <c r="Q454" s="53" t="str">
        <f t="shared" si="26"/>
        <v/>
      </c>
    </row>
    <row r="455" spans="1:17" ht="19.5" customHeight="1">
      <c r="A455" s="38"/>
      <c r="B455" s="38"/>
      <c r="C455" s="38"/>
      <c r="D455" s="37"/>
      <c r="E455" s="37"/>
      <c r="F455" s="37"/>
      <c r="G455" s="37" t="str">
        <f>IF(F455="","",INDEX(站位样品信息!$B$3:INDEX(站位样品信息!$B:$B,COUNTA(站位样品信息!$B:$B)+1),MATCH($F455,站位样品信息!$A$3:INDEX(站位样品信息!$A:$A,COUNTA(站位样品信息!$A:$A)+1),),))</f>
        <v/>
      </c>
      <c r="H455" s="55" t="str">
        <f>IF(OR(A455&lt;&gt;"",B455&lt;&gt;"",C455&lt;&gt;""),IF($C455&lt;&gt;0,INDEX(生物种群!$A$3:INDEX(生物种群!$A:$A,COUNTA(生物种群!$A:$A)),MATCH($C455,生物种群!$F$3:INDEX(生物种群!$F:$F,COUNTA(生物种群!$F:$F)),),),IF($A455&lt;&gt;0,INDEX(生物种群!$A$3:INDEX(生物种群!$A:$A,COUNTA(生物种群!$A:$A)),MATCH($A455,生物种群!$C$3:INDEX(生物种群!$C:$C,COUNTA(生物种群!$C:$C)),),),INDEX(生物种群!$A$3:INDEX(生物种群!$A:$A,COUNTA(生物种群!$A:$A)),MATCH($B455,生物种群!$D$3:INDEX(生物种群!$D:$D,COUNTA(生物种群!$D:$D)),),))),"")</f>
        <v/>
      </c>
      <c r="I455" s="56" t="str">
        <f>IF(H455="","",INDEX(生物种群!$B$3:INDEX(生物种群!$B:$B,COUNTA(生物种群!$B:$B)),MATCH($H455,生物种群!$A$3:INDEX(生物种群!$A:$A,COUNTA(生物种群!$A:$A)),),))</f>
        <v/>
      </c>
      <c r="J455" s="55" t="str">
        <f>IF(H455="","",INDEX(生物种群!$I$3:INDEX(生物种群!$I:$I,COUNTA(生物种群!$I:$I)),MATCH($H455,生物种群!$A$3:INDEX(生物种群!$A:$A,COUNTA(生物种群!$A:$A)),),))</f>
        <v/>
      </c>
      <c r="K455" s="55" t="str">
        <f>IF(H455="","",INDEX(生物种群!$E$3:INDEX(生物种群!$E:$E,COUNTA(生物种群!$E:$E)),MATCH($H455,生物种群!$A$3:INDEX(生物种群!$A:$A,COUNTA(生物种群!$A:$A)),),))</f>
        <v/>
      </c>
      <c r="L455" s="46" t="str">
        <f t="shared" si="24"/>
        <v/>
      </c>
      <c r="M455" s="47" t="str">
        <f>IF(L455="","",ROUND((L455)/VLOOKUP($F455,IF({1,0},站位样品信息!$A$3:INDEX(站位样品信息!$A:$A,COUNTA(站位样品信息!$A:$A)+1),站位样品信息!$H$3:INDEX(站位样品信息!$H:$H,COUNTA(站位样品信息!$H:$H)+1)),2,0),2))</f>
        <v/>
      </c>
      <c r="O455" s="49"/>
      <c r="P455" s="53" t="str">
        <f t="shared" si="25"/>
        <v/>
      </c>
      <c r="Q455" s="53" t="str">
        <f t="shared" si="26"/>
        <v/>
      </c>
    </row>
    <row r="456" spans="1:17" ht="19.5" customHeight="1">
      <c r="A456" s="38"/>
      <c r="B456" s="38"/>
      <c r="C456" s="38"/>
      <c r="D456" s="37"/>
      <c r="E456" s="37"/>
      <c r="F456" s="37"/>
      <c r="G456" s="37" t="str">
        <f>IF(F456="","",INDEX(站位样品信息!$B$3:INDEX(站位样品信息!$B:$B,COUNTA(站位样品信息!$B:$B)+1),MATCH($F456,站位样品信息!$A$3:INDEX(站位样品信息!$A:$A,COUNTA(站位样品信息!$A:$A)+1),),))</f>
        <v/>
      </c>
      <c r="H456" s="55" t="str">
        <f>IF(OR(A456&lt;&gt;"",B456&lt;&gt;"",C456&lt;&gt;""),IF($C456&lt;&gt;0,INDEX(生物种群!$A$3:INDEX(生物种群!$A:$A,COUNTA(生物种群!$A:$A)),MATCH($C456,生物种群!$F$3:INDEX(生物种群!$F:$F,COUNTA(生物种群!$F:$F)),),),IF($A456&lt;&gt;0,INDEX(生物种群!$A$3:INDEX(生物种群!$A:$A,COUNTA(生物种群!$A:$A)),MATCH($A456,生物种群!$C$3:INDEX(生物种群!$C:$C,COUNTA(生物种群!$C:$C)),),),INDEX(生物种群!$A$3:INDEX(生物种群!$A:$A,COUNTA(生物种群!$A:$A)),MATCH($B456,生物种群!$D$3:INDEX(生物种群!$D:$D,COUNTA(生物种群!$D:$D)),),))),"")</f>
        <v/>
      </c>
      <c r="I456" s="56" t="str">
        <f>IF(H456="","",INDEX(生物种群!$B$3:INDEX(生物种群!$B:$B,COUNTA(生物种群!$B:$B)),MATCH($H456,生物种群!$A$3:INDEX(生物种群!$A:$A,COUNTA(生物种群!$A:$A)),),))</f>
        <v/>
      </c>
      <c r="J456" s="55" t="str">
        <f>IF(H456="","",INDEX(生物种群!$I$3:INDEX(生物种群!$I:$I,COUNTA(生物种群!$I:$I)),MATCH($H456,生物种群!$A$3:INDEX(生物种群!$A:$A,COUNTA(生物种群!$A:$A)),),))</f>
        <v/>
      </c>
      <c r="K456" s="55" t="str">
        <f>IF(H456="","",INDEX(生物种群!$E$3:INDEX(生物种群!$E:$E,COUNTA(生物种群!$E:$E)),MATCH($H456,生物种群!$A$3:INDEX(生物种群!$A:$A,COUNTA(生物种群!$A:$A)),),))</f>
        <v/>
      </c>
      <c r="L456" s="46" t="str">
        <f t="shared" si="24"/>
        <v/>
      </c>
      <c r="M456" s="47" t="str">
        <f>IF(L456="","",ROUND((L456)/VLOOKUP($F456,IF({1,0},站位样品信息!$A$3:INDEX(站位样品信息!$A:$A,COUNTA(站位样品信息!$A:$A)+1),站位样品信息!$H$3:INDEX(站位样品信息!$H:$H,COUNTA(站位样品信息!$H:$H)+1)),2,0),2))</f>
        <v/>
      </c>
      <c r="O456" s="49"/>
      <c r="P456" s="53" t="str">
        <f t="shared" si="25"/>
        <v/>
      </c>
      <c r="Q456" s="53" t="str">
        <f t="shared" si="26"/>
        <v/>
      </c>
    </row>
    <row r="457" spans="1:17" ht="19.5" customHeight="1">
      <c r="A457" s="38"/>
      <c r="B457" s="38"/>
      <c r="C457" s="38"/>
      <c r="D457" s="37"/>
      <c r="E457" s="37"/>
      <c r="F457" s="37"/>
      <c r="G457" s="37" t="str">
        <f>IF(F457="","",INDEX(站位样品信息!$B$3:INDEX(站位样品信息!$B:$B,COUNTA(站位样品信息!$B:$B)+1),MATCH($F457,站位样品信息!$A$3:INDEX(站位样品信息!$A:$A,COUNTA(站位样品信息!$A:$A)+1),),))</f>
        <v/>
      </c>
      <c r="H457" s="55" t="str">
        <f>IF(OR(A457&lt;&gt;"",B457&lt;&gt;"",C457&lt;&gt;""),IF($C457&lt;&gt;0,INDEX(生物种群!$A$3:INDEX(生物种群!$A:$A,COUNTA(生物种群!$A:$A)),MATCH($C457,生物种群!$F$3:INDEX(生物种群!$F:$F,COUNTA(生物种群!$F:$F)),),),IF($A457&lt;&gt;0,INDEX(生物种群!$A$3:INDEX(生物种群!$A:$A,COUNTA(生物种群!$A:$A)),MATCH($A457,生物种群!$C$3:INDEX(生物种群!$C:$C,COUNTA(生物种群!$C:$C)),),),INDEX(生物种群!$A$3:INDEX(生物种群!$A:$A,COUNTA(生物种群!$A:$A)),MATCH($B457,生物种群!$D$3:INDEX(生物种群!$D:$D,COUNTA(生物种群!$D:$D)),),))),"")</f>
        <v/>
      </c>
      <c r="I457" s="56" t="str">
        <f>IF(H457="","",INDEX(生物种群!$B$3:INDEX(生物种群!$B:$B,COUNTA(生物种群!$B:$B)),MATCH($H457,生物种群!$A$3:INDEX(生物种群!$A:$A,COUNTA(生物种群!$A:$A)),),))</f>
        <v/>
      </c>
      <c r="J457" s="55" t="str">
        <f>IF(H457="","",INDEX(生物种群!$I$3:INDEX(生物种群!$I:$I,COUNTA(生物种群!$I:$I)),MATCH($H457,生物种群!$A$3:INDEX(生物种群!$A:$A,COUNTA(生物种群!$A:$A)),),))</f>
        <v/>
      </c>
      <c r="K457" s="55" t="str">
        <f>IF(H457="","",INDEX(生物种群!$E$3:INDEX(生物种群!$E:$E,COUNTA(生物种群!$E:$E)),MATCH($H457,生物种群!$A$3:INDEX(生物种群!$A:$A,COUNTA(生物种群!$A:$A)),),))</f>
        <v/>
      </c>
      <c r="L457" s="46" t="str">
        <f t="shared" si="24"/>
        <v/>
      </c>
      <c r="M457" s="47" t="str">
        <f>IF(L457="","",ROUND((L457)/VLOOKUP($F457,IF({1,0},站位样品信息!$A$3:INDEX(站位样品信息!$A:$A,COUNTA(站位样品信息!$A:$A)+1),站位样品信息!$H$3:INDEX(站位样品信息!$H:$H,COUNTA(站位样品信息!$H:$H)+1)),2,0),2))</f>
        <v/>
      </c>
      <c r="O457" s="49"/>
      <c r="P457" s="53" t="str">
        <f t="shared" si="25"/>
        <v/>
      </c>
      <c r="Q457" s="53" t="str">
        <f t="shared" si="26"/>
        <v/>
      </c>
    </row>
    <row r="458" spans="1:17" ht="19.5" customHeight="1">
      <c r="A458" s="38"/>
      <c r="B458" s="38"/>
      <c r="C458" s="38"/>
      <c r="D458" s="37"/>
      <c r="E458" s="37"/>
      <c r="F458" s="37"/>
      <c r="G458" s="37" t="str">
        <f>IF(F458="","",INDEX(站位样品信息!$B$3:INDEX(站位样品信息!$B:$B,COUNTA(站位样品信息!$B:$B)+1),MATCH($F458,站位样品信息!$A$3:INDEX(站位样品信息!$A:$A,COUNTA(站位样品信息!$A:$A)+1),),))</f>
        <v/>
      </c>
      <c r="H458" s="55" t="str">
        <f>IF(OR(A458&lt;&gt;"",B458&lt;&gt;"",C458&lt;&gt;""),IF($C458&lt;&gt;0,INDEX(生物种群!$A$3:INDEX(生物种群!$A:$A,COUNTA(生物种群!$A:$A)),MATCH($C458,生物种群!$F$3:INDEX(生物种群!$F:$F,COUNTA(生物种群!$F:$F)),),),IF($A458&lt;&gt;0,INDEX(生物种群!$A$3:INDEX(生物种群!$A:$A,COUNTA(生物种群!$A:$A)),MATCH($A458,生物种群!$C$3:INDEX(生物种群!$C:$C,COUNTA(生物种群!$C:$C)),),),INDEX(生物种群!$A$3:INDEX(生物种群!$A:$A,COUNTA(生物种群!$A:$A)),MATCH($B458,生物种群!$D$3:INDEX(生物种群!$D:$D,COUNTA(生物种群!$D:$D)),),))),"")</f>
        <v/>
      </c>
      <c r="I458" s="56" t="str">
        <f>IF(H458="","",INDEX(生物种群!$B$3:INDEX(生物种群!$B:$B,COUNTA(生物种群!$B:$B)),MATCH($H458,生物种群!$A$3:INDEX(生物种群!$A:$A,COUNTA(生物种群!$A:$A)),),))</f>
        <v/>
      </c>
      <c r="J458" s="55" t="str">
        <f>IF(H458="","",INDEX(生物种群!$I$3:INDEX(生物种群!$I:$I,COUNTA(生物种群!$I:$I)),MATCH($H458,生物种群!$A$3:INDEX(生物种群!$A:$A,COUNTA(生物种群!$A:$A)),),))</f>
        <v/>
      </c>
      <c r="K458" s="55" t="str">
        <f>IF(H458="","",INDEX(生物种群!$E$3:INDEX(生物种群!$E:$E,COUNTA(生物种群!$E:$E)),MATCH($H458,生物种群!$A$3:INDEX(生物种群!$A:$A,COUNTA(生物种群!$A:$A)),),))</f>
        <v/>
      </c>
      <c r="L458" s="46" t="str">
        <f t="shared" si="24"/>
        <v/>
      </c>
      <c r="M458" s="47" t="str">
        <f>IF(L458="","",ROUND((L458)/VLOOKUP($F458,IF({1,0},站位样品信息!$A$3:INDEX(站位样品信息!$A:$A,COUNTA(站位样品信息!$A:$A)+1),站位样品信息!$H$3:INDEX(站位样品信息!$H:$H,COUNTA(站位样品信息!$H:$H)+1)),2,0),2))</f>
        <v/>
      </c>
      <c r="O458" s="49"/>
      <c r="P458" s="53" t="str">
        <f t="shared" si="25"/>
        <v/>
      </c>
      <c r="Q458" s="53" t="str">
        <f t="shared" si="26"/>
        <v/>
      </c>
    </row>
    <row r="459" spans="1:17" ht="19.5" customHeight="1">
      <c r="A459" s="38"/>
      <c r="B459" s="38"/>
      <c r="C459" s="38"/>
      <c r="D459" s="37"/>
      <c r="E459" s="37"/>
      <c r="F459" s="37"/>
      <c r="G459" s="37" t="str">
        <f>IF(F459="","",INDEX(站位样品信息!$B$3:INDEX(站位样品信息!$B:$B,COUNTA(站位样品信息!$B:$B)+1),MATCH($F459,站位样品信息!$A$3:INDEX(站位样品信息!$A:$A,COUNTA(站位样品信息!$A:$A)+1),),))</f>
        <v/>
      </c>
      <c r="H459" s="55" t="str">
        <f>IF(OR(A459&lt;&gt;"",B459&lt;&gt;"",C459&lt;&gt;""),IF($C459&lt;&gt;0,INDEX(生物种群!$A$3:INDEX(生物种群!$A:$A,COUNTA(生物种群!$A:$A)),MATCH($C459,生物种群!$F$3:INDEX(生物种群!$F:$F,COUNTA(生物种群!$F:$F)),),),IF($A459&lt;&gt;0,INDEX(生物种群!$A$3:INDEX(生物种群!$A:$A,COUNTA(生物种群!$A:$A)),MATCH($A459,生物种群!$C$3:INDEX(生物种群!$C:$C,COUNTA(生物种群!$C:$C)),),),INDEX(生物种群!$A$3:INDEX(生物种群!$A:$A,COUNTA(生物种群!$A:$A)),MATCH($B459,生物种群!$D$3:INDEX(生物种群!$D:$D,COUNTA(生物种群!$D:$D)),),))),"")</f>
        <v/>
      </c>
      <c r="I459" s="56" t="str">
        <f>IF(H459="","",INDEX(生物种群!$B$3:INDEX(生物种群!$B:$B,COUNTA(生物种群!$B:$B)),MATCH($H459,生物种群!$A$3:INDEX(生物种群!$A:$A,COUNTA(生物种群!$A:$A)),),))</f>
        <v/>
      </c>
      <c r="J459" s="55" t="str">
        <f>IF(H459="","",INDEX(生物种群!$I$3:INDEX(生物种群!$I:$I,COUNTA(生物种群!$I:$I)),MATCH($H459,生物种群!$A$3:INDEX(生物种群!$A:$A,COUNTA(生物种群!$A:$A)),),))</f>
        <v/>
      </c>
      <c r="K459" s="55" t="str">
        <f>IF(H459="","",INDEX(生物种群!$E$3:INDEX(生物种群!$E:$E,COUNTA(生物种群!$E:$E)),MATCH($H459,生物种群!$A$3:INDEX(生物种群!$A:$A,COUNTA(生物种群!$A:$A)),),))</f>
        <v/>
      </c>
      <c r="L459" s="46" t="str">
        <f t="shared" si="24"/>
        <v/>
      </c>
      <c r="M459" s="47" t="str">
        <f>IF(L459="","",ROUND((L459)/VLOOKUP($F459,IF({1,0},站位样品信息!$A$3:INDEX(站位样品信息!$A:$A,COUNTA(站位样品信息!$A:$A)+1),站位样品信息!$H$3:INDEX(站位样品信息!$H:$H,COUNTA(站位样品信息!$H:$H)+1)),2,0),2))</f>
        <v/>
      </c>
      <c r="O459" s="49"/>
      <c r="P459" s="53" t="str">
        <f t="shared" si="25"/>
        <v/>
      </c>
      <c r="Q459" s="53" t="str">
        <f t="shared" si="26"/>
        <v/>
      </c>
    </row>
    <row r="460" spans="1:17" ht="19.5" customHeight="1">
      <c r="A460" s="38"/>
      <c r="B460" s="38"/>
      <c r="C460" s="38"/>
      <c r="D460" s="37"/>
      <c r="E460" s="37"/>
      <c r="F460" s="37"/>
      <c r="G460" s="37" t="str">
        <f>IF(F460="","",INDEX(站位样品信息!$B$3:INDEX(站位样品信息!$B:$B,COUNTA(站位样品信息!$B:$B)+1),MATCH($F460,站位样品信息!$A$3:INDEX(站位样品信息!$A:$A,COUNTA(站位样品信息!$A:$A)+1),),))</f>
        <v/>
      </c>
      <c r="H460" s="55" t="str">
        <f>IF(OR(A460&lt;&gt;"",B460&lt;&gt;"",C460&lt;&gt;""),IF($C460&lt;&gt;0,INDEX(生物种群!$A$3:INDEX(生物种群!$A:$A,COUNTA(生物种群!$A:$A)),MATCH($C460,生物种群!$F$3:INDEX(生物种群!$F:$F,COUNTA(生物种群!$F:$F)),),),IF($A460&lt;&gt;0,INDEX(生物种群!$A$3:INDEX(生物种群!$A:$A,COUNTA(生物种群!$A:$A)),MATCH($A460,生物种群!$C$3:INDEX(生物种群!$C:$C,COUNTA(生物种群!$C:$C)),),),INDEX(生物种群!$A$3:INDEX(生物种群!$A:$A,COUNTA(生物种群!$A:$A)),MATCH($B460,生物种群!$D$3:INDEX(生物种群!$D:$D,COUNTA(生物种群!$D:$D)),),))),"")</f>
        <v/>
      </c>
      <c r="I460" s="56" t="str">
        <f>IF(H460="","",INDEX(生物种群!$B$3:INDEX(生物种群!$B:$B,COUNTA(生物种群!$B:$B)),MATCH($H460,生物种群!$A$3:INDEX(生物种群!$A:$A,COUNTA(生物种群!$A:$A)),),))</f>
        <v/>
      </c>
      <c r="J460" s="55" t="str">
        <f>IF(H460="","",INDEX(生物种群!$I$3:INDEX(生物种群!$I:$I,COUNTA(生物种群!$I:$I)),MATCH($H460,生物种群!$A$3:INDEX(生物种群!$A:$A,COUNTA(生物种群!$A:$A)),),))</f>
        <v/>
      </c>
      <c r="K460" s="55" t="str">
        <f>IF(H460="","",INDEX(生物种群!$E$3:INDEX(生物种群!$E:$E,COUNTA(生物种群!$E:$E)),MATCH($H460,生物种群!$A$3:INDEX(生物种群!$A:$A,COUNTA(生物种群!$A:$A)),),))</f>
        <v/>
      </c>
      <c r="L460" s="46" t="str">
        <f t="shared" si="24"/>
        <v/>
      </c>
      <c r="M460" s="47" t="str">
        <f>IF(L460="","",ROUND((L460)/VLOOKUP($F460,IF({1,0},站位样品信息!$A$3:INDEX(站位样品信息!$A:$A,COUNTA(站位样品信息!$A:$A)+1),站位样品信息!$H$3:INDEX(站位样品信息!$H:$H,COUNTA(站位样品信息!$H:$H)+1)),2,0),2))</f>
        <v/>
      </c>
      <c r="O460" s="49"/>
      <c r="P460" s="53" t="str">
        <f t="shared" si="25"/>
        <v/>
      </c>
      <c r="Q460" s="53" t="str">
        <f t="shared" si="26"/>
        <v/>
      </c>
    </row>
    <row r="461" spans="1:17" ht="19.5" customHeight="1">
      <c r="A461" s="38"/>
      <c r="B461" s="38"/>
      <c r="C461" s="38"/>
      <c r="D461" s="37"/>
      <c r="E461" s="37"/>
      <c r="F461" s="37"/>
      <c r="G461" s="37" t="str">
        <f>IF(F461="","",INDEX(站位样品信息!$B$3:INDEX(站位样品信息!$B:$B,COUNTA(站位样品信息!$B:$B)+1),MATCH($F461,站位样品信息!$A$3:INDEX(站位样品信息!$A:$A,COUNTA(站位样品信息!$A:$A)+1),),))</f>
        <v/>
      </c>
      <c r="H461" s="55" t="str">
        <f>IF(OR(A461&lt;&gt;"",B461&lt;&gt;"",C461&lt;&gt;""),IF($C461&lt;&gt;0,INDEX(生物种群!$A$3:INDEX(生物种群!$A:$A,COUNTA(生物种群!$A:$A)),MATCH($C461,生物种群!$F$3:INDEX(生物种群!$F:$F,COUNTA(生物种群!$F:$F)),),),IF($A461&lt;&gt;0,INDEX(生物种群!$A$3:INDEX(生物种群!$A:$A,COUNTA(生物种群!$A:$A)),MATCH($A461,生物种群!$C$3:INDEX(生物种群!$C:$C,COUNTA(生物种群!$C:$C)),),),INDEX(生物种群!$A$3:INDEX(生物种群!$A:$A,COUNTA(生物种群!$A:$A)),MATCH($B461,生物种群!$D$3:INDEX(生物种群!$D:$D,COUNTA(生物种群!$D:$D)),),))),"")</f>
        <v/>
      </c>
      <c r="I461" s="56" t="str">
        <f>IF(H461="","",INDEX(生物种群!$B$3:INDEX(生物种群!$B:$B,COUNTA(生物种群!$B:$B)),MATCH($H461,生物种群!$A$3:INDEX(生物种群!$A:$A,COUNTA(生物种群!$A:$A)),),))</f>
        <v/>
      </c>
      <c r="J461" s="55" t="str">
        <f>IF(H461="","",INDEX(生物种群!$I$3:INDEX(生物种群!$I:$I,COUNTA(生物种群!$I:$I)),MATCH($H461,生物种群!$A$3:INDEX(生物种群!$A:$A,COUNTA(生物种群!$A:$A)),),))</f>
        <v/>
      </c>
      <c r="K461" s="55" t="str">
        <f>IF(H461="","",INDEX(生物种群!$E$3:INDEX(生物种群!$E:$E,COUNTA(生物种群!$E:$E)),MATCH($H461,生物种群!$A$3:INDEX(生物种群!$A:$A,COUNTA(生物种群!$A:$A)),),))</f>
        <v/>
      </c>
      <c r="L461" s="46" t="str">
        <f t="shared" si="27" ref="L461:L524">IFERROR(IF(OR(D461="",E461=""),"",D461/E461*100),"")</f>
        <v/>
      </c>
      <c r="M461" s="47" t="str">
        <f>IF(L461="","",ROUND((L461)/VLOOKUP($F461,IF({1,0},站位样品信息!$A$3:INDEX(站位样品信息!$A:$A,COUNTA(站位样品信息!$A:$A)+1),站位样品信息!$H$3:INDEX(站位样品信息!$H:$H,COUNTA(站位样品信息!$H:$H)+1)),2,0),2))</f>
        <v/>
      </c>
      <c r="O461" s="49"/>
      <c r="P461" s="53" t="str">
        <f t="shared" si="25"/>
        <v/>
      </c>
      <c r="Q461" s="53" t="str">
        <f t="shared" si="26"/>
        <v/>
      </c>
    </row>
    <row r="462" spans="1:17" ht="19.5" customHeight="1">
      <c r="A462" s="38"/>
      <c r="B462" s="38"/>
      <c r="C462" s="38"/>
      <c r="D462" s="37"/>
      <c r="E462" s="37"/>
      <c r="F462" s="37"/>
      <c r="G462" s="37" t="str">
        <f>IF(F462="","",INDEX(站位样品信息!$B$3:INDEX(站位样品信息!$B:$B,COUNTA(站位样品信息!$B:$B)+1),MATCH($F462,站位样品信息!$A$3:INDEX(站位样品信息!$A:$A,COUNTA(站位样品信息!$A:$A)+1),),))</f>
        <v/>
      </c>
      <c r="H462" s="55" t="str">
        <f>IF(OR(A462&lt;&gt;"",B462&lt;&gt;"",C462&lt;&gt;""),IF($C462&lt;&gt;0,INDEX(生物种群!$A$3:INDEX(生物种群!$A:$A,COUNTA(生物种群!$A:$A)),MATCH($C462,生物种群!$F$3:INDEX(生物种群!$F:$F,COUNTA(生物种群!$F:$F)),),),IF($A462&lt;&gt;0,INDEX(生物种群!$A$3:INDEX(生物种群!$A:$A,COUNTA(生物种群!$A:$A)),MATCH($A462,生物种群!$C$3:INDEX(生物种群!$C:$C,COUNTA(生物种群!$C:$C)),),),INDEX(生物种群!$A$3:INDEX(生物种群!$A:$A,COUNTA(生物种群!$A:$A)),MATCH($B462,生物种群!$D$3:INDEX(生物种群!$D:$D,COUNTA(生物种群!$D:$D)),),))),"")</f>
        <v/>
      </c>
      <c r="I462" s="56" t="str">
        <f>IF(H462="","",INDEX(生物种群!$B$3:INDEX(生物种群!$B:$B,COUNTA(生物种群!$B:$B)),MATCH($H462,生物种群!$A$3:INDEX(生物种群!$A:$A,COUNTA(生物种群!$A:$A)),),))</f>
        <v/>
      </c>
      <c r="J462" s="55" t="str">
        <f>IF(H462="","",INDEX(生物种群!$I$3:INDEX(生物种群!$I:$I,COUNTA(生物种群!$I:$I)),MATCH($H462,生物种群!$A$3:INDEX(生物种群!$A:$A,COUNTA(生物种群!$A:$A)),),))</f>
        <v/>
      </c>
      <c r="K462" s="55" t="str">
        <f>IF(H462="","",INDEX(生物种群!$E$3:INDEX(生物种群!$E:$E,COUNTA(生物种群!$E:$E)),MATCH($H462,生物种群!$A$3:INDEX(生物种群!$A:$A,COUNTA(生物种群!$A:$A)),),))</f>
        <v/>
      </c>
      <c r="L462" s="46" t="str">
        <f t="shared" si="27"/>
        <v/>
      </c>
      <c r="M462" s="47" t="str">
        <f>IF(L462="","",ROUND((L462)/VLOOKUP($F462,IF({1,0},站位样品信息!$A$3:INDEX(站位样品信息!$A:$A,COUNTA(站位样品信息!$A:$A)+1),站位样品信息!$H$3:INDEX(站位样品信息!$H:$H,COUNTA(站位样品信息!$H:$H)+1)),2,0),2))</f>
        <v/>
      </c>
      <c r="O462" s="49"/>
      <c r="P462" s="53" t="str">
        <f t="shared" si="25"/>
        <v/>
      </c>
      <c r="Q462" s="53" t="str">
        <f t="shared" si="26"/>
        <v/>
      </c>
    </row>
    <row r="463" spans="1:17" ht="19.5" customHeight="1">
      <c r="A463" s="38"/>
      <c r="B463" s="38"/>
      <c r="C463" s="38"/>
      <c r="D463" s="37"/>
      <c r="E463" s="37"/>
      <c r="F463" s="37"/>
      <c r="G463" s="37" t="str">
        <f>IF(F463="","",INDEX(站位样品信息!$B$3:INDEX(站位样品信息!$B:$B,COUNTA(站位样品信息!$B:$B)+1),MATCH($F463,站位样品信息!$A$3:INDEX(站位样品信息!$A:$A,COUNTA(站位样品信息!$A:$A)+1),),))</f>
        <v/>
      </c>
      <c r="H463" s="55" t="str">
        <f>IF(OR(A463&lt;&gt;"",B463&lt;&gt;"",C463&lt;&gt;""),IF($C463&lt;&gt;0,INDEX(生物种群!$A$3:INDEX(生物种群!$A:$A,COUNTA(生物种群!$A:$A)),MATCH($C463,生物种群!$F$3:INDEX(生物种群!$F:$F,COUNTA(生物种群!$F:$F)),),),IF($A463&lt;&gt;0,INDEX(生物种群!$A$3:INDEX(生物种群!$A:$A,COUNTA(生物种群!$A:$A)),MATCH($A463,生物种群!$C$3:INDEX(生物种群!$C:$C,COUNTA(生物种群!$C:$C)),),),INDEX(生物种群!$A$3:INDEX(生物种群!$A:$A,COUNTA(生物种群!$A:$A)),MATCH($B463,生物种群!$D$3:INDEX(生物种群!$D:$D,COUNTA(生物种群!$D:$D)),),))),"")</f>
        <v/>
      </c>
      <c r="I463" s="56" t="str">
        <f>IF(H463="","",INDEX(生物种群!$B$3:INDEX(生物种群!$B:$B,COUNTA(生物种群!$B:$B)),MATCH($H463,生物种群!$A$3:INDEX(生物种群!$A:$A,COUNTA(生物种群!$A:$A)),),))</f>
        <v/>
      </c>
      <c r="J463" s="55" t="str">
        <f>IF(H463="","",INDEX(生物种群!$I$3:INDEX(生物种群!$I:$I,COUNTA(生物种群!$I:$I)),MATCH($H463,生物种群!$A$3:INDEX(生物种群!$A:$A,COUNTA(生物种群!$A:$A)),),))</f>
        <v/>
      </c>
      <c r="K463" s="55" t="str">
        <f>IF(H463="","",INDEX(生物种群!$E$3:INDEX(生物种群!$E:$E,COUNTA(生物种群!$E:$E)),MATCH($H463,生物种群!$A$3:INDEX(生物种群!$A:$A,COUNTA(生物种群!$A:$A)),),))</f>
        <v/>
      </c>
      <c r="L463" s="46" t="str">
        <f t="shared" si="27"/>
        <v/>
      </c>
      <c r="M463" s="47" t="str">
        <f>IF(L463="","",ROUND((L463)/VLOOKUP($F463,IF({1,0},站位样品信息!$A$3:INDEX(站位样品信息!$A:$A,COUNTA(站位样品信息!$A:$A)+1),站位样品信息!$H$3:INDEX(站位样品信息!$H:$H,COUNTA(站位样品信息!$H:$H)+1)),2,0),2))</f>
        <v/>
      </c>
      <c r="O463" s="49"/>
      <c r="P463" s="53" t="str">
        <f t="shared" si="25"/>
        <v/>
      </c>
      <c r="Q463" s="53" t="str">
        <f t="shared" si="26"/>
        <v/>
      </c>
    </row>
    <row r="464" spans="1:17" ht="19.5" customHeight="1">
      <c r="A464" s="38"/>
      <c r="B464" s="38"/>
      <c r="C464" s="38"/>
      <c r="D464" s="37"/>
      <c r="E464" s="37"/>
      <c r="F464" s="37"/>
      <c r="G464" s="37" t="str">
        <f>IF(F464="","",INDEX(站位样品信息!$B$3:INDEX(站位样品信息!$B:$B,COUNTA(站位样品信息!$B:$B)+1),MATCH($F464,站位样品信息!$A$3:INDEX(站位样品信息!$A:$A,COUNTA(站位样品信息!$A:$A)+1),),))</f>
        <v/>
      </c>
      <c r="H464" s="55" t="str">
        <f>IF(OR(A464&lt;&gt;"",B464&lt;&gt;"",C464&lt;&gt;""),IF($C464&lt;&gt;0,INDEX(生物种群!$A$3:INDEX(生物种群!$A:$A,COUNTA(生物种群!$A:$A)),MATCH($C464,生物种群!$F$3:INDEX(生物种群!$F:$F,COUNTA(生物种群!$F:$F)),),),IF($A464&lt;&gt;0,INDEX(生物种群!$A$3:INDEX(生物种群!$A:$A,COUNTA(生物种群!$A:$A)),MATCH($A464,生物种群!$C$3:INDEX(生物种群!$C:$C,COUNTA(生物种群!$C:$C)),),),INDEX(生物种群!$A$3:INDEX(生物种群!$A:$A,COUNTA(生物种群!$A:$A)),MATCH($B464,生物种群!$D$3:INDEX(生物种群!$D:$D,COUNTA(生物种群!$D:$D)),),))),"")</f>
        <v/>
      </c>
      <c r="I464" s="56" t="str">
        <f>IF(H464="","",INDEX(生物种群!$B$3:INDEX(生物种群!$B:$B,COUNTA(生物种群!$B:$B)),MATCH($H464,生物种群!$A$3:INDEX(生物种群!$A:$A,COUNTA(生物种群!$A:$A)),),))</f>
        <v/>
      </c>
      <c r="J464" s="55" t="str">
        <f>IF(H464="","",INDEX(生物种群!$I$3:INDEX(生物种群!$I:$I,COUNTA(生物种群!$I:$I)),MATCH($H464,生物种群!$A$3:INDEX(生物种群!$A:$A,COUNTA(生物种群!$A:$A)),),))</f>
        <v/>
      </c>
      <c r="K464" s="55" t="str">
        <f>IF(H464="","",INDEX(生物种群!$E$3:INDEX(生物种群!$E:$E,COUNTA(生物种群!$E:$E)),MATCH($H464,生物种群!$A$3:INDEX(生物种群!$A:$A,COUNTA(生物种群!$A:$A)),),))</f>
        <v/>
      </c>
      <c r="L464" s="46" t="str">
        <f t="shared" si="27"/>
        <v/>
      </c>
      <c r="M464" s="47" t="str">
        <f>IF(L464="","",ROUND((L464)/VLOOKUP($F464,IF({1,0},站位样品信息!$A$3:INDEX(站位样品信息!$A:$A,COUNTA(站位样品信息!$A:$A)+1),站位样品信息!$H$3:INDEX(站位样品信息!$H:$H,COUNTA(站位样品信息!$H:$H)+1)),2,0),2))</f>
        <v/>
      </c>
      <c r="O464" s="49"/>
      <c r="P464" s="53" t="str">
        <f t="shared" si="25"/>
        <v/>
      </c>
      <c r="Q464" s="53" t="str">
        <f t="shared" si="26"/>
        <v/>
      </c>
    </row>
    <row r="465" spans="1:17" ht="19.5" customHeight="1">
      <c r="A465" s="38"/>
      <c r="B465" s="38"/>
      <c r="C465" s="38"/>
      <c r="D465" s="37"/>
      <c r="E465" s="37"/>
      <c r="F465" s="37"/>
      <c r="G465" s="37" t="str">
        <f>IF(F465="","",INDEX(站位样品信息!$B$3:INDEX(站位样品信息!$B:$B,COUNTA(站位样品信息!$B:$B)+1),MATCH($F465,站位样品信息!$A$3:INDEX(站位样品信息!$A:$A,COUNTA(站位样品信息!$A:$A)+1),),))</f>
        <v/>
      </c>
      <c r="H465" s="55" t="str">
        <f>IF(OR(A465&lt;&gt;"",B465&lt;&gt;"",C465&lt;&gt;""),IF($C465&lt;&gt;0,INDEX(生物种群!$A$3:INDEX(生物种群!$A:$A,COUNTA(生物种群!$A:$A)),MATCH($C465,生物种群!$F$3:INDEX(生物种群!$F:$F,COUNTA(生物种群!$F:$F)),),),IF($A465&lt;&gt;0,INDEX(生物种群!$A$3:INDEX(生物种群!$A:$A,COUNTA(生物种群!$A:$A)),MATCH($A465,生物种群!$C$3:INDEX(生物种群!$C:$C,COUNTA(生物种群!$C:$C)),),),INDEX(生物种群!$A$3:INDEX(生物种群!$A:$A,COUNTA(生物种群!$A:$A)),MATCH($B465,生物种群!$D$3:INDEX(生物种群!$D:$D,COUNTA(生物种群!$D:$D)),),))),"")</f>
        <v/>
      </c>
      <c r="I465" s="56" t="str">
        <f>IF(H465="","",INDEX(生物种群!$B$3:INDEX(生物种群!$B:$B,COUNTA(生物种群!$B:$B)),MATCH($H465,生物种群!$A$3:INDEX(生物种群!$A:$A,COUNTA(生物种群!$A:$A)),),))</f>
        <v/>
      </c>
      <c r="J465" s="55" t="str">
        <f>IF(H465="","",INDEX(生物种群!$I$3:INDEX(生物种群!$I:$I,COUNTA(生物种群!$I:$I)),MATCH($H465,生物种群!$A$3:INDEX(生物种群!$A:$A,COUNTA(生物种群!$A:$A)),),))</f>
        <v/>
      </c>
      <c r="K465" s="55" t="str">
        <f>IF(H465="","",INDEX(生物种群!$E$3:INDEX(生物种群!$E:$E,COUNTA(生物种群!$E:$E)),MATCH($H465,生物种群!$A$3:INDEX(生物种群!$A:$A,COUNTA(生物种群!$A:$A)),),))</f>
        <v/>
      </c>
      <c r="L465" s="46" t="str">
        <f t="shared" si="27"/>
        <v/>
      </c>
      <c r="M465" s="47" t="str">
        <f>IF(L465="","",ROUND((L465)/VLOOKUP($F465,IF({1,0},站位样品信息!$A$3:INDEX(站位样品信息!$A:$A,COUNTA(站位样品信息!$A:$A)+1),站位样品信息!$H$3:INDEX(站位样品信息!$H:$H,COUNTA(站位样品信息!$H:$H)+1)),2,0),2))</f>
        <v/>
      </c>
      <c r="O465" s="49"/>
      <c r="P465" s="53" t="str">
        <f t="shared" si="25"/>
        <v/>
      </c>
      <c r="Q465" s="53" t="str">
        <f t="shared" si="26"/>
        <v/>
      </c>
    </row>
    <row r="466" spans="1:17" ht="19.5" customHeight="1">
      <c r="A466" s="38"/>
      <c r="B466" s="38"/>
      <c r="C466" s="38"/>
      <c r="D466" s="37"/>
      <c r="E466" s="37"/>
      <c r="F466" s="37"/>
      <c r="G466" s="37" t="str">
        <f>IF(F466="","",INDEX(站位样品信息!$B$3:INDEX(站位样品信息!$B:$B,COUNTA(站位样品信息!$B:$B)+1),MATCH($F466,站位样品信息!$A$3:INDEX(站位样品信息!$A:$A,COUNTA(站位样品信息!$A:$A)+1),),))</f>
        <v/>
      </c>
      <c r="H466" s="55" t="str">
        <f>IF(OR(A466&lt;&gt;"",B466&lt;&gt;"",C466&lt;&gt;""),IF($C466&lt;&gt;0,INDEX(生物种群!$A$3:INDEX(生物种群!$A:$A,COUNTA(生物种群!$A:$A)),MATCH($C466,生物种群!$F$3:INDEX(生物种群!$F:$F,COUNTA(生物种群!$F:$F)),),),IF($A466&lt;&gt;0,INDEX(生物种群!$A$3:INDEX(生物种群!$A:$A,COUNTA(生物种群!$A:$A)),MATCH($A466,生物种群!$C$3:INDEX(生物种群!$C:$C,COUNTA(生物种群!$C:$C)),),),INDEX(生物种群!$A$3:INDEX(生物种群!$A:$A,COUNTA(生物种群!$A:$A)),MATCH($B466,生物种群!$D$3:INDEX(生物种群!$D:$D,COUNTA(生物种群!$D:$D)),),))),"")</f>
        <v/>
      </c>
      <c r="I466" s="56" t="str">
        <f>IF(H466="","",INDEX(生物种群!$B$3:INDEX(生物种群!$B:$B,COUNTA(生物种群!$B:$B)),MATCH($H466,生物种群!$A$3:INDEX(生物种群!$A:$A,COUNTA(生物种群!$A:$A)),),))</f>
        <v/>
      </c>
      <c r="J466" s="55" t="str">
        <f>IF(H466="","",INDEX(生物种群!$I$3:INDEX(生物种群!$I:$I,COUNTA(生物种群!$I:$I)),MATCH($H466,生物种群!$A$3:INDEX(生物种群!$A:$A,COUNTA(生物种群!$A:$A)),),))</f>
        <v/>
      </c>
      <c r="K466" s="55" t="str">
        <f>IF(H466="","",INDEX(生物种群!$E$3:INDEX(生物种群!$E:$E,COUNTA(生物种群!$E:$E)),MATCH($H466,生物种群!$A$3:INDEX(生物种群!$A:$A,COUNTA(生物种群!$A:$A)),),))</f>
        <v/>
      </c>
      <c r="L466" s="46" t="str">
        <f t="shared" si="27"/>
        <v/>
      </c>
      <c r="M466" s="47" t="str">
        <f>IF(L466="","",ROUND((L466)/VLOOKUP($F466,IF({1,0},站位样品信息!$A$3:INDEX(站位样品信息!$A:$A,COUNTA(站位样品信息!$A:$A)+1),站位样品信息!$H$3:INDEX(站位样品信息!$H:$H,COUNTA(站位样品信息!$H:$H)+1)),2,0),2))</f>
        <v/>
      </c>
      <c r="O466" s="49"/>
      <c r="P466" s="53" t="str">
        <f t="shared" si="25"/>
        <v/>
      </c>
      <c r="Q466" s="53" t="str">
        <f t="shared" si="26"/>
        <v/>
      </c>
    </row>
    <row r="467" spans="1:17" ht="19.5" customHeight="1">
      <c r="A467" s="38"/>
      <c r="B467" s="38"/>
      <c r="C467" s="38"/>
      <c r="D467" s="37"/>
      <c r="E467" s="37"/>
      <c r="F467" s="37"/>
      <c r="G467" s="37" t="str">
        <f>IF(F467="","",INDEX(站位样品信息!$B$3:INDEX(站位样品信息!$B:$B,COUNTA(站位样品信息!$B:$B)+1),MATCH($F467,站位样品信息!$A$3:INDEX(站位样品信息!$A:$A,COUNTA(站位样品信息!$A:$A)+1),),))</f>
        <v/>
      </c>
      <c r="H467" s="55" t="str">
        <f>IF(OR(A467&lt;&gt;"",B467&lt;&gt;"",C467&lt;&gt;""),IF($C467&lt;&gt;0,INDEX(生物种群!$A$3:INDEX(生物种群!$A:$A,COUNTA(生物种群!$A:$A)),MATCH($C467,生物种群!$F$3:INDEX(生物种群!$F:$F,COUNTA(生物种群!$F:$F)),),),IF($A467&lt;&gt;0,INDEX(生物种群!$A$3:INDEX(生物种群!$A:$A,COUNTA(生物种群!$A:$A)),MATCH($A467,生物种群!$C$3:INDEX(生物种群!$C:$C,COUNTA(生物种群!$C:$C)),),),INDEX(生物种群!$A$3:INDEX(生物种群!$A:$A,COUNTA(生物种群!$A:$A)),MATCH($B467,生物种群!$D$3:INDEX(生物种群!$D:$D,COUNTA(生物种群!$D:$D)),),))),"")</f>
        <v/>
      </c>
      <c r="I467" s="56" t="str">
        <f>IF(H467="","",INDEX(生物种群!$B$3:INDEX(生物种群!$B:$B,COUNTA(生物种群!$B:$B)),MATCH($H467,生物种群!$A$3:INDEX(生物种群!$A:$A,COUNTA(生物种群!$A:$A)),),))</f>
        <v/>
      </c>
      <c r="J467" s="55" t="str">
        <f>IF(H467="","",INDEX(生物种群!$I$3:INDEX(生物种群!$I:$I,COUNTA(生物种群!$I:$I)),MATCH($H467,生物种群!$A$3:INDEX(生物种群!$A:$A,COUNTA(生物种群!$A:$A)),),))</f>
        <v/>
      </c>
      <c r="K467" s="55" t="str">
        <f>IF(H467="","",INDEX(生物种群!$E$3:INDEX(生物种群!$E:$E,COUNTA(生物种群!$E:$E)),MATCH($H467,生物种群!$A$3:INDEX(生物种群!$A:$A,COUNTA(生物种群!$A:$A)),),))</f>
        <v/>
      </c>
      <c r="L467" s="46" t="str">
        <f t="shared" si="27"/>
        <v/>
      </c>
      <c r="M467" s="47" t="str">
        <f>IF(L467="","",ROUND((L467)/VLOOKUP($F467,IF({1,0},站位样品信息!$A$3:INDEX(站位样品信息!$A:$A,COUNTA(站位样品信息!$A:$A)+1),站位样品信息!$H$3:INDEX(站位样品信息!$H:$H,COUNTA(站位样品信息!$H:$H)+1)),2,0),2))</f>
        <v/>
      </c>
      <c r="O467" s="49"/>
      <c r="P467" s="53" t="str">
        <f t="shared" si="25"/>
        <v/>
      </c>
      <c r="Q467" s="53" t="str">
        <f t="shared" si="26"/>
        <v/>
      </c>
    </row>
    <row r="468" spans="1:17" ht="19.5" customHeight="1">
      <c r="A468" s="38"/>
      <c r="B468" s="38"/>
      <c r="C468" s="38"/>
      <c r="D468" s="37"/>
      <c r="E468" s="37"/>
      <c r="F468" s="37"/>
      <c r="G468" s="37" t="str">
        <f>IF(F468="","",INDEX(站位样品信息!$B$3:INDEX(站位样品信息!$B:$B,COUNTA(站位样品信息!$B:$B)+1),MATCH($F468,站位样品信息!$A$3:INDEX(站位样品信息!$A:$A,COUNTA(站位样品信息!$A:$A)+1),),))</f>
        <v/>
      </c>
      <c r="H468" s="55" t="str">
        <f>IF(OR(A468&lt;&gt;"",B468&lt;&gt;"",C468&lt;&gt;""),IF($C468&lt;&gt;0,INDEX(生物种群!$A$3:INDEX(生物种群!$A:$A,COUNTA(生物种群!$A:$A)),MATCH($C468,生物种群!$F$3:INDEX(生物种群!$F:$F,COUNTA(生物种群!$F:$F)),),),IF($A468&lt;&gt;0,INDEX(生物种群!$A$3:INDEX(生物种群!$A:$A,COUNTA(生物种群!$A:$A)),MATCH($A468,生物种群!$C$3:INDEX(生物种群!$C:$C,COUNTA(生物种群!$C:$C)),),),INDEX(生物种群!$A$3:INDEX(生物种群!$A:$A,COUNTA(生物种群!$A:$A)),MATCH($B468,生物种群!$D$3:INDEX(生物种群!$D:$D,COUNTA(生物种群!$D:$D)),),))),"")</f>
        <v/>
      </c>
      <c r="I468" s="56" t="str">
        <f>IF(H468="","",INDEX(生物种群!$B$3:INDEX(生物种群!$B:$B,COUNTA(生物种群!$B:$B)),MATCH($H468,生物种群!$A$3:INDEX(生物种群!$A:$A,COUNTA(生物种群!$A:$A)),),))</f>
        <v/>
      </c>
      <c r="J468" s="55" t="str">
        <f>IF(H468="","",INDEX(生物种群!$I$3:INDEX(生物种群!$I:$I,COUNTA(生物种群!$I:$I)),MATCH($H468,生物种群!$A$3:INDEX(生物种群!$A:$A,COUNTA(生物种群!$A:$A)),),))</f>
        <v/>
      </c>
      <c r="K468" s="55" t="str">
        <f>IF(H468="","",INDEX(生物种群!$E$3:INDEX(生物种群!$E:$E,COUNTA(生物种群!$E:$E)),MATCH($H468,生物种群!$A$3:INDEX(生物种群!$A:$A,COUNTA(生物种群!$A:$A)),),))</f>
        <v/>
      </c>
      <c r="L468" s="46" t="str">
        <f t="shared" si="27"/>
        <v/>
      </c>
      <c r="M468" s="47" t="str">
        <f>IF(L468="","",ROUND((L468)/VLOOKUP($F468,IF({1,0},站位样品信息!$A$3:INDEX(站位样品信息!$A:$A,COUNTA(站位样品信息!$A:$A)+1),站位样品信息!$H$3:INDEX(站位样品信息!$H:$H,COUNTA(站位样品信息!$H:$H)+1)),2,0),2))</f>
        <v/>
      </c>
      <c r="O468" s="49"/>
      <c r="P468" s="53" t="str">
        <f t="shared" si="25"/>
        <v/>
      </c>
      <c r="Q468" s="53" t="str">
        <f t="shared" si="26"/>
        <v/>
      </c>
    </row>
    <row r="469" spans="1:17" ht="19.5" customHeight="1">
      <c r="A469" s="38"/>
      <c r="B469" s="38"/>
      <c r="C469" s="38"/>
      <c r="D469" s="37"/>
      <c r="E469" s="37"/>
      <c r="F469" s="37"/>
      <c r="G469" s="37" t="str">
        <f>IF(F469="","",INDEX(站位样品信息!$B$3:INDEX(站位样品信息!$B:$B,COUNTA(站位样品信息!$B:$B)+1),MATCH($F469,站位样品信息!$A$3:INDEX(站位样品信息!$A:$A,COUNTA(站位样品信息!$A:$A)+1),),))</f>
        <v/>
      </c>
      <c r="H469" s="55" t="str">
        <f>IF(OR(A469&lt;&gt;"",B469&lt;&gt;"",C469&lt;&gt;""),IF($C469&lt;&gt;0,INDEX(生物种群!$A$3:INDEX(生物种群!$A:$A,COUNTA(生物种群!$A:$A)),MATCH($C469,生物种群!$F$3:INDEX(生物种群!$F:$F,COUNTA(生物种群!$F:$F)),),),IF($A469&lt;&gt;0,INDEX(生物种群!$A$3:INDEX(生物种群!$A:$A,COUNTA(生物种群!$A:$A)),MATCH($A469,生物种群!$C$3:INDEX(生物种群!$C:$C,COUNTA(生物种群!$C:$C)),),),INDEX(生物种群!$A$3:INDEX(生物种群!$A:$A,COUNTA(生物种群!$A:$A)),MATCH($B469,生物种群!$D$3:INDEX(生物种群!$D:$D,COUNTA(生物种群!$D:$D)),),))),"")</f>
        <v/>
      </c>
      <c r="I469" s="56" t="str">
        <f>IF(H469="","",INDEX(生物种群!$B$3:INDEX(生物种群!$B:$B,COUNTA(生物种群!$B:$B)),MATCH($H469,生物种群!$A$3:INDEX(生物种群!$A:$A,COUNTA(生物种群!$A:$A)),),))</f>
        <v/>
      </c>
      <c r="J469" s="55" t="str">
        <f>IF(H469="","",INDEX(生物种群!$I$3:INDEX(生物种群!$I:$I,COUNTA(生物种群!$I:$I)),MATCH($H469,生物种群!$A$3:INDEX(生物种群!$A:$A,COUNTA(生物种群!$A:$A)),),))</f>
        <v/>
      </c>
      <c r="K469" s="55" t="str">
        <f>IF(H469="","",INDEX(生物种群!$E$3:INDEX(生物种群!$E:$E,COUNTA(生物种群!$E:$E)),MATCH($H469,生物种群!$A$3:INDEX(生物种群!$A:$A,COUNTA(生物种群!$A:$A)),),))</f>
        <v/>
      </c>
      <c r="L469" s="46" t="str">
        <f t="shared" si="27"/>
        <v/>
      </c>
      <c r="M469" s="47" t="str">
        <f>IF(L469="","",ROUND((L469)/VLOOKUP($F469,IF({1,0},站位样品信息!$A$3:INDEX(站位样品信息!$A:$A,COUNTA(站位样品信息!$A:$A)+1),站位样品信息!$H$3:INDEX(站位样品信息!$H:$H,COUNTA(站位样品信息!$H:$H)+1)),2,0),2))</f>
        <v/>
      </c>
      <c r="O469" s="49"/>
      <c r="P469" s="53" t="str">
        <f t="shared" si="25"/>
        <v/>
      </c>
      <c r="Q469" s="53" t="str">
        <f t="shared" si="26"/>
        <v/>
      </c>
    </row>
    <row r="470" spans="1:17" ht="19.5" customHeight="1">
      <c r="A470" s="38"/>
      <c r="B470" s="38"/>
      <c r="C470" s="38"/>
      <c r="D470" s="37"/>
      <c r="E470" s="37"/>
      <c r="F470" s="37"/>
      <c r="G470" s="37" t="str">
        <f>IF(F470="","",INDEX(站位样品信息!$B$3:INDEX(站位样品信息!$B:$B,COUNTA(站位样品信息!$B:$B)+1),MATCH($F470,站位样品信息!$A$3:INDEX(站位样品信息!$A:$A,COUNTA(站位样品信息!$A:$A)+1),),))</f>
        <v/>
      </c>
      <c r="H470" s="55" t="str">
        <f>IF(OR(A470&lt;&gt;"",B470&lt;&gt;"",C470&lt;&gt;""),IF($C470&lt;&gt;0,INDEX(生物种群!$A$3:INDEX(生物种群!$A:$A,COUNTA(生物种群!$A:$A)),MATCH($C470,生物种群!$F$3:INDEX(生物种群!$F:$F,COUNTA(生物种群!$F:$F)),),),IF($A470&lt;&gt;0,INDEX(生物种群!$A$3:INDEX(生物种群!$A:$A,COUNTA(生物种群!$A:$A)),MATCH($A470,生物种群!$C$3:INDEX(生物种群!$C:$C,COUNTA(生物种群!$C:$C)),),),INDEX(生物种群!$A$3:INDEX(生物种群!$A:$A,COUNTA(生物种群!$A:$A)),MATCH($B470,生物种群!$D$3:INDEX(生物种群!$D:$D,COUNTA(生物种群!$D:$D)),),))),"")</f>
        <v/>
      </c>
      <c r="I470" s="56" t="str">
        <f>IF(H470="","",INDEX(生物种群!$B$3:INDEX(生物种群!$B:$B,COUNTA(生物种群!$B:$B)),MATCH($H470,生物种群!$A$3:INDEX(生物种群!$A:$A,COUNTA(生物种群!$A:$A)),),))</f>
        <v/>
      </c>
      <c r="J470" s="55" t="str">
        <f>IF(H470="","",INDEX(生物种群!$I$3:INDEX(生物种群!$I:$I,COUNTA(生物种群!$I:$I)),MATCH($H470,生物种群!$A$3:INDEX(生物种群!$A:$A,COUNTA(生物种群!$A:$A)),),))</f>
        <v/>
      </c>
      <c r="K470" s="55" t="str">
        <f>IF(H470="","",INDEX(生物种群!$E$3:INDEX(生物种群!$E:$E,COUNTA(生物种群!$E:$E)),MATCH($H470,生物种群!$A$3:INDEX(生物种群!$A:$A,COUNTA(生物种群!$A:$A)),),))</f>
        <v/>
      </c>
      <c r="L470" s="46" t="str">
        <f t="shared" si="27"/>
        <v/>
      </c>
      <c r="M470" s="47" t="str">
        <f>IF(L470="","",ROUND((L470)/VLOOKUP($F470,IF({1,0},站位样品信息!$A$3:INDEX(站位样品信息!$A:$A,COUNTA(站位样品信息!$A:$A)+1),站位样品信息!$H$3:INDEX(站位样品信息!$H:$H,COUNTA(站位样品信息!$H:$H)+1)),2,0),2))</f>
        <v/>
      </c>
      <c r="O470" s="49"/>
      <c r="P470" s="53" t="str">
        <f t="shared" si="25"/>
        <v/>
      </c>
      <c r="Q470" s="53" t="str">
        <f t="shared" si="26"/>
        <v/>
      </c>
    </row>
    <row r="471" spans="1:17" ht="19.5" customHeight="1">
      <c r="A471" s="38"/>
      <c r="B471" s="38"/>
      <c r="C471" s="38"/>
      <c r="D471" s="37"/>
      <c r="E471" s="37"/>
      <c r="F471" s="37"/>
      <c r="G471" s="37" t="str">
        <f>IF(F471="","",INDEX(站位样品信息!$B$3:INDEX(站位样品信息!$B:$B,COUNTA(站位样品信息!$B:$B)+1),MATCH($F471,站位样品信息!$A$3:INDEX(站位样品信息!$A:$A,COUNTA(站位样品信息!$A:$A)+1),),))</f>
        <v/>
      </c>
      <c r="H471" s="55" t="str">
        <f>IF(OR(A471&lt;&gt;"",B471&lt;&gt;"",C471&lt;&gt;""),IF($C471&lt;&gt;0,INDEX(生物种群!$A$3:INDEX(生物种群!$A:$A,COUNTA(生物种群!$A:$A)),MATCH($C471,生物种群!$F$3:INDEX(生物种群!$F:$F,COUNTA(生物种群!$F:$F)),),),IF($A471&lt;&gt;0,INDEX(生物种群!$A$3:INDEX(生物种群!$A:$A,COUNTA(生物种群!$A:$A)),MATCH($A471,生物种群!$C$3:INDEX(生物种群!$C:$C,COUNTA(生物种群!$C:$C)),),),INDEX(生物种群!$A$3:INDEX(生物种群!$A:$A,COUNTA(生物种群!$A:$A)),MATCH($B471,生物种群!$D$3:INDEX(生物种群!$D:$D,COUNTA(生物种群!$D:$D)),),))),"")</f>
        <v/>
      </c>
      <c r="I471" s="56" t="str">
        <f>IF(H471="","",INDEX(生物种群!$B$3:INDEX(生物种群!$B:$B,COUNTA(生物种群!$B:$B)),MATCH($H471,生物种群!$A$3:INDEX(生物种群!$A:$A,COUNTA(生物种群!$A:$A)),),))</f>
        <v/>
      </c>
      <c r="J471" s="55" t="str">
        <f>IF(H471="","",INDEX(生物种群!$I$3:INDEX(生物种群!$I:$I,COUNTA(生物种群!$I:$I)),MATCH($H471,生物种群!$A$3:INDEX(生物种群!$A:$A,COUNTA(生物种群!$A:$A)),),))</f>
        <v/>
      </c>
      <c r="K471" s="55" t="str">
        <f>IF(H471="","",INDEX(生物种群!$E$3:INDEX(生物种群!$E:$E,COUNTA(生物种群!$E:$E)),MATCH($H471,生物种群!$A$3:INDEX(生物种群!$A:$A,COUNTA(生物种群!$A:$A)),),))</f>
        <v/>
      </c>
      <c r="L471" s="46" t="str">
        <f t="shared" si="27"/>
        <v/>
      </c>
      <c r="M471" s="47" t="str">
        <f>IF(L471="","",ROUND((L471)/VLOOKUP($F471,IF({1,0},站位样品信息!$A$3:INDEX(站位样品信息!$A:$A,COUNTA(站位样品信息!$A:$A)+1),站位样品信息!$H$3:INDEX(站位样品信息!$H:$H,COUNTA(站位样品信息!$H:$H)+1)),2,0),2))</f>
        <v/>
      </c>
      <c r="O471" s="49"/>
      <c r="P471" s="53" t="str">
        <f t="shared" si="25"/>
        <v/>
      </c>
      <c r="Q471" s="53" t="str">
        <f t="shared" si="26"/>
        <v/>
      </c>
    </row>
    <row r="472" spans="1:17" ht="19.5" customHeight="1">
      <c r="A472" s="38"/>
      <c r="B472" s="38"/>
      <c r="C472" s="38"/>
      <c r="D472" s="37"/>
      <c r="E472" s="37"/>
      <c r="F472" s="37"/>
      <c r="G472" s="37" t="str">
        <f>IF(F472="","",INDEX(站位样品信息!$B$3:INDEX(站位样品信息!$B:$B,COUNTA(站位样品信息!$B:$B)+1),MATCH($F472,站位样品信息!$A$3:INDEX(站位样品信息!$A:$A,COUNTA(站位样品信息!$A:$A)+1),),))</f>
        <v/>
      </c>
      <c r="H472" s="55" t="str">
        <f>IF(OR(A472&lt;&gt;"",B472&lt;&gt;"",C472&lt;&gt;""),IF($C472&lt;&gt;0,INDEX(生物种群!$A$3:INDEX(生物种群!$A:$A,COUNTA(生物种群!$A:$A)),MATCH($C472,生物种群!$F$3:INDEX(生物种群!$F:$F,COUNTA(生物种群!$F:$F)),),),IF($A472&lt;&gt;0,INDEX(生物种群!$A$3:INDEX(生物种群!$A:$A,COUNTA(生物种群!$A:$A)),MATCH($A472,生物种群!$C$3:INDEX(生物种群!$C:$C,COUNTA(生物种群!$C:$C)),),),INDEX(生物种群!$A$3:INDEX(生物种群!$A:$A,COUNTA(生物种群!$A:$A)),MATCH($B472,生物种群!$D$3:INDEX(生物种群!$D:$D,COUNTA(生物种群!$D:$D)),),))),"")</f>
        <v/>
      </c>
      <c r="I472" s="56" t="str">
        <f>IF(H472="","",INDEX(生物种群!$B$3:INDEX(生物种群!$B:$B,COUNTA(生物种群!$B:$B)),MATCH($H472,生物种群!$A$3:INDEX(生物种群!$A:$A,COUNTA(生物种群!$A:$A)),),))</f>
        <v/>
      </c>
      <c r="J472" s="55" t="str">
        <f>IF(H472="","",INDEX(生物种群!$I$3:INDEX(生物种群!$I:$I,COUNTA(生物种群!$I:$I)),MATCH($H472,生物种群!$A$3:INDEX(生物种群!$A:$A,COUNTA(生物种群!$A:$A)),),))</f>
        <v/>
      </c>
      <c r="K472" s="55" t="str">
        <f>IF(H472="","",INDEX(生物种群!$E$3:INDEX(生物种群!$E:$E,COUNTA(生物种群!$E:$E)),MATCH($H472,生物种群!$A$3:INDEX(生物种群!$A:$A,COUNTA(生物种群!$A:$A)),),))</f>
        <v/>
      </c>
      <c r="L472" s="46" t="str">
        <f t="shared" si="27"/>
        <v/>
      </c>
      <c r="M472" s="47" t="str">
        <f>IF(L472="","",ROUND((L472)/VLOOKUP($F472,IF({1,0},站位样品信息!$A$3:INDEX(站位样品信息!$A:$A,COUNTA(站位样品信息!$A:$A)+1),站位样品信息!$H$3:INDEX(站位样品信息!$H:$H,COUNTA(站位样品信息!$H:$H)+1)),2,0),2))</f>
        <v/>
      </c>
      <c r="O472" s="49"/>
      <c r="P472" s="53" t="str">
        <f t="shared" si="25"/>
        <v/>
      </c>
      <c r="Q472" s="53" t="str">
        <f t="shared" si="26"/>
        <v/>
      </c>
    </row>
    <row r="473" spans="1:17" ht="19.5" customHeight="1">
      <c r="A473" s="38"/>
      <c r="B473" s="38"/>
      <c r="C473" s="38"/>
      <c r="D473" s="37"/>
      <c r="E473" s="37"/>
      <c r="F473" s="37"/>
      <c r="G473" s="37" t="str">
        <f>IF(F473="","",INDEX(站位样品信息!$B$3:INDEX(站位样品信息!$B:$B,COUNTA(站位样品信息!$B:$B)+1),MATCH($F473,站位样品信息!$A$3:INDEX(站位样品信息!$A:$A,COUNTA(站位样品信息!$A:$A)+1),),))</f>
        <v/>
      </c>
      <c r="H473" s="55" t="str">
        <f>IF(OR(A473&lt;&gt;"",B473&lt;&gt;"",C473&lt;&gt;""),IF($C473&lt;&gt;0,INDEX(生物种群!$A$3:INDEX(生物种群!$A:$A,COUNTA(生物种群!$A:$A)),MATCH($C473,生物种群!$F$3:INDEX(生物种群!$F:$F,COUNTA(生物种群!$F:$F)),),),IF($A473&lt;&gt;0,INDEX(生物种群!$A$3:INDEX(生物种群!$A:$A,COUNTA(生物种群!$A:$A)),MATCH($A473,生物种群!$C$3:INDEX(生物种群!$C:$C,COUNTA(生物种群!$C:$C)),),),INDEX(生物种群!$A$3:INDEX(生物种群!$A:$A,COUNTA(生物种群!$A:$A)),MATCH($B473,生物种群!$D$3:INDEX(生物种群!$D:$D,COUNTA(生物种群!$D:$D)),),))),"")</f>
        <v/>
      </c>
      <c r="I473" s="56" t="str">
        <f>IF(H473="","",INDEX(生物种群!$B$3:INDEX(生物种群!$B:$B,COUNTA(生物种群!$B:$B)),MATCH($H473,生物种群!$A$3:INDEX(生物种群!$A:$A,COUNTA(生物种群!$A:$A)),),))</f>
        <v/>
      </c>
      <c r="J473" s="55" t="str">
        <f>IF(H473="","",INDEX(生物种群!$I$3:INDEX(生物种群!$I:$I,COUNTA(生物种群!$I:$I)),MATCH($H473,生物种群!$A$3:INDEX(生物种群!$A:$A,COUNTA(生物种群!$A:$A)),),))</f>
        <v/>
      </c>
      <c r="K473" s="55" t="str">
        <f>IF(H473="","",INDEX(生物种群!$E$3:INDEX(生物种群!$E:$E,COUNTA(生物种群!$E:$E)),MATCH($H473,生物种群!$A$3:INDEX(生物种群!$A:$A,COUNTA(生物种群!$A:$A)),),))</f>
        <v/>
      </c>
      <c r="L473" s="46" t="str">
        <f t="shared" si="27"/>
        <v/>
      </c>
      <c r="M473" s="47" t="str">
        <f>IF(L473="","",ROUND((L473)/VLOOKUP($F473,IF({1,0},站位样品信息!$A$3:INDEX(站位样品信息!$A:$A,COUNTA(站位样品信息!$A:$A)+1),站位样品信息!$H$3:INDEX(站位样品信息!$H:$H,COUNTA(站位样品信息!$H:$H)+1)),2,0),2))</f>
        <v/>
      </c>
      <c r="O473" s="49"/>
      <c r="P473" s="53" t="str">
        <f t="shared" si="25"/>
        <v/>
      </c>
      <c r="Q473" s="53" t="str">
        <f t="shared" si="26"/>
        <v/>
      </c>
    </row>
    <row r="474" spans="1:17" ht="19.5" customHeight="1">
      <c r="A474" s="38"/>
      <c r="B474" s="38"/>
      <c r="C474" s="38"/>
      <c r="D474" s="37"/>
      <c r="E474" s="37"/>
      <c r="F474" s="37"/>
      <c r="G474" s="37" t="str">
        <f>IF(F474="","",INDEX(站位样品信息!$B$3:INDEX(站位样品信息!$B:$B,COUNTA(站位样品信息!$B:$B)+1),MATCH($F474,站位样品信息!$A$3:INDEX(站位样品信息!$A:$A,COUNTA(站位样品信息!$A:$A)+1),),))</f>
        <v/>
      </c>
      <c r="H474" s="55" t="str">
        <f>IF(OR(A474&lt;&gt;"",B474&lt;&gt;"",C474&lt;&gt;""),IF($C474&lt;&gt;0,INDEX(生物种群!$A$3:INDEX(生物种群!$A:$A,COUNTA(生物种群!$A:$A)),MATCH($C474,生物种群!$F$3:INDEX(生物种群!$F:$F,COUNTA(生物种群!$F:$F)),),),IF($A474&lt;&gt;0,INDEX(生物种群!$A$3:INDEX(生物种群!$A:$A,COUNTA(生物种群!$A:$A)),MATCH($A474,生物种群!$C$3:INDEX(生物种群!$C:$C,COUNTA(生物种群!$C:$C)),),),INDEX(生物种群!$A$3:INDEX(生物种群!$A:$A,COUNTA(生物种群!$A:$A)),MATCH($B474,生物种群!$D$3:INDEX(生物种群!$D:$D,COUNTA(生物种群!$D:$D)),),))),"")</f>
        <v/>
      </c>
      <c r="I474" s="56" t="str">
        <f>IF(H474="","",INDEX(生物种群!$B$3:INDEX(生物种群!$B:$B,COUNTA(生物种群!$B:$B)),MATCH($H474,生物种群!$A$3:INDEX(生物种群!$A:$A,COUNTA(生物种群!$A:$A)),),))</f>
        <v/>
      </c>
      <c r="J474" s="55" t="str">
        <f>IF(H474="","",INDEX(生物种群!$I$3:INDEX(生物种群!$I:$I,COUNTA(生物种群!$I:$I)),MATCH($H474,生物种群!$A$3:INDEX(生物种群!$A:$A,COUNTA(生物种群!$A:$A)),),))</f>
        <v/>
      </c>
      <c r="K474" s="55" t="str">
        <f>IF(H474="","",INDEX(生物种群!$E$3:INDEX(生物种群!$E:$E,COUNTA(生物种群!$E:$E)),MATCH($H474,生物种群!$A$3:INDEX(生物种群!$A:$A,COUNTA(生物种群!$A:$A)),),))</f>
        <v/>
      </c>
      <c r="L474" s="46" t="str">
        <f t="shared" si="27"/>
        <v/>
      </c>
      <c r="M474" s="47" t="str">
        <f>IF(L474="","",ROUND((L474)/VLOOKUP($F474,IF({1,0},站位样品信息!$A$3:INDEX(站位样品信息!$A:$A,COUNTA(站位样品信息!$A:$A)+1),站位样品信息!$H$3:INDEX(站位样品信息!$H:$H,COUNTA(站位样品信息!$H:$H)+1)),2,0),2))</f>
        <v/>
      </c>
      <c r="O474" s="49"/>
      <c r="P474" s="53" t="str">
        <f t="shared" si="25"/>
        <v/>
      </c>
      <c r="Q474" s="53" t="str">
        <f t="shared" si="26"/>
        <v/>
      </c>
    </row>
    <row r="475" spans="1:17" ht="19.5" customHeight="1">
      <c r="A475" s="38"/>
      <c r="B475" s="38"/>
      <c r="C475" s="38"/>
      <c r="D475" s="37"/>
      <c r="E475" s="37"/>
      <c r="F475" s="37"/>
      <c r="G475" s="37" t="str">
        <f>IF(F475="","",INDEX(站位样品信息!$B$3:INDEX(站位样品信息!$B:$B,COUNTA(站位样品信息!$B:$B)+1),MATCH($F475,站位样品信息!$A$3:INDEX(站位样品信息!$A:$A,COUNTA(站位样品信息!$A:$A)+1),),))</f>
        <v/>
      </c>
      <c r="H475" s="55" t="str">
        <f>IF(OR(A475&lt;&gt;"",B475&lt;&gt;"",C475&lt;&gt;""),IF($C475&lt;&gt;0,INDEX(生物种群!$A$3:INDEX(生物种群!$A:$A,COUNTA(生物种群!$A:$A)),MATCH($C475,生物种群!$F$3:INDEX(生物种群!$F:$F,COUNTA(生物种群!$F:$F)),),),IF($A475&lt;&gt;0,INDEX(生物种群!$A$3:INDEX(生物种群!$A:$A,COUNTA(生物种群!$A:$A)),MATCH($A475,生物种群!$C$3:INDEX(生物种群!$C:$C,COUNTA(生物种群!$C:$C)),),),INDEX(生物种群!$A$3:INDEX(生物种群!$A:$A,COUNTA(生物种群!$A:$A)),MATCH($B475,生物种群!$D$3:INDEX(生物种群!$D:$D,COUNTA(生物种群!$D:$D)),),))),"")</f>
        <v/>
      </c>
      <c r="I475" s="56" t="str">
        <f>IF(H475="","",INDEX(生物种群!$B$3:INDEX(生物种群!$B:$B,COUNTA(生物种群!$B:$B)),MATCH($H475,生物种群!$A$3:INDEX(生物种群!$A:$A,COUNTA(生物种群!$A:$A)),),))</f>
        <v/>
      </c>
      <c r="J475" s="55" t="str">
        <f>IF(H475="","",INDEX(生物种群!$I$3:INDEX(生物种群!$I:$I,COUNTA(生物种群!$I:$I)),MATCH($H475,生物种群!$A$3:INDEX(生物种群!$A:$A,COUNTA(生物种群!$A:$A)),),))</f>
        <v/>
      </c>
      <c r="K475" s="55" t="str">
        <f>IF(H475="","",INDEX(生物种群!$E$3:INDEX(生物种群!$E:$E,COUNTA(生物种群!$E:$E)),MATCH($H475,生物种群!$A$3:INDEX(生物种群!$A:$A,COUNTA(生物种群!$A:$A)),),))</f>
        <v/>
      </c>
      <c r="L475" s="46" t="str">
        <f t="shared" si="27"/>
        <v/>
      </c>
      <c r="M475" s="47" t="str">
        <f>IF(L475="","",ROUND((L475)/VLOOKUP($F475,IF({1,0},站位样品信息!$A$3:INDEX(站位样品信息!$A:$A,COUNTA(站位样品信息!$A:$A)+1),站位样品信息!$H$3:INDEX(站位样品信息!$H:$H,COUNTA(站位样品信息!$H:$H)+1)),2,0),2))</f>
        <v/>
      </c>
      <c r="O475" s="49"/>
      <c r="P475" s="53" t="str">
        <f t="shared" si="25"/>
        <v/>
      </c>
      <c r="Q475" s="53" t="str">
        <f t="shared" si="26"/>
        <v/>
      </c>
    </row>
    <row r="476" spans="1:17" ht="19.5" customHeight="1">
      <c r="A476" s="38"/>
      <c r="B476" s="38"/>
      <c r="C476" s="38"/>
      <c r="D476" s="37"/>
      <c r="E476" s="37"/>
      <c r="F476" s="37"/>
      <c r="G476" s="37" t="str">
        <f>IF(F476="","",INDEX(站位样品信息!$B$3:INDEX(站位样品信息!$B:$B,COUNTA(站位样品信息!$B:$B)+1),MATCH($F476,站位样品信息!$A$3:INDEX(站位样品信息!$A:$A,COUNTA(站位样品信息!$A:$A)+1),),))</f>
        <v/>
      </c>
      <c r="H476" s="55" t="str">
        <f>IF(OR(A476&lt;&gt;"",B476&lt;&gt;"",C476&lt;&gt;""),IF($C476&lt;&gt;0,INDEX(生物种群!$A$3:INDEX(生物种群!$A:$A,COUNTA(生物种群!$A:$A)),MATCH($C476,生物种群!$F$3:INDEX(生物种群!$F:$F,COUNTA(生物种群!$F:$F)),),),IF($A476&lt;&gt;0,INDEX(生物种群!$A$3:INDEX(生物种群!$A:$A,COUNTA(生物种群!$A:$A)),MATCH($A476,生物种群!$C$3:INDEX(生物种群!$C:$C,COUNTA(生物种群!$C:$C)),),),INDEX(生物种群!$A$3:INDEX(生物种群!$A:$A,COUNTA(生物种群!$A:$A)),MATCH($B476,生物种群!$D$3:INDEX(生物种群!$D:$D,COUNTA(生物种群!$D:$D)),),))),"")</f>
        <v/>
      </c>
      <c r="I476" s="56" t="str">
        <f>IF(H476="","",INDEX(生物种群!$B$3:INDEX(生物种群!$B:$B,COUNTA(生物种群!$B:$B)),MATCH($H476,生物种群!$A$3:INDEX(生物种群!$A:$A,COUNTA(生物种群!$A:$A)),),))</f>
        <v/>
      </c>
      <c r="J476" s="55" t="str">
        <f>IF(H476="","",INDEX(生物种群!$I$3:INDEX(生物种群!$I:$I,COUNTA(生物种群!$I:$I)),MATCH($H476,生物种群!$A$3:INDEX(生物种群!$A:$A,COUNTA(生物种群!$A:$A)),),))</f>
        <v/>
      </c>
      <c r="K476" s="55" t="str">
        <f>IF(H476="","",INDEX(生物种群!$E$3:INDEX(生物种群!$E:$E,COUNTA(生物种群!$E:$E)),MATCH($H476,生物种群!$A$3:INDEX(生物种群!$A:$A,COUNTA(生物种群!$A:$A)),),))</f>
        <v/>
      </c>
      <c r="L476" s="46" t="str">
        <f t="shared" si="27"/>
        <v/>
      </c>
      <c r="M476" s="47" t="str">
        <f>IF(L476="","",ROUND((L476)/VLOOKUP($F476,IF({1,0},站位样品信息!$A$3:INDEX(站位样品信息!$A:$A,COUNTA(站位样品信息!$A:$A)+1),站位样品信息!$H$3:INDEX(站位样品信息!$H:$H,COUNTA(站位样品信息!$H:$H)+1)),2,0),2))</f>
        <v/>
      </c>
      <c r="O476" s="49"/>
      <c r="P476" s="53" t="str">
        <f t="shared" si="25"/>
        <v/>
      </c>
      <c r="Q476" s="53" t="str">
        <f t="shared" si="26"/>
        <v/>
      </c>
    </row>
    <row r="477" spans="1:17" ht="19.5" customHeight="1">
      <c r="A477" s="38"/>
      <c r="B477" s="38"/>
      <c r="C477" s="38"/>
      <c r="D477" s="37"/>
      <c r="E477" s="37"/>
      <c r="F477" s="37"/>
      <c r="G477" s="37" t="str">
        <f>IF(F477="","",INDEX(站位样品信息!$B$3:INDEX(站位样品信息!$B:$B,COUNTA(站位样品信息!$B:$B)+1),MATCH($F477,站位样品信息!$A$3:INDEX(站位样品信息!$A:$A,COUNTA(站位样品信息!$A:$A)+1),),))</f>
        <v/>
      </c>
      <c r="H477" s="55" t="str">
        <f>IF(OR(A477&lt;&gt;"",B477&lt;&gt;"",C477&lt;&gt;""),IF($C477&lt;&gt;0,INDEX(生物种群!$A$3:INDEX(生物种群!$A:$A,COUNTA(生物种群!$A:$A)),MATCH($C477,生物种群!$F$3:INDEX(生物种群!$F:$F,COUNTA(生物种群!$F:$F)),),),IF($A477&lt;&gt;0,INDEX(生物种群!$A$3:INDEX(生物种群!$A:$A,COUNTA(生物种群!$A:$A)),MATCH($A477,生物种群!$C$3:INDEX(生物种群!$C:$C,COUNTA(生物种群!$C:$C)),),),INDEX(生物种群!$A$3:INDEX(生物种群!$A:$A,COUNTA(生物种群!$A:$A)),MATCH($B477,生物种群!$D$3:INDEX(生物种群!$D:$D,COUNTA(生物种群!$D:$D)),),))),"")</f>
        <v/>
      </c>
      <c r="I477" s="56" t="str">
        <f>IF(H477="","",INDEX(生物种群!$B$3:INDEX(生物种群!$B:$B,COUNTA(生物种群!$B:$B)),MATCH($H477,生物种群!$A$3:INDEX(生物种群!$A:$A,COUNTA(生物种群!$A:$A)),),))</f>
        <v/>
      </c>
      <c r="J477" s="55" t="str">
        <f>IF(H477="","",INDEX(生物种群!$I$3:INDEX(生物种群!$I:$I,COUNTA(生物种群!$I:$I)),MATCH($H477,生物种群!$A$3:INDEX(生物种群!$A:$A,COUNTA(生物种群!$A:$A)),),))</f>
        <v/>
      </c>
      <c r="K477" s="55" t="str">
        <f>IF(H477="","",INDEX(生物种群!$E$3:INDEX(生物种群!$E:$E,COUNTA(生物种群!$E:$E)),MATCH($H477,生物种群!$A$3:INDEX(生物种群!$A:$A,COUNTA(生物种群!$A:$A)),),))</f>
        <v/>
      </c>
      <c r="L477" s="46" t="str">
        <f t="shared" si="27"/>
        <v/>
      </c>
      <c r="M477" s="47" t="str">
        <f>IF(L477="","",ROUND((L477)/VLOOKUP($F477,IF({1,0},站位样品信息!$A$3:INDEX(站位样品信息!$A:$A,COUNTA(站位样品信息!$A:$A)+1),站位样品信息!$H$3:INDEX(站位样品信息!$H:$H,COUNTA(站位样品信息!$H:$H)+1)),2,0),2))</f>
        <v/>
      </c>
      <c r="O477" s="49"/>
      <c r="P477" s="53" t="str">
        <f t="shared" si="25"/>
        <v/>
      </c>
      <c r="Q477" s="53" t="str">
        <f t="shared" si="26"/>
        <v/>
      </c>
    </row>
    <row r="478" spans="1:17" ht="19.5" customHeight="1">
      <c r="A478" s="38"/>
      <c r="B478" s="38"/>
      <c r="C478" s="38"/>
      <c r="D478" s="37"/>
      <c r="E478" s="37"/>
      <c r="F478" s="37"/>
      <c r="G478" s="37" t="str">
        <f>IF(F478="","",INDEX(站位样品信息!$B$3:INDEX(站位样品信息!$B:$B,COUNTA(站位样品信息!$B:$B)+1),MATCH($F478,站位样品信息!$A$3:INDEX(站位样品信息!$A:$A,COUNTA(站位样品信息!$A:$A)+1),),))</f>
        <v/>
      </c>
      <c r="H478" s="55" t="str">
        <f>IF(OR(A478&lt;&gt;"",B478&lt;&gt;"",C478&lt;&gt;""),IF($C478&lt;&gt;0,INDEX(生物种群!$A$3:INDEX(生物种群!$A:$A,COUNTA(生物种群!$A:$A)),MATCH($C478,生物种群!$F$3:INDEX(生物种群!$F:$F,COUNTA(生物种群!$F:$F)),),),IF($A478&lt;&gt;0,INDEX(生物种群!$A$3:INDEX(生物种群!$A:$A,COUNTA(生物种群!$A:$A)),MATCH($A478,生物种群!$C$3:INDEX(生物种群!$C:$C,COUNTA(生物种群!$C:$C)),),),INDEX(生物种群!$A$3:INDEX(生物种群!$A:$A,COUNTA(生物种群!$A:$A)),MATCH($B478,生物种群!$D$3:INDEX(生物种群!$D:$D,COUNTA(生物种群!$D:$D)),),))),"")</f>
        <v/>
      </c>
      <c r="I478" s="56" t="str">
        <f>IF(H478="","",INDEX(生物种群!$B$3:INDEX(生物种群!$B:$B,COUNTA(生物种群!$B:$B)),MATCH($H478,生物种群!$A$3:INDEX(生物种群!$A:$A,COUNTA(生物种群!$A:$A)),),))</f>
        <v/>
      </c>
      <c r="J478" s="55" t="str">
        <f>IF(H478="","",INDEX(生物种群!$I$3:INDEX(生物种群!$I:$I,COUNTA(生物种群!$I:$I)),MATCH($H478,生物种群!$A$3:INDEX(生物种群!$A:$A,COUNTA(生物种群!$A:$A)),),))</f>
        <v/>
      </c>
      <c r="K478" s="55" t="str">
        <f>IF(H478="","",INDEX(生物种群!$E$3:INDEX(生物种群!$E:$E,COUNTA(生物种群!$E:$E)),MATCH($H478,生物种群!$A$3:INDEX(生物种群!$A:$A,COUNTA(生物种群!$A:$A)),),))</f>
        <v/>
      </c>
      <c r="L478" s="46" t="str">
        <f t="shared" si="27"/>
        <v/>
      </c>
      <c r="M478" s="47" t="str">
        <f>IF(L478="","",ROUND((L478)/VLOOKUP($F478,IF({1,0},站位样品信息!$A$3:INDEX(站位样品信息!$A:$A,COUNTA(站位样品信息!$A:$A)+1),站位样品信息!$H$3:INDEX(站位样品信息!$H:$H,COUNTA(站位样品信息!$H:$H)+1)),2,0),2))</f>
        <v/>
      </c>
      <c r="O478" s="49"/>
      <c r="P478" s="53" t="str">
        <f t="shared" si="25"/>
        <v/>
      </c>
      <c r="Q478" s="53" t="str">
        <f t="shared" si="26"/>
        <v/>
      </c>
    </row>
    <row r="479" spans="1:17" ht="19.5" customHeight="1">
      <c r="A479" s="38"/>
      <c r="B479" s="38"/>
      <c r="C479" s="38"/>
      <c r="D479" s="37"/>
      <c r="E479" s="37"/>
      <c r="F479" s="37"/>
      <c r="G479" s="37" t="str">
        <f>IF(F479="","",INDEX(站位样品信息!$B$3:INDEX(站位样品信息!$B:$B,COUNTA(站位样品信息!$B:$B)+1),MATCH($F479,站位样品信息!$A$3:INDEX(站位样品信息!$A:$A,COUNTA(站位样品信息!$A:$A)+1),),))</f>
        <v/>
      </c>
      <c r="H479" s="55" t="str">
        <f>IF(OR(A479&lt;&gt;"",B479&lt;&gt;"",C479&lt;&gt;""),IF($C479&lt;&gt;0,INDEX(生物种群!$A$3:INDEX(生物种群!$A:$A,COUNTA(生物种群!$A:$A)),MATCH($C479,生物种群!$F$3:INDEX(生物种群!$F:$F,COUNTA(生物种群!$F:$F)),),),IF($A479&lt;&gt;0,INDEX(生物种群!$A$3:INDEX(生物种群!$A:$A,COUNTA(生物种群!$A:$A)),MATCH($A479,生物种群!$C$3:INDEX(生物种群!$C:$C,COUNTA(生物种群!$C:$C)),),),INDEX(生物种群!$A$3:INDEX(生物种群!$A:$A,COUNTA(生物种群!$A:$A)),MATCH($B479,生物种群!$D$3:INDEX(生物种群!$D:$D,COUNTA(生物种群!$D:$D)),),))),"")</f>
        <v/>
      </c>
      <c r="I479" s="56" t="str">
        <f>IF(H479="","",INDEX(生物种群!$B$3:INDEX(生物种群!$B:$B,COUNTA(生物种群!$B:$B)),MATCH($H479,生物种群!$A$3:INDEX(生物种群!$A:$A,COUNTA(生物种群!$A:$A)),),))</f>
        <v/>
      </c>
      <c r="J479" s="55" t="str">
        <f>IF(H479="","",INDEX(生物种群!$I$3:INDEX(生物种群!$I:$I,COUNTA(生物种群!$I:$I)),MATCH($H479,生物种群!$A$3:INDEX(生物种群!$A:$A,COUNTA(生物种群!$A:$A)),),))</f>
        <v/>
      </c>
      <c r="K479" s="55" t="str">
        <f>IF(H479="","",INDEX(生物种群!$E$3:INDEX(生物种群!$E:$E,COUNTA(生物种群!$E:$E)),MATCH($H479,生物种群!$A$3:INDEX(生物种群!$A:$A,COUNTA(生物种群!$A:$A)),),))</f>
        <v/>
      </c>
      <c r="L479" s="46" t="str">
        <f t="shared" si="27"/>
        <v/>
      </c>
      <c r="M479" s="47" t="str">
        <f>IF(L479="","",ROUND((L479)/VLOOKUP($F479,IF({1,0},站位样品信息!$A$3:INDEX(站位样品信息!$A:$A,COUNTA(站位样品信息!$A:$A)+1),站位样品信息!$H$3:INDEX(站位样品信息!$H:$H,COUNTA(站位样品信息!$H:$H)+1)),2,0),2))</f>
        <v/>
      </c>
      <c r="O479" s="49"/>
      <c r="P479" s="53" t="str">
        <f t="shared" si="25"/>
        <v/>
      </c>
      <c r="Q479" s="53" t="str">
        <f t="shared" si="26"/>
        <v/>
      </c>
    </row>
    <row r="480" spans="1:17" ht="19.5" customHeight="1">
      <c r="A480" s="38"/>
      <c r="B480" s="38"/>
      <c r="C480" s="38"/>
      <c r="D480" s="37"/>
      <c r="E480" s="37"/>
      <c r="F480" s="37"/>
      <c r="G480" s="37" t="str">
        <f>IF(F480="","",INDEX(站位样品信息!$B$3:INDEX(站位样品信息!$B:$B,COUNTA(站位样品信息!$B:$B)+1),MATCH($F480,站位样品信息!$A$3:INDEX(站位样品信息!$A:$A,COUNTA(站位样品信息!$A:$A)+1),),))</f>
        <v/>
      </c>
      <c r="H480" s="55" t="str">
        <f>IF(OR(A480&lt;&gt;"",B480&lt;&gt;"",C480&lt;&gt;""),IF($C480&lt;&gt;0,INDEX(生物种群!$A$3:INDEX(生物种群!$A:$A,COUNTA(生物种群!$A:$A)),MATCH($C480,生物种群!$F$3:INDEX(生物种群!$F:$F,COUNTA(生物种群!$F:$F)),),),IF($A480&lt;&gt;0,INDEX(生物种群!$A$3:INDEX(生物种群!$A:$A,COUNTA(生物种群!$A:$A)),MATCH($A480,生物种群!$C$3:INDEX(生物种群!$C:$C,COUNTA(生物种群!$C:$C)),),),INDEX(生物种群!$A$3:INDEX(生物种群!$A:$A,COUNTA(生物种群!$A:$A)),MATCH($B480,生物种群!$D$3:INDEX(生物种群!$D:$D,COUNTA(生物种群!$D:$D)),),))),"")</f>
        <v/>
      </c>
      <c r="I480" s="56" t="str">
        <f>IF(H480="","",INDEX(生物种群!$B$3:INDEX(生物种群!$B:$B,COUNTA(生物种群!$B:$B)),MATCH($H480,生物种群!$A$3:INDEX(生物种群!$A:$A,COUNTA(生物种群!$A:$A)),),))</f>
        <v/>
      </c>
      <c r="J480" s="55" t="str">
        <f>IF(H480="","",INDEX(生物种群!$I$3:INDEX(生物种群!$I:$I,COUNTA(生物种群!$I:$I)),MATCH($H480,生物种群!$A$3:INDEX(生物种群!$A:$A,COUNTA(生物种群!$A:$A)),),))</f>
        <v/>
      </c>
      <c r="K480" s="55" t="str">
        <f>IF(H480="","",INDEX(生物种群!$E$3:INDEX(生物种群!$E:$E,COUNTA(生物种群!$E:$E)),MATCH($H480,生物种群!$A$3:INDEX(生物种群!$A:$A,COUNTA(生物种群!$A:$A)),),))</f>
        <v/>
      </c>
      <c r="L480" s="46" t="str">
        <f t="shared" si="27"/>
        <v/>
      </c>
      <c r="M480" s="47" t="str">
        <f>IF(L480="","",ROUND((L480)/VLOOKUP($F480,IF({1,0},站位样品信息!$A$3:INDEX(站位样品信息!$A:$A,COUNTA(站位样品信息!$A:$A)+1),站位样品信息!$H$3:INDEX(站位样品信息!$H:$H,COUNTA(站位样品信息!$H:$H)+1)),2,0),2))</f>
        <v/>
      </c>
      <c r="O480" s="49"/>
      <c r="P480" s="53" t="str">
        <f t="shared" si="25"/>
        <v/>
      </c>
      <c r="Q480" s="53" t="str">
        <f t="shared" si="26"/>
        <v/>
      </c>
    </row>
    <row r="481" spans="1:17" ht="19.5" customHeight="1">
      <c r="A481" s="38"/>
      <c r="B481" s="38"/>
      <c r="C481" s="38"/>
      <c r="D481" s="37"/>
      <c r="E481" s="37"/>
      <c r="F481" s="37"/>
      <c r="G481" s="37" t="str">
        <f>IF(F481="","",INDEX(站位样品信息!$B$3:INDEX(站位样品信息!$B:$B,COUNTA(站位样品信息!$B:$B)+1),MATCH($F481,站位样品信息!$A$3:INDEX(站位样品信息!$A:$A,COUNTA(站位样品信息!$A:$A)+1),),))</f>
        <v/>
      </c>
      <c r="H481" s="55" t="str">
        <f>IF(OR(A481&lt;&gt;"",B481&lt;&gt;"",C481&lt;&gt;""),IF($C481&lt;&gt;0,INDEX(生物种群!$A$3:INDEX(生物种群!$A:$A,COUNTA(生物种群!$A:$A)),MATCH($C481,生物种群!$F$3:INDEX(生物种群!$F:$F,COUNTA(生物种群!$F:$F)),),),IF($A481&lt;&gt;0,INDEX(生物种群!$A$3:INDEX(生物种群!$A:$A,COUNTA(生物种群!$A:$A)),MATCH($A481,生物种群!$C$3:INDEX(生物种群!$C:$C,COUNTA(生物种群!$C:$C)),),),INDEX(生物种群!$A$3:INDEX(生物种群!$A:$A,COUNTA(生物种群!$A:$A)),MATCH($B481,生物种群!$D$3:INDEX(生物种群!$D:$D,COUNTA(生物种群!$D:$D)),),))),"")</f>
        <v/>
      </c>
      <c r="I481" s="56" t="str">
        <f>IF(H481="","",INDEX(生物种群!$B$3:INDEX(生物种群!$B:$B,COUNTA(生物种群!$B:$B)),MATCH($H481,生物种群!$A$3:INDEX(生物种群!$A:$A,COUNTA(生物种群!$A:$A)),),))</f>
        <v/>
      </c>
      <c r="J481" s="55" t="str">
        <f>IF(H481="","",INDEX(生物种群!$I$3:INDEX(生物种群!$I:$I,COUNTA(生物种群!$I:$I)),MATCH($H481,生物种群!$A$3:INDEX(生物种群!$A:$A,COUNTA(生物种群!$A:$A)),),))</f>
        <v/>
      </c>
      <c r="K481" s="55" t="str">
        <f>IF(H481="","",INDEX(生物种群!$E$3:INDEX(生物种群!$E:$E,COUNTA(生物种群!$E:$E)),MATCH($H481,生物种群!$A$3:INDEX(生物种群!$A:$A,COUNTA(生物种群!$A:$A)),),))</f>
        <v/>
      </c>
      <c r="L481" s="46" t="str">
        <f t="shared" si="27"/>
        <v/>
      </c>
      <c r="M481" s="47" t="str">
        <f>IF(L481="","",ROUND((L481)/VLOOKUP($F481,IF({1,0},站位样品信息!$A$3:INDEX(站位样品信息!$A:$A,COUNTA(站位样品信息!$A:$A)+1),站位样品信息!$H$3:INDEX(站位样品信息!$H:$H,COUNTA(站位样品信息!$H:$H)+1)),2,0),2))</f>
        <v/>
      </c>
      <c r="O481" s="49"/>
      <c r="P481" s="53" t="str">
        <f t="shared" si="25"/>
        <v/>
      </c>
      <c r="Q481" s="53" t="str">
        <f t="shared" si="26"/>
        <v/>
      </c>
    </row>
    <row r="482" spans="1:17" ht="19.5" customHeight="1">
      <c r="A482" s="38"/>
      <c r="B482" s="38"/>
      <c r="C482" s="38"/>
      <c r="D482" s="37"/>
      <c r="E482" s="37"/>
      <c r="F482" s="37"/>
      <c r="G482" s="37" t="str">
        <f>IF(F482="","",INDEX(站位样品信息!$B$3:INDEX(站位样品信息!$B:$B,COUNTA(站位样品信息!$B:$B)+1),MATCH($F482,站位样品信息!$A$3:INDEX(站位样品信息!$A:$A,COUNTA(站位样品信息!$A:$A)+1),),))</f>
        <v/>
      </c>
      <c r="H482" s="55" t="str">
        <f>IF(OR(A482&lt;&gt;"",B482&lt;&gt;"",C482&lt;&gt;""),IF($C482&lt;&gt;0,INDEX(生物种群!$A$3:INDEX(生物种群!$A:$A,COUNTA(生物种群!$A:$A)),MATCH($C482,生物种群!$F$3:INDEX(生物种群!$F:$F,COUNTA(生物种群!$F:$F)),),),IF($A482&lt;&gt;0,INDEX(生物种群!$A$3:INDEX(生物种群!$A:$A,COUNTA(生物种群!$A:$A)),MATCH($A482,生物种群!$C$3:INDEX(生物种群!$C:$C,COUNTA(生物种群!$C:$C)),),),INDEX(生物种群!$A$3:INDEX(生物种群!$A:$A,COUNTA(生物种群!$A:$A)),MATCH($B482,生物种群!$D$3:INDEX(生物种群!$D:$D,COUNTA(生物种群!$D:$D)),),))),"")</f>
        <v/>
      </c>
      <c r="I482" s="56" t="str">
        <f>IF(H482="","",INDEX(生物种群!$B$3:INDEX(生物种群!$B:$B,COUNTA(生物种群!$B:$B)),MATCH($H482,生物种群!$A$3:INDEX(生物种群!$A:$A,COUNTA(生物种群!$A:$A)),),))</f>
        <v/>
      </c>
      <c r="J482" s="55" t="str">
        <f>IF(H482="","",INDEX(生物种群!$I$3:INDEX(生物种群!$I:$I,COUNTA(生物种群!$I:$I)),MATCH($H482,生物种群!$A$3:INDEX(生物种群!$A:$A,COUNTA(生物种群!$A:$A)),),))</f>
        <v/>
      </c>
      <c r="K482" s="55" t="str">
        <f>IF(H482="","",INDEX(生物种群!$E$3:INDEX(生物种群!$E:$E,COUNTA(生物种群!$E:$E)),MATCH($H482,生物种群!$A$3:INDEX(生物种群!$A:$A,COUNTA(生物种群!$A:$A)),),))</f>
        <v/>
      </c>
      <c r="L482" s="46" t="str">
        <f t="shared" si="27"/>
        <v/>
      </c>
      <c r="M482" s="47" t="str">
        <f>IF(L482="","",ROUND((L482)/VLOOKUP($F482,IF({1,0},站位样品信息!$A$3:INDEX(站位样品信息!$A:$A,COUNTA(站位样品信息!$A:$A)+1),站位样品信息!$H$3:INDEX(站位样品信息!$H:$H,COUNTA(站位样品信息!$H:$H)+1)),2,0),2))</f>
        <v/>
      </c>
      <c r="O482" s="49"/>
      <c r="P482" s="53" t="str">
        <f t="shared" si="25"/>
        <v/>
      </c>
      <c r="Q482" s="53" t="str">
        <f t="shared" si="26"/>
        <v/>
      </c>
    </row>
    <row r="483" spans="1:17" ht="19.5" customHeight="1">
      <c r="A483" s="38"/>
      <c r="B483" s="38"/>
      <c r="C483" s="38"/>
      <c r="D483" s="37"/>
      <c r="E483" s="37"/>
      <c r="F483" s="37"/>
      <c r="G483" s="37" t="str">
        <f>IF(F483="","",INDEX(站位样品信息!$B$3:INDEX(站位样品信息!$B:$B,COUNTA(站位样品信息!$B:$B)+1),MATCH($F483,站位样品信息!$A$3:INDEX(站位样品信息!$A:$A,COUNTA(站位样品信息!$A:$A)+1),),))</f>
        <v/>
      </c>
      <c r="H483" s="55" t="str">
        <f>IF(OR(A483&lt;&gt;"",B483&lt;&gt;"",C483&lt;&gt;""),IF($C483&lt;&gt;0,INDEX(生物种群!$A$3:INDEX(生物种群!$A:$A,COUNTA(生物种群!$A:$A)),MATCH($C483,生物种群!$F$3:INDEX(生物种群!$F:$F,COUNTA(生物种群!$F:$F)),),),IF($A483&lt;&gt;0,INDEX(生物种群!$A$3:INDEX(生物种群!$A:$A,COUNTA(生物种群!$A:$A)),MATCH($A483,生物种群!$C$3:INDEX(生物种群!$C:$C,COUNTA(生物种群!$C:$C)),),),INDEX(生物种群!$A$3:INDEX(生物种群!$A:$A,COUNTA(生物种群!$A:$A)),MATCH($B483,生物种群!$D$3:INDEX(生物种群!$D:$D,COUNTA(生物种群!$D:$D)),),))),"")</f>
        <v/>
      </c>
      <c r="I483" s="56" t="str">
        <f>IF(H483="","",INDEX(生物种群!$B$3:INDEX(生物种群!$B:$B,COUNTA(生物种群!$B:$B)),MATCH($H483,生物种群!$A$3:INDEX(生物种群!$A:$A,COUNTA(生物种群!$A:$A)),),))</f>
        <v/>
      </c>
      <c r="J483" s="55" t="str">
        <f>IF(H483="","",INDEX(生物种群!$I$3:INDEX(生物种群!$I:$I,COUNTA(生物种群!$I:$I)),MATCH($H483,生物种群!$A$3:INDEX(生物种群!$A:$A,COUNTA(生物种群!$A:$A)),),))</f>
        <v/>
      </c>
      <c r="K483" s="55" t="str">
        <f>IF(H483="","",INDEX(生物种群!$E$3:INDEX(生物种群!$E:$E,COUNTA(生物种群!$E:$E)),MATCH($H483,生物种群!$A$3:INDEX(生物种群!$A:$A,COUNTA(生物种群!$A:$A)),),))</f>
        <v/>
      </c>
      <c r="L483" s="46" t="str">
        <f t="shared" si="27"/>
        <v/>
      </c>
      <c r="M483" s="47" t="str">
        <f>IF(L483="","",ROUND((L483)/VLOOKUP($F483,IF({1,0},站位样品信息!$A$3:INDEX(站位样品信息!$A:$A,COUNTA(站位样品信息!$A:$A)+1),站位样品信息!$H$3:INDEX(站位样品信息!$H:$H,COUNTA(站位样品信息!$H:$H)+1)),2,0),2))</f>
        <v/>
      </c>
      <c r="O483" s="49"/>
      <c r="P483" s="53" t="str">
        <f t="shared" si="25"/>
        <v/>
      </c>
      <c r="Q483" s="53" t="str">
        <f t="shared" si="26"/>
        <v/>
      </c>
    </row>
    <row r="484" spans="1:17" ht="19.5" customHeight="1">
      <c r="A484" s="38"/>
      <c r="B484" s="38"/>
      <c r="C484" s="38"/>
      <c r="D484" s="37"/>
      <c r="E484" s="37"/>
      <c r="F484" s="37"/>
      <c r="G484" s="37" t="str">
        <f>IF(F484="","",INDEX(站位样品信息!$B$3:INDEX(站位样品信息!$B:$B,COUNTA(站位样品信息!$B:$B)+1),MATCH($F484,站位样品信息!$A$3:INDEX(站位样品信息!$A:$A,COUNTA(站位样品信息!$A:$A)+1),),))</f>
        <v/>
      </c>
      <c r="H484" s="55" t="str">
        <f>IF(OR(A484&lt;&gt;"",B484&lt;&gt;"",C484&lt;&gt;""),IF($C484&lt;&gt;0,INDEX(生物种群!$A$3:INDEX(生物种群!$A:$A,COUNTA(生物种群!$A:$A)),MATCH($C484,生物种群!$F$3:INDEX(生物种群!$F:$F,COUNTA(生物种群!$F:$F)),),),IF($A484&lt;&gt;0,INDEX(生物种群!$A$3:INDEX(生物种群!$A:$A,COUNTA(生物种群!$A:$A)),MATCH($A484,生物种群!$C$3:INDEX(生物种群!$C:$C,COUNTA(生物种群!$C:$C)),),),INDEX(生物种群!$A$3:INDEX(生物种群!$A:$A,COUNTA(生物种群!$A:$A)),MATCH($B484,生物种群!$D$3:INDEX(生物种群!$D:$D,COUNTA(生物种群!$D:$D)),),))),"")</f>
        <v/>
      </c>
      <c r="I484" s="56" t="str">
        <f>IF(H484="","",INDEX(生物种群!$B$3:INDEX(生物种群!$B:$B,COUNTA(生物种群!$B:$B)),MATCH($H484,生物种群!$A$3:INDEX(生物种群!$A:$A,COUNTA(生物种群!$A:$A)),),))</f>
        <v/>
      </c>
      <c r="J484" s="55" t="str">
        <f>IF(H484="","",INDEX(生物种群!$I$3:INDEX(生物种群!$I:$I,COUNTA(生物种群!$I:$I)),MATCH($H484,生物种群!$A$3:INDEX(生物种群!$A:$A,COUNTA(生物种群!$A:$A)),),))</f>
        <v/>
      </c>
      <c r="K484" s="55" t="str">
        <f>IF(H484="","",INDEX(生物种群!$E$3:INDEX(生物种群!$E:$E,COUNTA(生物种群!$E:$E)),MATCH($H484,生物种群!$A$3:INDEX(生物种群!$A:$A,COUNTA(生物种群!$A:$A)),),))</f>
        <v/>
      </c>
      <c r="L484" s="46" t="str">
        <f t="shared" si="27"/>
        <v/>
      </c>
      <c r="M484" s="47" t="str">
        <f>IF(L484="","",ROUND((L484)/VLOOKUP($F484,IF({1,0},站位样品信息!$A$3:INDEX(站位样品信息!$A:$A,COUNTA(站位样品信息!$A:$A)+1),站位样品信息!$H$3:INDEX(站位样品信息!$H:$H,COUNTA(站位样品信息!$H:$H)+1)),2,0),2))</f>
        <v/>
      </c>
      <c r="O484" s="49"/>
      <c r="P484" s="53" t="str">
        <f t="shared" si="25"/>
        <v/>
      </c>
      <c r="Q484" s="53" t="str">
        <f t="shared" si="26"/>
        <v/>
      </c>
    </row>
    <row r="485" spans="1:17" ht="19.5" customHeight="1">
      <c r="A485" s="38"/>
      <c r="B485" s="38"/>
      <c r="C485" s="38"/>
      <c r="D485" s="37"/>
      <c r="E485" s="37"/>
      <c r="F485" s="37"/>
      <c r="G485" s="37" t="str">
        <f>IF(F485="","",INDEX(站位样品信息!$B$3:INDEX(站位样品信息!$B:$B,COUNTA(站位样品信息!$B:$B)+1),MATCH($F485,站位样品信息!$A$3:INDEX(站位样品信息!$A:$A,COUNTA(站位样品信息!$A:$A)+1),),))</f>
        <v/>
      </c>
      <c r="H485" s="55" t="str">
        <f>IF(OR(A485&lt;&gt;"",B485&lt;&gt;"",C485&lt;&gt;""),IF($C485&lt;&gt;0,INDEX(生物种群!$A$3:INDEX(生物种群!$A:$A,COUNTA(生物种群!$A:$A)),MATCH($C485,生物种群!$F$3:INDEX(生物种群!$F:$F,COUNTA(生物种群!$F:$F)),),),IF($A485&lt;&gt;0,INDEX(生物种群!$A$3:INDEX(生物种群!$A:$A,COUNTA(生物种群!$A:$A)),MATCH($A485,生物种群!$C$3:INDEX(生物种群!$C:$C,COUNTA(生物种群!$C:$C)),),),INDEX(生物种群!$A$3:INDEX(生物种群!$A:$A,COUNTA(生物种群!$A:$A)),MATCH($B485,生物种群!$D$3:INDEX(生物种群!$D:$D,COUNTA(生物种群!$D:$D)),),))),"")</f>
        <v/>
      </c>
      <c r="I485" s="56" t="str">
        <f>IF(H485="","",INDEX(生物种群!$B$3:INDEX(生物种群!$B:$B,COUNTA(生物种群!$B:$B)),MATCH($H485,生物种群!$A$3:INDEX(生物种群!$A:$A,COUNTA(生物种群!$A:$A)),),))</f>
        <v/>
      </c>
      <c r="J485" s="55" t="str">
        <f>IF(H485="","",INDEX(生物种群!$I$3:INDEX(生物种群!$I:$I,COUNTA(生物种群!$I:$I)),MATCH($H485,生物种群!$A$3:INDEX(生物种群!$A:$A,COUNTA(生物种群!$A:$A)),),))</f>
        <v/>
      </c>
      <c r="K485" s="55" t="str">
        <f>IF(H485="","",INDEX(生物种群!$E$3:INDEX(生物种群!$E:$E,COUNTA(生物种群!$E:$E)),MATCH($H485,生物种群!$A$3:INDEX(生物种群!$A:$A,COUNTA(生物种群!$A:$A)),),))</f>
        <v/>
      </c>
      <c r="L485" s="46" t="str">
        <f t="shared" si="27"/>
        <v/>
      </c>
      <c r="M485" s="47" t="str">
        <f>IF(L485="","",ROUND((L485)/VLOOKUP($F485,IF({1,0},站位样品信息!$A$3:INDEX(站位样品信息!$A:$A,COUNTA(站位样品信息!$A:$A)+1),站位样品信息!$H$3:INDEX(站位样品信息!$H:$H,COUNTA(站位样品信息!$H:$H)+1)),2,0),2))</f>
        <v/>
      </c>
      <c r="O485" s="49"/>
      <c r="P485" s="53" t="str">
        <f t="shared" si="25"/>
        <v/>
      </c>
      <c r="Q485" s="53" t="str">
        <f t="shared" si="26"/>
        <v/>
      </c>
    </row>
    <row r="486" spans="1:17" ht="19.5" customHeight="1">
      <c r="A486" s="38"/>
      <c r="B486" s="38"/>
      <c r="C486" s="38"/>
      <c r="D486" s="37"/>
      <c r="E486" s="37"/>
      <c r="F486" s="37"/>
      <c r="G486" s="37" t="str">
        <f>IF(F486="","",INDEX(站位样品信息!$B$3:INDEX(站位样品信息!$B:$B,COUNTA(站位样品信息!$B:$B)+1),MATCH($F486,站位样品信息!$A$3:INDEX(站位样品信息!$A:$A,COUNTA(站位样品信息!$A:$A)+1),),))</f>
        <v/>
      </c>
      <c r="H486" s="55" t="str">
        <f>IF(OR(A486&lt;&gt;"",B486&lt;&gt;"",C486&lt;&gt;""),IF($C486&lt;&gt;0,INDEX(生物种群!$A$3:INDEX(生物种群!$A:$A,COUNTA(生物种群!$A:$A)),MATCH($C486,生物种群!$F$3:INDEX(生物种群!$F:$F,COUNTA(生物种群!$F:$F)),),),IF($A486&lt;&gt;0,INDEX(生物种群!$A$3:INDEX(生物种群!$A:$A,COUNTA(生物种群!$A:$A)),MATCH($A486,生物种群!$C$3:INDEX(生物种群!$C:$C,COUNTA(生物种群!$C:$C)),),),INDEX(生物种群!$A$3:INDEX(生物种群!$A:$A,COUNTA(生物种群!$A:$A)),MATCH($B486,生物种群!$D$3:INDEX(生物种群!$D:$D,COUNTA(生物种群!$D:$D)),),))),"")</f>
        <v/>
      </c>
      <c r="I486" s="56" t="str">
        <f>IF(H486="","",INDEX(生物种群!$B$3:INDEX(生物种群!$B:$B,COUNTA(生物种群!$B:$B)),MATCH($H486,生物种群!$A$3:INDEX(生物种群!$A:$A,COUNTA(生物种群!$A:$A)),),))</f>
        <v/>
      </c>
      <c r="J486" s="55" t="str">
        <f>IF(H486="","",INDEX(生物种群!$I$3:INDEX(生物种群!$I:$I,COUNTA(生物种群!$I:$I)),MATCH($H486,生物种群!$A$3:INDEX(生物种群!$A:$A,COUNTA(生物种群!$A:$A)),),))</f>
        <v/>
      </c>
      <c r="K486" s="55" t="str">
        <f>IF(H486="","",INDEX(生物种群!$E$3:INDEX(生物种群!$E:$E,COUNTA(生物种群!$E:$E)),MATCH($H486,生物种群!$A$3:INDEX(生物种群!$A:$A,COUNTA(生物种群!$A:$A)),),))</f>
        <v/>
      </c>
      <c r="L486" s="46" t="str">
        <f t="shared" si="27"/>
        <v/>
      </c>
      <c r="M486" s="47" t="str">
        <f>IF(L486="","",ROUND((L486)/VLOOKUP($F486,IF({1,0},站位样品信息!$A$3:INDEX(站位样品信息!$A:$A,COUNTA(站位样品信息!$A:$A)+1),站位样品信息!$H$3:INDEX(站位样品信息!$H:$H,COUNTA(站位样品信息!$H:$H)+1)),2,0),2))</f>
        <v/>
      </c>
      <c r="O486" s="49"/>
      <c r="P486" s="53" t="str">
        <f t="shared" si="25"/>
        <v/>
      </c>
      <c r="Q486" s="53" t="str">
        <f t="shared" si="26"/>
        <v/>
      </c>
    </row>
    <row r="487" spans="1:17" ht="19.5" customHeight="1">
      <c r="A487" s="38"/>
      <c r="B487" s="38"/>
      <c r="C487" s="38"/>
      <c r="D487" s="37"/>
      <c r="E487" s="37"/>
      <c r="F487" s="37"/>
      <c r="G487" s="37" t="str">
        <f>IF(F487="","",INDEX(站位样品信息!$B$3:INDEX(站位样品信息!$B:$B,COUNTA(站位样品信息!$B:$B)+1),MATCH($F487,站位样品信息!$A$3:INDEX(站位样品信息!$A:$A,COUNTA(站位样品信息!$A:$A)+1),),))</f>
        <v/>
      </c>
      <c r="H487" s="55" t="str">
        <f>IF(OR(A487&lt;&gt;"",B487&lt;&gt;"",C487&lt;&gt;""),IF($C487&lt;&gt;0,INDEX(生物种群!$A$3:INDEX(生物种群!$A:$A,COUNTA(生物种群!$A:$A)),MATCH($C487,生物种群!$F$3:INDEX(生物种群!$F:$F,COUNTA(生物种群!$F:$F)),),),IF($A487&lt;&gt;0,INDEX(生物种群!$A$3:INDEX(生物种群!$A:$A,COUNTA(生物种群!$A:$A)),MATCH($A487,生物种群!$C$3:INDEX(生物种群!$C:$C,COUNTA(生物种群!$C:$C)),),),INDEX(生物种群!$A$3:INDEX(生物种群!$A:$A,COUNTA(生物种群!$A:$A)),MATCH($B487,生物种群!$D$3:INDEX(生物种群!$D:$D,COUNTA(生物种群!$D:$D)),),))),"")</f>
        <v/>
      </c>
      <c r="I487" s="56" t="str">
        <f>IF(H487="","",INDEX(生物种群!$B$3:INDEX(生物种群!$B:$B,COUNTA(生物种群!$B:$B)),MATCH($H487,生物种群!$A$3:INDEX(生物种群!$A:$A,COUNTA(生物种群!$A:$A)),),))</f>
        <v/>
      </c>
      <c r="J487" s="55" t="str">
        <f>IF(H487="","",INDEX(生物种群!$I$3:INDEX(生物种群!$I:$I,COUNTA(生物种群!$I:$I)),MATCH($H487,生物种群!$A$3:INDEX(生物种群!$A:$A,COUNTA(生物种群!$A:$A)),),))</f>
        <v/>
      </c>
      <c r="K487" s="55" t="str">
        <f>IF(H487="","",INDEX(生物种群!$E$3:INDEX(生物种群!$E:$E,COUNTA(生物种群!$E:$E)),MATCH($H487,生物种群!$A$3:INDEX(生物种群!$A:$A,COUNTA(生物种群!$A:$A)),),))</f>
        <v/>
      </c>
      <c r="L487" s="46" t="str">
        <f t="shared" si="27"/>
        <v/>
      </c>
      <c r="M487" s="47" t="str">
        <f>IF(L487="","",ROUND((L487)/VLOOKUP($F487,IF({1,0},站位样品信息!$A$3:INDEX(站位样品信息!$A:$A,COUNTA(站位样品信息!$A:$A)+1),站位样品信息!$H$3:INDEX(站位样品信息!$H:$H,COUNTA(站位样品信息!$H:$H)+1)),2,0),2))</f>
        <v/>
      </c>
      <c r="O487" s="49"/>
      <c r="P487" s="53" t="str">
        <f t="shared" si="25"/>
        <v/>
      </c>
      <c r="Q487" s="53" t="str">
        <f t="shared" si="26"/>
        <v/>
      </c>
    </row>
    <row r="488" spans="1:17" ht="19.5" customHeight="1">
      <c r="A488" s="38"/>
      <c r="B488" s="38"/>
      <c r="C488" s="38"/>
      <c r="D488" s="37"/>
      <c r="E488" s="37"/>
      <c r="F488" s="37"/>
      <c r="G488" s="37" t="str">
        <f>IF(F488="","",INDEX(站位样品信息!$B$3:INDEX(站位样品信息!$B:$B,COUNTA(站位样品信息!$B:$B)+1),MATCH($F488,站位样品信息!$A$3:INDEX(站位样品信息!$A:$A,COUNTA(站位样品信息!$A:$A)+1),),))</f>
        <v/>
      </c>
      <c r="H488" s="55" t="str">
        <f>IF(OR(A488&lt;&gt;"",B488&lt;&gt;"",C488&lt;&gt;""),IF($C488&lt;&gt;0,INDEX(生物种群!$A$3:INDEX(生物种群!$A:$A,COUNTA(生物种群!$A:$A)),MATCH($C488,生物种群!$F$3:INDEX(生物种群!$F:$F,COUNTA(生物种群!$F:$F)),),),IF($A488&lt;&gt;0,INDEX(生物种群!$A$3:INDEX(生物种群!$A:$A,COUNTA(生物种群!$A:$A)),MATCH($A488,生物种群!$C$3:INDEX(生物种群!$C:$C,COUNTA(生物种群!$C:$C)),),),INDEX(生物种群!$A$3:INDEX(生物种群!$A:$A,COUNTA(生物种群!$A:$A)),MATCH($B488,生物种群!$D$3:INDEX(生物种群!$D:$D,COUNTA(生物种群!$D:$D)),),))),"")</f>
        <v/>
      </c>
      <c r="I488" s="56" t="str">
        <f>IF(H488="","",INDEX(生物种群!$B$3:INDEX(生物种群!$B:$B,COUNTA(生物种群!$B:$B)),MATCH($H488,生物种群!$A$3:INDEX(生物种群!$A:$A,COUNTA(生物种群!$A:$A)),),))</f>
        <v/>
      </c>
      <c r="J488" s="55" t="str">
        <f>IF(H488="","",INDEX(生物种群!$I$3:INDEX(生物种群!$I:$I,COUNTA(生物种群!$I:$I)),MATCH($H488,生物种群!$A$3:INDEX(生物种群!$A:$A,COUNTA(生物种群!$A:$A)),),))</f>
        <v/>
      </c>
      <c r="K488" s="55" t="str">
        <f>IF(H488="","",INDEX(生物种群!$E$3:INDEX(生物种群!$E:$E,COUNTA(生物种群!$E:$E)),MATCH($H488,生物种群!$A$3:INDEX(生物种群!$A:$A,COUNTA(生物种群!$A:$A)),),))</f>
        <v/>
      </c>
      <c r="L488" s="46" t="str">
        <f t="shared" si="27"/>
        <v/>
      </c>
      <c r="M488" s="47" t="str">
        <f>IF(L488="","",ROUND((L488)/VLOOKUP($F488,IF({1,0},站位样品信息!$A$3:INDEX(站位样品信息!$A:$A,COUNTA(站位样品信息!$A:$A)+1),站位样品信息!$H$3:INDEX(站位样品信息!$H:$H,COUNTA(站位样品信息!$H:$H)+1)),2,0),2))</f>
        <v/>
      </c>
      <c r="O488" s="49"/>
      <c r="P488" s="53" t="str">
        <f t="shared" si="25"/>
        <v/>
      </c>
      <c r="Q488" s="53" t="str">
        <f t="shared" si="26"/>
        <v/>
      </c>
    </row>
    <row r="489" spans="1:17" ht="19.5" customHeight="1">
      <c r="A489" s="38"/>
      <c r="B489" s="38"/>
      <c r="C489" s="38"/>
      <c r="D489" s="37"/>
      <c r="E489" s="37"/>
      <c r="F489" s="37"/>
      <c r="G489" s="37" t="str">
        <f>IF(F489="","",INDEX(站位样品信息!$B$3:INDEX(站位样品信息!$B:$B,COUNTA(站位样品信息!$B:$B)+1),MATCH($F489,站位样品信息!$A$3:INDEX(站位样品信息!$A:$A,COUNTA(站位样品信息!$A:$A)+1),),))</f>
        <v/>
      </c>
      <c r="H489" s="55" t="str">
        <f>IF(OR(A489&lt;&gt;"",B489&lt;&gt;"",C489&lt;&gt;""),IF($C489&lt;&gt;0,INDEX(生物种群!$A$3:INDEX(生物种群!$A:$A,COUNTA(生物种群!$A:$A)),MATCH($C489,生物种群!$F$3:INDEX(生物种群!$F:$F,COUNTA(生物种群!$F:$F)),),),IF($A489&lt;&gt;0,INDEX(生物种群!$A$3:INDEX(生物种群!$A:$A,COUNTA(生物种群!$A:$A)),MATCH($A489,生物种群!$C$3:INDEX(生物种群!$C:$C,COUNTA(生物种群!$C:$C)),),),INDEX(生物种群!$A$3:INDEX(生物种群!$A:$A,COUNTA(生物种群!$A:$A)),MATCH($B489,生物种群!$D$3:INDEX(生物种群!$D:$D,COUNTA(生物种群!$D:$D)),),))),"")</f>
        <v/>
      </c>
      <c r="I489" s="56" t="str">
        <f>IF(H489="","",INDEX(生物种群!$B$3:INDEX(生物种群!$B:$B,COUNTA(生物种群!$B:$B)),MATCH($H489,生物种群!$A$3:INDEX(生物种群!$A:$A,COUNTA(生物种群!$A:$A)),),))</f>
        <v/>
      </c>
      <c r="J489" s="55" t="str">
        <f>IF(H489="","",INDEX(生物种群!$I$3:INDEX(生物种群!$I:$I,COUNTA(生物种群!$I:$I)),MATCH($H489,生物种群!$A$3:INDEX(生物种群!$A:$A,COUNTA(生物种群!$A:$A)),),))</f>
        <v/>
      </c>
      <c r="K489" s="55" t="str">
        <f>IF(H489="","",INDEX(生物种群!$E$3:INDEX(生物种群!$E:$E,COUNTA(生物种群!$E:$E)),MATCH($H489,生物种群!$A$3:INDEX(生物种群!$A:$A,COUNTA(生物种群!$A:$A)),),))</f>
        <v/>
      </c>
      <c r="L489" s="46" t="str">
        <f t="shared" si="27"/>
        <v/>
      </c>
      <c r="M489" s="47" t="str">
        <f>IF(L489="","",ROUND((L489)/VLOOKUP($F489,IF({1,0},站位样品信息!$A$3:INDEX(站位样品信息!$A:$A,COUNTA(站位样品信息!$A:$A)+1),站位样品信息!$H$3:INDEX(站位样品信息!$H:$H,COUNTA(站位样品信息!$H:$H)+1)),2,0),2))</f>
        <v/>
      </c>
      <c r="O489" s="49"/>
      <c r="P489" s="53" t="str">
        <f t="shared" si="25"/>
        <v/>
      </c>
      <c r="Q489" s="53" t="str">
        <f t="shared" si="26"/>
        <v/>
      </c>
    </row>
    <row r="490" spans="1:17" ht="19.5" customHeight="1">
      <c r="A490" s="38"/>
      <c r="B490" s="38"/>
      <c r="C490" s="38"/>
      <c r="D490" s="37"/>
      <c r="E490" s="37"/>
      <c r="F490" s="37"/>
      <c r="G490" s="37" t="str">
        <f>IF(F490="","",INDEX(站位样品信息!$B$3:INDEX(站位样品信息!$B:$B,COUNTA(站位样品信息!$B:$B)+1),MATCH($F490,站位样品信息!$A$3:INDEX(站位样品信息!$A:$A,COUNTA(站位样品信息!$A:$A)+1),),))</f>
        <v/>
      </c>
      <c r="H490" s="55" t="str">
        <f>IF(OR(A490&lt;&gt;"",B490&lt;&gt;"",C490&lt;&gt;""),IF($C490&lt;&gt;0,INDEX(生物种群!$A$3:INDEX(生物种群!$A:$A,COUNTA(生物种群!$A:$A)),MATCH($C490,生物种群!$F$3:INDEX(生物种群!$F:$F,COUNTA(生物种群!$F:$F)),),),IF($A490&lt;&gt;0,INDEX(生物种群!$A$3:INDEX(生物种群!$A:$A,COUNTA(生物种群!$A:$A)),MATCH($A490,生物种群!$C$3:INDEX(生物种群!$C:$C,COUNTA(生物种群!$C:$C)),),),INDEX(生物种群!$A$3:INDEX(生物种群!$A:$A,COUNTA(生物种群!$A:$A)),MATCH($B490,生物种群!$D$3:INDEX(生物种群!$D:$D,COUNTA(生物种群!$D:$D)),),))),"")</f>
        <v/>
      </c>
      <c r="I490" s="56" t="str">
        <f>IF(H490="","",INDEX(生物种群!$B$3:INDEX(生物种群!$B:$B,COUNTA(生物种群!$B:$B)),MATCH($H490,生物种群!$A$3:INDEX(生物种群!$A:$A,COUNTA(生物种群!$A:$A)),),))</f>
        <v/>
      </c>
      <c r="J490" s="55" t="str">
        <f>IF(H490="","",INDEX(生物种群!$I$3:INDEX(生物种群!$I:$I,COUNTA(生物种群!$I:$I)),MATCH($H490,生物种群!$A$3:INDEX(生物种群!$A:$A,COUNTA(生物种群!$A:$A)),),))</f>
        <v/>
      </c>
      <c r="K490" s="55" t="str">
        <f>IF(H490="","",INDEX(生物种群!$E$3:INDEX(生物种群!$E:$E,COUNTA(生物种群!$E:$E)),MATCH($H490,生物种群!$A$3:INDEX(生物种群!$A:$A,COUNTA(生物种群!$A:$A)),),))</f>
        <v/>
      </c>
      <c r="L490" s="46" t="str">
        <f t="shared" si="27"/>
        <v/>
      </c>
      <c r="M490" s="47" t="str">
        <f>IF(L490="","",ROUND((L490)/VLOOKUP($F490,IF({1,0},站位样品信息!$A$3:INDEX(站位样品信息!$A:$A,COUNTA(站位样品信息!$A:$A)+1),站位样品信息!$H$3:INDEX(站位样品信息!$H:$H,COUNTA(站位样品信息!$H:$H)+1)),2,0),2))</f>
        <v/>
      </c>
      <c r="O490" s="49"/>
      <c r="P490" s="53" t="str">
        <f t="shared" si="25"/>
        <v/>
      </c>
      <c r="Q490" s="53" t="str">
        <f t="shared" si="26"/>
        <v/>
      </c>
    </row>
    <row r="491" spans="1:17" ht="19.5" customHeight="1">
      <c r="A491" s="38"/>
      <c r="B491" s="38"/>
      <c r="C491" s="38"/>
      <c r="D491" s="37"/>
      <c r="E491" s="37"/>
      <c r="F491" s="37"/>
      <c r="G491" s="37" t="str">
        <f>IF(F491="","",INDEX(站位样品信息!$B$3:INDEX(站位样品信息!$B:$B,COUNTA(站位样品信息!$B:$B)+1),MATCH($F491,站位样品信息!$A$3:INDEX(站位样品信息!$A:$A,COUNTA(站位样品信息!$A:$A)+1),),))</f>
        <v/>
      </c>
      <c r="H491" s="55" t="str">
        <f>IF(OR(A491&lt;&gt;"",B491&lt;&gt;"",C491&lt;&gt;""),IF($C491&lt;&gt;0,INDEX(生物种群!$A$3:INDEX(生物种群!$A:$A,COUNTA(生物种群!$A:$A)),MATCH($C491,生物种群!$F$3:INDEX(生物种群!$F:$F,COUNTA(生物种群!$F:$F)),),),IF($A491&lt;&gt;0,INDEX(生物种群!$A$3:INDEX(生物种群!$A:$A,COUNTA(生物种群!$A:$A)),MATCH($A491,生物种群!$C$3:INDEX(生物种群!$C:$C,COUNTA(生物种群!$C:$C)),),),INDEX(生物种群!$A$3:INDEX(生物种群!$A:$A,COUNTA(生物种群!$A:$A)),MATCH($B491,生物种群!$D$3:INDEX(生物种群!$D:$D,COUNTA(生物种群!$D:$D)),),))),"")</f>
        <v/>
      </c>
      <c r="I491" s="56" t="str">
        <f>IF(H491="","",INDEX(生物种群!$B$3:INDEX(生物种群!$B:$B,COUNTA(生物种群!$B:$B)),MATCH($H491,生物种群!$A$3:INDEX(生物种群!$A:$A,COUNTA(生物种群!$A:$A)),),))</f>
        <v/>
      </c>
      <c r="J491" s="55" t="str">
        <f>IF(H491="","",INDEX(生物种群!$I$3:INDEX(生物种群!$I:$I,COUNTA(生物种群!$I:$I)),MATCH($H491,生物种群!$A$3:INDEX(生物种群!$A:$A,COUNTA(生物种群!$A:$A)),),))</f>
        <v/>
      </c>
      <c r="K491" s="55" t="str">
        <f>IF(H491="","",INDEX(生物种群!$E$3:INDEX(生物种群!$E:$E,COUNTA(生物种群!$E:$E)),MATCH($H491,生物种群!$A$3:INDEX(生物种群!$A:$A,COUNTA(生物种群!$A:$A)),),))</f>
        <v/>
      </c>
      <c r="L491" s="46" t="str">
        <f t="shared" si="27"/>
        <v/>
      </c>
      <c r="M491" s="47" t="str">
        <f>IF(L491="","",ROUND((L491)/VLOOKUP($F491,IF({1,0},站位样品信息!$A$3:INDEX(站位样品信息!$A:$A,COUNTA(站位样品信息!$A:$A)+1),站位样品信息!$H$3:INDEX(站位样品信息!$H:$H,COUNTA(站位样品信息!$H:$H)+1)),2,0),2))</f>
        <v/>
      </c>
      <c r="O491" s="49"/>
      <c r="P491" s="53" t="str">
        <f t="shared" si="25"/>
        <v/>
      </c>
      <c r="Q491" s="53" t="str">
        <f t="shared" si="26"/>
        <v/>
      </c>
    </row>
    <row r="492" spans="1:17" ht="19.5" customHeight="1">
      <c r="A492" s="38"/>
      <c r="B492" s="38"/>
      <c r="C492" s="38"/>
      <c r="D492" s="37"/>
      <c r="E492" s="37"/>
      <c r="F492" s="37"/>
      <c r="G492" s="37" t="str">
        <f>IF(F492="","",INDEX(站位样品信息!$B$3:INDEX(站位样品信息!$B:$B,COUNTA(站位样品信息!$B:$B)+1),MATCH($F492,站位样品信息!$A$3:INDEX(站位样品信息!$A:$A,COUNTA(站位样品信息!$A:$A)+1),),))</f>
        <v/>
      </c>
      <c r="H492" s="55" t="str">
        <f>IF(OR(A492&lt;&gt;"",B492&lt;&gt;"",C492&lt;&gt;""),IF($C492&lt;&gt;0,INDEX(生物种群!$A$3:INDEX(生物种群!$A:$A,COUNTA(生物种群!$A:$A)),MATCH($C492,生物种群!$F$3:INDEX(生物种群!$F:$F,COUNTA(生物种群!$F:$F)),),),IF($A492&lt;&gt;0,INDEX(生物种群!$A$3:INDEX(生物种群!$A:$A,COUNTA(生物种群!$A:$A)),MATCH($A492,生物种群!$C$3:INDEX(生物种群!$C:$C,COUNTA(生物种群!$C:$C)),),),INDEX(生物种群!$A$3:INDEX(生物种群!$A:$A,COUNTA(生物种群!$A:$A)),MATCH($B492,生物种群!$D$3:INDEX(生物种群!$D:$D,COUNTA(生物种群!$D:$D)),),))),"")</f>
        <v/>
      </c>
      <c r="I492" s="56" t="str">
        <f>IF(H492="","",INDEX(生物种群!$B$3:INDEX(生物种群!$B:$B,COUNTA(生物种群!$B:$B)),MATCH($H492,生物种群!$A$3:INDEX(生物种群!$A:$A,COUNTA(生物种群!$A:$A)),),))</f>
        <v/>
      </c>
      <c r="J492" s="55" t="str">
        <f>IF(H492="","",INDEX(生物种群!$I$3:INDEX(生物种群!$I:$I,COUNTA(生物种群!$I:$I)),MATCH($H492,生物种群!$A$3:INDEX(生物种群!$A:$A,COUNTA(生物种群!$A:$A)),),))</f>
        <v/>
      </c>
      <c r="K492" s="55" t="str">
        <f>IF(H492="","",INDEX(生物种群!$E$3:INDEX(生物种群!$E:$E,COUNTA(生物种群!$E:$E)),MATCH($H492,生物种群!$A$3:INDEX(生物种群!$A:$A,COUNTA(生物种群!$A:$A)),),))</f>
        <v/>
      </c>
      <c r="L492" s="46" t="str">
        <f t="shared" si="27"/>
        <v/>
      </c>
      <c r="M492" s="47" t="str">
        <f>IF(L492="","",ROUND((L492)/VLOOKUP($F492,IF({1,0},站位样品信息!$A$3:INDEX(站位样品信息!$A:$A,COUNTA(站位样品信息!$A:$A)+1),站位样品信息!$H$3:INDEX(站位样品信息!$H:$H,COUNTA(站位样品信息!$H:$H)+1)),2,0),2))</f>
        <v/>
      </c>
      <c r="O492" s="49"/>
      <c r="P492" s="53" t="str">
        <f t="shared" si="25"/>
        <v/>
      </c>
      <c r="Q492" s="53" t="str">
        <f t="shared" si="26"/>
        <v/>
      </c>
    </row>
    <row r="493" spans="1:17" ht="19.5" customHeight="1">
      <c r="A493" s="38"/>
      <c r="B493" s="38"/>
      <c r="C493" s="38"/>
      <c r="D493" s="37"/>
      <c r="E493" s="37"/>
      <c r="F493" s="37"/>
      <c r="G493" s="37" t="str">
        <f>IF(F493="","",INDEX(站位样品信息!$B$3:INDEX(站位样品信息!$B:$B,COUNTA(站位样品信息!$B:$B)+1),MATCH($F493,站位样品信息!$A$3:INDEX(站位样品信息!$A:$A,COUNTA(站位样品信息!$A:$A)+1),),))</f>
        <v/>
      </c>
      <c r="H493" s="55" t="str">
        <f>IF(OR(A493&lt;&gt;"",B493&lt;&gt;"",C493&lt;&gt;""),IF($C493&lt;&gt;0,INDEX(生物种群!$A$3:INDEX(生物种群!$A:$A,COUNTA(生物种群!$A:$A)),MATCH($C493,生物种群!$F$3:INDEX(生物种群!$F:$F,COUNTA(生物种群!$F:$F)),),),IF($A493&lt;&gt;0,INDEX(生物种群!$A$3:INDEX(生物种群!$A:$A,COUNTA(生物种群!$A:$A)),MATCH($A493,生物种群!$C$3:INDEX(生物种群!$C:$C,COUNTA(生物种群!$C:$C)),),),INDEX(生物种群!$A$3:INDEX(生物种群!$A:$A,COUNTA(生物种群!$A:$A)),MATCH($B493,生物种群!$D$3:INDEX(生物种群!$D:$D,COUNTA(生物种群!$D:$D)),),))),"")</f>
        <v/>
      </c>
      <c r="I493" s="56" t="str">
        <f>IF(H493="","",INDEX(生物种群!$B$3:INDEX(生物种群!$B:$B,COUNTA(生物种群!$B:$B)),MATCH($H493,生物种群!$A$3:INDEX(生物种群!$A:$A,COUNTA(生物种群!$A:$A)),),))</f>
        <v/>
      </c>
      <c r="J493" s="55" t="str">
        <f>IF(H493="","",INDEX(生物种群!$I$3:INDEX(生物种群!$I:$I,COUNTA(生物种群!$I:$I)),MATCH($H493,生物种群!$A$3:INDEX(生物种群!$A:$A,COUNTA(生物种群!$A:$A)),),))</f>
        <v/>
      </c>
      <c r="K493" s="55" t="str">
        <f>IF(H493="","",INDEX(生物种群!$E$3:INDEX(生物种群!$E:$E,COUNTA(生物种群!$E:$E)),MATCH($H493,生物种群!$A$3:INDEX(生物种群!$A:$A,COUNTA(生物种群!$A:$A)),),))</f>
        <v/>
      </c>
      <c r="L493" s="46" t="str">
        <f t="shared" si="27"/>
        <v/>
      </c>
      <c r="M493" s="47" t="str">
        <f>IF(L493="","",ROUND((L493)/VLOOKUP($F493,IF({1,0},站位样品信息!$A$3:INDEX(站位样品信息!$A:$A,COUNTA(站位样品信息!$A:$A)+1),站位样品信息!$H$3:INDEX(站位样品信息!$H:$H,COUNTA(站位样品信息!$H:$H)+1)),2,0),2))</f>
        <v/>
      </c>
      <c r="O493" s="49"/>
      <c r="P493" s="53" t="str">
        <f t="shared" si="25"/>
        <v/>
      </c>
      <c r="Q493" s="53" t="str">
        <f t="shared" si="26"/>
        <v/>
      </c>
    </row>
    <row r="494" spans="1:17" ht="19.5" customHeight="1">
      <c r="A494" s="38"/>
      <c r="B494" s="38"/>
      <c r="C494" s="38"/>
      <c r="D494" s="37"/>
      <c r="E494" s="37"/>
      <c r="F494" s="37"/>
      <c r="G494" s="37" t="str">
        <f>IF(F494="","",INDEX(站位样品信息!$B$3:INDEX(站位样品信息!$B:$B,COUNTA(站位样品信息!$B:$B)+1),MATCH($F494,站位样品信息!$A$3:INDEX(站位样品信息!$A:$A,COUNTA(站位样品信息!$A:$A)+1),),))</f>
        <v/>
      </c>
      <c r="H494" s="55" t="str">
        <f>IF(OR(A494&lt;&gt;"",B494&lt;&gt;"",C494&lt;&gt;""),IF($C494&lt;&gt;0,INDEX(生物种群!$A$3:INDEX(生物种群!$A:$A,COUNTA(生物种群!$A:$A)),MATCH($C494,生物种群!$F$3:INDEX(生物种群!$F:$F,COUNTA(生物种群!$F:$F)),),),IF($A494&lt;&gt;0,INDEX(生物种群!$A$3:INDEX(生物种群!$A:$A,COUNTA(生物种群!$A:$A)),MATCH($A494,生物种群!$C$3:INDEX(生物种群!$C:$C,COUNTA(生物种群!$C:$C)),),),INDEX(生物种群!$A$3:INDEX(生物种群!$A:$A,COUNTA(生物种群!$A:$A)),MATCH($B494,生物种群!$D$3:INDEX(生物种群!$D:$D,COUNTA(生物种群!$D:$D)),),))),"")</f>
        <v/>
      </c>
      <c r="I494" s="56" t="str">
        <f>IF(H494="","",INDEX(生物种群!$B$3:INDEX(生物种群!$B:$B,COUNTA(生物种群!$B:$B)),MATCH($H494,生物种群!$A$3:INDEX(生物种群!$A:$A,COUNTA(生物种群!$A:$A)),),))</f>
        <v/>
      </c>
      <c r="J494" s="55" t="str">
        <f>IF(H494="","",INDEX(生物种群!$I$3:INDEX(生物种群!$I:$I,COUNTA(生物种群!$I:$I)),MATCH($H494,生物种群!$A$3:INDEX(生物种群!$A:$A,COUNTA(生物种群!$A:$A)),),))</f>
        <v/>
      </c>
      <c r="K494" s="55" t="str">
        <f>IF(H494="","",INDEX(生物种群!$E$3:INDEX(生物种群!$E:$E,COUNTA(生物种群!$E:$E)),MATCH($H494,生物种群!$A$3:INDEX(生物种群!$A:$A,COUNTA(生物种群!$A:$A)),),))</f>
        <v/>
      </c>
      <c r="L494" s="46" t="str">
        <f t="shared" si="27"/>
        <v/>
      </c>
      <c r="M494" s="47" t="str">
        <f>IF(L494="","",ROUND((L494)/VLOOKUP($F494,IF({1,0},站位样品信息!$A$3:INDEX(站位样品信息!$A:$A,COUNTA(站位样品信息!$A:$A)+1),站位样品信息!$H$3:INDEX(站位样品信息!$H:$H,COUNTA(站位样品信息!$H:$H)+1)),2,0),2))</f>
        <v/>
      </c>
      <c r="O494" s="49"/>
      <c r="P494" s="53" t="str">
        <f t="shared" si="25"/>
        <v/>
      </c>
      <c r="Q494" s="53" t="str">
        <f t="shared" si="26"/>
        <v/>
      </c>
    </row>
    <row r="495" spans="1:17" ht="19.5" customHeight="1">
      <c r="A495" s="38"/>
      <c r="B495" s="38"/>
      <c r="C495" s="38"/>
      <c r="D495" s="37"/>
      <c r="E495" s="37"/>
      <c r="F495" s="37"/>
      <c r="G495" s="37" t="str">
        <f>IF(F495="","",INDEX(站位样品信息!$B$3:INDEX(站位样品信息!$B:$B,COUNTA(站位样品信息!$B:$B)+1),MATCH($F495,站位样品信息!$A$3:INDEX(站位样品信息!$A:$A,COUNTA(站位样品信息!$A:$A)+1),),))</f>
        <v/>
      </c>
      <c r="H495" s="55" t="str">
        <f>IF(OR(A495&lt;&gt;"",B495&lt;&gt;"",C495&lt;&gt;""),IF($C495&lt;&gt;0,INDEX(生物种群!$A$3:INDEX(生物种群!$A:$A,COUNTA(生物种群!$A:$A)),MATCH($C495,生物种群!$F$3:INDEX(生物种群!$F:$F,COUNTA(生物种群!$F:$F)),),),IF($A495&lt;&gt;0,INDEX(生物种群!$A$3:INDEX(生物种群!$A:$A,COUNTA(生物种群!$A:$A)),MATCH($A495,生物种群!$C$3:INDEX(生物种群!$C:$C,COUNTA(生物种群!$C:$C)),),),INDEX(生物种群!$A$3:INDEX(生物种群!$A:$A,COUNTA(生物种群!$A:$A)),MATCH($B495,生物种群!$D$3:INDEX(生物种群!$D:$D,COUNTA(生物种群!$D:$D)),),))),"")</f>
        <v/>
      </c>
      <c r="I495" s="56" t="str">
        <f>IF(H495="","",INDEX(生物种群!$B$3:INDEX(生物种群!$B:$B,COUNTA(生物种群!$B:$B)),MATCH($H495,生物种群!$A$3:INDEX(生物种群!$A:$A,COUNTA(生物种群!$A:$A)),),))</f>
        <v/>
      </c>
      <c r="J495" s="55" t="str">
        <f>IF(H495="","",INDEX(生物种群!$I$3:INDEX(生物种群!$I:$I,COUNTA(生物种群!$I:$I)),MATCH($H495,生物种群!$A$3:INDEX(生物种群!$A:$A,COUNTA(生物种群!$A:$A)),),))</f>
        <v/>
      </c>
      <c r="K495" s="55" t="str">
        <f>IF(H495="","",INDEX(生物种群!$E$3:INDEX(生物种群!$E:$E,COUNTA(生物种群!$E:$E)),MATCH($H495,生物种群!$A$3:INDEX(生物种群!$A:$A,COUNTA(生物种群!$A:$A)),),))</f>
        <v/>
      </c>
      <c r="L495" s="46" t="str">
        <f t="shared" si="27"/>
        <v/>
      </c>
      <c r="M495" s="47" t="str">
        <f>IF(L495="","",ROUND((L495)/VLOOKUP($F495,IF({1,0},站位样品信息!$A$3:INDEX(站位样品信息!$A:$A,COUNTA(站位样品信息!$A:$A)+1),站位样品信息!$H$3:INDEX(站位样品信息!$H:$H,COUNTA(站位样品信息!$H:$H)+1)),2,0),2))</f>
        <v/>
      </c>
      <c r="O495" s="49"/>
      <c r="P495" s="53" t="str">
        <f t="shared" si="25"/>
        <v/>
      </c>
      <c r="Q495" s="53" t="str">
        <f t="shared" si="26"/>
        <v/>
      </c>
    </row>
    <row r="496" spans="1:17" ht="19.5" customHeight="1">
      <c r="A496" s="38"/>
      <c r="B496" s="38"/>
      <c r="C496" s="38"/>
      <c r="D496" s="37"/>
      <c r="E496" s="37"/>
      <c r="F496" s="37"/>
      <c r="G496" s="37" t="str">
        <f>IF(F496="","",INDEX(站位样品信息!$B$3:INDEX(站位样品信息!$B:$B,COUNTA(站位样品信息!$B:$B)+1),MATCH($F496,站位样品信息!$A$3:INDEX(站位样品信息!$A:$A,COUNTA(站位样品信息!$A:$A)+1),),))</f>
        <v/>
      </c>
      <c r="H496" s="55" t="str">
        <f>IF(OR(A496&lt;&gt;"",B496&lt;&gt;"",C496&lt;&gt;""),IF($C496&lt;&gt;0,INDEX(生物种群!$A$3:INDEX(生物种群!$A:$A,COUNTA(生物种群!$A:$A)),MATCH($C496,生物种群!$F$3:INDEX(生物种群!$F:$F,COUNTA(生物种群!$F:$F)),),),IF($A496&lt;&gt;0,INDEX(生物种群!$A$3:INDEX(生物种群!$A:$A,COUNTA(生物种群!$A:$A)),MATCH($A496,生物种群!$C$3:INDEX(生物种群!$C:$C,COUNTA(生物种群!$C:$C)),),),INDEX(生物种群!$A$3:INDEX(生物种群!$A:$A,COUNTA(生物种群!$A:$A)),MATCH($B496,生物种群!$D$3:INDEX(生物种群!$D:$D,COUNTA(生物种群!$D:$D)),),))),"")</f>
        <v/>
      </c>
      <c r="I496" s="56" t="str">
        <f>IF(H496="","",INDEX(生物种群!$B$3:INDEX(生物种群!$B:$B,COUNTA(生物种群!$B:$B)),MATCH($H496,生物种群!$A$3:INDEX(生物种群!$A:$A,COUNTA(生物种群!$A:$A)),),))</f>
        <v/>
      </c>
      <c r="J496" s="55" t="str">
        <f>IF(H496="","",INDEX(生物种群!$I$3:INDEX(生物种群!$I:$I,COUNTA(生物种群!$I:$I)),MATCH($H496,生物种群!$A$3:INDEX(生物种群!$A:$A,COUNTA(生物种群!$A:$A)),),))</f>
        <v/>
      </c>
      <c r="K496" s="55" t="str">
        <f>IF(H496="","",INDEX(生物种群!$E$3:INDEX(生物种群!$E:$E,COUNTA(生物种群!$E:$E)),MATCH($H496,生物种群!$A$3:INDEX(生物种群!$A:$A,COUNTA(生物种群!$A:$A)),),))</f>
        <v/>
      </c>
      <c r="L496" s="46" t="str">
        <f t="shared" si="27"/>
        <v/>
      </c>
      <c r="M496" s="47" t="str">
        <f>IF(L496="","",ROUND((L496)/VLOOKUP($F496,IF({1,0},站位样品信息!$A$3:INDEX(站位样品信息!$A:$A,COUNTA(站位样品信息!$A:$A)+1),站位样品信息!$H$3:INDEX(站位样品信息!$H:$H,COUNTA(站位样品信息!$H:$H)+1)),2,0),2))</f>
        <v/>
      </c>
      <c r="O496" s="49"/>
      <c r="P496" s="53" t="str">
        <f t="shared" si="25"/>
        <v/>
      </c>
      <c r="Q496" s="53" t="str">
        <f t="shared" si="26"/>
        <v/>
      </c>
    </row>
    <row r="497" spans="1:17" ht="19.5" customHeight="1">
      <c r="A497" s="38"/>
      <c r="B497" s="38"/>
      <c r="C497" s="38"/>
      <c r="D497" s="37"/>
      <c r="E497" s="37"/>
      <c r="F497" s="37"/>
      <c r="G497" s="37" t="str">
        <f>IF(F497="","",INDEX(站位样品信息!$B$3:INDEX(站位样品信息!$B:$B,COUNTA(站位样品信息!$B:$B)+1),MATCH($F497,站位样品信息!$A$3:INDEX(站位样品信息!$A:$A,COUNTA(站位样品信息!$A:$A)+1),),))</f>
        <v/>
      </c>
      <c r="H497" s="55" t="str">
        <f>IF(OR(A497&lt;&gt;"",B497&lt;&gt;"",C497&lt;&gt;""),IF($C497&lt;&gt;0,INDEX(生物种群!$A$3:INDEX(生物种群!$A:$A,COUNTA(生物种群!$A:$A)),MATCH($C497,生物种群!$F$3:INDEX(生物种群!$F:$F,COUNTA(生物种群!$F:$F)),),),IF($A497&lt;&gt;0,INDEX(生物种群!$A$3:INDEX(生物种群!$A:$A,COUNTA(生物种群!$A:$A)),MATCH($A497,生物种群!$C$3:INDEX(生物种群!$C:$C,COUNTA(生物种群!$C:$C)),),),INDEX(生物种群!$A$3:INDEX(生物种群!$A:$A,COUNTA(生物种群!$A:$A)),MATCH($B497,生物种群!$D$3:INDEX(生物种群!$D:$D,COUNTA(生物种群!$D:$D)),),))),"")</f>
        <v/>
      </c>
      <c r="I497" s="56" t="str">
        <f>IF(H497="","",INDEX(生物种群!$B$3:INDEX(生物种群!$B:$B,COUNTA(生物种群!$B:$B)),MATCH($H497,生物种群!$A$3:INDEX(生物种群!$A:$A,COUNTA(生物种群!$A:$A)),),))</f>
        <v/>
      </c>
      <c r="J497" s="55" t="str">
        <f>IF(H497="","",INDEX(生物种群!$I$3:INDEX(生物种群!$I:$I,COUNTA(生物种群!$I:$I)),MATCH($H497,生物种群!$A$3:INDEX(生物种群!$A:$A,COUNTA(生物种群!$A:$A)),),))</f>
        <v/>
      </c>
      <c r="K497" s="55" t="str">
        <f>IF(H497="","",INDEX(生物种群!$E$3:INDEX(生物种群!$E:$E,COUNTA(生物种群!$E:$E)),MATCH($H497,生物种群!$A$3:INDEX(生物种群!$A:$A,COUNTA(生物种群!$A:$A)),),))</f>
        <v/>
      </c>
      <c r="L497" s="46" t="str">
        <f t="shared" si="27"/>
        <v/>
      </c>
      <c r="M497" s="47" t="str">
        <f>IF(L497="","",ROUND((L497)/VLOOKUP($F497,IF({1,0},站位样品信息!$A$3:INDEX(站位样品信息!$A:$A,COUNTA(站位样品信息!$A:$A)+1),站位样品信息!$H$3:INDEX(站位样品信息!$H:$H,COUNTA(站位样品信息!$H:$H)+1)),2,0),2))</f>
        <v/>
      </c>
      <c r="O497" s="49"/>
      <c r="P497" s="53" t="str">
        <f t="shared" si="25"/>
        <v/>
      </c>
      <c r="Q497" s="53" t="str">
        <f t="shared" si="26"/>
        <v/>
      </c>
    </row>
    <row r="498" spans="1:17" ht="19.5" customHeight="1">
      <c r="A498" s="38"/>
      <c r="B498" s="38"/>
      <c r="C498" s="38"/>
      <c r="D498" s="37"/>
      <c r="E498" s="37"/>
      <c r="F498" s="37"/>
      <c r="G498" s="37" t="str">
        <f>IF(F498="","",INDEX(站位样品信息!$B$3:INDEX(站位样品信息!$B:$B,COUNTA(站位样品信息!$B:$B)+1),MATCH($F498,站位样品信息!$A$3:INDEX(站位样品信息!$A:$A,COUNTA(站位样品信息!$A:$A)+1),),))</f>
        <v/>
      </c>
      <c r="H498" s="55" t="str">
        <f>IF(OR(A498&lt;&gt;"",B498&lt;&gt;"",C498&lt;&gt;""),IF($C498&lt;&gt;0,INDEX(生物种群!$A$3:INDEX(生物种群!$A:$A,COUNTA(生物种群!$A:$A)),MATCH($C498,生物种群!$F$3:INDEX(生物种群!$F:$F,COUNTA(生物种群!$F:$F)),),),IF($A498&lt;&gt;0,INDEX(生物种群!$A$3:INDEX(生物种群!$A:$A,COUNTA(生物种群!$A:$A)),MATCH($A498,生物种群!$C$3:INDEX(生物种群!$C:$C,COUNTA(生物种群!$C:$C)),),),INDEX(生物种群!$A$3:INDEX(生物种群!$A:$A,COUNTA(生物种群!$A:$A)),MATCH($B498,生物种群!$D$3:INDEX(生物种群!$D:$D,COUNTA(生物种群!$D:$D)),),))),"")</f>
        <v/>
      </c>
      <c r="I498" s="56" t="str">
        <f>IF(H498="","",INDEX(生物种群!$B$3:INDEX(生物种群!$B:$B,COUNTA(生物种群!$B:$B)),MATCH($H498,生物种群!$A$3:INDEX(生物种群!$A:$A,COUNTA(生物种群!$A:$A)),),))</f>
        <v/>
      </c>
      <c r="J498" s="55" t="str">
        <f>IF(H498="","",INDEX(生物种群!$I$3:INDEX(生物种群!$I:$I,COUNTA(生物种群!$I:$I)),MATCH($H498,生物种群!$A$3:INDEX(生物种群!$A:$A,COUNTA(生物种群!$A:$A)),),))</f>
        <v/>
      </c>
      <c r="K498" s="55" t="str">
        <f>IF(H498="","",INDEX(生物种群!$E$3:INDEX(生物种群!$E:$E,COUNTA(生物种群!$E:$E)),MATCH($H498,生物种群!$A$3:INDEX(生物种群!$A:$A,COUNTA(生物种群!$A:$A)),),))</f>
        <v/>
      </c>
      <c r="L498" s="46" t="str">
        <f t="shared" si="27"/>
        <v/>
      </c>
      <c r="M498" s="47" t="str">
        <f>IF(L498="","",ROUND((L498)/VLOOKUP($F498,IF({1,0},站位样品信息!$A$3:INDEX(站位样品信息!$A:$A,COUNTA(站位样品信息!$A:$A)+1),站位样品信息!$H$3:INDEX(站位样品信息!$H:$H,COUNTA(站位样品信息!$H:$H)+1)),2,0),2))</f>
        <v/>
      </c>
      <c r="O498" s="49"/>
      <c r="P498" s="53" t="str">
        <f t="shared" si="25"/>
        <v/>
      </c>
      <c r="Q498" s="53" t="str">
        <f t="shared" si="26"/>
        <v/>
      </c>
    </row>
    <row r="499" spans="1:17" ht="19.5" customHeight="1">
      <c r="A499" s="38"/>
      <c r="B499" s="38"/>
      <c r="C499" s="38"/>
      <c r="D499" s="37"/>
      <c r="E499" s="37"/>
      <c r="F499" s="37"/>
      <c r="G499" s="37" t="str">
        <f>IF(F499="","",INDEX(站位样品信息!$B$3:INDEX(站位样品信息!$B:$B,COUNTA(站位样品信息!$B:$B)+1),MATCH($F499,站位样品信息!$A$3:INDEX(站位样品信息!$A:$A,COUNTA(站位样品信息!$A:$A)+1),),))</f>
        <v/>
      </c>
      <c r="H499" s="55" t="str">
        <f>IF(OR(A499&lt;&gt;"",B499&lt;&gt;"",C499&lt;&gt;""),IF($C499&lt;&gt;0,INDEX(生物种群!$A$3:INDEX(生物种群!$A:$A,COUNTA(生物种群!$A:$A)),MATCH($C499,生物种群!$F$3:INDEX(生物种群!$F:$F,COUNTA(生物种群!$F:$F)),),),IF($A499&lt;&gt;0,INDEX(生物种群!$A$3:INDEX(生物种群!$A:$A,COUNTA(生物种群!$A:$A)),MATCH($A499,生物种群!$C$3:INDEX(生物种群!$C:$C,COUNTA(生物种群!$C:$C)),),),INDEX(生物种群!$A$3:INDEX(生物种群!$A:$A,COUNTA(生物种群!$A:$A)),MATCH($B499,生物种群!$D$3:INDEX(生物种群!$D:$D,COUNTA(生物种群!$D:$D)),),))),"")</f>
        <v/>
      </c>
      <c r="I499" s="56" t="str">
        <f>IF(H499="","",INDEX(生物种群!$B$3:INDEX(生物种群!$B:$B,COUNTA(生物种群!$B:$B)),MATCH($H499,生物种群!$A$3:INDEX(生物种群!$A:$A,COUNTA(生物种群!$A:$A)),),))</f>
        <v/>
      </c>
      <c r="J499" s="55" t="str">
        <f>IF(H499="","",INDEX(生物种群!$I$3:INDEX(生物种群!$I:$I,COUNTA(生物种群!$I:$I)),MATCH($H499,生物种群!$A$3:INDEX(生物种群!$A:$A,COUNTA(生物种群!$A:$A)),),))</f>
        <v/>
      </c>
      <c r="K499" s="55" t="str">
        <f>IF(H499="","",INDEX(生物种群!$E$3:INDEX(生物种群!$E:$E,COUNTA(生物种群!$E:$E)),MATCH($H499,生物种群!$A$3:INDEX(生物种群!$A:$A,COUNTA(生物种群!$A:$A)),),))</f>
        <v/>
      </c>
      <c r="L499" s="46" t="str">
        <f t="shared" si="27"/>
        <v/>
      </c>
      <c r="M499" s="47" t="str">
        <f>IF(L499="","",ROUND((L499)/VLOOKUP($F499,IF({1,0},站位样品信息!$A$3:INDEX(站位样品信息!$A:$A,COUNTA(站位样品信息!$A:$A)+1),站位样品信息!$H$3:INDEX(站位样品信息!$H:$H,COUNTA(站位样品信息!$H:$H)+1)),2,0),2))</f>
        <v/>
      </c>
      <c r="O499" s="49"/>
      <c r="P499" s="53" t="str">
        <f t="shared" si="25"/>
        <v/>
      </c>
      <c r="Q499" s="53" t="str">
        <f t="shared" si="26"/>
        <v/>
      </c>
    </row>
    <row r="500" spans="1:17" ht="19.5" customHeight="1">
      <c r="A500" s="38"/>
      <c r="B500" s="38"/>
      <c r="C500" s="38"/>
      <c r="D500" s="37"/>
      <c r="E500" s="37"/>
      <c r="F500" s="37"/>
      <c r="G500" s="37" t="str">
        <f>IF(F500="","",INDEX(站位样品信息!$B$3:INDEX(站位样品信息!$B:$B,COUNTA(站位样品信息!$B:$B)+1),MATCH($F500,站位样品信息!$A$3:INDEX(站位样品信息!$A:$A,COUNTA(站位样品信息!$A:$A)+1),),))</f>
        <v/>
      </c>
      <c r="H500" s="55" t="str">
        <f>IF(OR(A500&lt;&gt;"",B500&lt;&gt;"",C500&lt;&gt;""),IF($C500&lt;&gt;0,INDEX(生物种群!$A$3:INDEX(生物种群!$A:$A,COUNTA(生物种群!$A:$A)),MATCH($C500,生物种群!$F$3:INDEX(生物种群!$F:$F,COUNTA(生物种群!$F:$F)),),),IF($A500&lt;&gt;0,INDEX(生物种群!$A$3:INDEX(生物种群!$A:$A,COUNTA(生物种群!$A:$A)),MATCH($A500,生物种群!$C$3:INDEX(生物种群!$C:$C,COUNTA(生物种群!$C:$C)),),),INDEX(生物种群!$A$3:INDEX(生物种群!$A:$A,COUNTA(生物种群!$A:$A)),MATCH($B500,生物种群!$D$3:INDEX(生物种群!$D:$D,COUNTA(生物种群!$D:$D)),),))),"")</f>
        <v/>
      </c>
      <c r="I500" s="56" t="str">
        <f>IF(H500="","",INDEX(生物种群!$B$3:INDEX(生物种群!$B:$B,COUNTA(生物种群!$B:$B)),MATCH($H500,生物种群!$A$3:INDEX(生物种群!$A:$A,COUNTA(生物种群!$A:$A)),),))</f>
        <v/>
      </c>
      <c r="J500" s="55" t="str">
        <f>IF(H500="","",INDEX(生物种群!$I$3:INDEX(生物种群!$I:$I,COUNTA(生物种群!$I:$I)),MATCH($H500,生物种群!$A$3:INDEX(生物种群!$A:$A,COUNTA(生物种群!$A:$A)),),))</f>
        <v/>
      </c>
      <c r="K500" s="55" t="str">
        <f>IF(H500="","",INDEX(生物种群!$E$3:INDEX(生物种群!$E:$E,COUNTA(生物种群!$E:$E)),MATCH($H500,生物种群!$A$3:INDEX(生物种群!$A:$A,COUNTA(生物种群!$A:$A)),),))</f>
        <v/>
      </c>
      <c r="L500" s="46" t="str">
        <f t="shared" si="27"/>
        <v/>
      </c>
      <c r="M500" s="47" t="str">
        <f>IF(L500="","",ROUND((L500)/VLOOKUP($F500,IF({1,0},站位样品信息!$A$3:INDEX(站位样品信息!$A:$A,COUNTA(站位样品信息!$A:$A)+1),站位样品信息!$H$3:INDEX(站位样品信息!$H:$H,COUNTA(站位样品信息!$H:$H)+1)),2,0),2))</f>
        <v/>
      </c>
      <c r="O500" s="49"/>
      <c r="P500" s="53" t="str">
        <f t="shared" si="25"/>
        <v/>
      </c>
      <c r="Q500" s="53" t="str">
        <f t="shared" si="26"/>
        <v/>
      </c>
    </row>
    <row r="501" spans="1:17" ht="19.5" customHeight="1">
      <c r="A501" s="38"/>
      <c r="B501" s="38"/>
      <c r="C501" s="38"/>
      <c r="D501" s="37"/>
      <c r="E501" s="37"/>
      <c r="F501" s="37"/>
      <c r="G501" s="37" t="str">
        <f>IF(F501="","",INDEX(站位样品信息!$B$3:INDEX(站位样品信息!$B:$B,COUNTA(站位样品信息!$B:$B)+1),MATCH($F501,站位样品信息!$A$3:INDEX(站位样品信息!$A:$A,COUNTA(站位样品信息!$A:$A)+1),),))</f>
        <v/>
      </c>
      <c r="H501" s="55" t="str">
        <f>IF(OR(A501&lt;&gt;"",B501&lt;&gt;"",C501&lt;&gt;""),IF($C501&lt;&gt;0,INDEX(生物种群!$A$3:INDEX(生物种群!$A:$A,COUNTA(生物种群!$A:$A)),MATCH($C501,生物种群!$F$3:INDEX(生物种群!$F:$F,COUNTA(生物种群!$F:$F)),),),IF($A501&lt;&gt;0,INDEX(生物种群!$A$3:INDEX(生物种群!$A:$A,COUNTA(生物种群!$A:$A)),MATCH($A501,生物种群!$C$3:INDEX(生物种群!$C:$C,COUNTA(生物种群!$C:$C)),),),INDEX(生物种群!$A$3:INDEX(生物种群!$A:$A,COUNTA(生物种群!$A:$A)),MATCH($B501,生物种群!$D$3:INDEX(生物种群!$D:$D,COUNTA(生物种群!$D:$D)),),))),"")</f>
        <v/>
      </c>
      <c r="I501" s="56" t="str">
        <f>IF(H501="","",INDEX(生物种群!$B$3:INDEX(生物种群!$B:$B,COUNTA(生物种群!$B:$B)),MATCH($H501,生物种群!$A$3:INDEX(生物种群!$A:$A,COUNTA(生物种群!$A:$A)),),))</f>
        <v/>
      </c>
      <c r="J501" s="55" t="str">
        <f>IF(H501="","",INDEX(生物种群!$I$3:INDEX(生物种群!$I:$I,COUNTA(生物种群!$I:$I)),MATCH($H501,生物种群!$A$3:INDEX(生物种群!$A:$A,COUNTA(生物种群!$A:$A)),),))</f>
        <v/>
      </c>
      <c r="K501" s="55" t="str">
        <f>IF(H501="","",INDEX(生物种群!$E$3:INDEX(生物种群!$E:$E,COUNTA(生物种群!$E:$E)),MATCH($H501,生物种群!$A$3:INDEX(生物种群!$A:$A,COUNTA(生物种群!$A:$A)),),))</f>
        <v/>
      </c>
      <c r="L501" s="46" t="str">
        <f t="shared" si="27"/>
        <v/>
      </c>
      <c r="M501" s="47" t="str">
        <f>IF(L501="","",ROUND((L501)/VLOOKUP($F501,IF({1,0},站位样品信息!$A$3:INDEX(站位样品信息!$A:$A,COUNTA(站位样品信息!$A:$A)+1),站位样品信息!$H$3:INDEX(站位样品信息!$H:$H,COUNTA(站位样品信息!$H:$H)+1)),2,0),2))</f>
        <v/>
      </c>
      <c r="O501" s="49"/>
      <c r="P501" s="53" t="str">
        <f t="shared" si="25"/>
        <v/>
      </c>
      <c r="Q501" s="53" t="str">
        <f t="shared" si="26"/>
        <v/>
      </c>
    </row>
    <row r="502" spans="1:17" ht="19.5" customHeight="1">
      <c r="A502" s="38"/>
      <c r="B502" s="38"/>
      <c r="C502" s="38"/>
      <c r="D502" s="37"/>
      <c r="E502" s="37"/>
      <c r="F502" s="37"/>
      <c r="G502" s="37" t="str">
        <f>IF(F502="","",INDEX(站位样品信息!$B$3:INDEX(站位样品信息!$B:$B,COUNTA(站位样品信息!$B:$B)+1),MATCH($F502,站位样品信息!$A$3:INDEX(站位样品信息!$A:$A,COUNTA(站位样品信息!$A:$A)+1),),))</f>
        <v/>
      </c>
      <c r="H502" s="55" t="str">
        <f>IF(OR(A502&lt;&gt;"",B502&lt;&gt;"",C502&lt;&gt;""),IF($C502&lt;&gt;0,INDEX(生物种群!$A$3:INDEX(生物种群!$A:$A,COUNTA(生物种群!$A:$A)),MATCH($C502,生物种群!$F$3:INDEX(生物种群!$F:$F,COUNTA(生物种群!$F:$F)),),),IF($A502&lt;&gt;0,INDEX(生物种群!$A$3:INDEX(生物种群!$A:$A,COUNTA(生物种群!$A:$A)),MATCH($A502,生物种群!$C$3:INDEX(生物种群!$C:$C,COUNTA(生物种群!$C:$C)),),),INDEX(生物种群!$A$3:INDEX(生物种群!$A:$A,COUNTA(生物种群!$A:$A)),MATCH($B502,生物种群!$D$3:INDEX(生物种群!$D:$D,COUNTA(生物种群!$D:$D)),),))),"")</f>
        <v/>
      </c>
      <c r="I502" s="56" t="str">
        <f>IF(H502="","",INDEX(生物种群!$B$3:INDEX(生物种群!$B:$B,COUNTA(生物种群!$B:$B)),MATCH($H502,生物种群!$A$3:INDEX(生物种群!$A:$A,COUNTA(生物种群!$A:$A)),),))</f>
        <v/>
      </c>
      <c r="J502" s="55" t="str">
        <f>IF(H502="","",INDEX(生物种群!$I$3:INDEX(生物种群!$I:$I,COUNTA(生物种群!$I:$I)),MATCH($H502,生物种群!$A$3:INDEX(生物种群!$A:$A,COUNTA(生物种群!$A:$A)),),))</f>
        <v/>
      </c>
      <c r="K502" s="55" t="str">
        <f>IF(H502="","",INDEX(生物种群!$E$3:INDEX(生物种群!$E:$E,COUNTA(生物种群!$E:$E)),MATCH($H502,生物种群!$A$3:INDEX(生物种群!$A:$A,COUNTA(生物种群!$A:$A)),),))</f>
        <v/>
      </c>
      <c r="L502" s="46" t="str">
        <f t="shared" si="27"/>
        <v/>
      </c>
      <c r="M502" s="47" t="str">
        <f>IF(L502="","",ROUND((L502)/VLOOKUP($F502,IF({1,0},站位样品信息!$A$3:INDEX(站位样品信息!$A:$A,COUNTA(站位样品信息!$A:$A)+1),站位样品信息!$H$3:INDEX(站位样品信息!$H:$H,COUNTA(站位样品信息!$H:$H)+1)),2,0),2))</f>
        <v/>
      </c>
      <c r="O502" s="49"/>
      <c r="P502" s="53" t="str">
        <f t="shared" si="25"/>
        <v/>
      </c>
      <c r="Q502" s="53" t="str">
        <f t="shared" si="26"/>
        <v/>
      </c>
    </row>
    <row r="503" spans="1:17" ht="19.5" customHeight="1">
      <c r="A503" s="38"/>
      <c r="B503" s="38"/>
      <c r="C503" s="38"/>
      <c r="D503" s="37"/>
      <c r="E503" s="37"/>
      <c r="F503" s="37"/>
      <c r="G503" s="37" t="str">
        <f>IF(F503="","",INDEX(站位样品信息!$B$3:INDEX(站位样品信息!$B:$B,COUNTA(站位样品信息!$B:$B)+1),MATCH($F503,站位样品信息!$A$3:INDEX(站位样品信息!$A:$A,COUNTA(站位样品信息!$A:$A)+1),),))</f>
        <v/>
      </c>
      <c r="H503" s="55" t="str">
        <f>IF(OR(A503&lt;&gt;"",B503&lt;&gt;"",C503&lt;&gt;""),IF($C503&lt;&gt;0,INDEX(生物种群!$A$3:INDEX(生物种群!$A:$A,COUNTA(生物种群!$A:$A)),MATCH($C503,生物种群!$F$3:INDEX(生物种群!$F:$F,COUNTA(生物种群!$F:$F)),),),IF($A503&lt;&gt;0,INDEX(生物种群!$A$3:INDEX(生物种群!$A:$A,COUNTA(生物种群!$A:$A)),MATCH($A503,生物种群!$C$3:INDEX(生物种群!$C:$C,COUNTA(生物种群!$C:$C)),),),INDEX(生物种群!$A$3:INDEX(生物种群!$A:$A,COUNTA(生物种群!$A:$A)),MATCH($B503,生物种群!$D$3:INDEX(生物种群!$D:$D,COUNTA(生物种群!$D:$D)),),))),"")</f>
        <v/>
      </c>
      <c r="I503" s="56" t="str">
        <f>IF(H503="","",INDEX(生物种群!$B$3:INDEX(生物种群!$B:$B,COUNTA(生物种群!$B:$B)),MATCH($H503,生物种群!$A$3:INDEX(生物种群!$A:$A,COUNTA(生物种群!$A:$A)),),))</f>
        <v/>
      </c>
      <c r="J503" s="55" t="str">
        <f>IF(H503="","",INDEX(生物种群!$I$3:INDEX(生物种群!$I:$I,COUNTA(生物种群!$I:$I)),MATCH($H503,生物种群!$A$3:INDEX(生物种群!$A:$A,COUNTA(生物种群!$A:$A)),),))</f>
        <v/>
      </c>
      <c r="K503" s="55" t="str">
        <f>IF(H503="","",INDEX(生物种群!$E$3:INDEX(生物种群!$E:$E,COUNTA(生物种群!$E:$E)),MATCH($H503,生物种群!$A$3:INDEX(生物种群!$A:$A,COUNTA(生物种群!$A:$A)),),))</f>
        <v/>
      </c>
      <c r="L503" s="46" t="str">
        <f t="shared" si="27"/>
        <v/>
      </c>
      <c r="M503" s="47" t="str">
        <f>IF(L503="","",ROUND((L503)/VLOOKUP($F503,IF({1,0},站位样品信息!$A$3:INDEX(站位样品信息!$A:$A,COUNTA(站位样品信息!$A:$A)+1),站位样品信息!$H$3:INDEX(站位样品信息!$H:$H,COUNTA(站位样品信息!$H:$H)+1)),2,0),2))</f>
        <v/>
      </c>
      <c r="O503" s="49"/>
      <c r="P503" s="53" t="str">
        <f t="shared" si="25"/>
        <v/>
      </c>
      <c r="Q503" s="53" t="str">
        <f t="shared" si="26"/>
        <v/>
      </c>
    </row>
    <row r="504" spans="1:17" ht="19.5" customHeight="1">
      <c r="A504" s="38"/>
      <c r="B504" s="38"/>
      <c r="C504" s="38"/>
      <c r="D504" s="37"/>
      <c r="E504" s="37"/>
      <c r="F504" s="37"/>
      <c r="G504" s="37" t="str">
        <f>IF(F504="","",INDEX(站位样品信息!$B$3:INDEX(站位样品信息!$B:$B,COUNTA(站位样品信息!$B:$B)+1),MATCH($F504,站位样品信息!$A$3:INDEX(站位样品信息!$A:$A,COUNTA(站位样品信息!$A:$A)+1),),))</f>
        <v/>
      </c>
      <c r="H504" s="55" t="str">
        <f>IF(OR(A504&lt;&gt;"",B504&lt;&gt;"",C504&lt;&gt;""),IF($C504&lt;&gt;0,INDEX(生物种群!$A$3:INDEX(生物种群!$A:$A,COUNTA(生物种群!$A:$A)),MATCH($C504,生物种群!$F$3:INDEX(生物种群!$F:$F,COUNTA(生物种群!$F:$F)),),),IF($A504&lt;&gt;0,INDEX(生物种群!$A$3:INDEX(生物种群!$A:$A,COUNTA(生物种群!$A:$A)),MATCH($A504,生物种群!$C$3:INDEX(生物种群!$C:$C,COUNTA(生物种群!$C:$C)),),),INDEX(生物种群!$A$3:INDEX(生物种群!$A:$A,COUNTA(生物种群!$A:$A)),MATCH($B504,生物种群!$D$3:INDEX(生物种群!$D:$D,COUNTA(生物种群!$D:$D)),),))),"")</f>
        <v/>
      </c>
      <c r="I504" s="56" t="str">
        <f>IF(H504="","",INDEX(生物种群!$B$3:INDEX(生物种群!$B:$B,COUNTA(生物种群!$B:$B)),MATCH($H504,生物种群!$A$3:INDEX(生物种群!$A:$A,COUNTA(生物种群!$A:$A)),),))</f>
        <v/>
      </c>
      <c r="J504" s="55" t="str">
        <f>IF(H504="","",INDEX(生物种群!$I$3:INDEX(生物种群!$I:$I,COUNTA(生物种群!$I:$I)),MATCH($H504,生物种群!$A$3:INDEX(生物种群!$A:$A,COUNTA(生物种群!$A:$A)),),))</f>
        <v/>
      </c>
      <c r="K504" s="55" t="str">
        <f>IF(H504="","",INDEX(生物种群!$E$3:INDEX(生物种群!$E:$E,COUNTA(生物种群!$E:$E)),MATCH($H504,生物种群!$A$3:INDEX(生物种群!$A:$A,COUNTA(生物种群!$A:$A)),),))</f>
        <v/>
      </c>
      <c r="L504" s="46" t="str">
        <f t="shared" si="27"/>
        <v/>
      </c>
      <c r="M504" s="47" t="str">
        <f>IF(L504="","",ROUND((L504)/VLOOKUP($F504,IF({1,0},站位样品信息!$A$3:INDEX(站位样品信息!$A:$A,COUNTA(站位样品信息!$A:$A)+1),站位样品信息!$H$3:INDEX(站位样品信息!$H:$H,COUNTA(站位样品信息!$H:$H)+1)),2,0),2))</f>
        <v/>
      </c>
      <c r="O504" s="49"/>
      <c r="P504" s="53" t="str">
        <f t="shared" si="25"/>
        <v/>
      </c>
      <c r="Q504" s="53" t="str">
        <f t="shared" si="26"/>
        <v/>
      </c>
    </row>
    <row r="505" spans="1:17" ht="19.5" customHeight="1">
      <c r="A505" s="38"/>
      <c r="B505" s="38"/>
      <c r="C505" s="38"/>
      <c r="D505" s="37"/>
      <c r="E505" s="37"/>
      <c r="F505" s="37"/>
      <c r="G505" s="37" t="str">
        <f>IF(F505="","",INDEX(站位样品信息!$B$3:INDEX(站位样品信息!$B:$B,COUNTA(站位样品信息!$B:$B)+1),MATCH($F505,站位样品信息!$A$3:INDEX(站位样品信息!$A:$A,COUNTA(站位样品信息!$A:$A)+1),),))</f>
        <v/>
      </c>
      <c r="H505" s="55" t="str">
        <f>IF(OR(A505&lt;&gt;"",B505&lt;&gt;"",C505&lt;&gt;""),IF($C505&lt;&gt;0,INDEX(生物种群!$A$3:INDEX(生物种群!$A:$A,COUNTA(生物种群!$A:$A)),MATCH($C505,生物种群!$F$3:INDEX(生物种群!$F:$F,COUNTA(生物种群!$F:$F)),),),IF($A505&lt;&gt;0,INDEX(生物种群!$A$3:INDEX(生物种群!$A:$A,COUNTA(生物种群!$A:$A)),MATCH($A505,生物种群!$C$3:INDEX(生物种群!$C:$C,COUNTA(生物种群!$C:$C)),),),INDEX(生物种群!$A$3:INDEX(生物种群!$A:$A,COUNTA(生物种群!$A:$A)),MATCH($B505,生物种群!$D$3:INDEX(生物种群!$D:$D,COUNTA(生物种群!$D:$D)),),))),"")</f>
        <v/>
      </c>
      <c r="I505" s="56" t="str">
        <f>IF(H505="","",INDEX(生物种群!$B$3:INDEX(生物种群!$B:$B,COUNTA(生物种群!$B:$B)),MATCH($H505,生物种群!$A$3:INDEX(生物种群!$A:$A,COUNTA(生物种群!$A:$A)),),))</f>
        <v/>
      </c>
      <c r="J505" s="55" t="str">
        <f>IF(H505="","",INDEX(生物种群!$I$3:INDEX(生物种群!$I:$I,COUNTA(生物种群!$I:$I)),MATCH($H505,生物种群!$A$3:INDEX(生物种群!$A:$A,COUNTA(生物种群!$A:$A)),),))</f>
        <v/>
      </c>
      <c r="K505" s="55" t="str">
        <f>IF(H505="","",INDEX(生物种群!$E$3:INDEX(生物种群!$E:$E,COUNTA(生物种群!$E:$E)),MATCH($H505,生物种群!$A$3:INDEX(生物种群!$A:$A,COUNTA(生物种群!$A:$A)),),))</f>
        <v/>
      </c>
      <c r="L505" s="46" t="str">
        <f t="shared" si="27"/>
        <v/>
      </c>
      <c r="M505" s="47" t="str">
        <f>IF(L505="","",ROUND((L505)/VLOOKUP($F505,IF({1,0},站位样品信息!$A$3:INDEX(站位样品信息!$A:$A,COUNTA(站位样品信息!$A:$A)+1),站位样品信息!$H$3:INDEX(站位样品信息!$H:$H,COUNTA(站位样品信息!$H:$H)+1)),2,0),2))</f>
        <v/>
      </c>
      <c r="O505" s="49"/>
      <c r="P505" s="53" t="str">
        <f t="shared" si="25"/>
        <v/>
      </c>
      <c r="Q505" s="53" t="str">
        <f t="shared" si="26"/>
        <v/>
      </c>
    </row>
    <row r="506" spans="1:17" ht="19.5" customHeight="1">
      <c r="A506" s="38"/>
      <c r="B506" s="38"/>
      <c r="C506" s="38"/>
      <c r="D506" s="37"/>
      <c r="E506" s="37"/>
      <c r="F506" s="37"/>
      <c r="G506" s="37" t="str">
        <f>IF(F506="","",INDEX(站位样品信息!$B$3:INDEX(站位样品信息!$B:$B,COUNTA(站位样品信息!$B:$B)+1),MATCH($F506,站位样品信息!$A$3:INDEX(站位样品信息!$A:$A,COUNTA(站位样品信息!$A:$A)+1),),))</f>
        <v/>
      </c>
      <c r="H506" s="55" t="str">
        <f>IF(OR(A506&lt;&gt;"",B506&lt;&gt;"",C506&lt;&gt;""),IF($C506&lt;&gt;0,INDEX(生物种群!$A$3:INDEX(生物种群!$A:$A,COUNTA(生物种群!$A:$A)),MATCH($C506,生物种群!$F$3:INDEX(生物种群!$F:$F,COUNTA(生物种群!$F:$F)),),),IF($A506&lt;&gt;0,INDEX(生物种群!$A$3:INDEX(生物种群!$A:$A,COUNTA(生物种群!$A:$A)),MATCH($A506,生物种群!$C$3:INDEX(生物种群!$C:$C,COUNTA(生物种群!$C:$C)),),),INDEX(生物种群!$A$3:INDEX(生物种群!$A:$A,COUNTA(生物种群!$A:$A)),MATCH($B506,生物种群!$D$3:INDEX(生物种群!$D:$D,COUNTA(生物种群!$D:$D)),),))),"")</f>
        <v/>
      </c>
      <c r="I506" s="56" t="str">
        <f>IF(H506="","",INDEX(生物种群!$B$3:INDEX(生物种群!$B:$B,COUNTA(生物种群!$B:$B)),MATCH($H506,生物种群!$A$3:INDEX(生物种群!$A:$A,COUNTA(生物种群!$A:$A)),),))</f>
        <v/>
      </c>
      <c r="J506" s="55" t="str">
        <f>IF(H506="","",INDEX(生物种群!$I$3:INDEX(生物种群!$I:$I,COUNTA(生物种群!$I:$I)),MATCH($H506,生物种群!$A$3:INDEX(生物种群!$A:$A,COUNTA(生物种群!$A:$A)),),))</f>
        <v/>
      </c>
      <c r="K506" s="55" t="str">
        <f>IF(H506="","",INDEX(生物种群!$E$3:INDEX(生物种群!$E:$E,COUNTA(生物种群!$E:$E)),MATCH($H506,生物种群!$A$3:INDEX(生物种群!$A:$A,COUNTA(生物种群!$A:$A)),),))</f>
        <v/>
      </c>
      <c r="L506" s="46" t="str">
        <f t="shared" si="27"/>
        <v/>
      </c>
      <c r="M506" s="47" t="str">
        <f>IF(L506="","",ROUND((L506)/VLOOKUP($F506,IF({1,0},站位样品信息!$A$3:INDEX(站位样品信息!$A:$A,COUNTA(站位样品信息!$A:$A)+1),站位样品信息!$H$3:INDEX(站位样品信息!$H:$H,COUNTA(站位样品信息!$H:$H)+1)),2,0),2))</f>
        <v/>
      </c>
      <c r="O506" s="49"/>
      <c r="P506" s="53" t="str">
        <f t="shared" si="25"/>
        <v/>
      </c>
      <c r="Q506" s="53" t="str">
        <f t="shared" si="26"/>
        <v/>
      </c>
    </row>
    <row r="507" spans="1:17" ht="19.5" customHeight="1">
      <c r="A507" s="38"/>
      <c r="B507" s="38"/>
      <c r="C507" s="38"/>
      <c r="D507" s="37"/>
      <c r="E507" s="37"/>
      <c r="F507" s="37"/>
      <c r="G507" s="37" t="str">
        <f>IF(F507="","",INDEX(站位样品信息!$B$3:INDEX(站位样品信息!$B:$B,COUNTA(站位样品信息!$B:$B)+1),MATCH($F507,站位样品信息!$A$3:INDEX(站位样品信息!$A:$A,COUNTA(站位样品信息!$A:$A)+1),),))</f>
        <v/>
      </c>
      <c r="H507" s="55" t="str">
        <f>IF(OR(A507&lt;&gt;"",B507&lt;&gt;"",C507&lt;&gt;""),IF($C507&lt;&gt;0,INDEX(生物种群!$A$3:INDEX(生物种群!$A:$A,COUNTA(生物种群!$A:$A)),MATCH($C507,生物种群!$F$3:INDEX(生物种群!$F:$F,COUNTA(生物种群!$F:$F)),),),IF($A507&lt;&gt;0,INDEX(生物种群!$A$3:INDEX(生物种群!$A:$A,COUNTA(生物种群!$A:$A)),MATCH($A507,生物种群!$C$3:INDEX(生物种群!$C:$C,COUNTA(生物种群!$C:$C)),),),INDEX(生物种群!$A$3:INDEX(生物种群!$A:$A,COUNTA(生物种群!$A:$A)),MATCH($B507,生物种群!$D$3:INDEX(生物种群!$D:$D,COUNTA(生物种群!$D:$D)),),))),"")</f>
        <v/>
      </c>
      <c r="I507" s="56" t="str">
        <f>IF(H507="","",INDEX(生物种群!$B$3:INDEX(生物种群!$B:$B,COUNTA(生物种群!$B:$B)),MATCH($H507,生物种群!$A$3:INDEX(生物种群!$A:$A,COUNTA(生物种群!$A:$A)),),))</f>
        <v/>
      </c>
      <c r="J507" s="55" t="str">
        <f>IF(H507="","",INDEX(生物种群!$I$3:INDEX(生物种群!$I:$I,COUNTA(生物种群!$I:$I)),MATCH($H507,生物种群!$A$3:INDEX(生物种群!$A:$A,COUNTA(生物种群!$A:$A)),),))</f>
        <v/>
      </c>
      <c r="K507" s="55" t="str">
        <f>IF(H507="","",INDEX(生物种群!$E$3:INDEX(生物种群!$E:$E,COUNTA(生物种群!$E:$E)),MATCH($H507,生物种群!$A$3:INDEX(生物种群!$A:$A,COUNTA(生物种群!$A:$A)),),))</f>
        <v/>
      </c>
      <c r="L507" s="46" t="str">
        <f t="shared" si="27"/>
        <v/>
      </c>
      <c r="M507" s="47" t="str">
        <f>IF(L507="","",ROUND((L507)/VLOOKUP($F507,IF({1,0},站位样品信息!$A$3:INDEX(站位样品信息!$A:$A,COUNTA(站位样品信息!$A:$A)+1),站位样品信息!$H$3:INDEX(站位样品信息!$H:$H,COUNTA(站位样品信息!$H:$H)+1)),2,0),2))</f>
        <v/>
      </c>
      <c r="O507" s="49"/>
      <c r="P507" s="53" t="str">
        <f t="shared" si="25"/>
        <v/>
      </c>
      <c r="Q507" s="53" t="str">
        <f t="shared" si="26"/>
        <v/>
      </c>
    </row>
    <row r="508" spans="1:17" ht="19.5" customHeight="1">
      <c r="A508" s="38"/>
      <c r="B508" s="38"/>
      <c r="C508" s="38"/>
      <c r="D508" s="37"/>
      <c r="E508" s="37"/>
      <c r="F508" s="37"/>
      <c r="G508" s="37" t="str">
        <f>IF(F508="","",INDEX(站位样品信息!$B$3:INDEX(站位样品信息!$B:$B,COUNTA(站位样品信息!$B:$B)+1),MATCH($F508,站位样品信息!$A$3:INDEX(站位样品信息!$A:$A,COUNTA(站位样品信息!$A:$A)+1),),))</f>
        <v/>
      </c>
      <c r="H508" s="55" t="str">
        <f>IF(OR(A508&lt;&gt;"",B508&lt;&gt;"",C508&lt;&gt;""),IF($C508&lt;&gt;0,INDEX(生物种群!$A$3:INDEX(生物种群!$A:$A,COUNTA(生物种群!$A:$A)),MATCH($C508,生物种群!$F$3:INDEX(生物种群!$F:$F,COUNTA(生物种群!$F:$F)),),),IF($A508&lt;&gt;0,INDEX(生物种群!$A$3:INDEX(生物种群!$A:$A,COUNTA(生物种群!$A:$A)),MATCH($A508,生物种群!$C$3:INDEX(生物种群!$C:$C,COUNTA(生物种群!$C:$C)),),),INDEX(生物种群!$A$3:INDEX(生物种群!$A:$A,COUNTA(生物种群!$A:$A)),MATCH($B508,生物种群!$D$3:INDEX(生物种群!$D:$D,COUNTA(生物种群!$D:$D)),),))),"")</f>
        <v/>
      </c>
      <c r="I508" s="56" t="str">
        <f>IF(H508="","",INDEX(生物种群!$B$3:INDEX(生物种群!$B:$B,COUNTA(生物种群!$B:$B)),MATCH($H508,生物种群!$A$3:INDEX(生物种群!$A:$A,COUNTA(生物种群!$A:$A)),),))</f>
        <v/>
      </c>
      <c r="J508" s="55" t="str">
        <f>IF(H508="","",INDEX(生物种群!$I$3:INDEX(生物种群!$I:$I,COUNTA(生物种群!$I:$I)),MATCH($H508,生物种群!$A$3:INDEX(生物种群!$A:$A,COUNTA(生物种群!$A:$A)),),))</f>
        <v/>
      </c>
      <c r="K508" s="55" t="str">
        <f>IF(H508="","",INDEX(生物种群!$E$3:INDEX(生物种群!$E:$E,COUNTA(生物种群!$E:$E)),MATCH($H508,生物种群!$A$3:INDEX(生物种群!$A:$A,COUNTA(生物种群!$A:$A)),),))</f>
        <v/>
      </c>
      <c r="L508" s="46" t="str">
        <f t="shared" si="27"/>
        <v/>
      </c>
      <c r="M508" s="47" t="str">
        <f>IF(L508="","",ROUND((L508)/VLOOKUP($F508,IF({1,0},站位样品信息!$A$3:INDEX(站位样品信息!$A:$A,COUNTA(站位样品信息!$A:$A)+1),站位样品信息!$H$3:INDEX(站位样品信息!$H:$H,COUNTA(站位样品信息!$H:$H)+1)),2,0),2))</f>
        <v/>
      </c>
      <c r="O508" s="49"/>
      <c r="P508" s="53" t="str">
        <f t="shared" si="25"/>
        <v/>
      </c>
      <c r="Q508" s="53" t="str">
        <f t="shared" si="26"/>
        <v/>
      </c>
    </row>
    <row r="509" spans="1:17" ht="19.5" customHeight="1">
      <c r="A509" s="38"/>
      <c r="B509" s="38"/>
      <c r="C509" s="38"/>
      <c r="D509" s="37"/>
      <c r="E509" s="37"/>
      <c r="F509" s="37"/>
      <c r="G509" s="37" t="str">
        <f>IF(F509="","",INDEX(站位样品信息!$B$3:INDEX(站位样品信息!$B:$B,COUNTA(站位样品信息!$B:$B)+1),MATCH($F509,站位样品信息!$A$3:INDEX(站位样品信息!$A:$A,COUNTA(站位样品信息!$A:$A)+1),),))</f>
        <v/>
      </c>
      <c r="H509" s="55" t="str">
        <f>IF(OR(A509&lt;&gt;"",B509&lt;&gt;"",C509&lt;&gt;""),IF($C509&lt;&gt;0,INDEX(生物种群!$A$3:INDEX(生物种群!$A:$A,COUNTA(生物种群!$A:$A)),MATCH($C509,生物种群!$F$3:INDEX(生物种群!$F:$F,COUNTA(生物种群!$F:$F)),),),IF($A509&lt;&gt;0,INDEX(生物种群!$A$3:INDEX(生物种群!$A:$A,COUNTA(生物种群!$A:$A)),MATCH($A509,生物种群!$C$3:INDEX(生物种群!$C:$C,COUNTA(生物种群!$C:$C)),),),INDEX(生物种群!$A$3:INDEX(生物种群!$A:$A,COUNTA(生物种群!$A:$A)),MATCH($B509,生物种群!$D$3:INDEX(生物种群!$D:$D,COUNTA(生物种群!$D:$D)),),))),"")</f>
        <v/>
      </c>
      <c r="I509" s="56" t="str">
        <f>IF(H509="","",INDEX(生物种群!$B$3:INDEX(生物种群!$B:$B,COUNTA(生物种群!$B:$B)),MATCH($H509,生物种群!$A$3:INDEX(生物种群!$A:$A,COUNTA(生物种群!$A:$A)),),))</f>
        <v/>
      </c>
      <c r="J509" s="55" t="str">
        <f>IF(H509="","",INDEX(生物种群!$I$3:INDEX(生物种群!$I:$I,COUNTA(生物种群!$I:$I)),MATCH($H509,生物种群!$A$3:INDEX(生物种群!$A:$A,COUNTA(生物种群!$A:$A)),),))</f>
        <v/>
      </c>
      <c r="K509" s="55" t="str">
        <f>IF(H509="","",INDEX(生物种群!$E$3:INDEX(生物种群!$E:$E,COUNTA(生物种群!$E:$E)),MATCH($H509,生物种群!$A$3:INDEX(生物种群!$A:$A,COUNTA(生物种群!$A:$A)),),))</f>
        <v/>
      </c>
      <c r="L509" s="46" t="str">
        <f t="shared" si="27"/>
        <v/>
      </c>
      <c r="M509" s="47" t="str">
        <f>IF(L509="","",ROUND((L509)/VLOOKUP($F509,IF({1,0},站位样品信息!$A$3:INDEX(站位样品信息!$A:$A,COUNTA(站位样品信息!$A:$A)+1),站位样品信息!$H$3:INDEX(站位样品信息!$H:$H,COUNTA(站位样品信息!$H:$H)+1)),2,0),2))</f>
        <v/>
      </c>
      <c r="O509" s="49"/>
      <c r="P509" s="53" t="str">
        <f t="shared" si="25"/>
        <v/>
      </c>
      <c r="Q509" s="53" t="str">
        <f t="shared" si="26"/>
        <v/>
      </c>
    </row>
    <row r="510" spans="1:17" ht="19.5" customHeight="1">
      <c r="A510" s="38"/>
      <c r="B510" s="38"/>
      <c r="C510" s="38"/>
      <c r="D510" s="37"/>
      <c r="E510" s="37"/>
      <c r="F510" s="37"/>
      <c r="G510" s="37" t="str">
        <f>IF(F510="","",INDEX(站位样品信息!$B$3:INDEX(站位样品信息!$B:$B,COUNTA(站位样品信息!$B:$B)+1),MATCH($F510,站位样品信息!$A$3:INDEX(站位样品信息!$A:$A,COUNTA(站位样品信息!$A:$A)+1),),))</f>
        <v/>
      </c>
      <c r="H510" s="55" t="str">
        <f>IF(OR(A510&lt;&gt;"",B510&lt;&gt;"",C510&lt;&gt;""),IF($C510&lt;&gt;0,INDEX(生物种群!$A$3:INDEX(生物种群!$A:$A,COUNTA(生物种群!$A:$A)),MATCH($C510,生物种群!$F$3:INDEX(生物种群!$F:$F,COUNTA(生物种群!$F:$F)),),),IF($A510&lt;&gt;0,INDEX(生物种群!$A$3:INDEX(生物种群!$A:$A,COUNTA(生物种群!$A:$A)),MATCH($A510,生物种群!$C$3:INDEX(生物种群!$C:$C,COUNTA(生物种群!$C:$C)),),),INDEX(生物种群!$A$3:INDEX(生物种群!$A:$A,COUNTA(生物种群!$A:$A)),MATCH($B510,生物种群!$D$3:INDEX(生物种群!$D:$D,COUNTA(生物种群!$D:$D)),),))),"")</f>
        <v/>
      </c>
      <c r="I510" s="56" t="str">
        <f>IF(H510="","",INDEX(生物种群!$B$3:INDEX(生物种群!$B:$B,COUNTA(生物种群!$B:$B)),MATCH($H510,生物种群!$A$3:INDEX(生物种群!$A:$A,COUNTA(生物种群!$A:$A)),),))</f>
        <v/>
      </c>
      <c r="J510" s="55" t="str">
        <f>IF(H510="","",INDEX(生物种群!$I$3:INDEX(生物种群!$I:$I,COUNTA(生物种群!$I:$I)),MATCH($H510,生物种群!$A$3:INDEX(生物种群!$A:$A,COUNTA(生物种群!$A:$A)),),))</f>
        <v/>
      </c>
      <c r="K510" s="55" t="str">
        <f>IF(H510="","",INDEX(生物种群!$E$3:INDEX(生物种群!$E:$E,COUNTA(生物种群!$E:$E)),MATCH($H510,生物种群!$A$3:INDEX(生物种群!$A:$A,COUNTA(生物种群!$A:$A)),),))</f>
        <v/>
      </c>
      <c r="L510" s="46" t="str">
        <f t="shared" si="27"/>
        <v/>
      </c>
      <c r="M510" s="47" t="str">
        <f>IF(L510="","",ROUND((L510)/VLOOKUP($F510,IF({1,0},站位样品信息!$A$3:INDEX(站位样品信息!$A:$A,COUNTA(站位样品信息!$A:$A)+1),站位样品信息!$H$3:INDEX(站位样品信息!$H:$H,COUNTA(站位样品信息!$H:$H)+1)),2,0),2))</f>
        <v/>
      </c>
      <c r="O510" s="49"/>
      <c r="P510" s="53" t="str">
        <f t="shared" si="25"/>
        <v/>
      </c>
      <c r="Q510" s="53" t="str">
        <f t="shared" si="26"/>
        <v/>
      </c>
    </row>
    <row r="511" spans="1:17" ht="19.5" customHeight="1">
      <c r="A511" s="38"/>
      <c r="B511" s="38"/>
      <c r="C511" s="38"/>
      <c r="D511" s="37"/>
      <c r="E511" s="37"/>
      <c r="F511" s="37"/>
      <c r="G511" s="37" t="str">
        <f>IF(F511="","",INDEX(站位样品信息!$B$3:INDEX(站位样品信息!$B:$B,COUNTA(站位样品信息!$B:$B)+1),MATCH($F511,站位样品信息!$A$3:INDEX(站位样品信息!$A:$A,COUNTA(站位样品信息!$A:$A)+1),),))</f>
        <v/>
      </c>
      <c r="H511" s="55" t="str">
        <f>IF(OR(A511&lt;&gt;"",B511&lt;&gt;"",C511&lt;&gt;""),IF($C511&lt;&gt;0,INDEX(生物种群!$A$3:INDEX(生物种群!$A:$A,COUNTA(生物种群!$A:$A)),MATCH($C511,生物种群!$F$3:INDEX(生物种群!$F:$F,COUNTA(生物种群!$F:$F)),),),IF($A511&lt;&gt;0,INDEX(生物种群!$A$3:INDEX(生物种群!$A:$A,COUNTA(生物种群!$A:$A)),MATCH($A511,生物种群!$C$3:INDEX(生物种群!$C:$C,COUNTA(生物种群!$C:$C)),),),INDEX(生物种群!$A$3:INDEX(生物种群!$A:$A,COUNTA(生物种群!$A:$A)),MATCH($B511,生物种群!$D$3:INDEX(生物种群!$D:$D,COUNTA(生物种群!$D:$D)),),))),"")</f>
        <v/>
      </c>
      <c r="I511" s="56" t="str">
        <f>IF(H511="","",INDEX(生物种群!$B$3:INDEX(生物种群!$B:$B,COUNTA(生物种群!$B:$B)),MATCH($H511,生物种群!$A$3:INDEX(生物种群!$A:$A,COUNTA(生物种群!$A:$A)),),))</f>
        <v/>
      </c>
      <c r="J511" s="55" t="str">
        <f>IF(H511="","",INDEX(生物种群!$I$3:INDEX(生物种群!$I:$I,COUNTA(生物种群!$I:$I)),MATCH($H511,生物种群!$A$3:INDEX(生物种群!$A:$A,COUNTA(生物种群!$A:$A)),),))</f>
        <v/>
      </c>
      <c r="K511" s="55" t="str">
        <f>IF(H511="","",INDEX(生物种群!$E$3:INDEX(生物种群!$E:$E,COUNTA(生物种群!$E:$E)),MATCH($H511,生物种群!$A$3:INDEX(生物种群!$A:$A,COUNTA(生物种群!$A:$A)),),))</f>
        <v/>
      </c>
      <c r="L511" s="46" t="str">
        <f t="shared" si="27"/>
        <v/>
      </c>
      <c r="M511" s="47" t="str">
        <f>IF(L511="","",ROUND((L511)/VLOOKUP($F511,IF({1,0},站位样品信息!$A$3:INDEX(站位样品信息!$A:$A,COUNTA(站位样品信息!$A:$A)+1),站位样品信息!$H$3:INDEX(站位样品信息!$H:$H,COUNTA(站位样品信息!$H:$H)+1)),2,0),2))</f>
        <v/>
      </c>
      <c r="O511" s="49"/>
      <c r="P511" s="53" t="str">
        <f t="shared" si="25"/>
        <v/>
      </c>
      <c r="Q511" s="53" t="str">
        <f t="shared" si="26"/>
        <v/>
      </c>
    </row>
    <row r="512" spans="1:17" ht="19.5" customHeight="1">
      <c r="A512" s="38"/>
      <c r="B512" s="38"/>
      <c r="C512" s="38"/>
      <c r="D512" s="37"/>
      <c r="E512" s="37"/>
      <c r="F512" s="37"/>
      <c r="G512" s="37" t="str">
        <f>IF(F512="","",INDEX(站位样品信息!$B$3:INDEX(站位样品信息!$B:$B,COUNTA(站位样品信息!$B:$B)+1),MATCH($F512,站位样品信息!$A$3:INDEX(站位样品信息!$A:$A,COUNTA(站位样品信息!$A:$A)+1),),))</f>
        <v/>
      </c>
      <c r="H512" s="55" t="str">
        <f>IF(OR(A512&lt;&gt;"",B512&lt;&gt;"",C512&lt;&gt;""),IF($C512&lt;&gt;0,INDEX(生物种群!$A$3:INDEX(生物种群!$A:$A,COUNTA(生物种群!$A:$A)),MATCH($C512,生物种群!$F$3:INDEX(生物种群!$F:$F,COUNTA(生物种群!$F:$F)),),),IF($A512&lt;&gt;0,INDEX(生物种群!$A$3:INDEX(生物种群!$A:$A,COUNTA(生物种群!$A:$A)),MATCH($A512,生物种群!$C$3:INDEX(生物种群!$C:$C,COUNTA(生物种群!$C:$C)),),),INDEX(生物种群!$A$3:INDEX(生物种群!$A:$A,COUNTA(生物种群!$A:$A)),MATCH($B512,生物种群!$D$3:INDEX(生物种群!$D:$D,COUNTA(生物种群!$D:$D)),),))),"")</f>
        <v/>
      </c>
      <c r="I512" s="56" t="str">
        <f>IF(H512="","",INDEX(生物种群!$B$3:INDEX(生物种群!$B:$B,COUNTA(生物种群!$B:$B)),MATCH($H512,生物种群!$A$3:INDEX(生物种群!$A:$A,COUNTA(生物种群!$A:$A)),),))</f>
        <v/>
      </c>
      <c r="J512" s="55" t="str">
        <f>IF(H512="","",INDEX(生物种群!$I$3:INDEX(生物种群!$I:$I,COUNTA(生物种群!$I:$I)),MATCH($H512,生物种群!$A$3:INDEX(生物种群!$A:$A,COUNTA(生物种群!$A:$A)),),))</f>
        <v/>
      </c>
      <c r="K512" s="55" t="str">
        <f>IF(H512="","",INDEX(生物种群!$E$3:INDEX(生物种群!$E:$E,COUNTA(生物种群!$E:$E)),MATCH($H512,生物种群!$A$3:INDEX(生物种群!$A:$A,COUNTA(生物种群!$A:$A)),),))</f>
        <v/>
      </c>
      <c r="L512" s="46" t="str">
        <f t="shared" si="27"/>
        <v/>
      </c>
      <c r="M512" s="47" t="str">
        <f>IF(L512="","",ROUND((L512)/VLOOKUP($F512,IF({1,0},站位样品信息!$A$3:INDEX(站位样品信息!$A:$A,COUNTA(站位样品信息!$A:$A)+1),站位样品信息!$H$3:INDEX(站位样品信息!$H:$H,COUNTA(站位样品信息!$H:$H)+1)),2,0),2))</f>
        <v/>
      </c>
      <c r="O512" s="49"/>
      <c r="P512" s="53" t="str">
        <f t="shared" si="25"/>
        <v/>
      </c>
      <c r="Q512" s="53" t="str">
        <f t="shared" si="26"/>
        <v/>
      </c>
    </row>
    <row r="513" spans="1:17" ht="19.5" customHeight="1">
      <c r="A513" s="38"/>
      <c r="B513" s="38"/>
      <c r="C513" s="38"/>
      <c r="D513" s="37"/>
      <c r="E513" s="37"/>
      <c r="F513" s="37"/>
      <c r="G513" s="37" t="str">
        <f>IF(F513="","",INDEX(站位样品信息!$B$3:INDEX(站位样品信息!$B:$B,COUNTA(站位样品信息!$B:$B)+1),MATCH($F513,站位样品信息!$A$3:INDEX(站位样品信息!$A:$A,COUNTA(站位样品信息!$A:$A)+1),),))</f>
        <v/>
      </c>
      <c r="H513" s="55" t="str">
        <f>IF(OR(A513&lt;&gt;"",B513&lt;&gt;"",C513&lt;&gt;""),IF($C513&lt;&gt;0,INDEX(生物种群!$A$3:INDEX(生物种群!$A:$A,COUNTA(生物种群!$A:$A)),MATCH($C513,生物种群!$F$3:INDEX(生物种群!$F:$F,COUNTA(生物种群!$F:$F)),),),IF($A513&lt;&gt;0,INDEX(生物种群!$A$3:INDEX(生物种群!$A:$A,COUNTA(生物种群!$A:$A)),MATCH($A513,生物种群!$C$3:INDEX(生物种群!$C:$C,COUNTA(生物种群!$C:$C)),),),INDEX(生物种群!$A$3:INDEX(生物种群!$A:$A,COUNTA(生物种群!$A:$A)),MATCH($B513,生物种群!$D$3:INDEX(生物种群!$D:$D,COUNTA(生物种群!$D:$D)),),))),"")</f>
        <v/>
      </c>
      <c r="I513" s="56" t="str">
        <f>IF(H513="","",INDEX(生物种群!$B$3:INDEX(生物种群!$B:$B,COUNTA(生物种群!$B:$B)),MATCH($H513,生物种群!$A$3:INDEX(生物种群!$A:$A,COUNTA(生物种群!$A:$A)),),))</f>
        <v/>
      </c>
      <c r="J513" s="55" t="str">
        <f>IF(H513="","",INDEX(生物种群!$I$3:INDEX(生物种群!$I:$I,COUNTA(生物种群!$I:$I)),MATCH($H513,生物种群!$A$3:INDEX(生物种群!$A:$A,COUNTA(生物种群!$A:$A)),),))</f>
        <v/>
      </c>
      <c r="K513" s="55" t="str">
        <f>IF(H513="","",INDEX(生物种群!$E$3:INDEX(生物种群!$E:$E,COUNTA(生物种群!$E:$E)),MATCH($H513,生物种群!$A$3:INDEX(生物种群!$A:$A,COUNTA(生物种群!$A:$A)),),))</f>
        <v/>
      </c>
      <c r="L513" s="46" t="str">
        <f t="shared" si="27"/>
        <v/>
      </c>
      <c r="M513" s="47" t="str">
        <f>IF(L513="","",ROUND((L513)/VLOOKUP($F513,IF({1,0},站位样品信息!$A$3:INDEX(站位样品信息!$A:$A,COUNTA(站位样品信息!$A:$A)+1),站位样品信息!$H$3:INDEX(站位样品信息!$H:$H,COUNTA(站位样品信息!$H:$H)+1)),2,0),2))</f>
        <v/>
      </c>
      <c r="O513" s="49"/>
      <c r="P513" s="53" t="str">
        <f t="shared" si="25"/>
        <v/>
      </c>
      <c r="Q513" s="53" t="str">
        <f t="shared" si="26"/>
        <v/>
      </c>
    </row>
    <row r="514" spans="1:17" ht="19.5" customHeight="1">
      <c r="A514" s="38"/>
      <c r="B514" s="38"/>
      <c r="C514" s="38"/>
      <c r="D514" s="37"/>
      <c r="E514" s="37"/>
      <c r="F514" s="37"/>
      <c r="G514" s="37" t="str">
        <f>IF(F514="","",INDEX(站位样品信息!$B$3:INDEX(站位样品信息!$B:$B,COUNTA(站位样品信息!$B:$B)+1),MATCH($F514,站位样品信息!$A$3:INDEX(站位样品信息!$A:$A,COUNTA(站位样品信息!$A:$A)+1),),))</f>
        <v/>
      </c>
      <c r="H514" s="55" t="str">
        <f>IF(OR(A514&lt;&gt;"",B514&lt;&gt;"",C514&lt;&gt;""),IF($C514&lt;&gt;0,INDEX(生物种群!$A$3:INDEX(生物种群!$A:$A,COUNTA(生物种群!$A:$A)),MATCH($C514,生物种群!$F$3:INDEX(生物种群!$F:$F,COUNTA(生物种群!$F:$F)),),),IF($A514&lt;&gt;0,INDEX(生物种群!$A$3:INDEX(生物种群!$A:$A,COUNTA(生物种群!$A:$A)),MATCH($A514,生物种群!$C$3:INDEX(生物种群!$C:$C,COUNTA(生物种群!$C:$C)),),),INDEX(生物种群!$A$3:INDEX(生物种群!$A:$A,COUNTA(生物种群!$A:$A)),MATCH($B514,生物种群!$D$3:INDEX(生物种群!$D:$D,COUNTA(生物种群!$D:$D)),),))),"")</f>
        <v/>
      </c>
      <c r="I514" s="56" t="str">
        <f>IF(H514="","",INDEX(生物种群!$B$3:INDEX(生物种群!$B:$B,COUNTA(生物种群!$B:$B)),MATCH($H514,生物种群!$A$3:INDEX(生物种群!$A:$A,COUNTA(生物种群!$A:$A)),),))</f>
        <v/>
      </c>
      <c r="J514" s="55" t="str">
        <f>IF(H514="","",INDEX(生物种群!$I$3:INDEX(生物种群!$I:$I,COUNTA(生物种群!$I:$I)),MATCH($H514,生物种群!$A$3:INDEX(生物种群!$A:$A,COUNTA(生物种群!$A:$A)),),))</f>
        <v/>
      </c>
      <c r="K514" s="55" t="str">
        <f>IF(H514="","",INDEX(生物种群!$E$3:INDEX(生物种群!$E:$E,COUNTA(生物种群!$E:$E)),MATCH($H514,生物种群!$A$3:INDEX(生物种群!$A:$A,COUNTA(生物种群!$A:$A)),),))</f>
        <v/>
      </c>
      <c r="L514" s="46" t="str">
        <f t="shared" si="27"/>
        <v/>
      </c>
      <c r="M514" s="47" t="str">
        <f>IF(L514="","",ROUND((L514)/VLOOKUP($F514,IF({1,0},站位样品信息!$A$3:INDEX(站位样品信息!$A:$A,COUNTA(站位样品信息!$A:$A)+1),站位样品信息!$H$3:INDEX(站位样品信息!$H:$H,COUNTA(站位样品信息!$H:$H)+1)),2,0),2))</f>
        <v/>
      </c>
      <c r="O514" s="49"/>
      <c r="P514" s="53" t="str">
        <f t="shared" si="25"/>
        <v/>
      </c>
      <c r="Q514" s="53" t="str">
        <f t="shared" si="26"/>
        <v/>
      </c>
    </row>
    <row r="515" spans="1:17" ht="19.5" customHeight="1">
      <c r="A515" s="38"/>
      <c r="B515" s="38"/>
      <c r="C515" s="38"/>
      <c r="D515" s="37"/>
      <c r="E515" s="37"/>
      <c r="F515" s="37"/>
      <c r="G515" s="37" t="str">
        <f>IF(F515="","",INDEX(站位样品信息!$B$3:INDEX(站位样品信息!$B:$B,COUNTA(站位样品信息!$B:$B)+1),MATCH($F515,站位样品信息!$A$3:INDEX(站位样品信息!$A:$A,COUNTA(站位样品信息!$A:$A)+1),),))</f>
        <v/>
      </c>
      <c r="H515" s="55" t="str">
        <f>IF(OR(A515&lt;&gt;"",B515&lt;&gt;"",C515&lt;&gt;""),IF($C515&lt;&gt;0,INDEX(生物种群!$A$3:INDEX(生物种群!$A:$A,COUNTA(生物种群!$A:$A)),MATCH($C515,生物种群!$F$3:INDEX(生物种群!$F:$F,COUNTA(生物种群!$F:$F)),),),IF($A515&lt;&gt;0,INDEX(生物种群!$A$3:INDEX(生物种群!$A:$A,COUNTA(生物种群!$A:$A)),MATCH($A515,生物种群!$C$3:INDEX(生物种群!$C:$C,COUNTA(生物种群!$C:$C)),),),INDEX(生物种群!$A$3:INDEX(生物种群!$A:$A,COUNTA(生物种群!$A:$A)),MATCH($B515,生物种群!$D$3:INDEX(生物种群!$D:$D,COUNTA(生物种群!$D:$D)),),))),"")</f>
        <v/>
      </c>
      <c r="I515" s="56" t="str">
        <f>IF(H515="","",INDEX(生物种群!$B$3:INDEX(生物种群!$B:$B,COUNTA(生物种群!$B:$B)),MATCH($H515,生物种群!$A$3:INDEX(生物种群!$A:$A,COUNTA(生物种群!$A:$A)),),))</f>
        <v/>
      </c>
      <c r="J515" s="55" t="str">
        <f>IF(H515="","",INDEX(生物种群!$I$3:INDEX(生物种群!$I:$I,COUNTA(生物种群!$I:$I)),MATCH($H515,生物种群!$A$3:INDEX(生物种群!$A:$A,COUNTA(生物种群!$A:$A)),),))</f>
        <v/>
      </c>
      <c r="K515" s="55" t="str">
        <f>IF(H515="","",INDEX(生物种群!$E$3:INDEX(生物种群!$E:$E,COUNTA(生物种群!$E:$E)),MATCH($H515,生物种群!$A$3:INDEX(生物种群!$A:$A,COUNTA(生物种群!$A:$A)),),))</f>
        <v/>
      </c>
      <c r="L515" s="46" t="str">
        <f t="shared" si="27"/>
        <v/>
      </c>
      <c r="M515" s="47" t="str">
        <f>IF(L515="","",ROUND((L515)/VLOOKUP($F515,IF({1,0},站位样品信息!$A$3:INDEX(站位样品信息!$A:$A,COUNTA(站位样品信息!$A:$A)+1),站位样品信息!$H$3:INDEX(站位样品信息!$H:$H,COUNTA(站位样品信息!$H:$H)+1)),2,0),2))</f>
        <v/>
      </c>
      <c r="O515" s="49"/>
      <c r="P515" s="53" t="str">
        <f t="shared" si="28" ref="P515:P578">IF(F515&gt;0,F515&amp;I515,"")</f>
        <v/>
      </c>
      <c r="Q515" s="53" t="str">
        <f t="shared" si="29" ref="Q515:Q578">IF(COUNTIF($P:$P,P515)=1,"",IF(A515&amp;B515&amp;C515="","","重复"))</f>
        <v/>
      </c>
    </row>
    <row r="516" spans="1:17" ht="19.5" customHeight="1">
      <c r="A516" s="38"/>
      <c r="B516" s="38"/>
      <c r="C516" s="38"/>
      <c r="D516" s="37"/>
      <c r="E516" s="37"/>
      <c r="F516" s="37"/>
      <c r="G516" s="37" t="str">
        <f>IF(F516="","",INDEX(站位样品信息!$B$3:INDEX(站位样品信息!$B:$B,COUNTA(站位样品信息!$B:$B)+1),MATCH($F516,站位样品信息!$A$3:INDEX(站位样品信息!$A:$A,COUNTA(站位样品信息!$A:$A)+1),),))</f>
        <v/>
      </c>
      <c r="H516" s="55" t="str">
        <f>IF(OR(A516&lt;&gt;"",B516&lt;&gt;"",C516&lt;&gt;""),IF($C516&lt;&gt;0,INDEX(生物种群!$A$3:INDEX(生物种群!$A:$A,COUNTA(生物种群!$A:$A)),MATCH($C516,生物种群!$F$3:INDEX(生物种群!$F:$F,COUNTA(生物种群!$F:$F)),),),IF($A516&lt;&gt;0,INDEX(生物种群!$A$3:INDEX(生物种群!$A:$A,COUNTA(生物种群!$A:$A)),MATCH($A516,生物种群!$C$3:INDEX(生物种群!$C:$C,COUNTA(生物种群!$C:$C)),),),INDEX(生物种群!$A$3:INDEX(生物种群!$A:$A,COUNTA(生物种群!$A:$A)),MATCH($B516,生物种群!$D$3:INDEX(生物种群!$D:$D,COUNTA(生物种群!$D:$D)),),))),"")</f>
        <v/>
      </c>
      <c r="I516" s="56" t="str">
        <f>IF(H516="","",INDEX(生物种群!$B$3:INDEX(生物种群!$B:$B,COUNTA(生物种群!$B:$B)),MATCH($H516,生物种群!$A$3:INDEX(生物种群!$A:$A,COUNTA(生物种群!$A:$A)),),))</f>
        <v/>
      </c>
      <c r="J516" s="55" t="str">
        <f>IF(H516="","",INDEX(生物种群!$I$3:INDEX(生物种群!$I:$I,COUNTA(生物种群!$I:$I)),MATCH($H516,生物种群!$A$3:INDEX(生物种群!$A:$A,COUNTA(生物种群!$A:$A)),),))</f>
        <v/>
      </c>
      <c r="K516" s="55" t="str">
        <f>IF(H516="","",INDEX(生物种群!$E$3:INDEX(生物种群!$E:$E,COUNTA(生物种群!$E:$E)),MATCH($H516,生物种群!$A$3:INDEX(生物种群!$A:$A,COUNTA(生物种群!$A:$A)),),))</f>
        <v/>
      </c>
      <c r="L516" s="46" t="str">
        <f t="shared" si="27"/>
        <v/>
      </c>
      <c r="M516" s="47" t="str">
        <f>IF(L516="","",ROUND((L516)/VLOOKUP($F516,IF({1,0},站位样品信息!$A$3:INDEX(站位样品信息!$A:$A,COUNTA(站位样品信息!$A:$A)+1),站位样品信息!$H$3:INDEX(站位样品信息!$H:$H,COUNTA(站位样品信息!$H:$H)+1)),2,0),2))</f>
        <v/>
      </c>
      <c r="O516" s="49"/>
      <c r="P516" s="53" t="str">
        <f t="shared" si="28"/>
        <v/>
      </c>
      <c r="Q516" s="53" t="str">
        <f t="shared" si="29"/>
        <v/>
      </c>
    </row>
    <row r="517" spans="1:17" ht="19.5" customHeight="1">
      <c r="A517" s="38"/>
      <c r="B517" s="38"/>
      <c r="C517" s="38"/>
      <c r="D517" s="37"/>
      <c r="E517" s="37"/>
      <c r="F517" s="37"/>
      <c r="G517" s="37" t="str">
        <f>IF(F517="","",INDEX(站位样品信息!$B$3:INDEX(站位样品信息!$B:$B,COUNTA(站位样品信息!$B:$B)+1),MATCH($F517,站位样品信息!$A$3:INDEX(站位样品信息!$A:$A,COUNTA(站位样品信息!$A:$A)+1),),))</f>
        <v/>
      </c>
      <c r="H517" s="55" t="str">
        <f>IF(OR(A517&lt;&gt;"",B517&lt;&gt;"",C517&lt;&gt;""),IF($C517&lt;&gt;0,INDEX(生物种群!$A$3:INDEX(生物种群!$A:$A,COUNTA(生物种群!$A:$A)),MATCH($C517,生物种群!$F$3:INDEX(生物种群!$F:$F,COUNTA(生物种群!$F:$F)),),),IF($A517&lt;&gt;0,INDEX(生物种群!$A$3:INDEX(生物种群!$A:$A,COUNTA(生物种群!$A:$A)),MATCH($A517,生物种群!$C$3:INDEX(生物种群!$C:$C,COUNTA(生物种群!$C:$C)),),),INDEX(生物种群!$A$3:INDEX(生物种群!$A:$A,COUNTA(生物种群!$A:$A)),MATCH($B517,生物种群!$D$3:INDEX(生物种群!$D:$D,COUNTA(生物种群!$D:$D)),),))),"")</f>
        <v/>
      </c>
      <c r="I517" s="56" t="str">
        <f>IF(H517="","",INDEX(生物种群!$B$3:INDEX(生物种群!$B:$B,COUNTA(生物种群!$B:$B)),MATCH($H517,生物种群!$A$3:INDEX(生物种群!$A:$A,COUNTA(生物种群!$A:$A)),),))</f>
        <v/>
      </c>
      <c r="J517" s="55" t="str">
        <f>IF(H517="","",INDEX(生物种群!$I$3:INDEX(生物种群!$I:$I,COUNTA(生物种群!$I:$I)),MATCH($H517,生物种群!$A$3:INDEX(生物种群!$A:$A,COUNTA(生物种群!$A:$A)),),))</f>
        <v/>
      </c>
      <c r="K517" s="55" t="str">
        <f>IF(H517="","",INDEX(生物种群!$E$3:INDEX(生物种群!$E:$E,COUNTA(生物种群!$E:$E)),MATCH($H517,生物种群!$A$3:INDEX(生物种群!$A:$A,COUNTA(生物种群!$A:$A)),),))</f>
        <v/>
      </c>
      <c r="L517" s="46" t="str">
        <f t="shared" si="27"/>
        <v/>
      </c>
      <c r="M517" s="47" t="str">
        <f>IF(L517="","",ROUND((L517)/VLOOKUP($F517,IF({1,0},站位样品信息!$A$3:INDEX(站位样品信息!$A:$A,COUNTA(站位样品信息!$A:$A)+1),站位样品信息!$H$3:INDEX(站位样品信息!$H:$H,COUNTA(站位样品信息!$H:$H)+1)),2,0),2))</f>
        <v/>
      </c>
      <c r="O517" s="49"/>
      <c r="P517" s="53" t="str">
        <f t="shared" si="28"/>
        <v/>
      </c>
      <c r="Q517" s="53" t="str">
        <f t="shared" si="29"/>
        <v/>
      </c>
    </row>
    <row r="518" spans="1:17" ht="19.5" customHeight="1">
      <c r="A518" s="38"/>
      <c r="B518" s="38"/>
      <c r="C518" s="38"/>
      <c r="D518" s="37"/>
      <c r="E518" s="37"/>
      <c r="F518" s="37"/>
      <c r="G518" s="37" t="str">
        <f>IF(F518="","",INDEX(站位样品信息!$B$3:INDEX(站位样品信息!$B:$B,COUNTA(站位样品信息!$B:$B)+1),MATCH($F518,站位样品信息!$A$3:INDEX(站位样品信息!$A:$A,COUNTA(站位样品信息!$A:$A)+1),),))</f>
        <v/>
      </c>
      <c r="H518" s="55" t="str">
        <f>IF(OR(A518&lt;&gt;"",B518&lt;&gt;"",C518&lt;&gt;""),IF($C518&lt;&gt;0,INDEX(生物种群!$A$3:INDEX(生物种群!$A:$A,COUNTA(生物种群!$A:$A)),MATCH($C518,生物种群!$F$3:INDEX(生物种群!$F:$F,COUNTA(生物种群!$F:$F)),),),IF($A518&lt;&gt;0,INDEX(生物种群!$A$3:INDEX(生物种群!$A:$A,COUNTA(生物种群!$A:$A)),MATCH($A518,生物种群!$C$3:INDEX(生物种群!$C:$C,COUNTA(生物种群!$C:$C)),),),INDEX(生物种群!$A$3:INDEX(生物种群!$A:$A,COUNTA(生物种群!$A:$A)),MATCH($B518,生物种群!$D$3:INDEX(生物种群!$D:$D,COUNTA(生物种群!$D:$D)),),))),"")</f>
        <v/>
      </c>
      <c r="I518" s="56" t="str">
        <f>IF(H518="","",INDEX(生物种群!$B$3:INDEX(生物种群!$B:$B,COUNTA(生物种群!$B:$B)),MATCH($H518,生物种群!$A$3:INDEX(生物种群!$A:$A,COUNTA(生物种群!$A:$A)),),))</f>
        <v/>
      </c>
      <c r="J518" s="55" t="str">
        <f>IF(H518="","",INDEX(生物种群!$I$3:INDEX(生物种群!$I:$I,COUNTA(生物种群!$I:$I)),MATCH($H518,生物种群!$A$3:INDEX(生物种群!$A:$A,COUNTA(生物种群!$A:$A)),),))</f>
        <v/>
      </c>
      <c r="K518" s="55" t="str">
        <f>IF(H518="","",INDEX(生物种群!$E$3:INDEX(生物种群!$E:$E,COUNTA(生物种群!$E:$E)),MATCH($H518,生物种群!$A$3:INDEX(生物种群!$A:$A,COUNTA(生物种群!$A:$A)),),))</f>
        <v/>
      </c>
      <c r="L518" s="46" t="str">
        <f t="shared" si="27"/>
        <v/>
      </c>
      <c r="M518" s="47" t="str">
        <f>IF(L518="","",ROUND((L518)/VLOOKUP($F518,IF({1,0},站位样品信息!$A$3:INDEX(站位样品信息!$A:$A,COUNTA(站位样品信息!$A:$A)+1),站位样品信息!$H$3:INDEX(站位样品信息!$H:$H,COUNTA(站位样品信息!$H:$H)+1)),2,0),2))</f>
        <v/>
      </c>
      <c r="O518" s="49"/>
      <c r="P518" s="53" t="str">
        <f t="shared" si="28"/>
        <v/>
      </c>
      <c r="Q518" s="53" t="str">
        <f t="shared" si="29"/>
        <v/>
      </c>
    </row>
    <row r="519" spans="1:17" ht="19.5" customHeight="1">
      <c r="A519" s="38"/>
      <c r="B519" s="38"/>
      <c r="C519" s="38"/>
      <c r="D519" s="37"/>
      <c r="E519" s="37"/>
      <c r="F519" s="37"/>
      <c r="G519" s="37" t="str">
        <f>IF(F519="","",INDEX(站位样品信息!$B$3:INDEX(站位样品信息!$B:$B,COUNTA(站位样品信息!$B:$B)+1),MATCH($F519,站位样品信息!$A$3:INDEX(站位样品信息!$A:$A,COUNTA(站位样品信息!$A:$A)+1),),))</f>
        <v/>
      </c>
      <c r="H519" s="55" t="str">
        <f>IF(OR(A519&lt;&gt;"",B519&lt;&gt;"",C519&lt;&gt;""),IF($C519&lt;&gt;0,INDEX(生物种群!$A$3:INDEX(生物种群!$A:$A,COUNTA(生物种群!$A:$A)),MATCH($C519,生物种群!$F$3:INDEX(生物种群!$F:$F,COUNTA(生物种群!$F:$F)),),),IF($A519&lt;&gt;0,INDEX(生物种群!$A$3:INDEX(生物种群!$A:$A,COUNTA(生物种群!$A:$A)),MATCH($A519,生物种群!$C$3:INDEX(生物种群!$C:$C,COUNTA(生物种群!$C:$C)),),),INDEX(生物种群!$A$3:INDEX(生物种群!$A:$A,COUNTA(生物种群!$A:$A)),MATCH($B519,生物种群!$D$3:INDEX(生物种群!$D:$D,COUNTA(生物种群!$D:$D)),),))),"")</f>
        <v/>
      </c>
      <c r="I519" s="56" t="str">
        <f>IF(H519="","",INDEX(生物种群!$B$3:INDEX(生物种群!$B:$B,COUNTA(生物种群!$B:$B)),MATCH($H519,生物种群!$A$3:INDEX(生物种群!$A:$A,COUNTA(生物种群!$A:$A)),),))</f>
        <v/>
      </c>
      <c r="J519" s="55" t="str">
        <f>IF(H519="","",INDEX(生物种群!$I$3:INDEX(生物种群!$I:$I,COUNTA(生物种群!$I:$I)),MATCH($H519,生物种群!$A$3:INDEX(生物种群!$A:$A,COUNTA(生物种群!$A:$A)),),))</f>
        <v/>
      </c>
      <c r="K519" s="55" t="str">
        <f>IF(H519="","",INDEX(生物种群!$E$3:INDEX(生物种群!$E:$E,COUNTA(生物种群!$E:$E)),MATCH($H519,生物种群!$A$3:INDEX(生物种群!$A:$A,COUNTA(生物种群!$A:$A)),),))</f>
        <v/>
      </c>
      <c r="L519" s="46" t="str">
        <f t="shared" si="27"/>
        <v/>
      </c>
      <c r="M519" s="47" t="str">
        <f>IF(L519="","",ROUND((L519)/VLOOKUP($F519,IF({1,0},站位样品信息!$A$3:INDEX(站位样品信息!$A:$A,COUNTA(站位样品信息!$A:$A)+1),站位样品信息!$H$3:INDEX(站位样品信息!$H:$H,COUNTA(站位样品信息!$H:$H)+1)),2,0),2))</f>
        <v/>
      </c>
      <c r="O519" s="49"/>
      <c r="P519" s="53" t="str">
        <f t="shared" si="28"/>
        <v/>
      </c>
      <c r="Q519" s="53" t="str">
        <f t="shared" si="29"/>
        <v/>
      </c>
    </row>
    <row r="520" spans="1:17" ht="19.5" customHeight="1">
      <c r="A520" s="38"/>
      <c r="B520" s="38"/>
      <c r="C520" s="38"/>
      <c r="D520" s="37"/>
      <c r="E520" s="37"/>
      <c r="F520" s="37"/>
      <c r="G520" s="37" t="str">
        <f>IF(F520="","",INDEX(站位样品信息!$B$3:INDEX(站位样品信息!$B:$B,COUNTA(站位样品信息!$B:$B)+1),MATCH($F520,站位样品信息!$A$3:INDEX(站位样品信息!$A:$A,COUNTA(站位样品信息!$A:$A)+1),),))</f>
        <v/>
      </c>
      <c r="H520" s="55" t="str">
        <f>IF(OR(A520&lt;&gt;"",B520&lt;&gt;"",C520&lt;&gt;""),IF($C520&lt;&gt;0,INDEX(生物种群!$A$3:INDEX(生物种群!$A:$A,COUNTA(生物种群!$A:$A)),MATCH($C520,生物种群!$F$3:INDEX(生物种群!$F:$F,COUNTA(生物种群!$F:$F)),),),IF($A520&lt;&gt;0,INDEX(生物种群!$A$3:INDEX(生物种群!$A:$A,COUNTA(生物种群!$A:$A)),MATCH($A520,生物种群!$C$3:INDEX(生物种群!$C:$C,COUNTA(生物种群!$C:$C)),),),INDEX(生物种群!$A$3:INDEX(生物种群!$A:$A,COUNTA(生物种群!$A:$A)),MATCH($B520,生物种群!$D$3:INDEX(生物种群!$D:$D,COUNTA(生物种群!$D:$D)),),))),"")</f>
        <v/>
      </c>
      <c r="I520" s="56" t="str">
        <f>IF(H520="","",INDEX(生物种群!$B$3:INDEX(生物种群!$B:$B,COUNTA(生物种群!$B:$B)),MATCH($H520,生物种群!$A$3:INDEX(生物种群!$A:$A,COUNTA(生物种群!$A:$A)),),))</f>
        <v/>
      </c>
      <c r="J520" s="55" t="str">
        <f>IF(H520="","",INDEX(生物种群!$I$3:INDEX(生物种群!$I:$I,COUNTA(生物种群!$I:$I)),MATCH($H520,生物种群!$A$3:INDEX(生物种群!$A:$A,COUNTA(生物种群!$A:$A)),),))</f>
        <v/>
      </c>
      <c r="K520" s="55" t="str">
        <f>IF(H520="","",INDEX(生物种群!$E$3:INDEX(生物种群!$E:$E,COUNTA(生物种群!$E:$E)),MATCH($H520,生物种群!$A$3:INDEX(生物种群!$A:$A,COUNTA(生物种群!$A:$A)),),))</f>
        <v/>
      </c>
      <c r="L520" s="46" t="str">
        <f t="shared" si="27"/>
        <v/>
      </c>
      <c r="M520" s="47" t="str">
        <f>IF(L520="","",ROUND((L520)/VLOOKUP($F520,IF({1,0},站位样品信息!$A$3:INDEX(站位样品信息!$A:$A,COUNTA(站位样品信息!$A:$A)+1),站位样品信息!$H$3:INDEX(站位样品信息!$H:$H,COUNTA(站位样品信息!$H:$H)+1)),2,0),2))</f>
        <v/>
      </c>
      <c r="O520" s="49"/>
      <c r="P520" s="53" t="str">
        <f t="shared" si="28"/>
        <v/>
      </c>
      <c r="Q520" s="53" t="str">
        <f t="shared" si="29"/>
        <v/>
      </c>
    </row>
    <row r="521" spans="1:17" ht="19.5" customHeight="1">
      <c r="A521" s="38"/>
      <c r="B521" s="38"/>
      <c r="C521" s="38"/>
      <c r="D521" s="37"/>
      <c r="E521" s="37"/>
      <c r="F521" s="37"/>
      <c r="G521" s="37" t="str">
        <f>IF(F521="","",INDEX(站位样品信息!$B$3:INDEX(站位样品信息!$B:$B,COUNTA(站位样品信息!$B:$B)+1),MATCH($F521,站位样品信息!$A$3:INDEX(站位样品信息!$A:$A,COUNTA(站位样品信息!$A:$A)+1),),))</f>
        <v/>
      </c>
      <c r="H521" s="55" t="str">
        <f>IF(OR(A521&lt;&gt;"",B521&lt;&gt;"",C521&lt;&gt;""),IF($C521&lt;&gt;0,INDEX(生物种群!$A$3:INDEX(生物种群!$A:$A,COUNTA(生物种群!$A:$A)),MATCH($C521,生物种群!$F$3:INDEX(生物种群!$F:$F,COUNTA(生物种群!$F:$F)),),),IF($A521&lt;&gt;0,INDEX(生物种群!$A$3:INDEX(生物种群!$A:$A,COUNTA(生物种群!$A:$A)),MATCH($A521,生物种群!$C$3:INDEX(生物种群!$C:$C,COUNTA(生物种群!$C:$C)),),),INDEX(生物种群!$A$3:INDEX(生物种群!$A:$A,COUNTA(生物种群!$A:$A)),MATCH($B521,生物种群!$D$3:INDEX(生物种群!$D:$D,COUNTA(生物种群!$D:$D)),),))),"")</f>
        <v/>
      </c>
      <c r="I521" s="56" t="str">
        <f>IF(H521="","",INDEX(生物种群!$B$3:INDEX(生物种群!$B:$B,COUNTA(生物种群!$B:$B)),MATCH($H521,生物种群!$A$3:INDEX(生物种群!$A:$A,COUNTA(生物种群!$A:$A)),),))</f>
        <v/>
      </c>
      <c r="J521" s="55" t="str">
        <f>IF(H521="","",INDEX(生物种群!$I$3:INDEX(生物种群!$I:$I,COUNTA(生物种群!$I:$I)),MATCH($H521,生物种群!$A$3:INDEX(生物种群!$A:$A,COUNTA(生物种群!$A:$A)),),))</f>
        <v/>
      </c>
      <c r="K521" s="55" t="str">
        <f>IF(H521="","",INDEX(生物种群!$E$3:INDEX(生物种群!$E:$E,COUNTA(生物种群!$E:$E)),MATCH($H521,生物种群!$A$3:INDEX(生物种群!$A:$A,COUNTA(生物种群!$A:$A)),),))</f>
        <v/>
      </c>
      <c r="L521" s="46" t="str">
        <f t="shared" si="27"/>
        <v/>
      </c>
      <c r="M521" s="47" t="str">
        <f>IF(L521="","",ROUND((L521)/VLOOKUP($F521,IF({1,0},站位样品信息!$A$3:INDEX(站位样品信息!$A:$A,COUNTA(站位样品信息!$A:$A)+1),站位样品信息!$H$3:INDEX(站位样品信息!$H:$H,COUNTA(站位样品信息!$H:$H)+1)),2,0),2))</f>
        <v/>
      </c>
      <c r="O521" s="49"/>
      <c r="P521" s="53" t="str">
        <f t="shared" si="28"/>
        <v/>
      </c>
      <c r="Q521" s="53" t="str">
        <f t="shared" si="29"/>
        <v/>
      </c>
    </row>
    <row r="522" spans="1:17" ht="19.5" customHeight="1">
      <c r="A522" s="38"/>
      <c r="B522" s="38"/>
      <c r="C522" s="38"/>
      <c r="D522" s="37"/>
      <c r="E522" s="37"/>
      <c r="F522" s="37"/>
      <c r="G522" s="37" t="str">
        <f>IF(F522="","",INDEX(站位样品信息!$B$3:INDEX(站位样品信息!$B:$B,COUNTA(站位样品信息!$B:$B)+1),MATCH($F522,站位样品信息!$A$3:INDEX(站位样品信息!$A:$A,COUNTA(站位样品信息!$A:$A)+1),),))</f>
        <v/>
      </c>
      <c r="H522" s="55" t="str">
        <f>IF(OR(A522&lt;&gt;"",B522&lt;&gt;"",C522&lt;&gt;""),IF($C522&lt;&gt;0,INDEX(生物种群!$A$3:INDEX(生物种群!$A:$A,COUNTA(生物种群!$A:$A)),MATCH($C522,生物种群!$F$3:INDEX(生物种群!$F:$F,COUNTA(生物种群!$F:$F)),),),IF($A522&lt;&gt;0,INDEX(生物种群!$A$3:INDEX(生物种群!$A:$A,COUNTA(生物种群!$A:$A)),MATCH($A522,生物种群!$C$3:INDEX(生物种群!$C:$C,COUNTA(生物种群!$C:$C)),),),INDEX(生物种群!$A$3:INDEX(生物种群!$A:$A,COUNTA(生物种群!$A:$A)),MATCH($B522,生物种群!$D$3:INDEX(生物种群!$D:$D,COUNTA(生物种群!$D:$D)),),))),"")</f>
        <v/>
      </c>
      <c r="I522" s="56" t="str">
        <f>IF(H522="","",INDEX(生物种群!$B$3:INDEX(生物种群!$B:$B,COUNTA(生物种群!$B:$B)),MATCH($H522,生物种群!$A$3:INDEX(生物种群!$A:$A,COUNTA(生物种群!$A:$A)),),))</f>
        <v/>
      </c>
      <c r="J522" s="55" t="str">
        <f>IF(H522="","",INDEX(生物种群!$I$3:INDEX(生物种群!$I:$I,COUNTA(生物种群!$I:$I)),MATCH($H522,生物种群!$A$3:INDEX(生物种群!$A:$A,COUNTA(生物种群!$A:$A)),),))</f>
        <v/>
      </c>
      <c r="K522" s="55" t="str">
        <f>IF(H522="","",INDEX(生物种群!$E$3:INDEX(生物种群!$E:$E,COUNTA(生物种群!$E:$E)),MATCH($H522,生物种群!$A$3:INDEX(生物种群!$A:$A,COUNTA(生物种群!$A:$A)),),))</f>
        <v/>
      </c>
      <c r="L522" s="46" t="str">
        <f t="shared" si="27"/>
        <v/>
      </c>
      <c r="M522" s="47" t="str">
        <f>IF(L522="","",ROUND((L522)/VLOOKUP($F522,IF({1,0},站位样品信息!$A$3:INDEX(站位样品信息!$A:$A,COUNTA(站位样品信息!$A:$A)+1),站位样品信息!$H$3:INDEX(站位样品信息!$H:$H,COUNTA(站位样品信息!$H:$H)+1)),2,0),2))</f>
        <v/>
      </c>
      <c r="O522" s="49"/>
      <c r="P522" s="53" t="str">
        <f t="shared" si="28"/>
        <v/>
      </c>
      <c r="Q522" s="53" t="str">
        <f t="shared" si="29"/>
        <v/>
      </c>
    </row>
    <row r="523" spans="1:17" ht="19.5" customHeight="1">
      <c r="A523" s="38"/>
      <c r="B523" s="38"/>
      <c r="C523" s="38"/>
      <c r="D523" s="37"/>
      <c r="E523" s="37"/>
      <c r="F523" s="37"/>
      <c r="G523" s="37" t="str">
        <f>IF(F523="","",INDEX(站位样品信息!$B$3:INDEX(站位样品信息!$B:$B,COUNTA(站位样品信息!$B:$B)+1),MATCH($F523,站位样品信息!$A$3:INDEX(站位样品信息!$A:$A,COUNTA(站位样品信息!$A:$A)+1),),))</f>
        <v/>
      </c>
      <c r="H523" s="55" t="str">
        <f>IF(OR(A523&lt;&gt;"",B523&lt;&gt;"",C523&lt;&gt;""),IF($C523&lt;&gt;0,INDEX(生物种群!$A$3:INDEX(生物种群!$A:$A,COUNTA(生物种群!$A:$A)),MATCH($C523,生物种群!$F$3:INDEX(生物种群!$F:$F,COUNTA(生物种群!$F:$F)),),),IF($A523&lt;&gt;0,INDEX(生物种群!$A$3:INDEX(生物种群!$A:$A,COUNTA(生物种群!$A:$A)),MATCH($A523,生物种群!$C$3:INDEX(生物种群!$C:$C,COUNTA(生物种群!$C:$C)),),),INDEX(生物种群!$A$3:INDEX(生物种群!$A:$A,COUNTA(生物种群!$A:$A)),MATCH($B523,生物种群!$D$3:INDEX(生物种群!$D:$D,COUNTA(生物种群!$D:$D)),),))),"")</f>
        <v/>
      </c>
      <c r="I523" s="56" t="str">
        <f>IF(H523="","",INDEX(生物种群!$B$3:INDEX(生物种群!$B:$B,COUNTA(生物种群!$B:$B)),MATCH($H523,生物种群!$A$3:INDEX(生物种群!$A:$A,COUNTA(生物种群!$A:$A)),),))</f>
        <v/>
      </c>
      <c r="J523" s="55" t="str">
        <f>IF(H523="","",INDEX(生物种群!$I$3:INDEX(生物种群!$I:$I,COUNTA(生物种群!$I:$I)),MATCH($H523,生物种群!$A$3:INDEX(生物种群!$A:$A,COUNTA(生物种群!$A:$A)),),))</f>
        <v/>
      </c>
      <c r="K523" s="55" t="str">
        <f>IF(H523="","",INDEX(生物种群!$E$3:INDEX(生物种群!$E:$E,COUNTA(生物种群!$E:$E)),MATCH($H523,生物种群!$A$3:INDEX(生物种群!$A:$A,COUNTA(生物种群!$A:$A)),),))</f>
        <v/>
      </c>
      <c r="L523" s="46" t="str">
        <f t="shared" si="27"/>
        <v/>
      </c>
      <c r="M523" s="47" t="str">
        <f>IF(L523="","",ROUND((L523)/VLOOKUP($F523,IF({1,0},站位样品信息!$A$3:INDEX(站位样品信息!$A:$A,COUNTA(站位样品信息!$A:$A)+1),站位样品信息!$H$3:INDEX(站位样品信息!$H:$H,COUNTA(站位样品信息!$H:$H)+1)),2,0),2))</f>
        <v/>
      </c>
      <c r="O523" s="49"/>
      <c r="P523" s="53" t="str">
        <f t="shared" si="28"/>
        <v/>
      </c>
      <c r="Q523" s="53" t="str">
        <f t="shared" si="29"/>
        <v/>
      </c>
    </row>
    <row r="524" spans="1:17" ht="19.5" customHeight="1">
      <c r="A524" s="38"/>
      <c r="B524" s="38"/>
      <c r="C524" s="38"/>
      <c r="D524" s="37"/>
      <c r="E524" s="37"/>
      <c r="F524" s="37"/>
      <c r="G524" s="37" t="str">
        <f>IF(F524="","",INDEX(站位样品信息!$B$3:INDEX(站位样品信息!$B:$B,COUNTA(站位样品信息!$B:$B)+1),MATCH($F524,站位样品信息!$A$3:INDEX(站位样品信息!$A:$A,COUNTA(站位样品信息!$A:$A)+1),),))</f>
        <v/>
      </c>
      <c r="H524" s="55" t="str">
        <f>IF(OR(A524&lt;&gt;"",B524&lt;&gt;"",C524&lt;&gt;""),IF($C524&lt;&gt;0,INDEX(生物种群!$A$3:INDEX(生物种群!$A:$A,COUNTA(生物种群!$A:$A)),MATCH($C524,生物种群!$F$3:INDEX(生物种群!$F:$F,COUNTA(生物种群!$F:$F)),),),IF($A524&lt;&gt;0,INDEX(生物种群!$A$3:INDEX(生物种群!$A:$A,COUNTA(生物种群!$A:$A)),MATCH($A524,生物种群!$C$3:INDEX(生物种群!$C:$C,COUNTA(生物种群!$C:$C)),),),INDEX(生物种群!$A$3:INDEX(生物种群!$A:$A,COUNTA(生物种群!$A:$A)),MATCH($B524,生物种群!$D$3:INDEX(生物种群!$D:$D,COUNTA(生物种群!$D:$D)),),))),"")</f>
        <v/>
      </c>
      <c r="I524" s="56" t="str">
        <f>IF(H524="","",INDEX(生物种群!$B$3:INDEX(生物种群!$B:$B,COUNTA(生物种群!$B:$B)),MATCH($H524,生物种群!$A$3:INDEX(生物种群!$A:$A,COUNTA(生物种群!$A:$A)),),))</f>
        <v/>
      </c>
      <c r="J524" s="55" t="str">
        <f>IF(H524="","",INDEX(生物种群!$I$3:INDEX(生物种群!$I:$I,COUNTA(生物种群!$I:$I)),MATCH($H524,生物种群!$A$3:INDEX(生物种群!$A:$A,COUNTA(生物种群!$A:$A)),),))</f>
        <v/>
      </c>
      <c r="K524" s="55" t="str">
        <f>IF(H524="","",INDEX(生物种群!$E$3:INDEX(生物种群!$E:$E,COUNTA(生物种群!$E:$E)),MATCH($H524,生物种群!$A$3:INDEX(生物种群!$A:$A,COUNTA(生物种群!$A:$A)),),))</f>
        <v/>
      </c>
      <c r="L524" s="46" t="str">
        <f t="shared" si="27"/>
        <v/>
      </c>
      <c r="M524" s="47" t="str">
        <f>IF(L524="","",ROUND((L524)/VLOOKUP($F524,IF({1,0},站位样品信息!$A$3:INDEX(站位样品信息!$A:$A,COUNTA(站位样品信息!$A:$A)+1),站位样品信息!$H$3:INDEX(站位样品信息!$H:$H,COUNTA(站位样品信息!$H:$H)+1)),2,0),2))</f>
        <v/>
      </c>
      <c r="O524" s="49"/>
      <c r="P524" s="53" t="str">
        <f t="shared" si="28"/>
        <v/>
      </c>
      <c r="Q524" s="53" t="str">
        <f t="shared" si="29"/>
        <v/>
      </c>
    </row>
    <row r="525" spans="1:17" ht="19.5" customHeight="1">
      <c r="A525" s="38"/>
      <c r="B525" s="38"/>
      <c r="C525" s="38"/>
      <c r="D525" s="37"/>
      <c r="E525" s="37"/>
      <c r="F525" s="37"/>
      <c r="G525" s="37" t="str">
        <f>IF(F525="","",INDEX(站位样品信息!$B$3:INDEX(站位样品信息!$B:$B,COUNTA(站位样品信息!$B:$B)+1),MATCH($F525,站位样品信息!$A$3:INDEX(站位样品信息!$A:$A,COUNTA(站位样品信息!$A:$A)+1),),))</f>
        <v/>
      </c>
      <c r="H525" s="55" t="str">
        <f>IF(OR(A525&lt;&gt;"",B525&lt;&gt;"",C525&lt;&gt;""),IF($C525&lt;&gt;0,INDEX(生物种群!$A$3:INDEX(生物种群!$A:$A,COUNTA(生物种群!$A:$A)),MATCH($C525,生物种群!$F$3:INDEX(生物种群!$F:$F,COUNTA(生物种群!$F:$F)),),),IF($A525&lt;&gt;0,INDEX(生物种群!$A$3:INDEX(生物种群!$A:$A,COUNTA(生物种群!$A:$A)),MATCH($A525,生物种群!$C$3:INDEX(生物种群!$C:$C,COUNTA(生物种群!$C:$C)),),),INDEX(生物种群!$A$3:INDEX(生物种群!$A:$A,COUNTA(生物种群!$A:$A)),MATCH($B525,生物种群!$D$3:INDEX(生物种群!$D:$D,COUNTA(生物种群!$D:$D)),),))),"")</f>
        <v/>
      </c>
      <c r="I525" s="56" t="str">
        <f>IF(H525="","",INDEX(生物种群!$B$3:INDEX(生物种群!$B:$B,COUNTA(生物种群!$B:$B)),MATCH($H525,生物种群!$A$3:INDEX(生物种群!$A:$A,COUNTA(生物种群!$A:$A)),),))</f>
        <v/>
      </c>
      <c r="J525" s="55" t="str">
        <f>IF(H525="","",INDEX(生物种群!$I$3:INDEX(生物种群!$I:$I,COUNTA(生物种群!$I:$I)),MATCH($H525,生物种群!$A$3:INDEX(生物种群!$A:$A,COUNTA(生物种群!$A:$A)),),))</f>
        <v/>
      </c>
      <c r="K525" s="55" t="str">
        <f>IF(H525="","",INDEX(生物种群!$E$3:INDEX(生物种群!$E:$E,COUNTA(生物种群!$E:$E)),MATCH($H525,生物种群!$A$3:INDEX(生物种群!$A:$A,COUNTA(生物种群!$A:$A)),),))</f>
        <v/>
      </c>
      <c r="L525" s="46" t="str">
        <f t="shared" si="30" ref="L525:L588">IFERROR(IF(OR(D525="",E525=""),"",D525/E525*100),"")</f>
        <v/>
      </c>
      <c r="M525" s="47" t="str">
        <f>IF(L525="","",ROUND((L525)/VLOOKUP($F525,IF({1,0},站位样品信息!$A$3:INDEX(站位样品信息!$A:$A,COUNTA(站位样品信息!$A:$A)+1),站位样品信息!$H$3:INDEX(站位样品信息!$H:$H,COUNTA(站位样品信息!$H:$H)+1)),2,0),2))</f>
        <v/>
      </c>
      <c r="O525" s="49"/>
      <c r="P525" s="53" t="str">
        <f t="shared" si="28"/>
        <v/>
      </c>
      <c r="Q525" s="53" t="str">
        <f t="shared" si="29"/>
        <v/>
      </c>
    </row>
    <row r="526" spans="1:17" ht="19.5" customHeight="1">
      <c r="A526" s="38"/>
      <c r="B526" s="38"/>
      <c r="C526" s="38"/>
      <c r="D526" s="37"/>
      <c r="E526" s="37"/>
      <c r="F526" s="37"/>
      <c r="G526" s="37" t="str">
        <f>IF(F526="","",INDEX(站位样品信息!$B$3:INDEX(站位样品信息!$B:$B,COUNTA(站位样品信息!$B:$B)+1),MATCH($F526,站位样品信息!$A$3:INDEX(站位样品信息!$A:$A,COUNTA(站位样品信息!$A:$A)+1),),))</f>
        <v/>
      </c>
      <c r="H526" s="55" t="str">
        <f>IF(OR(A526&lt;&gt;"",B526&lt;&gt;"",C526&lt;&gt;""),IF($C526&lt;&gt;0,INDEX(生物种群!$A$3:INDEX(生物种群!$A:$A,COUNTA(生物种群!$A:$A)),MATCH($C526,生物种群!$F$3:INDEX(生物种群!$F:$F,COUNTA(生物种群!$F:$F)),),),IF($A526&lt;&gt;0,INDEX(生物种群!$A$3:INDEX(生物种群!$A:$A,COUNTA(生物种群!$A:$A)),MATCH($A526,生物种群!$C$3:INDEX(生物种群!$C:$C,COUNTA(生物种群!$C:$C)),),),INDEX(生物种群!$A$3:INDEX(生物种群!$A:$A,COUNTA(生物种群!$A:$A)),MATCH($B526,生物种群!$D$3:INDEX(生物种群!$D:$D,COUNTA(生物种群!$D:$D)),),))),"")</f>
        <v/>
      </c>
      <c r="I526" s="56" t="str">
        <f>IF(H526="","",INDEX(生物种群!$B$3:INDEX(生物种群!$B:$B,COUNTA(生物种群!$B:$B)),MATCH($H526,生物种群!$A$3:INDEX(生物种群!$A:$A,COUNTA(生物种群!$A:$A)),),))</f>
        <v/>
      </c>
      <c r="J526" s="55" t="str">
        <f>IF(H526="","",INDEX(生物种群!$I$3:INDEX(生物种群!$I:$I,COUNTA(生物种群!$I:$I)),MATCH($H526,生物种群!$A$3:INDEX(生物种群!$A:$A,COUNTA(生物种群!$A:$A)),),))</f>
        <v/>
      </c>
      <c r="K526" s="55" t="str">
        <f>IF(H526="","",INDEX(生物种群!$E$3:INDEX(生物种群!$E:$E,COUNTA(生物种群!$E:$E)),MATCH($H526,生物种群!$A$3:INDEX(生物种群!$A:$A,COUNTA(生物种群!$A:$A)),),))</f>
        <v/>
      </c>
      <c r="L526" s="46" t="str">
        <f t="shared" si="30"/>
        <v/>
      </c>
      <c r="M526" s="47" t="str">
        <f>IF(L526="","",ROUND((L526)/VLOOKUP($F526,IF({1,0},站位样品信息!$A$3:INDEX(站位样品信息!$A:$A,COUNTA(站位样品信息!$A:$A)+1),站位样品信息!$H$3:INDEX(站位样品信息!$H:$H,COUNTA(站位样品信息!$H:$H)+1)),2,0),2))</f>
        <v/>
      </c>
      <c r="O526" s="49"/>
      <c r="P526" s="53" t="str">
        <f t="shared" si="28"/>
        <v/>
      </c>
      <c r="Q526" s="53" t="str">
        <f t="shared" si="29"/>
        <v/>
      </c>
    </row>
    <row r="527" spans="1:17" ht="19.5" customHeight="1">
      <c r="A527" s="38"/>
      <c r="B527" s="38"/>
      <c r="C527" s="38"/>
      <c r="D527" s="37"/>
      <c r="E527" s="37"/>
      <c r="F527" s="37"/>
      <c r="G527" s="37" t="str">
        <f>IF(F527="","",INDEX(站位样品信息!$B$3:INDEX(站位样品信息!$B:$B,COUNTA(站位样品信息!$B:$B)+1),MATCH($F527,站位样品信息!$A$3:INDEX(站位样品信息!$A:$A,COUNTA(站位样品信息!$A:$A)+1),),))</f>
        <v/>
      </c>
      <c r="H527" s="55" t="str">
        <f>IF(OR(A527&lt;&gt;"",B527&lt;&gt;"",C527&lt;&gt;""),IF($C527&lt;&gt;0,INDEX(生物种群!$A$3:INDEX(生物种群!$A:$A,COUNTA(生物种群!$A:$A)),MATCH($C527,生物种群!$F$3:INDEX(生物种群!$F:$F,COUNTA(生物种群!$F:$F)),),),IF($A527&lt;&gt;0,INDEX(生物种群!$A$3:INDEX(生物种群!$A:$A,COUNTA(生物种群!$A:$A)),MATCH($A527,生物种群!$C$3:INDEX(生物种群!$C:$C,COUNTA(生物种群!$C:$C)),),),INDEX(生物种群!$A$3:INDEX(生物种群!$A:$A,COUNTA(生物种群!$A:$A)),MATCH($B527,生物种群!$D$3:INDEX(生物种群!$D:$D,COUNTA(生物种群!$D:$D)),),))),"")</f>
        <v/>
      </c>
      <c r="I527" s="56" t="str">
        <f>IF(H527="","",INDEX(生物种群!$B$3:INDEX(生物种群!$B:$B,COUNTA(生物种群!$B:$B)),MATCH($H527,生物种群!$A$3:INDEX(生物种群!$A:$A,COUNTA(生物种群!$A:$A)),),))</f>
        <v/>
      </c>
      <c r="J527" s="55" t="str">
        <f>IF(H527="","",INDEX(生物种群!$I$3:INDEX(生物种群!$I:$I,COUNTA(生物种群!$I:$I)),MATCH($H527,生物种群!$A$3:INDEX(生物种群!$A:$A,COUNTA(生物种群!$A:$A)),),))</f>
        <v/>
      </c>
      <c r="K527" s="55" t="str">
        <f>IF(H527="","",INDEX(生物种群!$E$3:INDEX(生物种群!$E:$E,COUNTA(生物种群!$E:$E)),MATCH($H527,生物种群!$A$3:INDEX(生物种群!$A:$A,COUNTA(生物种群!$A:$A)),),))</f>
        <v/>
      </c>
      <c r="L527" s="46" t="str">
        <f t="shared" si="30"/>
        <v/>
      </c>
      <c r="M527" s="47" t="str">
        <f>IF(L527="","",ROUND((L527)/VLOOKUP($F527,IF({1,0},站位样品信息!$A$3:INDEX(站位样品信息!$A:$A,COUNTA(站位样品信息!$A:$A)+1),站位样品信息!$H$3:INDEX(站位样品信息!$H:$H,COUNTA(站位样品信息!$H:$H)+1)),2,0),2))</f>
        <v/>
      </c>
      <c r="O527" s="49"/>
      <c r="P527" s="53" t="str">
        <f t="shared" si="28"/>
        <v/>
      </c>
      <c r="Q527" s="53" t="str">
        <f t="shared" si="29"/>
        <v/>
      </c>
    </row>
    <row r="528" spans="1:17" ht="19.5" customHeight="1">
      <c r="A528" s="38"/>
      <c r="B528" s="38"/>
      <c r="C528" s="38"/>
      <c r="D528" s="37"/>
      <c r="E528" s="37"/>
      <c r="F528" s="37"/>
      <c r="G528" s="37" t="str">
        <f>IF(F528="","",INDEX(站位样品信息!$B$3:INDEX(站位样品信息!$B:$B,COUNTA(站位样品信息!$B:$B)+1),MATCH($F528,站位样品信息!$A$3:INDEX(站位样品信息!$A:$A,COUNTA(站位样品信息!$A:$A)+1),),))</f>
        <v/>
      </c>
      <c r="H528" s="55" t="str">
        <f>IF(OR(A528&lt;&gt;"",B528&lt;&gt;"",C528&lt;&gt;""),IF($C528&lt;&gt;0,INDEX(生物种群!$A$3:INDEX(生物种群!$A:$A,COUNTA(生物种群!$A:$A)),MATCH($C528,生物种群!$F$3:INDEX(生物种群!$F:$F,COUNTA(生物种群!$F:$F)),),),IF($A528&lt;&gt;0,INDEX(生物种群!$A$3:INDEX(生物种群!$A:$A,COUNTA(生物种群!$A:$A)),MATCH($A528,生物种群!$C$3:INDEX(生物种群!$C:$C,COUNTA(生物种群!$C:$C)),),),INDEX(生物种群!$A$3:INDEX(生物种群!$A:$A,COUNTA(生物种群!$A:$A)),MATCH($B528,生物种群!$D$3:INDEX(生物种群!$D:$D,COUNTA(生物种群!$D:$D)),),))),"")</f>
        <v/>
      </c>
      <c r="I528" s="56" t="str">
        <f>IF(H528="","",INDEX(生物种群!$B$3:INDEX(生物种群!$B:$B,COUNTA(生物种群!$B:$B)),MATCH($H528,生物种群!$A$3:INDEX(生物种群!$A:$A,COUNTA(生物种群!$A:$A)),),))</f>
        <v/>
      </c>
      <c r="J528" s="55" t="str">
        <f>IF(H528="","",INDEX(生物种群!$I$3:INDEX(生物种群!$I:$I,COUNTA(生物种群!$I:$I)),MATCH($H528,生物种群!$A$3:INDEX(生物种群!$A:$A,COUNTA(生物种群!$A:$A)),),))</f>
        <v/>
      </c>
      <c r="K528" s="55" t="str">
        <f>IF(H528="","",INDEX(生物种群!$E$3:INDEX(生物种群!$E:$E,COUNTA(生物种群!$E:$E)),MATCH($H528,生物种群!$A$3:INDEX(生物种群!$A:$A,COUNTA(生物种群!$A:$A)),),))</f>
        <v/>
      </c>
      <c r="L528" s="46" t="str">
        <f t="shared" si="30"/>
        <v/>
      </c>
      <c r="M528" s="47" t="str">
        <f>IF(L528="","",ROUND((L528)/VLOOKUP($F528,IF({1,0},站位样品信息!$A$3:INDEX(站位样品信息!$A:$A,COUNTA(站位样品信息!$A:$A)+1),站位样品信息!$H$3:INDEX(站位样品信息!$H:$H,COUNTA(站位样品信息!$H:$H)+1)),2,0),2))</f>
        <v/>
      </c>
      <c r="O528" s="49"/>
      <c r="P528" s="53" t="str">
        <f t="shared" si="28"/>
        <v/>
      </c>
      <c r="Q528" s="53" t="str">
        <f t="shared" si="29"/>
        <v/>
      </c>
    </row>
    <row r="529" spans="1:17" ht="19.5" customHeight="1">
      <c r="A529" s="38"/>
      <c r="B529" s="38"/>
      <c r="C529" s="38"/>
      <c r="D529" s="37"/>
      <c r="E529" s="37"/>
      <c r="F529" s="37"/>
      <c r="G529" s="37" t="str">
        <f>IF(F529="","",INDEX(站位样品信息!$B$3:INDEX(站位样品信息!$B:$B,COUNTA(站位样品信息!$B:$B)+1),MATCH($F529,站位样品信息!$A$3:INDEX(站位样品信息!$A:$A,COUNTA(站位样品信息!$A:$A)+1),),))</f>
        <v/>
      </c>
      <c r="H529" s="55" t="str">
        <f>IF(OR(A529&lt;&gt;"",B529&lt;&gt;"",C529&lt;&gt;""),IF($C529&lt;&gt;0,INDEX(生物种群!$A$3:INDEX(生物种群!$A:$A,COUNTA(生物种群!$A:$A)),MATCH($C529,生物种群!$F$3:INDEX(生物种群!$F:$F,COUNTA(生物种群!$F:$F)),),),IF($A529&lt;&gt;0,INDEX(生物种群!$A$3:INDEX(生物种群!$A:$A,COUNTA(生物种群!$A:$A)),MATCH($A529,生物种群!$C$3:INDEX(生物种群!$C:$C,COUNTA(生物种群!$C:$C)),),),INDEX(生物种群!$A$3:INDEX(生物种群!$A:$A,COUNTA(生物种群!$A:$A)),MATCH($B529,生物种群!$D$3:INDEX(生物种群!$D:$D,COUNTA(生物种群!$D:$D)),),))),"")</f>
        <v/>
      </c>
      <c r="I529" s="56" t="str">
        <f>IF(H529="","",INDEX(生物种群!$B$3:INDEX(生物种群!$B:$B,COUNTA(生物种群!$B:$B)),MATCH($H529,生物种群!$A$3:INDEX(生物种群!$A:$A,COUNTA(生物种群!$A:$A)),),))</f>
        <v/>
      </c>
      <c r="J529" s="55" t="str">
        <f>IF(H529="","",INDEX(生物种群!$I$3:INDEX(生物种群!$I:$I,COUNTA(生物种群!$I:$I)),MATCH($H529,生物种群!$A$3:INDEX(生物种群!$A:$A,COUNTA(生物种群!$A:$A)),),))</f>
        <v/>
      </c>
      <c r="K529" s="55" t="str">
        <f>IF(H529="","",INDEX(生物种群!$E$3:INDEX(生物种群!$E:$E,COUNTA(生物种群!$E:$E)),MATCH($H529,生物种群!$A$3:INDEX(生物种群!$A:$A,COUNTA(生物种群!$A:$A)),),))</f>
        <v/>
      </c>
      <c r="L529" s="46" t="str">
        <f t="shared" si="30"/>
        <v/>
      </c>
      <c r="M529" s="47" t="str">
        <f>IF(L529="","",ROUND((L529)/VLOOKUP($F529,IF({1,0},站位样品信息!$A$3:INDEX(站位样品信息!$A:$A,COUNTA(站位样品信息!$A:$A)+1),站位样品信息!$H$3:INDEX(站位样品信息!$H:$H,COUNTA(站位样品信息!$H:$H)+1)),2,0),2))</f>
        <v/>
      </c>
      <c r="O529" s="49"/>
      <c r="P529" s="53" t="str">
        <f t="shared" si="28"/>
        <v/>
      </c>
      <c r="Q529" s="53" t="str">
        <f t="shared" si="29"/>
        <v/>
      </c>
    </row>
    <row r="530" spans="1:17" ht="19.5" customHeight="1">
      <c r="A530" s="38"/>
      <c r="B530" s="38"/>
      <c r="C530" s="38"/>
      <c r="D530" s="37"/>
      <c r="E530" s="37"/>
      <c r="F530" s="37"/>
      <c r="G530" s="37" t="str">
        <f>IF(F530="","",INDEX(站位样品信息!$B$3:INDEX(站位样品信息!$B:$B,COUNTA(站位样品信息!$B:$B)+1),MATCH($F530,站位样品信息!$A$3:INDEX(站位样品信息!$A:$A,COUNTA(站位样品信息!$A:$A)+1),),))</f>
        <v/>
      </c>
      <c r="H530" s="55" t="str">
        <f>IF(OR(A530&lt;&gt;"",B530&lt;&gt;"",C530&lt;&gt;""),IF($C530&lt;&gt;0,INDEX(生物种群!$A$3:INDEX(生物种群!$A:$A,COUNTA(生物种群!$A:$A)),MATCH($C530,生物种群!$F$3:INDEX(生物种群!$F:$F,COUNTA(生物种群!$F:$F)),),),IF($A530&lt;&gt;0,INDEX(生物种群!$A$3:INDEX(生物种群!$A:$A,COUNTA(生物种群!$A:$A)),MATCH($A530,生物种群!$C$3:INDEX(生物种群!$C:$C,COUNTA(生物种群!$C:$C)),),),INDEX(生物种群!$A$3:INDEX(生物种群!$A:$A,COUNTA(生物种群!$A:$A)),MATCH($B530,生物种群!$D$3:INDEX(生物种群!$D:$D,COUNTA(生物种群!$D:$D)),),))),"")</f>
        <v/>
      </c>
      <c r="I530" s="56" t="str">
        <f>IF(H530="","",INDEX(生物种群!$B$3:INDEX(生物种群!$B:$B,COUNTA(生物种群!$B:$B)),MATCH($H530,生物种群!$A$3:INDEX(生物种群!$A:$A,COUNTA(生物种群!$A:$A)),),))</f>
        <v/>
      </c>
      <c r="J530" s="55" t="str">
        <f>IF(H530="","",INDEX(生物种群!$I$3:INDEX(生物种群!$I:$I,COUNTA(生物种群!$I:$I)),MATCH($H530,生物种群!$A$3:INDEX(生物种群!$A:$A,COUNTA(生物种群!$A:$A)),),))</f>
        <v/>
      </c>
      <c r="K530" s="55" t="str">
        <f>IF(H530="","",INDEX(生物种群!$E$3:INDEX(生物种群!$E:$E,COUNTA(生物种群!$E:$E)),MATCH($H530,生物种群!$A$3:INDEX(生物种群!$A:$A,COUNTA(生物种群!$A:$A)),),))</f>
        <v/>
      </c>
      <c r="L530" s="46" t="str">
        <f t="shared" si="30"/>
        <v/>
      </c>
      <c r="M530" s="47" t="str">
        <f>IF(L530="","",ROUND((L530)/VLOOKUP($F530,IF({1,0},站位样品信息!$A$3:INDEX(站位样品信息!$A:$A,COUNTA(站位样品信息!$A:$A)+1),站位样品信息!$H$3:INDEX(站位样品信息!$H:$H,COUNTA(站位样品信息!$H:$H)+1)),2,0),2))</f>
        <v/>
      </c>
      <c r="O530" s="49"/>
      <c r="P530" s="53" t="str">
        <f t="shared" si="28"/>
        <v/>
      </c>
      <c r="Q530" s="53" t="str">
        <f t="shared" si="29"/>
        <v/>
      </c>
    </row>
    <row r="531" spans="1:17" ht="19.5" customHeight="1">
      <c r="A531" s="38"/>
      <c r="B531" s="38"/>
      <c r="C531" s="38"/>
      <c r="D531" s="37"/>
      <c r="E531" s="37"/>
      <c r="F531" s="37"/>
      <c r="G531" s="37" t="str">
        <f>IF(F531="","",INDEX(站位样品信息!$B$3:INDEX(站位样品信息!$B:$B,COUNTA(站位样品信息!$B:$B)+1),MATCH($F531,站位样品信息!$A$3:INDEX(站位样品信息!$A:$A,COUNTA(站位样品信息!$A:$A)+1),),))</f>
        <v/>
      </c>
      <c r="H531" s="55" t="str">
        <f>IF(OR(A531&lt;&gt;"",B531&lt;&gt;"",C531&lt;&gt;""),IF($C531&lt;&gt;0,INDEX(生物种群!$A$3:INDEX(生物种群!$A:$A,COUNTA(生物种群!$A:$A)),MATCH($C531,生物种群!$F$3:INDEX(生物种群!$F:$F,COUNTA(生物种群!$F:$F)),),),IF($A531&lt;&gt;0,INDEX(生物种群!$A$3:INDEX(生物种群!$A:$A,COUNTA(生物种群!$A:$A)),MATCH($A531,生物种群!$C$3:INDEX(生物种群!$C:$C,COUNTA(生物种群!$C:$C)),),),INDEX(生物种群!$A$3:INDEX(生物种群!$A:$A,COUNTA(生物种群!$A:$A)),MATCH($B531,生物种群!$D$3:INDEX(生物种群!$D:$D,COUNTA(生物种群!$D:$D)),),))),"")</f>
        <v/>
      </c>
      <c r="I531" s="56" t="str">
        <f>IF(H531="","",INDEX(生物种群!$B$3:INDEX(生物种群!$B:$B,COUNTA(生物种群!$B:$B)),MATCH($H531,生物种群!$A$3:INDEX(生物种群!$A:$A,COUNTA(生物种群!$A:$A)),),))</f>
        <v/>
      </c>
      <c r="J531" s="55" t="str">
        <f>IF(H531="","",INDEX(生物种群!$I$3:INDEX(生物种群!$I:$I,COUNTA(生物种群!$I:$I)),MATCH($H531,生物种群!$A$3:INDEX(生物种群!$A:$A,COUNTA(生物种群!$A:$A)),),))</f>
        <v/>
      </c>
      <c r="K531" s="55" t="str">
        <f>IF(H531="","",INDEX(生物种群!$E$3:INDEX(生物种群!$E:$E,COUNTA(生物种群!$E:$E)),MATCH($H531,生物种群!$A$3:INDEX(生物种群!$A:$A,COUNTA(生物种群!$A:$A)),),))</f>
        <v/>
      </c>
      <c r="L531" s="46" t="str">
        <f t="shared" si="30"/>
        <v/>
      </c>
      <c r="M531" s="47" t="str">
        <f>IF(L531="","",ROUND((L531)/VLOOKUP($F531,IF({1,0},站位样品信息!$A$3:INDEX(站位样品信息!$A:$A,COUNTA(站位样品信息!$A:$A)+1),站位样品信息!$H$3:INDEX(站位样品信息!$H:$H,COUNTA(站位样品信息!$H:$H)+1)),2,0),2))</f>
        <v/>
      </c>
      <c r="O531" s="49"/>
      <c r="P531" s="53" t="str">
        <f t="shared" si="28"/>
        <v/>
      </c>
      <c r="Q531" s="53" t="str">
        <f t="shared" si="29"/>
        <v/>
      </c>
    </row>
    <row r="532" spans="1:17" ht="19.5" customHeight="1">
      <c r="A532" s="38"/>
      <c r="B532" s="38"/>
      <c r="C532" s="38"/>
      <c r="D532" s="37"/>
      <c r="E532" s="37"/>
      <c r="F532" s="37"/>
      <c r="G532" s="37" t="str">
        <f>IF(F532="","",INDEX(站位样品信息!$B$3:INDEX(站位样品信息!$B:$B,COUNTA(站位样品信息!$B:$B)+1),MATCH($F532,站位样品信息!$A$3:INDEX(站位样品信息!$A:$A,COUNTA(站位样品信息!$A:$A)+1),),))</f>
        <v/>
      </c>
      <c r="H532" s="55" t="str">
        <f>IF(OR(A532&lt;&gt;"",B532&lt;&gt;"",C532&lt;&gt;""),IF($C532&lt;&gt;0,INDEX(生物种群!$A$3:INDEX(生物种群!$A:$A,COUNTA(生物种群!$A:$A)),MATCH($C532,生物种群!$F$3:INDEX(生物种群!$F:$F,COUNTA(生物种群!$F:$F)),),),IF($A532&lt;&gt;0,INDEX(生物种群!$A$3:INDEX(生物种群!$A:$A,COUNTA(生物种群!$A:$A)),MATCH($A532,生物种群!$C$3:INDEX(生物种群!$C:$C,COUNTA(生物种群!$C:$C)),),),INDEX(生物种群!$A$3:INDEX(生物种群!$A:$A,COUNTA(生物种群!$A:$A)),MATCH($B532,生物种群!$D$3:INDEX(生物种群!$D:$D,COUNTA(生物种群!$D:$D)),),))),"")</f>
        <v/>
      </c>
      <c r="I532" s="56" t="str">
        <f>IF(H532="","",INDEX(生物种群!$B$3:INDEX(生物种群!$B:$B,COUNTA(生物种群!$B:$B)),MATCH($H532,生物种群!$A$3:INDEX(生物种群!$A:$A,COUNTA(生物种群!$A:$A)),),))</f>
        <v/>
      </c>
      <c r="J532" s="55" t="str">
        <f>IF(H532="","",INDEX(生物种群!$I$3:INDEX(生物种群!$I:$I,COUNTA(生物种群!$I:$I)),MATCH($H532,生物种群!$A$3:INDEX(生物种群!$A:$A,COUNTA(生物种群!$A:$A)),),))</f>
        <v/>
      </c>
      <c r="K532" s="55" t="str">
        <f>IF(H532="","",INDEX(生物种群!$E$3:INDEX(生物种群!$E:$E,COUNTA(生物种群!$E:$E)),MATCH($H532,生物种群!$A$3:INDEX(生物种群!$A:$A,COUNTA(生物种群!$A:$A)),),))</f>
        <v/>
      </c>
      <c r="L532" s="46" t="str">
        <f t="shared" si="30"/>
        <v/>
      </c>
      <c r="M532" s="47" t="str">
        <f>IF(L532="","",ROUND((L532)/VLOOKUP($F532,IF({1,0},站位样品信息!$A$3:INDEX(站位样品信息!$A:$A,COUNTA(站位样品信息!$A:$A)+1),站位样品信息!$H$3:INDEX(站位样品信息!$H:$H,COUNTA(站位样品信息!$H:$H)+1)),2,0),2))</f>
        <v/>
      </c>
      <c r="O532" s="49"/>
      <c r="P532" s="53" t="str">
        <f t="shared" si="28"/>
        <v/>
      </c>
      <c r="Q532" s="53" t="str">
        <f t="shared" si="29"/>
        <v/>
      </c>
    </row>
    <row r="533" spans="1:17" ht="19.5" customHeight="1">
      <c r="A533" s="38"/>
      <c r="B533" s="38"/>
      <c r="C533" s="38"/>
      <c r="D533" s="37"/>
      <c r="E533" s="37"/>
      <c r="F533" s="37"/>
      <c r="G533" s="37" t="str">
        <f>IF(F533="","",INDEX(站位样品信息!$B$3:INDEX(站位样品信息!$B:$B,COUNTA(站位样品信息!$B:$B)+1),MATCH($F533,站位样品信息!$A$3:INDEX(站位样品信息!$A:$A,COUNTA(站位样品信息!$A:$A)+1),),))</f>
        <v/>
      </c>
      <c r="H533" s="55" t="str">
        <f>IF(OR(A533&lt;&gt;"",B533&lt;&gt;"",C533&lt;&gt;""),IF($C533&lt;&gt;0,INDEX(生物种群!$A$3:INDEX(生物种群!$A:$A,COUNTA(生物种群!$A:$A)),MATCH($C533,生物种群!$F$3:INDEX(生物种群!$F:$F,COUNTA(生物种群!$F:$F)),),),IF($A533&lt;&gt;0,INDEX(生物种群!$A$3:INDEX(生物种群!$A:$A,COUNTA(生物种群!$A:$A)),MATCH($A533,生物种群!$C$3:INDEX(生物种群!$C:$C,COUNTA(生物种群!$C:$C)),),),INDEX(生物种群!$A$3:INDEX(生物种群!$A:$A,COUNTA(生物种群!$A:$A)),MATCH($B533,生物种群!$D$3:INDEX(生物种群!$D:$D,COUNTA(生物种群!$D:$D)),),))),"")</f>
        <v/>
      </c>
      <c r="I533" s="56" t="str">
        <f>IF(H533="","",INDEX(生物种群!$B$3:INDEX(生物种群!$B:$B,COUNTA(生物种群!$B:$B)),MATCH($H533,生物种群!$A$3:INDEX(生物种群!$A:$A,COUNTA(生物种群!$A:$A)),),))</f>
        <v/>
      </c>
      <c r="J533" s="55" t="str">
        <f>IF(H533="","",INDEX(生物种群!$I$3:INDEX(生物种群!$I:$I,COUNTA(生物种群!$I:$I)),MATCH($H533,生物种群!$A$3:INDEX(生物种群!$A:$A,COUNTA(生物种群!$A:$A)),),))</f>
        <v/>
      </c>
      <c r="K533" s="55" t="str">
        <f>IF(H533="","",INDEX(生物种群!$E$3:INDEX(生物种群!$E:$E,COUNTA(生物种群!$E:$E)),MATCH($H533,生物种群!$A$3:INDEX(生物种群!$A:$A,COUNTA(生物种群!$A:$A)),),))</f>
        <v/>
      </c>
      <c r="L533" s="46" t="str">
        <f t="shared" si="30"/>
        <v/>
      </c>
      <c r="M533" s="47" t="str">
        <f>IF(L533="","",ROUND((L533)/VLOOKUP($F533,IF({1,0},站位样品信息!$A$3:INDEX(站位样品信息!$A:$A,COUNTA(站位样品信息!$A:$A)+1),站位样品信息!$H$3:INDEX(站位样品信息!$H:$H,COUNTA(站位样品信息!$H:$H)+1)),2,0),2))</f>
        <v/>
      </c>
      <c r="O533" s="49"/>
      <c r="P533" s="53" t="str">
        <f t="shared" si="28"/>
        <v/>
      </c>
      <c r="Q533" s="53" t="str">
        <f t="shared" si="29"/>
        <v/>
      </c>
    </row>
    <row r="534" spans="1:17" ht="19.5" customHeight="1">
      <c r="A534" s="38"/>
      <c r="B534" s="38"/>
      <c r="C534" s="38"/>
      <c r="D534" s="37"/>
      <c r="E534" s="37"/>
      <c r="F534" s="37"/>
      <c r="G534" s="37" t="str">
        <f>IF(F534="","",INDEX(站位样品信息!$B$3:INDEX(站位样品信息!$B:$B,COUNTA(站位样品信息!$B:$B)+1),MATCH($F534,站位样品信息!$A$3:INDEX(站位样品信息!$A:$A,COUNTA(站位样品信息!$A:$A)+1),),))</f>
        <v/>
      </c>
      <c r="H534" s="55" t="str">
        <f>IF(OR(A534&lt;&gt;"",B534&lt;&gt;"",C534&lt;&gt;""),IF($C534&lt;&gt;0,INDEX(生物种群!$A$3:INDEX(生物种群!$A:$A,COUNTA(生物种群!$A:$A)),MATCH($C534,生物种群!$F$3:INDEX(生物种群!$F:$F,COUNTA(生物种群!$F:$F)),),),IF($A534&lt;&gt;0,INDEX(生物种群!$A$3:INDEX(生物种群!$A:$A,COUNTA(生物种群!$A:$A)),MATCH($A534,生物种群!$C$3:INDEX(生物种群!$C:$C,COUNTA(生物种群!$C:$C)),),),INDEX(生物种群!$A$3:INDEX(生物种群!$A:$A,COUNTA(生物种群!$A:$A)),MATCH($B534,生物种群!$D$3:INDEX(生物种群!$D:$D,COUNTA(生物种群!$D:$D)),),))),"")</f>
        <v/>
      </c>
      <c r="I534" s="56" t="str">
        <f>IF(H534="","",INDEX(生物种群!$B$3:INDEX(生物种群!$B:$B,COUNTA(生物种群!$B:$B)),MATCH($H534,生物种群!$A$3:INDEX(生物种群!$A:$A,COUNTA(生物种群!$A:$A)),),))</f>
        <v/>
      </c>
      <c r="J534" s="55" t="str">
        <f>IF(H534="","",INDEX(生物种群!$I$3:INDEX(生物种群!$I:$I,COUNTA(生物种群!$I:$I)),MATCH($H534,生物种群!$A$3:INDEX(生物种群!$A:$A,COUNTA(生物种群!$A:$A)),),))</f>
        <v/>
      </c>
      <c r="K534" s="55" t="str">
        <f>IF(H534="","",INDEX(生物种群!$E$3:INDEX(生物种群!$E:$E,COUNTA(生物种群!$E:$E)),MATCH($H534,生物种群!$A$3:INDEX(生物种群!$A:$A,COUNTA(生物种群!$A:$A)),),))</f>
        <v/>
      </c>
      <c r="L534" s="46" t="str">
        <f t="shared" si="30"/>
        <v/>
      </c>
      <c r="M534" s="47" t="str">
        <f>IF(L534="","",ROUND((L534)/VLOOKUP($F534,IF({1,0},站位样品信息!$A$3:INDEX(站位样品信息!$A:$A,COUNTA(站位样品信息!$A:$A)+1),站位样品信息!$H$3:INDEX(站位样品信息!$H:$H,COUNTA(站位样品信息!$H:$H)+1)),2,0),2))</f>
        <v/>
      </c>
      <c r="O534" s="49"/>
      <c r="P534" s="53" t="str">
        <f t="shared" si="28"/>
        <v/>
      </c>
      <c r="Q534" s="53" t="str">
        <f t="shared" si="29"/>
        <v/>
      </c>
    </row>
    <row r="535" spans="1:17" ht="19.5" customHeight="1">
      <c r="A535" s="38"/>
      <c r="B535" s="38"/>
      <c r="C535" s="38"/>
      <c r="D535" s="37"/>
      <c r="E535" s="37"/>
      <c r="F535" s="37"/>
      <c r="G535" s="37" t="str">
        <f>IF(F535="","",INDEX(站位样品信息!$B$3:INDEX(站位样品信息!$B:$B,COUNTA(站位样品信息!$B:$B)+1),MATCH($F535,站位样品信息!$A$3:INDEX(站位样品信息!$A:$A,COUNTA(站位样品信息!$A:$A)+1),),))</f>
        <v/>
      </c>
      <c r="H535" s="55" t="str">
        <f>IF(OR(A535&lt;&gt;"",B535&lt;&gt;"",C535&lt;&gt;""),IF($C535&lt;&gt;0,INDEX(生物种群!$A$3:INDEX(生物种群!$A:$A,COUNTA(生物种群!$A:$A)),MATCH($C535,生物种群!$F$3:INDEX(生物种群!$F:$F,COUNTA(生物种群!$F:$F)),),),IF($A535&lt;&gt;0,INDEX(生物种群!$A$3:INDEX(生物种群!$A:$A,COUNTA(生物种群!$A:$A)),MATCH($A535,生物种群!$C$3:INDEX(生物种群!$C:$C,COUNTA(生物种群!$C:$C)),),),INDEX(生物种群!$A$3:INDEX(生物种群!$A:$A,COUNTA(生物种群!$A:$A)),MATCH($B535,生物种群!$D$3:INDEX(生物种群!$D:$D,COUNTA(生物种群!$D:$D)),),))),"")</f>
        <v/>
      </c>
      <c r="I535" s="56" t="str">
        <f>IF(H535="","",INDEX(生物种群!$B$3:INDEX(生物种群!$B:$B,COUNTA(生物种群!$B:$B)),MATCH($H535,生物种群!$A$3:INDEX(生物种群!$A:$A,COUNTA(生物种群!$A:$A)),),))</f>
        <v/>
      </c>
      <c r="J535" s="55" t="str">
        <f>IF(H535="","",INDEX(生物种群!$I$3:INDEX(生物种群!$I:$I,COUNTA(生物种群!$I:$I)),MATCH($H535,生物种群!$A$3:INDEX(生物种群!$A:$A,COUNTA(生物种群!$A:$A)),),))</f>
        <v/>
      </c>
      <c r="K535" s="55" t="str">
        <f>IF(H535="","",INDEX(生物种群!$E$3:INDEX(生物种群!$E:$E,COUNTA(生物种群!$E:$E)),MATCH($H535,生物种群!$A$3:INDEX(生物种群!$A:$A,COUNTA(生物种群!$A:$A)),),))</f>
        <v/>
      </c>
      <c r="L535" s="46" t="str">
        <f t="shared" si="30"/>
        <v/>
      </c>
      <c r="M535" s="47" t="str">
        <f>IF(L535="","",ROUND((L535)/VLOOKUP($F535,IF({1,0},站位样品信息!$A$3:INDEX(站位样品信息!$A:$A,COUNTA(站位样品信息!$A:$A)+1),站位样品信息!$H$3:INDEX(站位样品信息!$H:$H,COUNTA(站位样品信息!$H:$H)+1)),2,0),2))</f>
        <v/>
      </c>
      <c r="O535" s="49"/>
      <c r="P535" s="53" t="str">
        <f t="shared" si="28"/>
        <v/>
      </c>
      <c r="Q535" s="53" t="str">
        <f t="shared" si="29"/>
        <v/>
      </c>
    </row>
    <row r="536" spans="1:17" ht="19.5" customHeight="1">
      <c r="A536" s="38"/>
      <c r="B536" s="38"/>
      <c r="C536" s="38"/>
      <c r="D536" s="37"/>
      <c r="E536" s="37"/>
      <c r="F536" s="37"/>
      <c r="G536" s="37" t="str">
        <f>IF(F536="","",INDEX(站位样品信息!$B$3:INDEX(站位样品信息!$B:$B,COUNTA(站位样品信息!$B:$B)+1),MATCH($F536,站位样品信息!$A$3:INDEX(站位样品信息!$A:$A,COUNTA(站位样品信息!$A:$A)+1),),))</f>
        <v/>
      </c>
      <c r="H536" s="55" t="str">
        <f>IF(OR(A536&lt;&gt;"",B536&lt;&gt;"",C536&lt;&gt;""),IF($C536&lt;&gt;0,INDEX(生物种群!$A$3:INDEX(生物种群!$A:$A,COUNTA(生物种群!$A:$A)),MATCH($C536,生物种群!$F$3:INDEX(生物种群!$F:$F,COUNTA(生物种群!$F:$F)),),),IF($A536&lt;&gt;0,INDEX(生物种群!$A$3:INDEX(生物种群!$A:$A,COUNTA(生物种群!$A:$A)),MATCH($A536,生物种群!$C$3:INDEX(生物种群!$C:$C,COUNTA(生物种群!$C:$C)),),),INDEX(生物种群!$A$3:INDEX(生物种群!$A:$A,COUNTA(生物种群!$A:$A)),MATCH($B536,生物种群!$D$3:INDEX(生物种群!$D:$D,COUNTA(生物种群!$D:$D)),),))),"")</f>
        <v/>
      </c>
      <c r="I536" s="56" t="str">
        <f>IF(H536="","",INDEX(生物种群!$B$3:INDEX(生物种群!$B:$B,COUNTA(生物种群!$B:$B)),MATCH($H536,生物种群!$A$3:INDEX(生物种群!$A:$A,COUNTA(生物种群!$A:$A)),),))</f>
        <v/>
      </c>
      <c r="J536" s="55" t="str">
        <f>IF(H536="","",INDEX(生物种群!$I$3:INDEX(生物种群!$I:$I,COUNTA(生物种群!$I:$I)),MATCH($H536,生物种群!$A$3:INDEX(生物种群!$A:$A,COUNTA(生物种群!$A:$A)),),))</f>
        <v/>
      </c>
      <c r="K536" s="55" t="str">
        <f>IF(H536="","",INDEX(生物种群!$E$3:INDEX(生物种群!$E:$E,COUNTA(生物种群!$E:$E)),MATCH($H536,生物种群!$A$3:INDEX(生物种群!$A:$A,COUNTA(生物种群!$A:$A)),),))</f>
        <v/>
      </c>
      <c r="L536" s="46" t="str">
        <f t="shared" si="30"/>
        <v/>
      </c>
      <c r="M536" s="47" t="str">
        <f>IF(L536="","",ROUND((L536)/VLOOKUP($F536,IF({1,0},站位样品信息!$A$3:INDEX(站位样品信息!$A:$A,COUNTA(站位样品信息!$A:$A)+1),站位样品信息!$H$3:INDEX(站位样品信息!$H:$H,COUNTA(站位样品信息!$H:$H)+1)),2,0),2))</f>
        <v/>
      </c>
      <c r="O536" s="49"/>
      <c r="P536" s="53" t="str">
        <f t="shared" si="28"/>
        <v/>
      </c>
      <c r="Q536" s="53" t="str">
        <f t="shared" si="29"/>
        <v/>
      </c>
    </row>
    <row r="537" spans="1:17" ht="19.5" customHeight="1">
      <c r="A537" s="38"/>
      <c r="B537" s="38"/>
      <c r="C537" s="38"/>
      <c r="D537" s="37"/>
      <c r="E537" s="37"/>
      <c r="F537" s="37"/>
      <c r="G537" s="37" t="str">
        <f>IF(F537="","",INDEX(站位样品信息!$B$3:INDEX(站位样品信息!$B:$B,COUNTA(站位样品信息!$B:$B)+1),MATCH($F537,站位样品信息!$A$3:INDEX(站位样品信息!$A:$A,COUNTA(站位样品信息!$A:$A)+1),),))</f>
        <v/>
      </c>
      <c r="H537" s="55" t="str">
        <f>IF(OR(A537&lt;&gt;"",B537&lt;&gt;"",C537&lt;&gt;""),IF($C537&lt;&gt;0,INDEX(生物种群!$A$3:INDEX(生物种群!$A:$A,COUNTA(生物种群!$A:$A)),MATCH($C537,生物种群!$F$3:INDEX(生物种群!$F:$F,COUNTA(生物种群!$F:$F)),),),IF($A537&lt;&gt;0,INDEX(生物种群!$A$3:INDEX(生物种群!$A:$A,COUNTA(生物种群!$A:$A)),MATCH($A537,生物种群!$C$3:INDEX(生物种群!$C:$C,COUNTA(生物种群!$C:$C)),),),INDEX(生物种群!$A$3:INDEX(生物种群!$A:$A,COUNTA(生物种群!$A:$A)),MATCH($B537,生物种群!$D$3:INDEX(生物种群!$D:$D,COUNTA(生物种群!$D:$D)),),))),"")</f>
        <v/>
      </c>
      <c r="I537" s="56" t="str">
        <f>IF(H537="","",INDEX(生物种群!$B$3:INDEX(生物种群!$B:$B,COUNTA(生物种群!$B:$B)),MATCH($H537,生物种群!$A$3:INDEX(生物种群!$A:$A,COUNTA(生物种群!$A:$A)),),))</f>
        <v/>
      </c>
      <c r="J537" s="55" t="str">
        <f>IF(H537="","",INDEX(生物种群!$I$3:INDEX(生物种群!$I:$I,COUNTA(生物种群!$I:$I)),MATCH($H537,生物种群!$A$3:INDEX(生物种群!$A:$A,COUNTA(生物种群!$A:$A)),),))</f>
        <v/>
      </c>
      <c r="K537" s="55" t="str">
        <f>IF(H537="","",INDEX(生物种群!$E$3:INDEX(生物种群!$E:$E,COUNTA(生物种群!$E:$E)),MATCH($H537,生物种群!$A$3:INDEX(生物种群!$A:$A,COUNTA(生物种群!$A:$A)),),))</f>
        <v/>
      </c>
      <c r="L537" s="46" t="str">
        <f t="shared" si="30"/>
        <v/>
      </c>
      <c r="M537" s="47" t="str">
        <f>IF(L537="","",ROUND((L537)/VLOOKUP($F537,IF({1,0},站位样品信息!$A$3:INDEX(站位样品信息!$A:$A,COUNTA(站位样品信息!$A:$A)+1),站位样品信息!$H$3:INDEX(站位样品信息!$H:$H,COUNTA(站位样品信息!$H:$H)+1)),2,0),2))</f>
        <v/>
      </c>
      <c r="O537" s="49"/>
      <c r="P537" s="53" t="str">
        <f t="shared" si="28"/>
        <v/>
      </c>
      <c r="Q537" s="53" t="str">
        <f t="shared" si="29"/>
        <v/>
      </c>
    </row>
    <row r="538" spans="1:17" ht="19.5" customHeight="1">
      <c r="A538" s="38"/>
      <c r="B538" s="38"/>
      <c r="C538" s="38"/>
      <c r="D538" s="37"/>
      <c r="E538" s="37"/>
      <c r="F538" s="37"/>
      <c r="G538" s="37" t="str">
        <f>IF(F538="","",INDEX(站位样品信息!$B$3:INDEX(站位样品信息!$B:$B,COUNTA(站位样品信息!$B:$B)+1),MATCH($F538,站位样品信息!$A$3:INDEX(站位样品信息!$A:$A,COUNTA(站位样品信息!$A:$A)+1),),))</f>
        <v/>
      </c>
      <c r="H538" s="55" t="str">
        <f>IF(OR(A538&lt;&gt;"",B538&lt;&gt;"",C538&lt;&gt;""),IF($C538&lt;&gt;0,INDEX(生物种群!$A$3:INDEX(生物种群!$A:$A,COUNTA(生物种群!$A:$A)),MATCH($C538,生物种群!$F$3:INDEX(生物种群!$F:$F,COUNTA(生物种群!$F:$F)),),),IF($A538&lt;&gt;0,INDEX(生物种群!$A$3:INDEX(生物种群!$A:$A,COUNTA(生物种群!$A:$A)),MATCH($A538,生物种群!$C$3:INDEX(生物种群!$C:$C,COUNTA(生物种群!$C:$C)),),),INDEX(生物种群!$A$3:INDEX(生物种群!$A:$A,COUNTA(生物种群!$A:$A)),MATCH($B538,生物种群!$D$3:INDEX(生物种群!$D:$D,COUNTA(生物种群!$D:$D)),),))),"")</f>
        <v/>
      </c>
      <c r="I538" s="56" t="str">
        <f>IF(H538="","",INDEX(生物种群!$B$3:INDEX(生物种群!$B:$B,COUNTA(生物种群!$B:$B)),MATCH($H538,生物种群!$A$3:INDEX(生物种群!$A:$A,COUNTA(生物种群!$A:$A)),),))</f>
        <v/>
      </c>
      <c r="J538" s="55" t="str">
        <f>IF(H538="","",INDEX(生物种群!$I$3:INDEX(生物种群!$I:$I,COUNTA(生物种群!$I:$I)),MATCH($H538,生物种群!$A$3:INDEX(生物种群!$A:$A,COUNTA(生物种群!$A:$A)),),))</f>
        <v/>
      </c>
      <c r="K538" s="55" t="str">
        <f>IF(H538="","",INDEX(生物种群!$E$3:INDEX(生物种群!$E:$E,COUNTA(生物种群!$E:$E)),MATCH($H538,生物种群!$A$3:INDEX(生物种群!$A:$A,COUNTA(生物种群!$A:$A)),),))</f>
        <v/>
      </c>
      <c r="L538" s="46" t="str">
        <f t="shared" si="30"/>
        <v/>
      </c>
      <c r="M538" s="47" t="str">
        <f>IF(L538="","",ROUND((L538)/VLOOKUP($F538,IF({1,0},站位样品信息!$A$3:INDEX(站位样品信息!$A:$A,COUNTA(站位样品信息!$A:$A)+1),站位样品信息!$H$3:INDEX(站位样品信息!$H:$H,COUNTA(站位样品信息!$H:$H)+1)),2,0),2))</f>
        <v/>
      </c>
      <c r="O538" s="49"/>
      <c r="P538" s="53" t="str">
        <f t="shared" si="28"/>
        <v/>
      </c>
      <c r="Q538" s="53" t="str">
        <f t="shared" si="29"/>
        <v/>
      </c>
    </row>
    <row r="539" spans="1:17" ht="19.5" customHeight="1">
      <c r="A539" s="38"/>
      <c r="B539" s="38"/>
      <c r="C539" s="38"/>
      <c r="D539" s="37"/>
      <c r="E539" s="37"/>
      <c r="F539" s="37"/>
      <c r="G539" s="37" t="str">
        <f>IF(F539="","",INDEX(站位样品信息!$B$3:INDEX(站位样品信息!$B:$B,COUNTA(站位样品信息!$B:$B)+1),MATCH($F539,站位样品信息!$A$3:INDEX(站位样品信息!$A:$A,COUNTA(站位样品信息!$A:$A)+1),),))</f>
        <v/>
      </c>
      <c r="H539" s="55" t="str">
        <f>IF(OR(A539&lt;&gt;"",B539&lt;&gt;"",C539&lt;&gt;""),IF($C539&lt;&gt;0,INDEX(生物种群!$A$3:INDEX(生物种群!$A:$A,COUNTA(生物种群!$A:$A)),MATCH($C539,生物种群!$F$3:INDEX(生物种群!$F:$F,COUNTA(生物种群!$F:$F)),),),IF($A539&lt;&gt;0,INDEX(生物种群!$A$3:INDEX(生物种群!$A:$A,COUNTA(生物种群!$A:$A)),MATCH($A539,生物种群!$C$3:INDEX(生物种群!$C:$C,COUNTA(生物种群!$C:$C)),),),INDEX(生物种群!$A$3:INDEX(生物种群!$A:$A,COUNTA(生物种群!$A:$A)),MATCH($B539,生物种群!$D$3:INDEX(生物种群!$D:$D,COUNTA(生物种群!$D:$D)),),))),"")</f>
        <v/>
      </c>
      <c r="I539" s="56" t="str">
        <f>IF(H539="","",INDEX(生物种群!$B$3:INDEX(生物种群!$B:$B,COUNTA(生物种群!$B:$B)),MATCH($H539,生物种群!$A$3:INDEX(生物种群!$A:$A,COUNTA(生物种群!$A:$A)),),))</f>
        <v/>
      </c>
      <c r="J539" s="55" t="str">
        <f>IF(H539="","",INDEX(生物种群!$I$3:INDEX(生物种群!$I:$I,COUNTA(生物种群!$I:$I)),MATCH($H539,生物种群!$A$3:INDEX(生物种群!$A:$A,COUNTA(生物种群!$A:$A)),),))</f>
        <v/>
      </c>
      <c r="K539" s="55" t="str">
        <f>IF(H539="","",INDEX(生物种群!$E$3:INDEX(生物种群!$E:$E,COUNTA(生物种群!$E:$E)),MATCH($H539,生物种群!$A$3:INDEX(生物种群!$A:$A,COUNTA(生物种群!$A:$A)),),))</f>
        <v/>
      </c>
      <c r="L539" s="46" t="str">
        <f t="shared" si="30"/>
        <v/>
      </c>
      <c r="M539" s="47" t="str">
        <f>IF(L539="","",ROUND((L539)/VLOOKUP($F539,IF({1,0},站位样品信息!$A$3:INDEX(站位样品信息!$A:$A,COUNTA(站位样品信息!$A:$A)+1),站位样品信息!$H$3:INDEX(站位样品信息!$H:$H,COUNTA(站位样品信息!$H:$H)+1)),2,0),2))</f>
        <v/>
      </c>
      <c r="O539" s="49"/>
      <c r="P539" s="53" t="str">
        <f t="shared" si="28"/>
        <v/>
      </c>
      <c r="Q539" s="53" t="str">
        <f t="shared" si="29"/>
        <v/>
      </c>
    </row>
    <row r="540" spans="1:17" ht="19.5" customHeight="1">
      <c r="A540" s="38"/>
      <c r="B540" s="38"/>
      <c r="C540" s="38"/>
      <c r="D540" s="37"/>
      <c r="E540" s="37"/>
      <c r="F540" s="37"/>
      <c r="G540" s="37" t="str">
        <f>IF(F540="","",INDEX(站位样品信息!$B$3:INDEX(站位样品信息!$B:$B,COUNTA(站位样品信息!$B:$B)+1),MATCH($F540,站位样品信息!$A$3:INDEX(站位样品信息!$A:$A,COUNTA(站位样品信息!$A:$A)+1),),))</f>
        <v/>
      </c>
      <c r="H540" s="55" t="str">
        <f>IF(OR(A540&lt;&gt;"",B540&lt;&gt;"",C540&lt;&gt;""),IF($C540&lt;&gt;0,INDEX(生物种群!$A$3:INDEX(生物种群!$A:$A,COUNTA(生物种群!$A:$A)),MATCH($C540,生物种群!$F$3:INDEX(生物种群!$F:$F,COUNTA(生物种群!$F:$F)),),),IF($A540&lt;&gt;0,INDEX(生物种群!$A$3:INDEX(生物种群!$A:$A,COUNTA(生物种群!$A:$A)),MATCH($A540,生物种群!$C$3:INDEX(生物种群!$C:$C,COUNTA(生物种群!$C:$C)),),),INDEX(生物种群!$A$3:INDEX(生物种群!$A:$A,COUNTA(生物种群!$A:$A)),MATCH($B540,生物种群!$D$3:INDEX(生物种群!$D:$D,COUNTA(生物种群!$D:$D)),),))),"")</f>
        <v/>
      </c>
      <c r="I540" s="56" t="str">
        <f>IF(H540="","",INDEX(生物种群!$B$3:INDEX(生物种群!$B:$B,COUNTA(生物种群!$B:$B)),MATCH($H540,生物种群!$A$3:INDEX(生物种群!$A:$A,COUNTA(生物种群!$A:$A)),),))</f>
        <v/>
      </c>
      <c r="J540" s="55" t="str">
        <f>IF(H540="","",INDEX(生物种群!$I$3:INDEX(生物种群!$I:$I,COUNTA(生物种群!$I:$I)),MATCH($H540,生物种群!$A$3:INDEX(生物种群!$A:$A,COUNTA(生物种群!$A:$A)),),))</f>
        <v/>
      </c>
      <c r="K540" s="55" t="str">
        <f>IF(H540="","",INDEX(生物种群!$E$3:INDEX(生物种群!$E:$E,COUNTA(生物种群!$E:$E)),MATCH($H540,生物种群!$A$3:INDEX(生物种群!$A:$A,COUNTA(生物种群!$A:$A)),),))</f>
        <v/>
      </c>
      <c r="L540" s="46" t="str">
        <f t="shared" si="30"/>
        <v/>
      </c>
      <c r="M540" s="47" t="str">
        <f>IF(L540="","",ROUND((L540)/VLOOKUP($F540,IF({1,0},站位样品信息!$A$3:INDEX(站位样品信息!$A:$A,COUNTA(站位样品信息!$A:$A)+1),站位样品信息!$H$3:INDEX(站位样品信息!$H:$H,COUNTA(站位样品信息!$H:$H)+1)),2,0),2))</f>
        <v/>
      </c>
      <c r="O540" s="49"/>
      <c r="P540" s="53" t="str">
        <f t="shared" si="28"/>
        <v/>
      </c>
      <c r="Q540" s="53" t="str">
        <f t="shared" si="29"/>
        <v/>
      </c>
    </row>
    <row r="541" spans="1:17" ht="19.5" customHeight="1">
      <c r="A541" s="38"/>
      <c r="B541" s="38"/>
      <c r="C541" s="38"/>
      <c r="D541" s="37"/>
      <c r="E541" s="37"/>
      <c r="F541" s="37"/>
      <c r="G541" s="37" t="str">
        <f>IF(F541="","",INDEX(站位样品信息!$B$3:INDEX(站位样品信息!$B:$B,COUNTA(站位样品信息!$B:$B)+1),MATCH($F541,站位样品信息!$A$3:INDEX(站位样品信息!$A:$A,COUNTA(站位样品信息!$A:$A)+1),),))</f>
        <v/>
      </c>
      <c r="H541" s="55" t="str">
        <f>IF(OR(A541&lt;&gt;"",B541&lt;&gt;"",C541&lt;&gt;""),IF($C541&lt;&gt;0,INDEX(生物种群!$A$3:INDEX(生物种群!$A:$A,COUNTA(生物种群!$A:$A)),MATCH($C541,生物种群!$F$3:INDEX(生物种群!$F:$F,COUNTA(生物种群!$F:$F)),),),IF($A541&lt;&gt;0,INDEX(生物种群!$A$3:INDEX(生物种群!$A:$A,COUNTA(生物种群!$A:$A)),MATCH($A541,生物种群!$C$3:INDEX(生物种群!$C:$C,COUNTA(生物种群!$C:$C)),),),INDEX(生物种群!$A$3:INDEX(生物种群!$A:$A,COUNTA(生物种群!$A:$A)),MATCH($B541,生物种群!$D$3:INDEX(生物种群!$D:$D,COUNTA(生物种群!$D:$D)),),))),"")</f>
        <v/>
      </c>
      <c r="I541" s="56" t="str">
        <f>IF(H541="","",INDEX(生物种群!$B$3:INDEX(生物种群!$B:$B,COUNTA(生物种群!$B:$B)),MATCH($H541,生物种群!$A$3:INDEX(生物种群!$A:$A,COUNTA(生物种群!$A:$A)),),))</f>
        <v/>
      </c>
      <c r="J541" s="55" t="str">
        <f>IF(H541="","",INDEX(生物种群!$I$3:INDEX(生物种群!$I:$I,COUNTA(生物种群!$I:$I)),MATCH($H541,生物种群!$A$3:INDEX(生物种群!$A:$A,COUNTA(生物种群!$A:$A)),),))</f>
        <v/>
      </c>
      <c r="K541" s="55" t="str">
        <f>IF(H541="","",INDEX(生物种群!$E$3:INDEX(生物种群!$E:$E,COUNTA(生物种群!$E:$E)),MATCH($H541,生物种群!$A$3:INDEX(生物种群!$A:$A,COUNTA(生物种群!$A:$A)),),))</f>
        <v/>
      </c>
      <c r="L541" s="46" t="str">
        <f t="shared" si="30"/>
        <v/>
      </c>
      <c r="M541" s="47" t="str">
        <f>IF(L541="","",ROUND((L541)/VLOOKUP($F541,IF({1,0},站位样品信息!$A$3:INDEX(站位样品信息!$A:$A,COUNTA(站位样品信息!$A:$A)+1),站位样品信息!$H$3:INDEX(站位样品信息!$H:$H,COUNTA(站位样品信息!$H:$H)+1)),2,0),2))</f>
        <v/>
      </c>
      <c r="O541" s="49"/>
      <c r="P541" s="53" t="str">
        <f t="shared" si="28"/>
        <v/>
      </c>
      <c r="Q541" s="53" t="str">
        <f t="shared" si="29"/>
        <v/>
      </c>
    </row>
    <row r="542" spans="1:17" ht="19.5" customHeight="1">
      <c r="A542" s="38"/>
      <c r="B542" s="38"/>
      <c r="C542" s="38"/>
      <c r="D542" s="37"/>
      <c r="E542" s="37"/>
      <c r="F542" s="37"/>
      <c r="G542" s="37" t="str">
        <f>IF(F542="","",INDEX(站位样品信息!$B$3:INDEX(站位样品信息!$B:$B,COUNTA(站位样品信息!$B:$B)+1),MATCH($F542,站位样品信息!$A$3:INDEX(站位样品信息!$A:$A,COUNTA(站位样品信息!$A:$A)+1),),))</f>
        <v/>
      </c>
      <c r="H542" s="55" t="str">
        <f>IF(OR(A542&lt;&gt;"",B542&lt;&gt;"",C542&lt;&gt;""),IF($C542&lt;&gt;0,INDEX(生物种群!$A$3:INDEX(生物种群!$A:$A,COUNTA(生物种群!$A:$A)),MATCH($C542,生物种群!$F$3:INDEX(生物种群!$F:$F,COUNTA(生物种群!$F:$F)),),),IF($A542&lt;&gt;0,INDEX(生物种群!$A$3:INDEX(生物种群!$A:$A,COUNTA(生物种群!$A:$A)),MATCH($A542,生物种群!$C$3:INDEX(生物种群!$C:$C,COUNTA(生物种群!$C:$C)),),),INDEX(生物种群!$A$3:INDEX(生物种群!$A:$A,COUNTA(生物种群!$A:$A)),MATCH($B542,生物种群!$D$3:INDEX(生物种群!$D:$D,COUNTA(生物种群!$D:$D)),),))),"")</f>
        <v/>
      </c>
      <c r="I542" s="56" t="str">
        <f>IF(H542="","",INDEX(生物种群!$B$3:INDEX(生物种群!$B:$B,COUNTA(生物种群!$B:$B)),MATCH($H542,生物种群!$A$3:INDEX(生物种群!$A:$A,COUNTA(生物种群!$A:$A)),),))</f>
        <v/>
      </c>
      <c r="J542" s="55" t="str">
        <f>IF(H542="","",INDEX(生物种群!$I$3:INDEX(生物种群!$I:$I,COUNTA(生物种群!$I:$I)),MATCH($H542,生物种群!$A$3:INDEX(生物种群!$A:$A,COUNTA(生物种群!$A:$A)),),))</f>
        <v/>
      </c>
      <c r="K542" s="55" t="str">
        <f>IF(H542="","",INDEX(生物种群!$E$3:INDEX(生物种群!$E:$E,COUNTA(生物种群!$E:$E)),MATCH($H542,生物种群!$A$3:INDEX(生物种群!$A:$A,COUNTA(生物种群!$A:$A)),),))</f>
        <v/>
      </c>
      <c r="L542" s="46" t="str">
        <f t="shared" si="30"/>
        <v/>
      </c>
      <c r="M542" s="47" t="str">
        <f>IF(L542="","",ROUND((L542)/VLOOKUP($F542,IF({1,0},站位样品信息!$A$3:INDEX(站位样品信息!$A:$A,COUNTA(站位样品信息!$A:$A)+1),站位样品信息!$H$3:INDEX(站位样品信息!$H:$H,COUNTA(站位样品信息!$H:$H)+1)),2,0),2))</f>
        <v/>
      </c>
      <c r="O542" s="49"/>
      <c r="P542" s="53" t="str">
        <f t="shared" si="28"/>
        <v/>
      </c>
      <c r="Q542" s="53" t="str">
        <f t="shared" si="29"/>
        <v/>
      </c>
    </row>
    <row r="543" spans="1:17" ht="19.5" customHeight="1">
      <c r="A543" s="38"/>
      <c r="B543" s="38"/>
      <c r="C543" s="38"/>
      <c r="D543" s="37"/>
      <c r="E543" s="37"/>
      <c r="F543" s="37"/>
      <c r="G543" s="37" t="str">
        <f>IF(F543="","",INDEX(站位样品信息!$B$3:INDEX(站位样品信息!$B:$B,COUNTA(站位样品信息!$B:$B)+1),MATCH($F543,站位样品信息!$A$3:INDEX(站位样品信息!$A:$A,COUNTA(站位样品信息!$A:$A)+1),),))</f>
        <v/>
      </c>
      <c r="H543" s="55" t="str">
        <f>IF(OR(A543&lt;&gt;"",B543&lt;&gt;"",C543&lt;&gt;""),IF($C543&lt;&gt;0,INDEX(生物种群!$A$3:INDEX(生物种群!$A:$A,COUNTA(生物种群!$A:$A)),MATCH($C543,生物种群!$F$3:INDEX(生物种群!$F:$F,COUNTA(生物种群!$F:$F)),),),IF($A543&lt;&gt;0,INDEX(生物种群!$A$3:INDEX(生物种群!$A:$A,COUNTA(生物种群!$A:$A)),MATCH($A543,生物种群!$C$3:INDEX(生物种群!$C:$C,COUNTA(生物种群!$C:$C)),),),INDEX(生物种群!$A$3:INDEX(生物种群!$A:$A,COUNTA(生物种群!$A:$A)),MATCH($B543,生物种群!$D$3:INDEX(生物种群!$D:$D,COUNTA(生物种群!$D:$D)),),))),"")</f>
        <v/>
      </c>
      <c r="I543" s="56" t="str">
        <f>IF(H543="","",INDEX(生物种群!$B$3:INDEX(生物种群!$B:$B,COUNTA(生物种群!$B:$B)),MATCH($H543,生物种群!$A$3:INDEX(生物种群!$A:$A,COUNTA(生物种群!$A:$A)),),))</f>
        <v/>
      </c>
      <c r="J543" s="55" t="str">
        <f>IF(H543="","",INDEX(生物种群!$I$3:INDEX(生物种群!$I:$I,COUNTA(生物种群!$I:$I)),MATCH($H543,生物种群!$A$3:INDEX(生物种群!$A:$A,COUNTA(生物种群!$A:$A)),),))</f>
        <v/>
      </c>
      <c r="K543" s="55" t="str">
        <f>IF(H543="","",INDEX(生物种群!$E$3:INDEX(生物种群!$E:$E,COUNTA(生物种群!$E:$E)),MATCH($H543,生物种群!$A$3:INDEX(生物种群!$A:$A,COUNTA(生物种群!$A:$A)),),))</f>
        <v/>
      </c>
      <c r="L543" s="46" t="str">
        <f t="shared" si="30"/>
        <v/>
      </c>
      <c r="M543" s="47" t="str">
        <f>IF(L543="","",ROUND((L543)/VLOOKUP($F543,IF({1,0},站位样品信息!$A$3:INDEX(站位样品信息!$A:$A,COUNTA(站位样品信息!$A:$A)+1),站位样品信息!$H$3:INDEX(站位样品信息!$H:$H,COUNTA(站位样品信息!$H:$H)+1)),2,0),2))</f>
        <v/>
      </c>
      <c r="O543" s="49"/>
      <c r="P543" s="53" t="str">
        <f t="shared" si="28"/>
        <v/>
      </c>
      <c r="Q543" s="53" t="str">
        <f t="shared" si="29"/>
        <v/>
      </c>
    </row>
    <row r="544" spans="1:17" ht="19.5" customHeight="1">
      <c r="A544" s="38"/>
      <c r="B544" s="38"/>
      <c r="C544" s="38"/>
      <c r="D544" s="37"/>
      <c r="E544" s="37"/>
      <c r="F544" s="37"/>
      <c r="G544" s="37" t="str">
        <f>IF(F544="","",INDEX(站位样品信息!$B$3:INDEX(站位样品信息!$B:$B,COUNTA(站位样品信息!$B:$B)+1),MATCH($F544,站位样品信息!$A$3:INDEX(站位样品信息!$A:$A,COUNTA(站位样品信息!$A:$A)+1),),))</f>
        <v/>
      </c>
      <c r="H544" s="55" t="str">
        <f>IF(OR(A544&lt;&gt;"",B544&lt;&gt;"",C544&lt;&gt;""),IF($C544&lt;&gt;0,INDEX(生物种群!$A$3:INDEX(生物种群!$A:$A,COUNTA(生物种群!$A:$A)),MATCH($C544,生物种群!$F$3:INDEX(生物种群!$F:$F,COUNTA(生物种群!$F:$F)),),),IF($A544&lt;&gt;0,INDEX(生物种群!$A$3:INDEX(生物种群!$A:$A,COUNTA(生物种群!$A:$A)),MATCH($A544,生物种群!$C$3:INDEX(生物种群!$C:$C,COUNTA(生物种群!$C:$C)),),),INDEX(生物种群!$A$3:INDEX(生物种群!$A:$A,COUNTA(生物种群!$A:$A)),MATCH($B544,生物种群!$D$3:INDEX(生物种群!$D:$D,COUNTA(生物种群!$D:$D)),),))),"")</f>
        <v/>
      </c>
      <c r="I544" s="56" t="str">
        <f>IF(H544="","",INDEX(生物种群!$B$3:INDEX(生物种群!$B:$B,COUNTA(生物种群!$B:$B)),MATCH($H544,生物种群!$A$3:INDEX(生物种群!$A:$A,COUNTA(生物种群!$A:$A)),),))</f>
        <v/>
      </c>
      <c r="J544" s="55" t="str">
        <f>IF(H544="","",INDEX(生物种群!$I$3:INDEX(生物种群!$I:$I,COUNTA(生物种群!$I:$I)),MATCH($H544,生物种群!$A$3:INDEX(生物种群!$A:$A,COUNTA(生物种群!$A:$A)),),))</f>
        <v/>
      </c>
      <c r="K544" s="55" t="str">
        <f>IF(H544="","",INDEX(生物种群!$E$3:INDEX(生物种群!$E:$E,COUNTA(生物种群!$E:$E)),MATCH($H544,生物种群!$A$3:INDEX(生物种群!$A:$A,COUNTA(生物种群!$A:$A)),),))</f>
        <v/>
      </c>
      <c r="L544" s="46" t="str">
        <f t="shared" si="30"/>
        <v/>
      </c>
      <c r="M544" s="47" t="str">
        <f>IF(L544="","",ROUND((L544)/VLOOKUP($F544,IF({1,0},站位样品信息!$A$3:INDEX(站位样品信息!$A:$A,COUNTA(站位样品信息!$A:$A)+1),站位样品信息!$H$3:INDEX(站位样品信息!$H:$H,COUNTA(站位样品信息!$H:$H)+1)),2,0),2))</f>
        <v/>
      </c>
      <c r="O544" s="49"/>
      <c r="P544" s="53" t="str">
        <f t="shared" si="28"/>
        <v/>
      </c>
      <c r="Q544" s="53" t="str">
        <f t="shared" si="29"/>
        <v/>
      </c>
    </row>
    <row r="545" spans="1:17" ht="19.5" customHeight="1">
      <c r="A545" s="38"/>
      <c r="B545" s="38"/>
      <c r="C545" s="38"/>
      <c r="D545" s="37"/>
      <c r="E545" s="37"/>
      <c r="F545" s="37"/>
      <c r="G545" s="37" t="str">
        <f>IF(F545="","",INDEX(站位样品信息!$B$3:INDEX(站位样品信息!$B:$B,COUNTA(站位样品信息!$B:$B)+1),MATCH($F545,站位样品信息!$A$3:INDEX(站位样品信息!$A:$A,COUNTA(站位样品信息!$A:$A)+1),),))</f>
        <v/>
      </c>
      <c r="H545" s="55" t="str">
        <f>IF(OR(A545&lt;&gt;"",B545&lt;&gt;"",C545&lt;&gt;""),IF($C545&lt;&gt;0,INDEX(生物种群!$A$3:INDEX(生物种群!$A:$A,COUNTA(生物种群!$A:$A)),MATCH($C545,生物种群!$F$3:INDEX(生物种群!$F:$F,COUNTA(生物种群!$F:$F)),),),IF($A545&lt;&gt;0,INDEX(生物种群!$A$3:INDEX(生物种群!$A:$A,COUNTA(生物种群!$A:$A)),MATCH($A545,生物种群!$C$3:INDEX(生物种群!$C:$C,COUNTA(生物种群!$C:$C)),),),INDEX(生物种群!$A$3:INDEX(生物种群!$A:$A,COUNTA(生物种群!$A:$A)),MATCH($B545,生物种群!$D$3:INDEX(生物种群!$D:$D,COUNTA(生物种群!$D:$D)),),))),"")</f>
        <v/>
      </c>
      <c r="I545" s="56" t="str">
        <f>IF(H545="","",INDEX(生物种群!$B$3:INDEX(生物种群!$B:$B,COUNTA(生物种群!$B:$B)),MATCH($H545,生物种群!$A$3:INDEX(生物种群!$A:$A,COUNTA(生物种群!$A:$A)),),))</f>
        <v/>
      </c>
      <c r="J545" s="55" t="str">
        <f>IF(H545="","",INDEX(生物种群!$I$3:INDEX(生物种群!$I:$I,COUNTA(生物种群!$I:$I)),MATCH($H545,生物种群!$A$3:INDEX(生物种群!$A:$A,COUNTA(生物种群!$A:$A)),),))</f>
        <v/>
      </c>
      <c r="K545" s="55" t="str">
        <f>IF(H545="","",INDEX(生物种群!$E$3:INDEX(生物种群!$E:$E,COUNTA(生物种群!$E:$E)),MATCH($H545,生物种群!$A$3:INDEX(生物种群!$A:$A,COUNTA(生物种群!$A:$A)),),))</f>
        <v/>
      </c>
      <c r="L545" s="46" t="str">
        <f t="shared" si="30"/>
        <v/>
      </c>
      <c r="M545" s="47" t="str">
        <f>IF(L545="","",ROUND((L545)/VLOOKUP($F545,IF({1,0},站位样品信息!$A$3:INDEX(站位样品信息!$A:$A,COUNTA(站位样品信息!$A:$A)+1),站位样品信息!$H$3:INDEX(站位样品信息!$H:$H,COUNTA(站位样品信息!$H:$H)+1)),2,0),2))</f>
        <v/>
      </c>
      <c r="O545" s="49"/>
      <c r="P545" s="53" t="str">
        <f t="shared" si="28"/>
        <v/>
      </c>
      <c r="Q545" s="53" t="str">
        <f t="shared" si="29"/>
        <v/>
      </c>
    </row>
    <row r="546" spans="1:17" ht="19.5" customHeight="1">
      <c r="A546" s="38"/>
      <c r="B546" s="38"/>
      <c r="C546" s="38"/>
      <c r="D546" s="37"/>
      <c r="E546" s="37"/>
      <c r="F546" s="37"/>
      <c r="G546" s="37" t="str">
        <f>IF(F546="","",INDEX(站位样品信息!$B$3:INDEX(站位样品信息!$B:$B,COUNTA(站位样品信息!$B:$B)+1),MATCH($F546,站位样品信息!$A$3:INDEX(站位样品信息!$A:$A,COUNTA(站位样品信息!$A:$A)+1),),))</f>
        <v/>
      </c>
      <c r="H546" s="55" t="str">
        <f>IF(OR(A546&lt;&gt;"",B546&lt;&gt;"",C546&lt;&gt;""),IF($C546&lt;&gt;0,INDEX(生物种群!$A$3:INDEX(生物种群!$A:$A,COUNTA(生物种群!$A:$A)),MATCH($C546,生物种群!$F$3:INDEX(生物种群!$F:$F,COUNTA(生物种群!$F:$F)),),),IF($A546&lt;&gt;0,INDEX(生物种群!$A$3:INDEX(生物种群!$A:$A,COUNTA(生物种群!$A:$A)),MATCH($A546,生物种群!$C$3:INDEX(生物种群!$C:$C,COUNTA(生物种群!$C:$C)),),),INDEX(生物种群!$A$3:INDEX(生物种群!$A:$A,COUNTA(生物种群!$A:$A)),MATCH($B546,生物种群!$D$3:INDEX(生物种群!$D:$D,COUNTA(生物种群!$D:$D)),),))),"")</f>
        <v/>
      </c>
      <c r="I546" s="56" t="str">
        <f>IF(H546="","",INDEX(生物种群!$B$3:INDEX(生物种群!$B:$B,COUNTA(生物种群!$B:$B)),MATCH($H546,生物种群!$A$3:INDEX(生物种群!$A:$A,COUNTA(生物种群!$A:$A)),),))</f>
        <v/>
      </c>
      <c r="J546" s="55" t="str">
        <f>IF(H546="","",INDEX(生物种群!$I$3:INDEX(生物种群!$I:$I,COUNTA(生物种群!$I:$I)),MATCH($H546,生物种群!$A$3:INDEX(生物种群!$A:$A,COUNTA(生物种群!$A:$A)),),))</f>
        <v/>
      </c>
      <c r="K546" s="55" t="str">
        <f>IF(H546="","",INDEX(生物种群!$E$3:INDEX(生物种群!$E:$E,COUNTA(生物种群!$E:$E)),MATCH($H546,生物种群!$A$3:INDEX(生物种群!$A:$A,COUNTA(生物种群!$A:$A)),),))</f>
        <v/>
      </c>
      <c r="L546" s="46" t="str">
        <f t="shared" si="30"/>
        <v/>
      </c>
      <c r="M546" s="47" t="str">
        <f>IF(L546="","",ROUND((L546)/VLOOKUP($F546,IF({1,0},站位样品信息!$A$3:INDEX(站位样品信息!$A:$A,COUNTA(站位样品信息!$A:$A)+1),站位样品信息!$H$3:INDEX(站位样品信息!$H:$H,COUNTA(站位样品信息!$H:$H)+1)),2,0),2))</f>
        <v/>
      </c>
      <c r="O546" s="49"/>
      <c r="P546" s="53" t="str">
        <f t="shared" si="28"/>
        <v/>
      </c>
      <c r="Q546" s="53" t="str">
        <f t="shared" si="29"/>
        <v/>
      </c>
    </row>
    <row r="547" spans="1:17" ht="19.5" customHeight="1">
      <c r="A547" s="38"/>
      <c r="B547" s="38"/>
      <c r="C547" s="38"/>
      <c r="D547" s="37"/>
      <c r="E547" s="37"/>
      <c r="F547" s="37"/>
      <c r="G547" s="37" t="str">
        <f>IF(F547="","",INDEX(站位样品信息!$B$3:INDEX(站位样品信息!$B:$B,COUNTA(站位样品信息!$B:$B)+1),MATCH($F547,站位样品信息!$A$3:INDEX(站位样品信息!$A:$A,COUNTA(站位样品信息!$A:$A)+1),),))</f>
        <v/>
      </c>
      <c r="H547" s="55" t="str">
        <f>IF(OR(A547&lt;&gt;"",B547&lt;&gt;"",C547&lt;&gt;""),IF($C547&lt;&gt;0,INDEX(生物种群!$A$3:INDEX(生物种群!$A:$A,COUNTA(生物种群!$A:$A)),MATCH($C547,生物种群!$F$3:INDEX(生物种群!$F:$F,COUNTA(生物种群!$F:$F)),),),IF($A547&lt;&gt;0,INDEX(生物种群!$A$3:INDEX(生物种群!$A:$A,COUNTA(生物种群!$A:$A)),MATCH($A547,生物种群!$C$3:INDEX(生物种群!$C:$C,COUNTA(生物种群!$C:$C)),),),INDEX(生物种群!$A$3:INDEX(生物种群!$A:$A,COUNTA(生物种群!$A:$A)),MATCH($B547,生物种群!$D$3:INDEX(生物种群!$D:$D,COUNTA(生物种群!$D:$D)),),))),"")</f>
        <v/>
      </c>
      <c r="I547" s="56" t="str">
        <f>IF(H547="","",INDEX(生物种群!$B$3:INDEX(生物种群!$B:$B,COUNTA(生物种群!$B:$B)),MATCH($H547,生物种群!$A$3:INDEX(生物种群!$A:$A,COUNTA(生物种群!$A:$A)),),))</f>
        <v/>
      </c>
      <c r="J547" s="55" t="str">
        <f>IF(H547="","",INDEX(生物种群!$I$3:INDEX(生物种群!$I:$I,COUNTA(生物种群!$I:$I)),MATCH($H547,生物种群!$A$3:INDEX(生物种群!$A:$A,COUNTA(生物种群!$A:$A)),),))</f>
        <v/>
      </c>
      <c r="K547" s="55" t="str">
        <f>IF(H547="","",INDEX(生物种群!$E$3:INDEX(生物种群!$E:$E,COUNTA(生物种群!$E:$E)),MATCH($H547,生物种群!$A$3:INDEX(生物种群!$A:$A,COUNTA(生物种群!$A:$A)),),))</f>
        <v/>
      </c>
      <c r="L547" s="46" t="str">
        <f t="shared" si="30"/>
        <v/>
      </c>
      <c r="M547" s="47" t="str">
        <f>IF(L547="","",ROUND((L547)/VLOOKUP($F547,IF({1,0},站位样品信息!$A$3:INDEX(站位样品信息!$A:$A,COUNTA(站位样品信息!$A:$A)+1),站位样品信息!$H$3:INDEX(站位样品信息!$H:$H,COUNTA(站位样品信息!$H:$H)+1)),2,0),2))</f>
        <v/>
      </c>
      <c r="O547" s="49"/>
      <c r="P547" s="53" t="str">
        <f t="shared" si="28"/>
        <v/>
      </c>
      <c r="Q547" s="53" t="str">
        <f t="shared" si="29"/>
        <v/>
      </c>
    </row>
    <row r="548" spans="1:17" ht="19.5" customHeight="1">
      <c r="A548" s="38"/>
      <c r="B548" s="38"/>
      <c r="C548" s="38"/>
      <c r="D548" s="37"/>
      <c r="E548" s="37"/>
      <c r="F548" s="37"/>
      <c r="G548" s="37" t="str">
        <f>IF(F548="","",INDEX(站位样品信息!$B$3:INDEX(站位样品信息!$B:$B,COUNTA(站位样品信息!$B:$B)+1),MATCH($F548,站位样品信息!$A$3:INDEX(站位样品信息!$A:$A,COUNTA(站位样品信息!$A:$A)+1),),))</f>
        <v/>
      </c>
      <c r="H548" s="55" t="str">
        <f>IF(OR(A548&lt;&gt;"",B548&lt;&gt;"",C548&lt;&gt;""),IF($C548&lt;&gt;0,INDEX(生物种群!$A$3:INDEX(生物种群!$A:$A,COUNTA(生物种群!$A:$A)),MATCH($C548,生物种群!$F$3:INDEX(生物种群!$F:$F,COUNTA(生物种群!$F:$F)),),),IF($A548&lt;&gt;0,INDEX(生物种群!$A$3:INDEX(生物种群!$A:$A,COUNTA(生物种群!$A:$A)),MATCH($A548,生物种群!$C$3:INDEX(生物种群!$C:$C,COUNTA(生物种群!$C:$C)),),),INDEX(生物种群!$A$3:INDEX(生物种群!$A:$A,COUNTA(生物种群!$A:$A)),MATCH($B548,生物种群!$D$3:INDEX(生物种群!$D:$D,COUNTA(生物种群!$D:$D)),),))),"")</f>
        <v/>
      </c>
      <c r="I548" s="56" t="str">
        <f>IF(H548="","",INDEX(生物种群!$B$3:INDEX(生物种群!$B:$B,COUNTA(生物种群!$B:$B)),MATCH($H548,生物种群!$A$3:INDEX(生物种群!$A:$A,COUNTA(生物种群!$A:$A)),),))</f>
        <v/>
      </c>
      <c r="J548" s="55" t="str">
        <f>IF(H548="","",INDEX(生物种群!$I$3:INDEX(生物种群!$I:$I,COUNTA(生物种群!$I:$I)),MATCH($H548,生物种群!$A$3:INDEX(生物种群!$A:$A,COUNTA(生物种群!$A:$A)),),))</f>
        <v/>
      </c>
      <c r="K548" s="55" t="str">
        <f>IF(H548="","",INDEX(生物种群!$E$3:INDEX(生物种群!$E:$E,COUNTA(生物种群!$E:$E)),MATCH($H548,生物种群!$A$3:INDEX(生物种群!$A:$A,COUNTA(生物种群!$A:$A)),),))</f>
        <v/>
      </c>
      <c r="L548" s="46" t="str">
        <f t="shared" si="30"/>
        <v/>
      </c>
      <c r="M548" s="47" t="str">
        <f>IF(L548="","",ROUND((L548)/VLOOKUP($F548,IF({1,0},站位样品信息!$A$3:INDEX(站位样品信息!$A:$A,COUNTA(站位样品信息!$A:$A)+1),站位样品信息!$H$3:INDEX(站位样品信息!$H:$H,COUNTA(站位样品信息!$H:$H)+1)),2,0),2))</f>
        <v/>
      </c>
      <c r="O548" s="49"/>
      <c r="P548" s="53" t="str">
        <f t="shared" si="28"/>
        <v/>
      </c>
      <c r="Q548" s="53" t="str">
        <f t="shared" si="29"/>
        <v/>
      </c>
    </row>
    <row r="549" spans="1:17" ht="19.5" customHeight="1">
      <c r="A549" s="38"/>
      <c r="B549" s="38"/>
      <c r="C549" s="38"/>
      <c r="D549" s="37"/>
      <c r="E549" s="37"/>
      <c r="F549" s="37"/>
      <c r="G549" s="37" t="str">
        <f>IF(F549="","",INDEX(站位样品信息!$B$3:INDEX(站位样品信息!$B:$B,COUNTA(站位样品信息!$B:$B)+1),MATCH($F549,站位样品信息!$A$3:INDEX(站位样品信息!$A:$A,COUNTA(站位样品信息!$A:$A)+1),),))</f>
        <v/>
      </c>
      <c r="H549" s="55" t="str">
        <f>IF(OR(A549&lt;&gt;"",B549&lt;&gt;"",C549&lt;&gt;""),IF($C549&lt;&gt;0,INDEX(生物种群!$A$3:INDEX(生物种群!$A:$A,COUNTA(生物种群!$A:$A)),MATCH($C549,生物种群!$F$3:INDEX(生物种群!$F:$F,COUNTA(生物种群!$F:$F)),),),IF($A549&lt;&gt;0,INDEX(生物种群!$A$3:INDEX(生物种群!$A:$A,COUNTA(生物种群!$A:$A)),MATCH($A549,生物种群!$C$3:INDEX(生物种群!$C:$C,COUNTA(生物种群!$C:$C)),),),INDEX(生物种群!$A$3:INDEX(生物种群!$A:$A,COUNTA(生物种群!$A:$A)),MATCH($B549,生物种群!$D$3:INDEX(生物种群!$D:$D,COUNTA(生物种群!$D:$D)),),))),"")</f>
        <v/>
      </c>
      <c r="I549" s="56" t="str">
        <f>IF(H549="","",INDEX(生物种群!$B$3:INDEX(生物种群!$B:$B,COUNTA(生物种群!$B:$B)),MATCH($H549,生物种群!$A$3:INDEX(生物种群!$A:$A,COUNTA(生物种群!$A:$A)),),))</f>
        <v/>
      </c>
      <c r="J549" s="55" t="str">
        <f>IF(H549="","",INDEX(生物种群!$I$3:INDEX(生物种群!$I:$I,COUNTA(生物种群!$I:$I)),MATCH($H549,生物种群!$A$3:INDEX(生物种群!$A:$A,COUNTA(生物种群!$A:$A)),),))</f>
        <v/>
      </c>
      <c r="K549" s="55" t="str">
        <f>IF(H549="","",INDEX(生物种群!$E$3:INDEX(生物种群!$E:$E,COUNTA(生物种群!$E:$E)),MATCH($H549,生物种群!$A$3:INDEX(生物种群!$A:$A,COUNTA(生物种群!$A:$A)),),))</f>
        <v/>
      </c>
      <c r="L549" s="46" t="str">
        <f t="shared" si="30"/>
        <v/>
      </c>
      <c r="M549" s="47" t="str">
        <f>IF(L549="","",ROUND((L549)/VLOOKUP($F549,IF({1,0},站位样品信息!$A$3:INDEX(站位样品信息!$A:$A,COUNTA(站位样品信息!$A:$A)+1),站位样品信息!$H$3:INDEX(站位样品信息!$H:$H,COUNTA(站位样品信息!$H:$H)+1)),2,0),2))</f>
        <v/>
      </c>
      <c r="O549" s="49"/>
      <c r="P549" s="53" t="str">
        <f t="shared" si="28"/>
        <v/>
      </c>
      <c r="Q549" s="53" t="str">
        <f t="shared" si="29"/>
        <v/>
      </c>
    </row>
    <row r="550" spans="1:17" ht="19.5" customHeight="1">
      <c r="A550" s="38"/>
      <c r="B550" s="38"/>
      <c r="C550" s="38"/>
      <c r="D550" s="37"/>
      <c r="E550" s="37"/>
      <c r="F550" s="37"/>
      <c r="G550" s="37" t="str">
        <f>IF(F550="","",INDEX(站位样品信息!$B$3:INDEX(站位样品信息!$B:$B,COUNTA(站位样品信息!$B:$B)+1),MATCH($F550,站位样品信息!$A$3:INDEX(站位样品信息!$A:$A,COUNTA(站位样品信息!$A:$A)+1),),))</f>
        <v/>
      </c>
      <c r="H550" s="55" t="str">
        <f>IF(OR(A550&lt;&gt;"",B550&lt;&gt;"",C550&lt;&gt;""),IF($C550&lt;&gt;0,INDEX(生物种群!$A$3:INDEX(生物种群!$A:$A,COUNTA(生物种群!$A:$A)),MATCH($C550,生物种群!$F$3:INDEX(生物种群!$F:$F,COUNTA(生物种群!$F:$F)),),),IF($A550&lt;&gt;0,INDEX(生物种群!$A$3:INDEX(生物种群!$A:$A,COUNTA(生物种群!$A:$A)),MATCH($A550,生物种群!$C$3:INDEX(生物种群!$C:$C,COUNTA(生物种群!$C:$C)),),),INDEX(生物种群!$A$3:INDEX(生物种群!$A:$A,COUNTA(生物种群!$A:$A)),MATCH($B550,生物种群!$D$3:INDEX(生物种群!$D:$D,COUNTA(生物种群!$D:$D)),),))),"")</f>
        <v/>
      </c>
      <c r="I550" s="56" t="str">
        <f>IF(H550="","",INDEX(生物种群!$B$3:INDEX(生物种群!$B:$B,COUNTA(生物种群!$B:$B)),MATCH($H550,生物种群!$A$3:INDEX(生物种群!$A:$A,COUNTA(生物种群!$A:$A)),),))</f>
        <v/>
      </c>
      <c r="J550" s="55" t="str">
        <f>IF(H550="","",INDEX(生物种群!$I$3:INDEX(生物种群!$I:$I,COUNTA(生物种群!$I:$I)),MATCH($H550,生物种群!$A$3:INDEX(生物种群!$A:$A,COUNTA(生物种群!$A:$A)),),))</f>
        <v/>
      </c>
      <c r="K550" s="55" t="str">
        <f>IF(H550="","",INDEX(生物种群!$E$3:INDEX(生物种群!$E:$E,COUNTA(生物种群!$E:$E)),MATCH($H550,生物种群!$A$3:INDEX(生物种群!$A:$A,COUNTA(生物种群!$A:$A)),),))</f>
        <v/>
      </c>
      <c r="L550" s="46" t="str">
        <f t="shared" si="30"/>
        <v/>
      </c>
      <c r="M550" s="47" t="str">
        <f>IF(L550="","",ROUND((L550)/VLOOKUP($F550,IF({1,0},站位样品信息!$A$3:INDEX(站位样品信息!$A:$A,COUNTA(站位样品信息!$A:$A)+1),站位样品信息!$H$3:INDEX(站位样品信息!$H:$H,COUNTA(站位样品信息!$H:$H)+1)),2,0),2))</f>
        <v/>
      </c>
      <c r="O550" s="49"/>
      <c r="P550" s="53" t="str">
        <f t="shared" si="28"/>
        <v/>
      </c>
      <c r="Q550" s="53" t="str">
        <f t="shared" si="29"/>
        <v/>
      </c>
    </row>
    <row r="551" spans="1:17" ht="19.5" customHeight="1">
      <c r="A551" s="38"/>
      <c r="B551" s="38"/>
      <c r="C551" s="38"/>
      <c r="D551" s="37"/>
      <c r="E551" s="37"/>
      <c r="F551" s="37"/>
      <c r="G551" s="37" t="str">
        <f>IF(F551="","",INDEX(站位样品信息!$B$3:INDEX(站位样品信息!$B:$B,COUNTA(站位样品信息!$B:$B)+1),MATCH($F551,站位样品信息!$A$3:INDEX(站位样品信息!$A:$A,COUNTA(站位样品信息!$A:$A)+1),),))</f>
        <v/>
      </c>
      <c r="H551" s="55" t="str">
        <f>IF(OR(A551&lt;&gt;"",B551&lt;&gt;"",C551&lt;&gt;""),IF($C551&lt;&gt;0,INDEX(生物种群!$A$3:INDEX(生物种群!$A:$A,COUNTA(生物种群!$A:$A)),MATCH($C551,生物种群!$F$3:INDEX(生物种群!$F:$F,COUNTA(生物种群!$F:$F)),),),IF($A551&lt;&gt;0,INDEX(生物种群!$A$3:INDEX(生物种群!$A:$A,COUNTA(生物种群!$A:$A)),MATCH($A551,生物种群!$C$3:INDEX(生物种群!$C:$C,COUNTA(生物种群!$C:$C)),),),INDEX(生物种群!$A$3:INDEX(生物种群!$A:$A,COUNTA(生物种群!$A:$A)),MATCH($B551,生物种群!$D$3:INDEX(生物种群!$D:$D,COUNTA(生物种群!$D:$D)),),))),"")</f>
        <v/>
      </c>
      <c r="I551" s="56" t="str">
        <f>IF(H551="","",INDEX(生物种群!$B$3:INDEX(生物种群!$B:$B,COUNTA(生物种群!$B:$B)),MATCH($H551,生物种群!$A$3:INDEX(生物种群!$A:$A,COUNTA(生物种群!$A:$A)),),))</f>
        <v/>
      </c>
      <c r="J551" s="55" t="str">
        <f>IF(H551="","",INDEX(生物种群!$I$3:INDEX(生物种群!$I:$I,COUNTA(生物种群!$I:$I)),MATCH($H551,生物种群!$A$3:INDEX(生物种群!$A:$A,COUNTA(生物种群!$A:$A)),),))</f>
        <v/>
      </c>
      <c r="K551" s="55" t="str">
        <f>IF(H551="","",INDEX(生物种群!$E$3:INDEX(生物种群!$E:$E,COUNTA(生物种群!$E:$E)),MATCH($H551,生物种群!$A$3:INDEX(生物种群!$A:$A,COUNTA(生物种群!$A:$A)),),))</f>
        <v/>
      </c>
      <c r="L551" s="46" t="str">
        <f t="shared" si="30"/>
        <v/>
      </c>
      <c r="M551" s="47" t="str">
        <f>IF(L551="","",ROUND((L551)/VLOOKUP($F551,IF({1,0},站位样品信息!$A$3:INDEX(站位样品信息!$A:$A,COUNTA(站位样品信息!$A:$A)+1),站位样品信息!$H$3:INDEX(站位样品信息!$H:$H,COUNTA(站位样品信息!$H:$H)+1)),2,0),2))</f>
        <v/>
      </c>
      <c r="O551" s="49"/>
      <c r="P551" s="53" t="str">
        <f t="shared" si="28"/>
        <v/>
      </c>
      <c r="Q551" s="53" t="str">
        <f t="shared" si="29"/>
        <v/>
      </c>
    </row>
    <row r="552" spans="1:17" ht="19.5" customHeight="1">
      <c r="A552" s="38"/>
      <c r="B552" s="38"/>
      <c r="C552" s="38"/>
      <c r="D552" s="37"/>
      <c r="E552" s="37"/>
      <c r="F552" s="37"/>
      <c r="G552" s="37" t="str">
        <f>IF(F552="","",INDEX(站位样品信息!$B$3:INDEX(站位样品信息!$B:$B,COUNTA(站位样品信息!$B:$B)+1),MATCH($F552,站位样品信息!$A$3:INDEX(站位样品信息!$A:$A,COUNTA(站位样品信息!$A:$A)+1),),))</f>
        <v/>
      </c>
      <c r="H552" s="55" t="str">
        <f>IF(OR(A552&lt;&gt;"",B552&lt;&gt;"",C552&lt;&gt;""),IF($C552&lt;&gt;0,INDEX(生物种群!$A$3:INDEX(生物种群!$A:$A,COUNTA(生物种群!$A:$A)),MATCH($C552,生物种群!$F$3:INDEX(生物种群!$F:$F,COUNTA(生物种群!$F:$F)),),),IF($A552&lt;&gt;0,INDEX(生物种群!$A$3:INDEX(生物种群!$A:$A,COUNTA(生物种群!$A:$A)),MATCH($A552,生物种群!$C$3:INDEX(生物种群!$C:$C,COUNTA(生物种群!$C:$C)),),),INDEX(生物种群!$A$3:INDEX(生物种群!$A:$A,COUNTA(生物种群!$A:$A)),MATCH($B552,生物种群!$D$3:INDEX(生物种群!$D:$D,COUNTA(生物种群!$D:$D)),),))),"")</f>
        <v/>
      </c>
      <c r="I552" s="56" t="str">
        <f>IF(H552="","",INDEX(生物种群!$B$3:INDEX(生物种群!$B:$B,COUNTA(生物种群!$B:$B)),MATCH($H552,生物种群!$A$3:INDEX(生物种群!$A:$A,COUNTA(生物种群!$A:$A)),),))</f>
        <v/>
      </c>
      <c r="J552" s="55" t="str">
        <f>IF(H552="","",INDEX(生物种群!$I$3:INDEX(生物种群!$I:$I,COUNTA(生物种群!$I:$I)),MATCH($H552,生物种群!$A$3:INDEX(生物种群!$A:$A,COUNTA(生物种群!$A:$A)),),))</f>
        <v/>
      </c>
      <c r="K552" s="55" t="str">
        <f>IF(H552="","",INDEX(生物种群!$E$3:INDEX(生物种群!$E:$E,COUNTA(生物种群!$E:$E)),MATCH($H552,生物种群!$A$3:INDEX(生物种群!$A:$A,COUNTA(生物种群!$A:$A)),),))</f>
        <v/>
      </c>
      <c r="L552" s="46" t="str">
        <f t="shared" si="30"/>
        <v/>
      </c>
      <c r="M552" s="47" t="str">
        <f>IF(L552="","",ROUND((L552)/VLOOKUP($F552,IF({1,0},站位样品信息!$A$3:INDEX(站位样品信息!$A:$A,COUNTA(站位样品信息!$A:$A)+1),站位样品信息!$H$3:INDEX(站位样品信息!$H:$H,COUNTA(站位样品信息!$H:$H)+1)),2,0),2))</f>
        <v/>
      </c>
      <c r="O552" s="49"/>
      <c r="P552" s="53" t="str">
        <f t="shared" si="28"/>
        <v/>
      </c>
      <c r="Q552" s="53" t="str">
        <f t="shared" si="29"/>
        <v/>
      </c>
    </row>
    <row r="553" spans="1:17" ht="19.5" customHeight="1">
      <c r="A553" s="38"/>
      <c r="B553" s="38"/>
      <c r="C553" s="38"/>
      <c r="D553" s="37"/>
      <c r="E553" s="37"/>
      <c r="F553" s="37"/>
      <c r="G553" s="37" t="str">
        <f>IF(F553="","",INDEX(站位样品信息!$B$3:INDEX(站位样品信息!$B:$B,COUNTA(站位样品信息!$B:$B)+1),MATCH($F553,站位样品信息!$A$3:INDEX(站位样品信息!$A:$A,COUNTA(站位样品信息!$A:$A)+1),),))</f>
        <v/>
      </c>
      <c r="H553" s="55" t="str">
        <f>IF(OR(A553&lt;&gt;"",B553&lt;&gt;"",C553&lt;&gt;""),IF($C553&lt;&gt;0,INDEX(生物种群!$A$3:INDEX(生物种群!$A:$A,COUNTA(生物种群!$A:$A)),MATCH($C553,生物种群!$F$3:INDEX(生物种群!$F:$F,COUNTA(生物种群!$F:$F)),),),IF($A553&lt;&gt;0,INDEX(生物种群!$A$3:INDEX(生物种群!$A:$A,COUNTA(生物种群!$A:$A)),MATCH($A553,生物种群!$C$3:INDEX(生物种群!$C:$C,COUNTA(生物种群!$C:$C)),),),INDEX(生物种群!$A$3:INDEX(生物种群!$A:$A,COUNTA(生物种群!$A:$A)),MATCH($B553,生物种群!$D$3:INDEX(生物种群!$D:$D,COUNTA(生物种群!$D:$D)),),))),"")</f>
        <v/>
      </c>
      <c r="I553" s="56" t="str">
        <f>IF(H553="","",INDEX(生物种群!$B$3:INDEX(生物种群!$B:$B,COUNTA(生物种群!$B:$B)),MATCH($H553,生物种群!$A$3:INDEX(生物种群!$A:$A,COUNTA(生物种群!$A:$A)),),))</f>
        <v/>
      </c>
      <c r="J553" s="55" t="str">
        <f>IF(H553="","",INDEX(生物种群!$I$3:INDEX(生物种群!$I:$I,COUNTA(生物种群!$I:$I)),MATCH($H553,生物种群!$A$3:INDEX(生物种群!$A:$A,COUNTA(生物种群!$A:$A)),),))</f>
        <v/>
      </c>
      <c r="K553" s="55" t="str">
        <f>IF(H553="","",INDEX(生物种群!$E$3:INDEX(生物种群!$E:$E,COUNTA(生物种群!$E:$E)),MATCH($H553,生物种群!$A$3:INDEX(生物种群!$A:$A,COUNTA(生物种群!$A:$A)),),))</f>
        <v/>
      </c>
      <c r="L553" s="46" t="str">
        <f t="shared" si="30"/>
        <v/>
      </c>
      <c r="M553" s="47" t="str">
        <f>IF(L553="","",ROUND((L553)/VLOOKUP($F553,IF({1,0},站位样品信息!$A$3:INDEX(站位样品信息!$A:$A,COUNTA(站位样品信息!$A:$A)+1),站位样品信息!$H$3:INDEX(站位样品信息!$H:$H,COUNTA(站位样品信息!$H:$H)+1)),2,0),2))</f>
        <v/>
      </c>
      <c r="O553" s="49"/>
      <c r="P553" s="53" t="str">
        <f t="shared" si="28"/>
        <v/>
      </c>
      <c r="Q553" s="53" t="str">
        <f t="shared" si="29"/>
        <v/>
      </c>
    </row>
    <row r="554" spans="1:17" ht="19.5" customHeight="1">
      <c r="A554" s="38"/>
      <c r="B554" s="38"/>
      <c r="C554" s="38"/>
      <c r="D554" s="37"/>
      <c r="E554" s="37"/>
      <c r="F554" s="37"/>
      <c r="G554" s="37" t="str">
        <f>IF(F554="","",INDEX(站位样品信息!$B$3:INDEX(站位样品信息!$B:$B,COUNTA(站位样品信息!$B:$B)+1),MATCH($F554,站位样品信息!$A$3:INDEX(站位样品信息!$A:$A,COUNTA(站位样品信息!$A:$A)+1),),))</f>
        <v/>
      </c>
      <c r="H554" s="55" t="str">
        <f>IF(OR(A554&lt;&gt;"",B554&lt;&gt;"",C554&lt;&gt;""),IF($C554&lt;&gt;0,INDEX(生物种群!$A$3:INDEX(生物种群!$A:$A,COUNTA(生物种群!$A:$A)),MATCH($C554,生物种群!$F$3:INDEX(生物种群!$F:$F,COUNTA(生物种群!$F:$F)),),),IF($A554&lt;&gt;0,INDEX(生物种群!$A$3:INDEX(生物种群!$A:$A,COUNTA(生物种群!$A:$A)),MATCH($A554,生物种群!$C$3:INDEX(生物种群!$C:$C,COUNTA(生物种群!$C:$C)),),),INDEX(生物种群!$A$3:INDEX(生物种群!$A:$A,COUNTA(生物种群!$A:$A)),MATCH($B554,生物种群!$D$3:INDEX(生物种群!$D:$D,COUNTA(生物种群!$D:$D)),),))),"")</f>
        <v/>
      </c>
      <c r="I554" s="56" t="str">
        <f>IF(H554="","",INDEX(生物种群!$B$3:INDEX(生物种群!$B:$B,COUNTA(生物种群!$B:$B)),MATCH($H554,生物种群!$A$3:INDEX(生物种群!$A:$A,COUNTA(生物种群!$A:$A)),),))</f>
        <v/>
      </c>
      <c r="J554" s="55" t="str">
        <f>IF(H554="","",INDEX(生物种群!$I$3:INDEX(生物种群!$I:$I,COUNTA(生物种群!$I:$I)),MATCH($H554,生物种群!$A$3:INDEX(生物种群!$A:$A,COUNTA(生物种群!$A:$A)),),))</f>
        <v/>
      </c>
      <c r="K554" s="55" t="str">
        <f>IF(H554="","",INDEX(生物种群!$E$3:INDEX(生物种群!$E:$E,COUNTA(生物种群!$E:$E)),MATCH($H554,生物种群!$A$3:INDEX(生物种群!$A:$A,COUNTA(生物种群!$A:$A)),),))</f>
        <v/>
      </c>
      <c r="L554" s="46" t="str">
        <f t="shared" si="30"/>
        <v/>
      </c>
      <c r="M554" s="47" t="str">
        <f>IF(L554="","",ROUND((L554)/VLOOKUP($F554,IF({1,0},站位样品信息!$A$3:INDEX(站位样品信息!$A:$A,COUNTA(站位样品信息!$A:$A)+1),站位样品信息!$H$3:INDEX(站位样品信息!$H:$H,COUNTA(站位样品信息!$H:$H)+1)),2,0),2))</f>
        <v/>
      </c>
      <c r="O554" s="49"/>
      <c r="P554" s="53" t="str">
        <f t="shared" si="28"/>
        <v/>
      </c>
      <c r="Q554" s="53" t="str">
        <f t="shared" si="29"/>
        <v/>
      </c>
    </row>
    <row r="555" spans="1:17" ht="19.5" customHeight="1">
      <c r="A555" s="38"/>
      <c r="B555" s="38"/>
      <c r="C555" s="38"/>
      <c r="D555" s="37"/>
      <c r="E555" s="37"/>
      <c r="F555" s="37"/>
      <c r="G555" s="37" t="str">
        <f>IF(F555="","",INDEX(站位样品信息!$B$3:INDEX(站位样品信息!$B:$B,COUNTA(站位样品信息!$B:$B)+1),MATCH($F555,站位样品信息!$A$3:INDEX(站位样品信息!$A:$A,COUNTA(站位样品信息!$A:$A)+1),),))</f>
        <v/>
      </c>
      <c r="H555" s="55" t="str">
        <f>IF(OR(A555&lt;&gt;"",B555&lt;&gt;"",C555&lt;&gt;""),IF($C555&lt;&gt;0,INDEX(生物种群!$A$3:INDEX(生物种群!$A:$A,COUNTA(生物种群!$A:$A)),MATCH($C555,生物种群!$F$3:INDEX(生物种群!$F:$F,COUNTA(生物种群!$F:$F)),),),IF($A555&lt;&gt;0,INDEX(生物种群!$A$3:INDEX(生物种群!$A:$A,COUNTA(生物种群!$A:$A)),MATCH($A555,生物种群!$C$3:INDEX(生物种群!$C:$C,COUNTA(生物种群!$C:$C)),),),INDEX(生物种群!$A$3:INDEX(生物种群!$A:$A,COUNTA(生物种群!$A:$A)),MATCH($B555,生物种群!$D$3:INDEX(生物种群!$D:$D,COUNTA(生物种群!$D:$D)),),))),"")</f>
        <v/>
      </c>
      <c r="I555" s="56" t="str">
        <f>IF(H555="","",INDEX(生物种群!$B$3:INDEX(生物种群!$B:$B,COUNTA(生物种群!$B:$B)),MATCH($H555,生物种群!$A$3:INDEX(生物种群!$A:$A,COUNTA(生物种群!$A:$A)),),))</f>
        <v/>
      </c>
      <c r="J555" s="55" t="str">
        <f>IF(H555="","",INDEX(生物种群!$I$3:INDEX(生物种群!$I:$I,COUNTA(生物种群!$I:$I)),MATCH($H555,生物种群!$A$3:INDEX(生物种群!$A:$A,COUNTA(生物种群!$A:$A)),),))</f>
        <v/>
      </c>
      <c r="K555" s="55" t="str">
        <f>IF(H555="","",INDEX(生物种群!$E$3:INDEX(生物种群!$E:$E,COUNTA(生物种群!$E:$E)),MATCH($H555,生物种群!$A$3:INDEX(生物种群!$A:$A,COUNTA(生物种群!$A:$A)),),))</f>
        <v/>
      </c>
      <c r="L555" s="46" t="str">
        <f t="shared" si="30"/>
        <v/>
      </c>
      <c r="M555" s="47" t="str">
        <f>IF(L555="","",ROUND((L555)/VLOOKUP($F555,IF({1,0},站位样品信息!$A$3:INDEX(站位样品信息!$A:$A,COUNTA(站位样品信息!$A:$A)+1),站位样品信息!$H$3:INDEX(站位样品信息!$H:$H,COUNTA(站位样品信息!$H:$H)+1)),2,0),2))</f>
        <v/>
      </c>
      <c r="O555" s="49"/>
      <c r="P555" s="53" t="str">
        <f t="shared" si="28"/>
        <v/>
      </c>
      <c r="Q555" s="53" t="str">
        <f t="shared" si="29"/>
        <v/>
      </c>
    </row>
    <row r="556" spans="1:17" ht="19.5" customHeight="1">
      <c r="A556" s="38"/>
      <c r="B556" s="38"/>
      <c r="C556" s="38"/>
      <c r="D556" s="37"/>
      <c r="E556" s="37"/>
      <c r="F556" s="37"/>
      <c r="G556" s="37" t="str">
        <f>IF(F556="","",INDEX(站位样品信息!$B$3:INDEX(站位样品信息!$B:$B,COUNTA(站位样品信息!$B:$B)+1),MATCH($F556,站位样品信息!$A$3:INDEX(站位样品信息!$A:$A,COUNTA(站位样品信息!$A:$A)+1),),))</f>
        <v/>
      </c>
      <c r="H556" s="55" t="str">
        <f>IF(OR(A556&lt;&gt;"",B556&lt;&gt;"",C556&lt;&gt;""),IF($C556&lt;&gt;0,INDEX(生物种群!$A$3:INDEX(生物种群!$A:$A,COUNTA(生物种群!$A:$A)),MATCH($C556,生物种群!$F$3:INDEX(生物种群!$F:$F,COUNTA(生物种群!$F:$F)),),),IF($A556&lt;&gt;0,INDEX(生物种群!$A$3:INDEX(生物种群!$A:$A,COUNTA(生物种群!$A:$A)),MATCH($A556,生物种群!$C$3:INDEX(生物种群!$C:$C,COUNTA(生物种群!$C:$C)),),),INDEX(生物种群!$A$3:INDEX(生物种群!$A:$A,COUNTA(生物种群!$A:$A)),MATCH($B556,生物种群!$D$3:INDEX(生物种群!$D:$D,COUNTA(生物种群!$D:$D)),),))),"")</f>
        <v/>
      </c>
      <c r="I556" s="56" t="str">
        <f>IF(H556="","",INDEX(生物种群!$B$3:INDEX(生物种群!$B:$B,COUNTA(生物种群!$B:$B)),MATCH($H556,生物种群!$A$3:INDEX(生物种群!$A:$A,COUNTA(生物种群!$A:$A)),),))</f>
        <v/>
      </c>
      <c r="J556" s="55" t="str">
        <f>IF(H556="","",INDEX(生物种群!$I$3:INDEX(生物种群!$I:$I,COUNTA(生物种群!$I:$I)),MATCH($H556,生物种群!$A$3:INDEX(生物种群!$A:$A,COUNTA(生物种群!$A:$A)),),))</f>
        <v/>
      </c>
      <c r="K556" s="55" t="str">
        <f>IF(H556="","",INDEX(生物种群!$E$3:INDEX(生物种群!$E:$E,COUNTA(生物种群!$E:$E)),MATCH($H556,生物种群!$A$3:INDEX(生物种群!$A:$A,COUNTA(生物种群!$A:$A)),),))</f>
        <v/>
      </c>
      <c r="L556" s="46" t="str">
        <f t="shared" si="30"/>
        <v/>
      </c>
      <c r="M556" s="47" t="str">
        <f>IF(L556="","",ROUND((L556)/VLOOKUP($F556,IF({1,0},站位样品信息!$A$3:INDEX(站位样品信息!$A:$A,COUNTA(站位样品信息!$A:$A)+1),站位样品信息!$H$3:INDEX(站位样品信息!$H:$H,COUNTA(站位样品信息!$H:$H)+1)),2,0),2))</f>
        <v/>
      </c>
      <c r="O556" s="49"/>
      <c r="P556" s="53" t="str">
        <f t="shared" si="28"/>
        <v/>
      </c>
      <c r="Q556" s="53" t="str">
        <f t="shared" si="29"/>
        <v/>
      </c>
    </row>
    <row r="557" spans="1:17" ht="19.5" customHeight="1">
      <c r="A557" s="38"/>
      <c r="B557" s="38"/>
      <c r="C557" s="38"/>
      <c r="D557" s="37"/>
      <c r="E557" s="37"/>
      <c r="F557" s="37"/>
      <c r="G557" s="37" t="str">
        <f>IF(F557="","",INDEX(站位样品信息!$B$3:INDEX(站位样品信息!$B:$B,COUNTA(站位样品信息!$B:$B)+1),MATCH($F557,站位样品信息!$A$3:INDEX(站位样品信息!$A:$A,COUNTA(站位样品信息!$A:$A)+1),),))</f>
        <v/>
      </c>
      <c r="H557" s="55" t="str">
        <f>IF(OR(A557&lt;&gt;"",B557&lt;&gt;"",C557&lt;&gt;""),IF($C557&lt;&gt;0,INDEX(生物种群!$A$3:INDEX(生物种群!$A:$A,COUNTA(生物种群!$A:$A)),MATCH($C557,生物种群!$F$3:INDEX(生物种群!$F:$F,COUNTA(生物种群!$F:$F)),),),IF($A557&lt;&gt;0,INDEX(生物种群!$A$3:INDEX(生物种群!$A:$A,COUNTA(生物种群!$A:$A)),MATCH($A557,生物种群!$C$3:INDEX(生物种群!$C:$C,COUNTA(生物种群!$C:$C)),),),INDEX(生物种群!$A$3:INDEX(生物种群!$A:$A,COUNTA(生物种群!$A:$A)),MATCH($B557,生物种群!$D$3:INDEX(生物种群!$D:$D,COUNTA(生物种群!$D:$D)),),))),"")</f>
        <v/>
      </c>
      <c r="I557" s="56" t="str">
        <f>IF(H557="","",INDEX(生物种群!$B$3:INDEX(生物种群!$B:$B,COUNTA(生物种群!$B:$B)),MATCH($H557,生物种群!$A$3:INDEX(生物种群!$A:$A,COUNTA(生物种群!$A:$A)),),))</f>
        <v/>
      </c>
      <c r="J557" s="55" t="str">
        <f>IF(H557="","",INDEX(生物种群!$I$3:INDEX(生物种群!$I:$I,COUNTA(生物种群!$I:$I)),MATCH($H557,生物种群!$A$3:INDEX(生物种群!$A:$A,COUNTA(生物种群!$A:$A)),),))</f>
        <v/>
      </c>
      <c r="K557" s="55" t="str">
        <f>IF(H557="","",INDEX(生物种群!$E$3:INDEX(生物种群!$E:$E,COUNTA(生物种群!$E:$E)),MATCH($H557,生物种群!$A$3:INDEX(生物种群!$A:$A,COUNTA(生物种群!$A:$A)),),))</f>
        <v/>
      </c>
      <c r="L557" s="46" t="str">
        <f t="shared" si="30"/>
        <v/>
      </c>
      <c r="M557" s="47" t="str">
        <f>IF(L557="","",ROUND((L557)/VLOOKUP($F557,IF({1,0},站位样品信息!$A$3:INDEX(站位样品信息!$A:$A,COUNTA(站位样品信息!$A:$A)+1),站位样品信息!$H$3:INDEX(站位样品信息!$H:$H,COUNTA(站位样品信息!$H:$H)+1)),2,0),2))</f>
        <v/>
      </c>
      <c r="O557" s="49"/>
      <c r="P557" s="53" t="str">
        <f t="shared" si="28"/>
        <v/>
      </c>
      <c r="Q557" s="53" t="str">
        <f t="shared" si="29"/>
        <v/>
      </c>
    </row>
    <row r="558" spans="1:17" ht="19.5" customHeight="1">
      <c r="A558" s="38"/>
      <c r="B558" s="38"/>
      <c r="C558" s="38"/>
      <c r="D558" s="37"/>
      <c r="E558" s="37"/>
      <c r="F558" s="37"/>
      <c r="G558" s="37" t="str">
        <f>IF(F558="","",INDEX(站位样品信息!$B$3:INDEX(站位样品信息!$B:$B,COUNTA(站位样品信息!$B:$B)+1),MATCH($F558,站位样品信息!$A$3:INDEX(站位样品信息!$A:$A,COUNTA(站位样品信息!$A:$A)+1),),))</f>
        <v/>
      </c>
      <c r="H558" s="55" t="str">
        <f>IF(OR(A558&lt;&gt;"",B558&lt;&gt;"",C558&lt;&gt;""),IF($C558&lt;&gt;0,INDEX(生物种群!$A$3:INDEX(生物种群!$A:$A,COUNTA(生物种群!$A:$A)),MATCH($C558,生物种群!$F$3:INDEX(生物种群!$F:$F,COUNTA(生物种群!$F:$F)),),),IF($A558&lt;&gt;0,INDEX(生物种群!$A$3:INDEX(生物种群!$A:$A,COUNTA(生物种群!$A:$A)),MATCH($A558,生物种群!$C$3:INDEX(生物种群!$C:$C,COUNTA(生物种群!$C:$C)),),),INDEX(生物种群!$A$3:INDEX(生物种群!$A:$A,COUNTA(生物种群!$A:$A)),MATCH($B558,生物种群!$D$3:INDEX(生物种群!$D:$D,COUNTA(生物种群!$D:$D)),),))),"")</f>
        <v/>
      </c>
      <c r="I558" s="56" t="str">
        <f>IF(H558="","",INDEX(生物种群!$B$3:INDEX(生物种群!$B:$B,COUNTA(生物种群!$B:$B)),MATCH($H558,生物种群!$A$3:INDEX(生物种群!$A:$A,COUNTA(生物种群!$A:$A)),),))</f>
        <v/>
      </c>
      <c r="J558" s="55" t="str">
        <f>IF(H558="","",INDEX(生物种群!$I$3:INDEX(生物种群!$I:$I,COUNTA(生物种群!$I:$I)),MATCH($H558,生物种群!$A$3:INDEX(生物种群!$A:$A,COUNTA(生物种群!$A:$A)),),))</f>
        <v/>
      </c>
      <c r="K558" s="55" t="str">
        <f>IF(H558="","",INDEX(生物种群!$E$3:INDEX(生物种群!$E:$E,COUNTA(生物种群!$E:$E)),MATCH($H558,生物种群!$A$3:INDEX(生物种群!$A:$A,COUNTA(生物种群!$A:$A)),),))</f>
        <v/>
      </c>
      <c r="L558" s="46" t="str">
        <f t="shared" si="30"/>
        <v/>
      </c>
      <c r="M558" s="47" t="str">
        <f>IF(L558="","",ROUND((L558)/VLOOKUP($F558,IF({1,0},站位样品信息!$A$3:INDEX(站位样品信息!$A:$A,COUNTA(站位样品信息!$A:$A)+1),站位样品信息!$H$3:INDEX(站位样品信息!$H:$H,COUNTA(站位样品信息!$H:$H)+1)),2,0),2))</f>
        <v/>
      </c>
      <c r="O558" s="49"/>
      <c r="P558" s="53" t="str">
        <f t="shared" si="28"/>
        <v/>
      </c>
      <c r="Q558" s="53" t="str">
        <f t="shared" si="29"/>
        <v/>
      </c>
    </row>
    <row r="559" spans="1:17" ht="19.5" customHeight="1">
      <c r="A559" s="38"/>
      <c r="B559" s="38"/>
      <c r="C559" s="38"/>
      <c r="D559" s="37"/>
      <c r="E559" s="37"/>
      <c r="F559" s="37"/>
      <c r="G559" s="37" t="str">
        <f>IF(F559="","",INDEX(站位样品信息!$B$3:INDEX(站位样品信息!$B:$B,COUNTA(站位样品信息!$B:$B)+1),MATCH($F559,站位样品信息!$A$3:INDEX(站位样品信息!$A:$A,COUNTA(站位样品信息!$A:$A)+1),),))</f>
        <v/>
      </c>
      <c r="H559" s="55" t="str">
        <f>IF(OR(A559&lt;&gt;"",B559&lt;&gt;"",C559&lt;&gt;""),IF($C559&lt;&gt;0,INDEX(生物种群!$A$3:INDEX(生物种群!$A:$A,COUNTA(生物种群!$A:$A)),MATCH($C559,生物种群!$F$3:INDEX(生物种群!$F:$F,COUNTA(生物种群!$F:$F)),),),IF($A559&lt;&gt;0,INDEX(生物种群!$A$3:INDEX(生物种群!$A:$A,COUNTA(生物种群!$A:$A)),MATCH($A559,生物种群!$C$3:INDEX(生物种群!$C:$C,COUNTA(生物种群!$C:$C)),),),INDEX(生物种群!$A$3:INDEX(生物种群!$A:$A,COUNTA(生物种群!$A:$A)),MATCH($B559,生物种群!$D$3:INDEX(生物种群!$D:$D,COUNTA(生物种群!$D:$D)),),))),"")</f>
        <v/>
      </c>
      <c r="I559" s="56" t="str">
        <f>IF(H559="","",INDEX(生物种群!$B$3:INDEX(生物种群!$B:$B,COUNTA(生物种群!$B:$B)),MATCH($H559,生物种群!$A$3:INDEX(生物种群!$A:$A,COUNTA(生物种群!$A:$A)),),))</f>
        <v/>
      </c>
      <c r="J559" s="55" t="str">
        <f>IF(H559="","",INDEX(生物种群!$I$3:INDEX(生物种群!$I:$I,COUNTA(生物种群!$I:$I)),MATCH($H559,生物种群!$A$3:INDEX(生物种群!$A:$A,COUNTA(生物种群!$A:$A)),),))</f>
        <v/>
      </c>
      <c r="K559" s="55" t="str">
        <f>IF(H559="","",INDEX(生物种群!$E$3:INDEX(生物种群!$E:$E,COUNTA(生物种群!$E:$E)),MATCH($H559,生物种群!$A$3:INDEX(生物种群!$A:$A,COUNTA(生物种群!$A:$A)),),))</f>
        <v/>
      </c>
      <c r="L559" s="46" t="str">
        <f t="shared" si="30"/>
        <v/>
      </c>
      <c r="M559" s="47" t="str">
        <f>IF(L559="","",ROUND((L559)/VLOOKUP($F559,IF({1,0},站位样品信息!$A$3:INDEX(站位样品信息!$A:$A,COUNTA(站位样品信息!$A:$A)+1),站位样品信息!$H$3:INDEX(站位样品信息!$H:$H,COUNTA(站位样品信息!$H:$H)+1)),2,0),2))</f>
        <v/>
      </c>
      <c r="O559" s="49"/>
      <c r="P559" s="53" t="str">
        <f t="shared" si="28"/>
        <v/>
      </c>
      <c r="Q559" s="53" t="str">
        <f t="shared" si="29"/>
        <v/>
      </c>
    </row>
    <row r="560" spans="1:17" ht="19.5" customHeight="1">
      <c r="A560" s="38"/>
      <c r="B560" s="38"/>
      <c r="C560" s="38"/>
      <c r="D560" s="37"/>
      <c r="E560" s="37"/>
      <c r="F560" s="37"/>
      <c r="G560" s="37" t="str">
        <f>IF(F560="","",INDEX(站位样品信息!$B$3:INDEX(站位样品信息!$B:$B,COUNTA(站位样品信息!$B:$B)+1),MATCH($F560,站位样品信息!$A$3:INDEX(站位样品信息!$A:$A,COUNTA(站位样品信息!$A:$A)+1),),))</f>
        <v/>
      </c>
      <c r="H560" s="55" t="str">
        <f>IF(OR(A560&lt;&gt;"",B560&lt;&gt;"",C560&lt;&gt;""),IF($C560&lt;&gt;0,INDEX(生物种群!$A$3:INDEX(生物种群!$A:$A,COUNTA(生物种群!$A:$A)),MATCH($C560,生物种群!$F$3:INDEX(生物种群!$F:$F,COUNTA(生物种群!$F:$F)),),),IF($A560&lt;&gt;0,INDEX(生物种群!$A$3:INDEX(生物种群!$A:$A,COUNTA(生物种群!$A:$A)),MATCH($A560,生物种群!$C$3:INDEX(生物种群!$C:$C,COUNTA(生物种群!$C:$C)),),),INDEX(生物种群!$A$3:INDEX(生物种群!$A:$A,COUNTA(生物种群!$A:$A)),MATCH($B560,生物种群!$D$3:INDEX(生物种群!$D:$D,COUNTA(生物种群!$D:$D)),),))),"")</f>
        <v/>
      </c>
      <c r="I560" s="56" t="str">
        <f>IF(H560="","",INDEX(生物种群!$B$3:INDEX(生物种群!$B:$B,COUNTA(生物种群!$B:$B)),MATCH($H560,生物种群!$A$3:INDEX(生物种群!$A:$A,COUNTA(生物种群!$A:$A)),),))</f>
        <v/>
      </c>
      <c r="J560" s="55" t="str">
        <f>IF(H560="","",INDEX(生物种群!$I$3:INDEX(生物种群!$I:$I,COUNTA(生物种群!$I:$I)),MATCH($H560,生物种群!$A$3:INDEX(生物种群!$A:$A,COUNTA(生物种群!$A:$A)),),))</f>
        <v/>
      </c>
      <c r="K560" s="55" t="str">
        <f>IF(H560="","",INDEX(生物种群!$E$3:INDEX(生物种群!$E:$E,COUNTA(生物种群!$E:$E)),MATCH($H560,生物种群!$A$3:INDEX(生物种群!$A:$A,COUNTA(生物种群!$A:$A)),),))</f>
        <v/>
      </c>
      <c r="L560" s="46" t="str">
        <f t="shared" si="30"/>
        <v/>
      </c>
      <c r="M560" s="47" t="str">
        <f>IF(L560="","",ROUND((L560)/VLOOKUP($F560,IF({1,0},站位样品信息!$A$3:INDEX(站位样品信息!$A:$A,COUNTA(站位样品信息!$A:$A)+1),站位样品信息!$H$3:INDEX(站位样品信息!$H:$H,COUNTA(站位样品信息!$H:$H)+1)),2,0),2))</f>
        <v/>
      </c>
      <c r="O560" s="49"/>
      <c r="P560" s="53" t="str">
        <f t="shared" si="28"/>
        <v/>
      </c>
      <c r="Q560" s="53" t="str">
        <f t="shared" si="29"/>
        <v/>
      </c>
    </row>
    <row r="561" spans="1:17" ht="19.5" customHeight="1">
      <c r="A561" s="38"/>
      <c r="B561" s="38"/>
      <c r="C561" s="38"/>
      <c r="D561" s="37"/>
      <c r="E561" s="37"/>
      <c r="F561" s="37"/>
      <c r="G561" s="37" t="str">
        <f>IF(F561="","",INDEX(站位样品信息!$B$3:INDEX(站位样品信息!$B:$B,COUNTA(站位样品信息!$B:$B)+1),MATCH($F561,站位样品信息!$A$3:INDEX(站位样品信息!$A:$A,COUNTA(站位样品信息!$A:$A)+1),),))</f>
        <v/>
      </c>
      <c r="H561" s="55" t="str">
        <f>IF(OR(A561&lt;&gt;"",B561&lt;&gt;"",C561&lt;&gt;""),IF($C561&lt;&gt;0,INDEX(生物种群!$A$3:INDEX(生物种群!$A:$A,COUNTA(生物种群!$A:$A)),MATCH($C561,生物种群!$F$3:INDEX(生物种群!$F:$F,COUNTA(生物种群!$F:$F)),),),IF($A561&lt;&gt;0,INDEX(生物种群!$A$3:INDEX(生物种群!$A:$A,COUNTA(生物种群!$A:$A)),MATCH($A561,生物种群!$C$3:INDEX(生物种群!$C:$C,COUNTA(生物种群!$C:$C)),),),INDEX(生物种群!$A$3:INDEX(生物种群!$A:$A,COUNTA(生物种群!$A:$A)),MATCH($B561,生物种群!$D$3:INDEX(生物种群!$D:$D,COUNTA(生物种群!$D:$D)),),))),"")</f>
        <v/>
      </c>
      <c r="I561" s="56" t="str">
        <f>IF(H561="","",INDEX(生物种群!$B$3:INDEX(生物种群!$B:$B,COUNTA(生物种群!$B:$B)),MATCH($H561,生物种群!$A$3:INDEX(生物种群!$A:$A,COUNTA(生物种群!$A:$A)),),))</f>
        <v/>
      </c>
      <c r="J561" s="55" t="str">
        <f>IF(H561="","",INDEX(生物种群!$I$3:INDEX(生物种群!$I:$I,COUNTA(生物种群!$I:$I)),MATCH($H561,生物种群!$A$3:INDEX(生物种群!$A:$A,COUNTA(生物种群!$A:$A)),),))</f>
        <v/>
      </c>
      <c r="K561" s="55" t="str">
        <f>IF(H561="","",INDEX(生物种群!$E$3:INDEX(生物种群!$E:$E,COUNTA(生物种群!$E:$E)),MATCH($H561,生物种群!$A$3:INDEX(生物种群!$A:$A,COUNTA(生物种群!$A:$A)),),))</f>
        <v/>
      </c>
      <c r="L561" s="46" t="str">
        <f t="shared" si="30"/>
        <v/>
      </c>
      <c r="M561" s="47" t="str">
        <f>IF(L561="","",ROUND((L561)/VLOOKUP($F561,IF({1,0},站位样品信息!$A$3:INDEX(站位样品信息!$A:$A,COUNTA(站位样品信息!$A:$A)+1),站位样品信息!$H$3:INDEX(站位样品信息!$H:$H,COUNTA(站位样品信息!$H:$H)+1)),2,0),2))</f>
        <v/>
      </c>
      <c r="O561" s="49"/>
      <c r="P561" s="53" t="str">
        <f t="shared" si="28"/>
        <v/>
      </c>
      <c r="Q561" s="53" t="str">
        <f t="shared" si="29"/>
        <v/>
      </c>
    </row>
    <row r="562" spans="1:17" ht="19.5" customHeight="1">
      <c r="A562" s="38"/>
      <c r="B562" s="38"/>
      <c r="C562" s="38"/>
      <c r="D562" s="37"/>
      <c r="E562" s="37"/>
      <c r="F562" s="37"/>
      <c r="G562" s="37" t="str">
        <f>IF(F562="","",INDEX(站位样品信息!$B$3:INDEX(站位样品信息!$B:$B,COUNTA(站位样品信息!$B:$B)+1),MATCH($F562,站位样品信息!$A$3:INDEX(站位样品信息!$A:$A,COUNTA(站位样品信息!$A:$A)+1),),))</f>
        <v/>
      </c>
      <c r="H562" s="55" t="str">
        <f>IF(OR(A562&lt;&gt;"",B562&lt;&gt;"",C562&lt;&gt;""),IF($C562&lt;&gt;0,INDEX(生物种群!$A$3:INDEX(生物种群!$A:$A,COUNTA(生物种群!$A:$A)),MATCH($C562,生物种群!$F$3:INDEX(生物种群!$F:$F,COUNTA(生物种群!$F:$F)),),),IF($A562&lt;&gt;0,INDEX(生物种群!$A$3:INDEX(生物种群!$A:$A,COUNTA(生物种群!$A:$A)),MATCH($A562,生物种群!$C$3:INDEX(生物种群!$C:$C,COUNTA(生物种群!$C:$C)),),),INDEX(生物种群!$A$3:INDEX(生物种群!$A:$A,COUNTA(生物种群!$A:$A)),MATCH($B562,生物种群!$D$3:INDEX(生物种群!$D:$D,COUNTA(生物种群!$D:$D)),),))),"")</f>
        <v/>
      </c>
      <c r="I562" s="56" t="str">
        <f>IF(H562="","",INDEX(生物种群!$B$3:INDEX(生物种群!$B:$B,COUNTA(生物种群!$B:$B)),MATCH($H562,生物种群!$A$3:INDEX(生物种群!$A:$A,COUNTA(生物种群!$A:$A)),),))</f>
        <v/>
      </c>
      <c r="J562" s="55" t="str">
        <f>IF(H562="","",INDEX(生物种群!$I$3:INDEX(生物种群!$I:$I,COUNTA(生物种群!$I:$I)),MATCH($H562,生物种群!$A$3:INDEX(生物种群!$A:$A,COUNTA(生物种群!$A:$A)),),))</f>
        <v/>
      </c>
      <c r="K562" s="55" t="str">
        <f>IF(H562="","",INDEX(生物种群!$E$3:INDEX(生物种群!$E:$E,COUNTA(生物种群!$E:$E)),MATCH($H562,生物种群!$A$3:INDEX(生物种群!$A:$A,COUNTA(生物种群!$A:$A)),),))</f>
        <v/>
      </c>
      <c r="L562" s="46" t="str">
        <f t="shared" si="30"/>
        <v/>
      </c>
      <c r="M562" s="47" t="str">
        <f>IF(L562="","",ROUND((L562)/VLOOKUP($F562,IF({1,0},站位样品信息!$A$3:INDEX(站位样品信息!$A:$A,COUNTA(站位样品信息!$A:$A)+1),站位样品信息!$H$3:INDEX(站位样品信息!$H:$H,COUNTA(站位样品信息!$H:$H)+1)),2,0),2))</f>
        <v/>
      </c>
      <c r="O562" s="49"/>
      <c r="P562" s="53" t="str">
        <f t="shared" si="28"/>
        <v/>
      </c>
      <c r="Q562" s="53" t="str">
        <f t="shared" si="29"/>
        <v/>
      </c>
    </row>
    <row r="563" spans="1:17" ht="19.5" customHeight="1">
      <c r="A563" s="38"/>
      <c r="B563" s="38"/>
      <c r="C563" s="38"/>
      <c r="D563" s="37"/>
      <c r="E563" s="37"/>
      <c r="F563" s="37"/>
      <c r="G563" s="37" t="str">
        <f>IF(F563="","",INDEX(站位样品信息!$B$3:INDEX(站位样品信息!$B:$B,COUNTA(站位样品信息!$B:$B)+1),MATCH($F563,站位样品信息!$A$3:INDEX(站位样品信息!$A:$A,COUNTA(站位样品信息!$A:$A)+1),),))</f>
        <v/>
      </c>
      <c r="H563" s="55" t="str">
        <f>IF(OR(A563&lt;&gt;"",B563&lt;&gt;"",C563&lt;&gt;""),IF($C563&lt;&gt;0,INDEX(生物种群!$A$3:INDEX(生物种群!$A:$A,COUNTA(生物种群!$A:$A)),MATCH($C563,生物种群!$F$3:INDEX(生物种群!$F:$F,COUNTA(生物种群!$F:$F)),),),IF($A563&lt;&gt;0,INDEX(生物种群!$A$3:INDEX(生物种群!$A:$A,COUNTA(生物种群!$A:$A)),MATCH($A563,生物种群!$C$3:INDEX(生物种群!$C:$C,COUNTA(生物种群!$C:$C)),),),INDEX(生物种群!$A$3:INDEX(生物种群!$A:$A,COUNTA(生物种群!$A:$A)),MATCH($B563,生物种群!$D$3:INDEX(生物种群!$D:$D,COUNTA(生物种群!$D:$D)),),))),"")</f>
        <v/>
      </c>
      <c r="I563" s="56" t="str">
        <f>IF(H563="","",INDEX(生物种群!$B$3:INDEX(生物种群!$B:$B,COUNTA(生物种群!$B:$B)),MATCH($H563,生物种群!$A$3:INDEX(生物种群!$A:$A,COUNTA(生物种群!$A:$A)),),))</f>
        <v/>
      </c>
      <c r="J563" s="55" t="str">
        <f>IF(H563="","",INDEX(生物种群!$I$3:INDEX(生物种群!$I:$I,COUNTA(生物种群!$I:$I)),MATCH($H563,生物种群!$A$3:INDEX(生物种群!$A:$A,COUNTA(生物种群!$A:$A)),),))</f>
        <v/>
      </c>
      <c r="K563" s="55" t="str">
        <f>IF(H563="","",INDEX(生物种群!$E$3:INDEX(生物种群!$E:$E,COUNTA(生物种群!$E:$E)),MATCH($H563,生物种群!$A$3:INDEX(生物种群!$A:$A,COUNTA(生物种群!$A:$A)),),))</f>
        <v/>
      </c>
      <c r="L563" s="46" t="str">
        <f t="shared" si="30"/>
        <v/>
      </c>
      <c r="M563" s="47" t="str">
        <f>IF(L563="","",ROUND((L563)/VLOOKUP($F563,IF({1,0},站位样品信息!$A$3:INDEX(站位样品信息!$A:$A,COUNTA(站位样品信息!$A:$A)+1),站位样品信息!$H$3:INDEX(站位样品信息!$H:$H,COUNTA(站位样品信息!$H:$H)+1)),2,0),2))</f>
        <v/>
      </c>
      <c r="O563" s="49"/>
      <c r="P563" s="53" t="str">
        <f t="shared" si="28"/>
        <v/>
      </c>
      <c r="Q563" s="53" t="str">
        <f t="shared" si="29"/>
        <v/>
      </c>
    </row>
    <row r="564" spans="1:17" ht="19.5" customHeight="1">
      <c r="A564" s="38"/>
      <c r="B564" s="38"/>
      <c r="C564" s="38"/>
      <c r="D564" s="37"/>
      <c r="E564" s="37"/>
      <c r="F564" s="37"/>
      <c r="G564" s="37" t="str">
        <f>IF(F564="","",INDEX(站位样品信息!$B$3:INDEX(站位样品信息!$B:$B,COUNTA(站位样品信息!$B:$B)+1),MATCH($F564,站位样品信息!$A$3:INDEX(站位样品信息!$A:$A,COUNTA(站位样品信息!$A:$A)+1),),))</f>
        <v/>
      </c>
      <c r="H564" s="55" t="str">
        <f>IF(OR(A564&lt;&gt;"",B564&lt;&gt;"",C564&lt;&gt;""),IF($C564&lt;&gt;0,INDEX(生物种群!$A$3:INDEX(生物种群!$A:$A,COUNTA(生物种群!$A:$A)),MATCH($C564,生物种群!$F$3:INDEX(生物种群!$F:$F,COUNTA(生物种群!$F:$F)),),),IF($A564&lt;&gt;0,INDEX(生物种群!$A$3:INDEX(生物种群!$A:$A,COUNTA(生物种群!$A:$A)),MATCH($A564,生物种群!$C$3:INDEX(生物种群!$C:$C,COUNTA(生物种群!$C:$C)),),),INDEX(生物种群!$A$3:INDEX(生物种群!$A:$A,COUNTA(生物种群!$A:$A)),MATCH($B564,生物种群!$D$3:INDEX(生物种群!$D:$D,COUNTA(生物种群!$D:$D)),),))),"")</f>
        <v/>
      </c>
      <c r="I564" s="56" t="str">
        <f>IF(H564="","",INDEX(生物种群!$B$3:INDEX(生物种群!$B:$B,COUNTA(生物种群!$B:$B)),MATCH($H564,生物种群!$A$3:INDEX(生物种群!$A:$A,COUNTA(生物种群!$A:$A)),),))</f>
        <v/>
      </c>
      <c r="J564" s="55" t="str">
        <f>IF(H564="","",INDEX(生物种群!$I$3:INDEX(生物种群!$I:$I,COUNTA(生物种群!$I:$I)),MATCH($H564,生物种群!$A$3:INDEX(生物种群!$A:$A,COUNTA(生物种群!$A:$A)),),))</f>
        <v/>
      </c>
      <c r="K564" s="55" t="str">
        <f>IF(H564="","",INDEX(生物种群!$E$3:INDEX(生物种群!$E:$E,COUNTA(生物种群!$E:$E)),MATCH($H564,生物种群!$A$3:INDEX(生物种群!$A:$A,COUNTA(生物种群!$A:$A)),),))</f>
        <v/>
      </c>
      <c r="L564" s="46" t="str">
        <f t="shared" si="30"/>
        <v/>
      </c>
      <c r="M564" s="47" t="str">
        <f>IF(L564="","",ROUND((L564)/VLOOKUP($F564,IF({1,0},站位样品信息!$A$3:INDEX(站位样品信息!$A:$A,COUNTA(站位样品信息!$A:$A)+1),站位样品信息!$H$3:INDEX(站位样品信息!$H:$H,COUNTA(站位样品信息!$H:$H)+1)),2,0),2))</f>
        <v/>
      </c>
      <c r="O564" s="49"/>
      <c r="P564" s="53" t="str">
        <f t="shared" si="28"/>
        <v/>
      </c>
      <c r="Q564" s="53" t="str">
        <f t="shared" si="29"/>
        <v/>
      </c>
    </row>
    <row r="565" spans="1:17" ht="19.5" customHeight="1">
      <c r="A565" s="38"/>
      <c r="B565" s="38"/>
      <c r="C565" s="38"/>
      <c r="D565" s="37"/>
      <c r="E565" s="37"/>
      <c r="F565" s="37"/>
      <c r="G565" s="37" t="str">
        <f>IF(F565="","",INDEX(站位样品信息!$B$3:INDEX(站位样品信息!$B:$B,COUNTA(站位样品信息!$B:$B)+1),MATCH($F565,站位样品信息!$A$3:INDEX(站位样品信息!$A:$A,COUNTA(站位样品信息!$A:$A)+1),),))</f>
        <v/>
      </c>
      <c r="H565" s="55" t="str">
        <f>IF(OR(A565&lt;&gt;"",B565&lt;&gt;"",C565&lt;&gt;""),IF($C565&lt;&gt;0,INDEX(生物种群!$A$3:INDEX(生物种群!$A:$A,COUNTA(生物种群!$A:$A)),MATCH($C565,生物种群!$F$3:INDEX(生物种群!$F:$F,COUNTA(生物种群!$F:$F)),),),IF($A565&lt;&gt;0,INDEX(生物种群!$A$3:INDEX(生物种群!$A:$A,COUNTA(生物种群!$A:$A)),MATCH($A565,生物种群!$C$3:INDEX(生物种群!$C:$C,COUNTA(生物种群!$C:$C)),),),INDEX(生物种群!$A$3:INDEX(生物种群!$A:$A,COUNTA(生物种群!$A:$A)),MATCH($B565,生物种群!$D$3:INDEX(生物种群!$D:$D,COUNTA(生物种群!$D:$D)),),))),"")</f>
        <v/>
      </c>
      <c r="I565" s="56" t="str">
        <f>IF(H565="","",INDEX(生物种群!$B$3:INDEX(生物种群!$B:$B,COUNTA(生物种群!$B:$B)),MATCH($H565,生物种群!$A$3:INDEX(生物种群!$A:$A,COUNTA(生物种群!$A:$A)),),))</f>
        <v/>
      </c>
      <c r="J565" s="55" t="str">
        <f>IF(H565="","",INDEX(生物种群!$I$3:INDEX(生物种群!$I:$I,COUNTA(生物种群!$I:$I)),MATCH($H565,生物种群!$A$3:INDEX(生物种群!$A:$A,COUNTA(生物种群!$A:$A)),),))</f>
        <v/>
      </c>
      <c r="K565" s="55" t="str">
        <f>IF(H565="","",INDEX(生物种群!$E$3:INDEX(生物种群!$E:$E,COUNTA(生物种群!$E:$E)),MATCH($H565,生物种群!$A$3:INDEX(生物种群!$A:$A,COUNTA(生物种群!$A:$A)),),))</f>
        <v/>
      </c>
      <c r="L565" s="46" t="str">
        <f t="shared" si="30"/>
        <v/>
      </c>
      <c r="M565" s="47" t="str">
        <f>IF(L565="","",ROUND((L565)/VLOOKUP($F565,IF({1,0},站位样品信息!$A$3:INDEX(站位样品信息!$A:$A,COUNTA(站位样品信息!$A:$A)+1),站位样品信息!$H$3:INDEX(站位样品信息!$H:$H,COUNTA(站位样品信息!$H:$H)+1)),2,0),2))</f>
        <v/>
      </c>
      <c r="O565" s="49"/>
      <c r="P565" s="53" t="str">
        <f t="shared" si="28"/>
        <v/>
      </c>
      <c r="Q565" s="53" t="str">
        <f t="shared" si="29"/>
        <v/>
      </c>
    </row>
    <row r="566" spans="1:17" ht="19.5" customHeight="1">
      <c r="A566" s="38"/>
      <c r="B566" s="38"/>
      <c r="C566" s="38"/>
      <c r="D566" s="37"/>
      <c r="E566" s="37"/>
      <c r="F566" s="37"/>
      <c r="G566" s="37" t="str">
        <f>IF(F566="","",INDEX(站位样品信息!$B$3:INDEX(站位样品信息!$B:$B,COUNTA(站位样品信息!$B:$B)+1),MATCH($F566,站位样品信息!$A$3:INDEX(站位样品信息!$A:$A,COUNTA(站位样品信息!$A:$A)+1),),))</f>
        <v/>
      </c>
      <c r="H566" s="55" t="str">
        <f>IF(OR(A566&lt;&gt;"",B566&lt;&gt;"",C566&lt;&gt;""),IF($C566&lt;&gt;0,INDEX(生物种群!$A$3:INDEX(生物种群!$A:$A,COUNTA(生物种群!$A:$A)),MATCH($C566,生物种群!$F$3:INDEX(生物种群!$F:$F,COUNTA(生物种群!$F:$F)),),),IF($A566&lt;&gt;0,INDEX(生物种群!$A$3:INDEX(生物种群!$A:$A,COUNTA(生物种群!$A:$A)),MATCH($A566,生物种群!$C$3:INDEX(生物种群!$C:$C,COUNTA(生物种群!$C:$C)),),),INDEX(生物种群!$A$3:INDEX(生物种群!$A:$A,COUNTA(生物种群!$A:$A)),MATCH($B566,生物种群!$D$3:INDEX(生物种群!$D:$D,COUNTA(生物种群!$D:$D)),),))),"")</f>
        <v/>
      </c>
      <c r="I566" s="56" t="str">
        <f>IF(H566="","",INDEX(生物种群!$B$3:INDEX(生物种群!$B:$B,COUNTA(生物种群!$B:$B)),MATCH($H566,生物种群!$A$3:INDEX(生物种群!$A:$A,COUNTA(生物种群!$A:$A)),),))</f>
        <v/>
      </c>
      <c r="J566" s="55" t="str">
        <f>IF(H566="","",INDEX(生物种群!$I$3:INDEX(生物种群!$I:$I,COUNTA(生物种群!$I:$I)),MATCH($H566,生物种群!$A$3:INDEX(生物种群!$A:$A,COUNTA(生物种群!$A:$A)),),))</f>
        <v/>
      </c>
      <c r="K566" s="55" t="str">
        <f>IF(H566="","",INDEX(生物种群!$E$3:INDEX(生物种群!$E:$E,COUNTA(生物种群!$E:$E)),MATCH($H566,生物种群!$A$3:INDEX(生物种群!$A:$A,COUNTA(生物种群!$A:$A)),),))</f>
        <v/>
      </c>
      <c r="L566" s="46" t="str">
        <f t="shared" si="30"/>
        <v/>
      </c>
      <c r="M566" s="47" t="str">
        <f>IF(L566="","",ROUND((L566)/VLOOKUP($F566,IF({1,0},站位样品信息!$A$3:INDEX(站位样品信息!$A:$A,COUNTA(站位样品信息!$A:$A)+1),站位样品信息!$H$3:INDEX(站位样品信息!$H:$H,COUNTA(站位样品信息!$H:$H)+1)),2,0),2))</f>
        <v/>
      </c>
      <c r="O566" s="49"/>
      <c r="P566" s="53" t="str">
        <f t="shared" si="28"/>
        <v/>
      </c>
      <c r="Q566" s="53" t="str">
        <f t="shared" si="29"/>
        <v/>
      </c>
    </row>
    <row r="567" spans="1:17" ht="19.5" customHeight="1">
      <c r="A567" s="38"/>
      <c r="B567" s="38"/>
      <c r="C567" s="38"/>
      <c r="D567" s="37"/>
      <c r="E567" s="37"/>
      <c r="F567" s="37"/>
      <c r="G567" s="37" t="str">
        <f>IF(F567="","",INDEX(站位样品信息!$B$3:INDEX(站位样品信息!$B:$B,COUNTA(站位样品信息!$B:$B)+1),MATCH($F567,站位样品信息!$A$3:INDEX(站位样品信息!$A:$A,COUNTA(站位样品信息!$A:$A)+1),),))</f>
        <v/>
      </c>
      <c r="H567" s="55" t="str">
        <f>IF(OR(A567&lt;&gt;"",B567&lt;&gt;"",C567&lt;&gt;""),IF($C567&lt;&gt;0,INDEX(生物种群!$A$3:INDEX(生物种群!$A:$A,COUNTA(生物种群!$A:$A)),MATCH($C567,生物种群!$F$3:INDEX(生物种群!$F:$F,COUNTA(生物种群!$F:$F)),),),IF($A567&lt;&gt;0,INDEX(生物种群!$A$3:INDEX(生物种群!$A:$A,COUNTA(生物种群!$A:$A)),MATCH($A567,生物种群!$C$3:INDEX(生物种群!$C:$C,COUNTA(生物种群!$C:$C)),),),INDEX(生物种群!$A$3:INDEX(生物种群!$A:$A,COUNTA(生物种群!$A:$A)),MATCH($B567,生物种群!$D$3:INDEX(生物种群!$D:$D,COUNTA(生物种群!$D:$D)),),))),"")</f>
        <v/>
      </c>
      <c r="I567" s="56" t="str">
        <f>IF(H567="","",INDEX(生物种群!$B$3:INDEX(生物种群!$B:$B,COUNTA(生物种群!$B:$B)),MATCH($H567,生物种群!$A$3:INDEX(生物种群!$A:$A,COUNTA(生物种群!$A:$A)),),))</f>
        <v/>
      </c>
      <c r="J567" s="55" t="str">
        <f>IF(H567="","",INDEX(生物种群!$I$3:INDEX(生物种群!$I:$I,COUNTA(生物种群!$I:$I)),MATCH($H567,生物种群!$A$3:INDEX(生物种群!$A:$A,COUNTA(生物种群!$A:$A)),),))</f>
        <v/>
      </c>
      <c r="K567" s="55" t="str">
        <f>IF(H567="","",INDEX(生物种群!$E$3:INDEX(生物种群!$E:$E,COUNTA(生物种群!$E:$E)),MATCH($H567,生物种群!$A$3:INDEX(生物种群!$A:$A,COUNTA(生物种群!$A:$A)),),))</f>
        <v/>
      </c>
      <c r="L567" s="46" t="str">
        <f t="shared" si="30"/>
        <v/>
      </c>
      <c r="M567" s="47" t="str">
        <f>IF(L567="","",ROUND((L567)/VLOOKUP($F567,IF({1,0},站位样品信息!$A$3:INDEX(站位样品信息!$A:$A,COUNTA(站位样品信息!$A:$A)+1),站位样品信息!$H$3:INDEX(站位样品信息!$H:$H,COUNTA(站位样品信息!$H:$H)+1)),2,0),2))</f>
        <v/>
      </c>
      <c r="O567" s="49"/>
      <c r="P567" s="53" t="str">
        <f t="shared" si="28"/>
        <v/>
      </c>
      <c r="Q567" s="53" t="str">
        <f t="shared" si="29"/>
        <v/>
      </c>
    </row>
    <row r="568" spans="1:17" ht="19.5" customHeight="1">
      <c r="A568" s="38"/>
      <c r="B568" s="38"/>
      <c r="C568" s="38"/>
      <c r="D568" s="37"/>
      <c r="E568" s="37"/>
      <c r="F568" s="37"/>
      <c r="G568" s="37" t="str">
        <f>IF(F568="","",INDEX(站位样品信息!$B$3:INDEX(站位样品信息!$B:$B,COUNTA(站位样品信息!$B:$B)+1),MATCH($F568,站位样品信息!$A$3:INDEX(站位样品信息!$A:$A,COUNTA(站位样品信息!$A:$A)+1),),))</f>
        <v/>
      </c>
      <c r="H568" s="55" t="str">
        <f>IF(OR(A568&lt;&gt;"",B568&lt;&gt;"",C568&lt;&gt;""),IF($C568&lt;&gt;0,INDEX(生物种群!$A$3:INDEX(生物种群!$A:$A,COUNTA(生物种群!$A:$A)),MATCH($C568,生物种群!$F$3:INDEX(生物种群!$F:$F,COUNTA(生物种群!$F:$F)),),),IF($A568&lt;&gt;0,INDEX(生物种群!$A$3:INDEX(生物种群!$A:$A,COUNTA(生物种群!$A:$A)),MATCH($A568,生物种群!$C$3:INDEX(生物种群!$C:$C,COUNTA(生物种群!$C:$C)),),),INDEX(生物种群!$A$3:INDEX(生物种群!$A:$A,COUNTA(生物种群!$A:$A)),MATCH($B568,生物种群!$D$3:INDEX(生物种群!$D:$D,COUNTA(生物种群!$D:$D)),),))),"")</f>
        <v/>
      </c>
      <c r="I568" s="56" t="str">
        <f>IF(H568="","",INDEX(生物种群!$B$3:INDEX(生物种群!$B:$B,COUNTA(生物种群!$B:$B)),MATCH($H568,生物种群!$A$3:INDEX(生物种群!$A:$A,COUNTA(生物种群!$A:$A)),),))</f>
        <v/>
      </c>
      <c r="J568" s="55" t="str">
        <f>IF(H568="","",INDEX(生物种群!$I$3:INDEX(生物种群!$I:$I,COUNTA(生物种群!$I:$I)),MATCH($H568,生物种群!$A$3:INDEX(生物种群!$A:$A,COUNTA(生物种群!$A:$A)),),))</f>
        <v/>
      </c>
      <c r="K568" s="55" t="str">
        <f>IF(H568="","",INDEX(生物种群!$E$3:INDEX(生物种群!$E:$E,COUNTA(生物种群!$E:$E)),MATCH($H568,生物种群!$A$3:INDEX(生物种群!$A:$A,COUNTA(生物种群!$A:$A)),),))</f>
        <v/>
      </c>
      <c r="L568" s="46" t="str">
        <f t="shared" si="30"/>
        <v/>
      </c>
      <c r="M568" s="47" t="str">
        <f>IF(L568="","",ROUND((L568)/VLOOKUP($F568,IF({1,0},站位样品信息!$A$3:INDEX(站位样品信息!$A:$A,COUNTA(站位样品信息!$A:$A)+1),站位样品信息!$H$3:INDEX(站位样品信息!$H:$H,COUNTA(站位样品信息!$H:$H)+1)),2,0),2))</f>
        <v/>
      </c>
      <c r="O568" s="49"/>
      <c r="P568" s="53" t="str">
        <f t="shared" si="28"/>
        <v/>
      </c>
      <c r="Q568" s="53" t="str">
        <f t="shared" si="29"/>
        <v/>
      </c>
    </row>
    <row r="569" spans="1:17" ht="19.5" customHeight="1">
      <c r="A569" s="38"/>
      <c r="B569" s="38"/>
      <c r="C569" s="38"/>
      <c r="D569" s="37"/>
      <c r="E569" s="37"/>
      <c r="F569" s="37"/>
      <c r="G569" s="37" t="str">
        <f>IF(F569="","",INDEX(站位样品信息!$B$3:INDEX(站位样品信息!$B:$B,COUNTA(站位样品信息!$B:$B)+1),MATCH($F569,站位样品信息!$A$3:INDEX(站位样品信息!$A:$A,COUNTA(站位样品信息!$A:$A)+1),),))</f>
        <v/>
      </c>
      <c r="H569" s="55" t="str">
        <f>IF(OR(A569&lt;&gt;"",B569&lt;&gt;"",C569&lt;&gt;""),IF($C569&lt;&gt;0,INDEX(生物种群!$A$3:INDEX(生物种群!$A:$A,COUNTA(生物种群!$A:$A)),MATCH($C569,生物种群!$F$3:INDEX(生物种群!$F:$F,COUNTA(生物种群!$F:$F)),),),IF($A569&lt;&gt;0,INDEX(生物种群!$A$3:INDEX(生物种群!$A:$A,COUNTA(生物种群!$A:$A)),MATCH($A569,生物种群!$C$3:INDEX(生物种群!$C:$C,COUNTA(生物种群!$C:$C)),),),INDEX(生物种群!$A$3:INDEX(生物种群!$A:$A,COUNTA(生物种群!$A:$A)),MATCH($B569,生物种群!$D$3:INDEX(生物种群!$D:$D,COUNTA(生物种群!$D:$D)),),))),"")</f>
        <v/>
      </c>
      <c r="I569" s="56" t="str">
        <f>IF(H569="","",INDEX(生物种群!$B$3:INDEX(生物种群!$B:$B,COUNTA(生物种群!$B:$B)),MATCH($H569,生物种群!$A$3:INDEX(生物种群!$A:$A,COUNTA(生物种群!$A:$A)),),))</f>
        <v/>
      </c>
      <c r="J569" s="55" t="str">
        <f>IF(H569="","",INDEX(生物种群!$I$3:INDEX(生物种群!$I:$I,COUNTA(生物种群!$I:$I)),MATCH($H569,生物种群!$A$3:INDEX(生物种群!$A:$A,COUNTA(生物种群!$A:$A)),),))</f>
        <v/>
      </c>
      <c r="K569" s="55" t="str">
        <f>IF(H569="","",INDEX(生物种群!$E$3:INDEX(生物种群!$E:$E,COUNTA(生物种群!$E:$E)),MATCH($H569,生物种群!$A$3:INDEX(生物种群!$A:$A,COUNTA(生物种群!$A:$A)),),))</f>
        <v/>
      </c>
      <c r="L569" s="46" t="str">
        <f t="shared" si="30"/>
        <v/>
      </c>
      <c r="M569" s="47" t="str">
        <f>IF(L569="","",ROUND((L569)/VLOOKUP($F569,IF({1,0},站位样品信息!$A$3:INDEX(站位样品信息!$A:$A,COUNTA(站位样品信息!$A:$A)+1),站位样品信息!$H$3:INDEX(站位样品信息!$H:$H,COUNTA(站位样品信息!$H:$H)+1)),2,0),2))</f>
        <v/>
      </c>
      <c r="O569" s="49"/>
      <c r="P569" s="53" t="str">
        <f t="shared" si="28"/>
        <v/>
      </c>
      <c r="Q569" s="53" t="str">
        <f t="shared" si="29"/>
        <v/>
      </c>
    </row>
    <row r="570" spans="1:17" ht="19.5" customHeight="1">
      <c r="A570" s="38"/>
      <c r="B570" s="38"/>
      <c r="C570" s="38"/>
      <c r="D570" s="37"/>
      <c r="E570" s="37"/>
      <c r="F570" s="37"/>
      <c r="G570" s="37" t="str">
        <f>IF(F570="","",INDEX(站位样品信息!$B$3:INDEX(站位样品信息!$B:$B,COUNTA(站位样品信息!$B:$B)+1),MATCH($F570,站位样品信息!$A$3:INDEX(站位样品信息!$A:$A,COUNTA(站位样品信息!$A:$A)+1),),))</f>
        <v/>
      </c>
      <c r="H570" s="55" t="str">
        <f>IF(OR(A570&lt;&gt;"",B570&lt;&gt;"",C570&lt;&gt;""),IF($C570&lt;&gt;0,INDEX(生物种群!$A$3:INDEX(生物种群!$A:$A,COUNTA(生物种群!$A:$A)),MATCH($C570,生物种群!$F$3:INDEX(生物种群!$F:$F,COUNTA(生物种群!$F:$F)),),),IF($A570&lt;&gt;0,INDEX(生物种群!$A$3:INDEX(生物种群!$A:$A,COUNTA(生物种群!$A:$A)),MATCH($A570,生物种群!$C$3:INDEX(生物种群!$C:$C,COUNTA(生物种群!$C:$C)),),),INDEX(生物种群!$A$3:INDEX(生物种群!$A:$A,COUNTA(生物种群!$A:$A)),MATCH($B570,生物种群!$D$3:INDEX(生物种群!$D:$D,COUNTA(生物种群!$D:$D)),),))),"")</f>
        <v/>
      </c>
      <c r="I570" s="56" t="str">
        <f>IF(H570="","",INDEX(生物种群!$B$3:INDEX(生物种群!$B:$B,COUNTA(生物种群!$B:$B)),MATCH($H570,生物种群!$A$3:INDEX(生物种群!$A:$A,COUNTA(生物种群!$A:$A)),),))</f>
        <v/>
      </c>
      <c r="J570" s="55" t="str">
        <f>IF(H570="","",INDEX(生物种群!$I$3:INDEX(生物种群!$I:$I,COUNTA(生物种群!$I:$I)),MATCH($H570,生物种群!$A$3:INDEX(生物种群!$A:$A,COUNTA(生物种群!$A:$A)),),))</f>
        <v/>
      </c>
      <c r="K570" s="55" t="str">
        <f>IF(H570="","",INDEX(生物种群!$E$3:INDEX(生物种群!$E:$E,COUNTA(生物种群!$E:$E)),MATCH($H570,生物种群!$A$3:INDEX(生物种群!$A:$A,COUNTA(生物种群!$A:$A)),),))</f>
        <v/>
      </c>
      <c r="L570" s="46" t="str">
        <f t="shared" si="30"/>
        <v/>
      </c>
      <c r="M570" s="47" t="str">
        <f>IF(L570="","",ROUND((L570)/VLOOKUP($F570,IF({1,0},站位样品信息!$A$3:INDEX(站位样品信息!$A:$A,COUNTA(站位样品信息!$A:$A)+1),站位样品信息!$H$3:INDEX(站位样品信息!$H:$H,COUNTA(站位样品信息!$H:$H)+1)),2,0),2))</f>
        <v/>
      </c>
      <c r="O570" s="49"/>
      <c r="P570" s="53" t="str">
        <f t="shared" si="28"/>
        <v/>
      </c>
      <c r="Q570" s="53" t="str">
        <f t="shared" si="29"/>
        <v/>
      </c>
    </row>
    <row r="571" spans="1:17" ht="19.5" customHeight="1">
      <c r="A571" s="38"/>
      <c r="B571" s="38"/>
      <c r="C571" s="38"/>
      <c r="D571" s="37"/>
      <c r="E571" s="37"/>
      <c r="F571" s="37"/>
      <c r="G571" s="37" t="str">
        <f>IF(F571="","",INDEX(站位样品信息!$B$3:INDEX(站位样品信息!$B:$B,COUNTA(站位样品信息!$B:$B)+1),MATCH($F571,站位样品信息!$A$3:INDEX(站位样品信息!$A:$A,COUNTA(站位样品信息!$A:$A)+1),),))</f>
        <v/>
      </c>
      <c r="H571" s="55" t="str">
        <f>IF(OR(A571&lt;&gt;"",B571&lt;&gt;"",C571&lt;&gt;""),IF($C571&lt;&gt;0,INDEX(生物种群!$A$3:INDEX(生物种群!$A:$A,COUNTA(生物种群!$A:$A)),MATCH($C571,生物种群!$F$3:INDEX(生物种群!$F:$F,COUNTA(生物种群!$F:$F)),),),IF($A571&lt;&gt;0,INDEX(生物种群!$A$3:INDEX(生物种群!$A:$A,COUNTA(生物种群!$A:$A)),MATCH($A571,生物种群!$C$3:INDEX(生物种群!$C:$C,COUNTA(生物种群!$C:$C)),),),INDEX(生物种群!$A$3:INDEX(生物种群!$A:$A,COUNTA(生物种群!$A:$A)),MATCH($B571,生物种群!$D$3:INDEX(生物种群!$D:$D,COUNTA(生物种群!$D:$D)),),))),"")</f>
        <v/>
      </c>
      <c r="I571" s="56" t="str">
        <f>IF(H571="","",INDEX(生物种群!$B$3:INDEX(生物种群!$B:$B,COUNTA(生物种群!$B:$B)),MATCH($H571,生物种群!$A$3:INDEX(生物种群!$A:$A,COUNTA(生物种群!$A:$A)),),))</f>
        <v/>
      </c>
      <c r="J571" s="55" t="str">
        <f>IF(H571="","",INDEX(生物种群!$I$3:INDEX(生物种群!$I:$I,COUNTA(生物种群!$I:$I)),MATCH($H571,生物种群!$A$3:INDEX(生物种群!$A:$A,COUNTA(生物种群!$A:$A)),),))</f>
        <v/>
      </c>
      <c r="K571" s="55" t="str">
        <f>IF(H571="","",INDEX(生物种群!$E$3:INDEX(生物种群!$E:$E,COUNTA(生物种群!$E:$E)),MATCH($H571,生物种群!$A$3:INDEX(生物种群!$A:$A,COUNTA(生物种群!$A:$A)),),))</f>
        <v/>
      </c>
      <c r="L571" s="46" t="str">
        <f t="shared" si="30"/>
        <v/>
      </c>
      <c r="M571" s="47" t="str">
        <f>IF(L571="","",ROUND((L571)/VLOOKUP($F571,IF({1,0},站位样品信息!$A$3:INDEX(站位样品信息!$A:$A,COUNTA(站位样品信息!$A:$A)+1),站位样品信息!$H$3:INDEX(站位样品信息!$H:$H,COUNTA(站位样品信息!$H:$H)+1)),2,0),2))</f>
        <v/>
      </c>
      <c r="O571" s="49"/>
      <c r="P571" s="53" t="str">
        <f t="shared" si="28"/>
        <v/>
      </c>
      <c r="Q571" s="53" t="str">
        <f t="shared" si="29"/>
        <v/>
      </c>
    </row>
    <row r="572" spans="1:17" ht="19.5" customHeight="1">
      <c r="A572" s="38"/>
      <c r="B572" s="38"/>
      <c r="C572" s="38"/>
      <c r="D572" s="37"/>
      <c r="E572" s="37"/>
      <c r="F572" s="37"/>
      <c r="G572" s="37" t="str">
        <f>IF(F572="","",INDEX(站位样品信息!$B$3:INDEX(站位样品信息!$B:$B,COUNTA(站位样品信息!$B:$B)+1),MATCH($F572,站位样品信息!$A$3:INDEX(站位样品信息!$A:$A,COUNTA(站位样品信息!$A:$A)+1),),))</f>
        <v/>
      </c>
      <c r="H572" s="55" t="str">
        <f>IF(OR(A572&lt;&gt;"",B572&lt;&gt;"",C572&lt;&gt;""),IF($C572&lt;&gt;0,INDEX(生物种群!$A$3:INDEX(生物种群!$A:$A,COUNTA(生物种群!$A:$A)),MATCH($C572,生物种群!$F$3:INDEX(生物种群!$F:$F,COUNTA(生物种群!$F:$F)),),),IF($A572&lt;&gt;0,INDEX(生物种群!$A$3:INDEX(生物种群!$A:$A,COUNTA(生物种群!$A:$A)),MATCH($A572,生物种群!$C$3:INDEX(生物种群!$C:$C,COUNTA(生物种群!$C:$C)),),),INDEX(生物种群!$A$3:INDEX(生物种群!$A:$A,COUNTA(生物种群!$A:$A)),MATCH($B572,生物种群!$D$3:INDEX(生物种群!$D:$D,COUNTA(生物种群!$D:$D)),),))),"")</f>
        <v/>
      </c>
      <c r="I572" s="56" t="str">
        <f>IF(H572="","",INDEX(生物种群!$B$3:INDEX(生物种群!$B:$B,COUNTA(生物种群!$B:$B)),MATCH($H572,生物种群!$A$3:INDEX(生物种群!$A:$A,COUNTA(生物种群!$A:$A)),),))</f>
        <v/>
      </c>
      <c r="J572" s="55" t="str">
        <f>IF(H572="","",INDEX(生物种群!$I$3:INDEX(生物种群!$I:$I,COUNTA(生物种群!$I:$I)),MATCH($H572,生物种群!$A$3:INDEX(生物种群!$A:$A,COUNTA(生物种群!$A:$A)),),))</f>
        <v/>
      </c>
      <c r="K572" s="55" t="str">
        <f>IF(H572="","",INDEX(生物种群!$E$3:INDEX(生物种群!$E:$E,COUNTA(生物种群!$E:$E)),MATCH($H572,生物种群!$A$3:INDEX(生物种群!$A:$A,COUNTA(生物种群!$A:$A)),),))</f>
        <v/>
      </c>
      <c r="L572" s="46" t="str">
        <f t="shared" si="30"/>
        <v/>
      </c>
      <c r="M572" s="47" t="str">
        <f>IF(L572="","",ROUND((L572)/VLOOKUP($F572,IF({1,0},站位样品信息!$A$3:INDEX(站位样品信息!$A:$A,COUNTA(站位样品信息!$A:$A)+1),站位样品信息!$H$3:INDEX(站位样品信息!$H:$H,COUNTA(站位样品信息!$H:$H)+1)),2,0),2))</f>
        <v/>
      </c>
      <c r="O572" s="49"/>
      <c r="P572" s="53" t="str">
        <f t="shared" si="28"/>
        <v/>
      </c>
      <c r="Q572" s="53" t="str">
        <f t="shared" si="29"/>
        <v/>
      </c>
    </row>
    <row r="573" spans="1:17" ht="19.5" customHeight="1">
      <c r="A573" s="38"/>
      <c r="B573" s="38"/>
      <c r="C573" s="38"/>
      <c r="D573" s="37"/>
      <c r="E573" s="37"/>
      <c r="F573" s="37"/>
      <c r="G573" s="37" t="str">
        <f>IF(F573="","",INDEX(站位样品信息!$B$3:INDEX(站位样品信息!$B:$B,COUNTA(站位样品信息!$B:$B)+1),MATCH($F573,站位样品信息!$A$3:INDEX(站位样品信息!$A:$A,COUNTA(站位样品信息!$A:$A)+1),),))</f>
        <v/>
      </c>
      <c r="H573" s="55" t="str">
        <f>IF(OR(A573&lt;&gt;"",B573&lt;&gt;"",C573&lt;&gt;""),IF($C573&lt;&gt;0,INDEX(生物种群!$A$3:INDEX(生物种群!$A:$A,COUNTA(生物种群!$A:$A)),MATCH($C573,生物种群!$F$3:INDEX(生物种群!$F:$F,COUNTA(生物种群!$F:$F)),),),IF($A573&lt;&gt;0,INDEX(生物种群!$A$3:INDEX(生物种群!$A:$A,COUNTA(生物种群!$A:$A)),MATCH($A573,生物种群!$C$3:INDEX(生物种群!$C:$C,COUNTA(生物种群!$C:$C)),),),INDEX(生物种群!$A$3:INDEX(生物种群!$A:$A,COUNTA(生物种群!$A:$A)),MATCH($B573,生物种群!$D$3:INDEX(生物种群!$D:$D,COUNTA(生物种群!$D:$D)),),))),"")</f>
        <v/>
      </c>
      <c r="I573" s="56" t="str">
        <f>IF(H573="","",INDEX(生物种群!$B$3:INDEX(生物种群!$B:$B,COUNTA(生物种群!$B:$B)),MATCH($H573,生物种群!$A$3:INDEX(生物种群!$A:$A,COUNTA(生物种群!$A:$A)),),))</f>
        <v/>
      </c>
      <c r="J573" s="55" t="str">
        <f>IF(H573="","",INDEX(生物种群!$I$3:INDEX(生物种群!$I:$I,COUNTA(生物种群!$I:$I)),MATCH($H573,生物种群!$A$3:INDEX(生物种群!$A:$A,COUNTA(生物种群!$A:$A)),),))</f>
        <v/>
      </c>
      <c r="K573" s="55" t="str">
        <f>IF(H573="","",INDEX(生物种群!$E$3:INDEX(生物种群!$E:$E,COUNTA(生物种群!$E:$E)),MATCH($H573,生物种群!$A$3:INDEX(生物种群!$A:$A,COUNTA(生物种群!$A:$A)),),))</f>
        <v/>
      </c>
      <c r="L573" s="46" t="str">
        <f t="shared" si="30"/>
        <v/>
      </c>
      <c r="M573" s="47" t="str">
        <f>IF(L573="","",ROUND((L573)/VLOOKUP($F573,IF({1,0},站位样品信息!$A$3:INDEX(站位样品信息!$A:$A,COUNTA(站位样品信息!$A:$A)+1),站位样品信息!$H$3:INDEX(站位样品信息!$H:$H,COUNTA(站位样品信息!$H:$H)+1)),2,0),2))</f>
        <v/>
      </c>
      <c r="O573" s="49"/>
      <c r="P573" s="53" t="str">
        <f t="shared" si="28"/>
        <v/>
      </c>
      <c r="Q573" s="53" t="str">
        <f t="shared" si="29"/>
        <v/>
      </c>
    </row>
    <row r="574" spans="1:17" ht="19.5" customHeight="1">
      <c r="A574" s="38"/>
      <c r="B574" s="38"/>
      <c r="C574" s="38"/>
      <c r="D574" s="37"/>
      <c r="E574" s="37"/>
      <c r="F574" s="37"/>
      <c r="G574" s="37" t="str">
        <f>IF(F574="","",INDEX(站位样品信息!$B$3:INDEX(站位样品信息!$B:$B,COUNTA(站位样品信息!$B:$B)+1),MATCH($F574,站位样品信息!$A$3:INDEX(站位样品信息!$A:$A,COUNTA(站位样品信息!$A:$A)+1),),))</f>
        <v/>
      </c>
      <c r="H574" s="55" t="str">
        <f>IF(OR(A574&lt;&gt;"",B574&lt;&gt;"",C574&lt;&gt;""),IF($C574&lt;&gt;0,INDEX(生物种群!$A$3:INDEX(生物种群!$A:$A,COUNTA(生物种群!$A:$A)),MATCH($C574,生物种群!$F$3:INDEX(生物种群!$F:$F,COUNTA(生物种群!$F:$F)),),),IF($A574&lt;&gt;0,INDEX(生物种群!$A$3:INDEX(生物种群!$A:$A,COUNTA(生物种群!$A:$A)),MATCH($A574,生物种群!$C$3:INDEX(生物种群!$C:$C,COUNTA(生物种群!$C:$C)),),),INDEX(生物种群!$A$3:INDEX(生物种群!$A:$A,COUNTA(生物种群!$A:$A)),MATCH($B574,生物种群!$D$3:INDEX(生物种群!$D:$D,COUNTA(生物种群!$D:$D)),),))),"")</f>
        <v/>
      </c>
      <c r="I574" s="56" t="str">
        <f>IF(H574="","",INDEX(生物种群!$B$3:INDEX(生物种群!$B:$B,COUNTA(生物种群!$B:$B)),MATCH($H574,生物种群!$A$3:INDEX(生物种群!$A:$A,COUNTA(生物种群!$A:$A)),),))</f>
        <v/>
      </c>
      <c r="J574" s="55" t="str">
        <f>IF(H574="","",INDEX(生物种群!$I$3:INDEX(生物种群!$I:$I,COUNTA(生物种群!$I:$I)),MATCH($H574,生物种群!$A$3:INDEX(生物种群!$A:$A,COUNTA(生物种群!$A:$A)),),))</f>
        <v/>
      </c>
      <c r="K574" s="55" t="str">
        <f>IF(H574="","",INDEX(生物种群!$E$3:INDEX(生物种群!$E:$E,COUNTA(生物种群!$E:$E)),MATCH($H574,生物种群!$A$3:INDEX(生物种群!$A:$A,COUNTA(生物种群!$A:$A)),),))</f>
        <v/>
      </c>
      <c r="L574" s="46" t="str">
        <f t="shared" si="30"/>
        <v/>
      </c>
      <c r="M574" s="47" t="str">
        <f>IF(L574="","",ROUND((L574)/VLOOKUP($F574,IF({1,0},站位样品信息!$A$3:INDEX(站位样品信息!$A:$A,COUNTA(站位样品信息!$A:$A)+1),站位样品信息!$H$3:INDEX(站位样品信息!$H:$H,COUNTA(站位样品信息!$H:$H)+1)),2,0),2))</f>
        <v/>
      </c>
      <c r="O574" s="49"/>
      <c r="P574" s="53" t="str">
        <f t="shared" si="28"/>
        <v/>
      </c>
      <c r="Q574" s="53" t="str">
        <f t="shared" si="29"/>
        <v/>
      </c>
    </row>
    <row r="575" spans="1:17" ht="19.5" customHeight="1">
      <c r="A575" s="38"/>
      <c r="B575" s="38"/>
      <c r="C575" s="38"/>
      <c r="D575" s="37"/>
      <c r="E575" s="37"/>
      <c r="F575" s="37"/>
      <c r="G575" s="37" t="str">
        <f>IF(F575="","",INDEX(站位样品信息!$B$3:INDEX(站位样品信息!$B:$B,COUNTA(站位样品信息!$B:$B)+1),MATCH($F575,站位样品信息!$A$3:INDEX(站位样品信息!$A:$A,COUNTA(站位样品信息!$A:$A)+1),),))</f>
        <v/>
      </c>
      <c r="H575" s="55" t="str">
        <f>IF(OR(A575&lt;&gt;"",B575&lt;&gt;"",C575&lt;&gt;""),IF($C575&lt;&gt;0,INDEX(生物种群!$A$3:INDEX(生物种群!$A:$A,COUNTA(生物种群!$A:$A)),MATCH($C575,生物种群!$F$3:INDEX(生物种群!$F:$F,COUNTA(生物种群!$F:$F)),),),IF($A575&lt;&gt;0,INDEX(生物种群!$A$3:INDEX(生物种群!$A:$A,COUNTA(生物种群!$A:$A)),MATCH($A575,生物种群!$C$3:INDEX(生物种群!$C:$C,COUNTA(生物种群!$C:$C)),),),INDEX(生物种群!$A$3:INDEX(生物种群!$A:$A,COUNTA(生物种群!$A:$A)),MATCH($B575,生物种群!$D$3:INDEX(生物种群!$D:$D,COUNTA(生物种群!$D:$D)),),))),"")</f>
        <v/>
      </c>
      <c r="I575" s="56" t="str">
        <f>IF(H575="","",INDEX(生物种群!$B$3:INDEX(生物种群!$B:$B,COUNTA(生物种群!$B:$B)),MATCH($H575,生物种群!$A$3:INDEX(生物种群!$A:$A,COUNTA(生物种群!$A:$A)),),))</f>
        <v/>
      </c>
      <c r="J575" s="55" t="str">
        <f>IF(H575="","",INDEX(生物种群!$I$3:INDEX(生物种群!$I:$I,COUNTA(生物种群!$I:$I)),MATCH($H575,生物种群!$A$3:INDEX(生物种群!$A:$A,COUNTA(生物种群!$A:$A)),),))</f>
        <v/>
      </c>
      <c r="K575" s="55" t="str">
        <f>IF(H575="","",INDEX(生物种群!$E$3:INDEX(生物种群!$E:$E,COUNTA(生物种群!$E:$E)),MATCH($H575,生物种群!$A$3:INDEX(生物种群!$A:$A,COUNTA(生物种群!$A:$A)),),))</f>
        <v/>
      </c>
      <c r="L575" s="46" t="str">
        <f t="shared" si="30"/>
        <v/>
      </c>
      <c r="M575" s="47" t="str">
        <f>IF(L575="","",ROUND((L575)/VLOOKUP($F575,IF({1,0},站位样品信息!$A$3:INDEX(站位样品信息!$A:$A,COUNTA(站位样品信息!$A:$A)+1),站位样品信息!$H$3:INDEX(站位样品信息!$H:$H,COUNTA(站位样品信息!$H:$H)+1)),2,0),2))</f>
        <v/>
      </c>
      <c r="O575" s="49"/>
      <c r="P575" s="53" t="str">
        <f t="shared" si="28"/>
        <v/>
      </c>
      <c r="Q575" s="53" t="str">
        <f t="shared" si="29"/>
        <v/>
      </c>
    </row>
    <row r="576" spans="1:17" ht="19.5" customHeight="1">
      <c r="A576" s="38"/>
      <c r="B576" s="38"/>
      <c r="C576" s="38"/>
      <c r="D576" s="37"/>
      <c r="E576" s="37"/>
      <c r="F576" s="37"/>
      <c r="G576" s="37" t="str">
        <f>IF(F576="","",INDEX(站位样品信息!$B$3:INDEX(站位样品信息!$B:$B,COUNTA(站位样品信息!$B:$B)+1),MATCH($F576,站位样品信息!$A$3:INDEX(站位样品信息!$A:$A,COUNTA(站位样品信息!$A:$A)+1),),))</f>
        <v/>
      </c>
      <c r="H576" s="55" t="str">
        <f>IF(OR(A576&lt;&gt;"",B576&lt;&gt;"",C576&lt;&gt;""),IF($C576&lt;&gt;0,INDEX(生物种群!$A$3:INDEX(生物种群!$A:$A,COUNTA(生物种群!$A:$A)),MATCH($C576,生物种群!$F$3:INDEX(生物种群!$F:$F,COUNTA(生物种群!$F:$F)),),),IF($A576&lt;&gt;0,INDEX(生物种群!$A$3:INDEX(生物种群!$A:$A,COUNTA(生物种群!$A:$A)),MATCH($A576,生物种群!$C$3:INDEX(生物种群!$C:$C,COUNTA(生物种群!$C:$C)),),),INDEX(生物种群!$A$3:INDEX(生物种群!$A:$A,COUNTA(生物种群!$A:$A)),MATCH($B576,生物种群!$D$3:INDEX(生物种群!$D:$D,COUNTA(生物种群!$D:$D)),),))),"")</f>
        <v/>
      </c>
      <c r="I576" s="56" t="str">
        <f>IF(H576="","",INDEX(生物种群!$B$3:INDEX(生物种群!$B:$B,COUNTA(生物种群!$B:$B)),MATCH($H576,生物种群!$A$3:INDEX(生物种群!$A:$A,COUNTA(生物种群!$A:$A)),),))</f>
        <v/>
      </c>
      <c r="J576" s="55" t="str">
        <f>IF(H576="","",INDEX(生物种群!$I$3:INDEX(生物种群!$I:$I,COUNTA(生物种群!$I:$I)),MATCH($H576,生物种群!$A$3:INDEX(生物种群!$A:$A,COUNTA(生物种群!$A:$A)),),))</f>
        <v/>
      </c>
      <c r="K576" s="55" t="str">
        <f>IF(H576="","",INDEX(生物种群!$E$3:INDEX(生物种群!$E:$E,COUNTA(生物种群!$E:$E)),MATCH($H576,生物种群!$A$3:INDEX(生物种群!$A:$A,COUNTA(生物种群!$A:$A)),),))</f>
        <v/>
      </c>
      <c r="L576" s="46" t="str">
        <f t="shared" si="30"/>
        <v/>
      </c>
      <c r="M576" s="47" t="str">
        <f>IF(L576="","",ROUND((L576)/VLOOKUP($F576,IF({1,0},站位样品信息!$A$3:INDEX(站位样品信息!$A:$A,COUNTA(站位样品信息!$A:$A)+1),站位样品信息!$H$3:INDEX(站位样品信息!$H:$H,COUNTA(站位样品信息!$H:$H)+1)),2,0),2))</f>
        <v/>
      </c>
      <c r="O576" s="49"/>
      <c r="P576" s="53" t="str">
        <f t="shared" si="28"/>
        <v/>
      </c>
      <c r="Q576" s="53" t="str">
        <f t="shared" si="29"/>
        <v/>
      </c>
    </row>
    <row r="577" spans="1:17" ht="19.5" customHeight="1">
      <c r="A577" s="38"/>
      <c r="B577" s="38"/>
      <c r="C577" s="38"/>
      <c r="D577" s="37"/>
      <c r="E577" s="37"/>
      <c r="F577" s="37"/>
      <c r="G577" s="37" t="str">
        <f>IF(F577="","",INDEX(站位样品信息!$B$3:INDEX(站位样品信息!$B:$B,COUNTA(站位样品信息!$B:$B)+1),MATCH($F577,站位样品信息!$A$3:INDEX(站位样品信息!$A:$A,COUNTA(站位样品信息!$A:$A)+1),),))</f>
        <v/>
      </c>
      <c r="H577" s="55" t="str">
        <f>IF(OR(A577&lt;&gt;"",B577&lt;&gt;"",C577&lt;&gt;""),IF($C577&lt;&gt;0,INDEX(生物种群!$A$3:INDEX(生物种群!$A:$A,COUNTA(生物种群!$A:$A)),MATCH($C577,生物种群!$F$3:INDEX(生物种群!$F:$F,COUNTA(生物种群!$F:$F)),),),IF($A577&lt;&gt;0,INDEX(生物种群!$A$3:INDEX(生物种群!$A:$A,COUNTA(生物种群!$A:$A)),MATCH($A577,生物种群!$C$3:INDEX(生物种群!$C:$C,COUNTA(生物种群!$C:$C)),),),INDEX(生物种群!$A$3:INDEX(生物种群!$A:$A,COUNTA(生物种群!$A:$A)),MATCH($B577,生物种群!$D$3:INDEX(生物种群!$D:$D,COUNTA(生物种群!$D:$D)),),))),"")</f>
        <v/>
      </c>
      <c r="I577" s="56" t="str">
        <f>IF(H577="","",INDEX(生物种群!$B$3:INDEX(生物种群!$B:$B,COUNTA(生物种群!$B:$B)),MATCH($H577,生物种群!$A$3:INDEX(生物种群!$A:$A,COUNTA(生物种群!$A:$A)),),))</f>
        <v/>
      </c>
      <c r="J577" s="55" t="str">
        <f>IF(H577="","",INDEX(生物种群!$I$3:INDEX(生物种群!$I:$I,COUNTA(生物种群!$I:$I)),MATCH($H577,生物种群!$A$3:INDEX(生物种群!$A:$A,COUNTA(生物种群!$A:$A)),),))</f>
        <v/>
      </c>
      <c r="K577" s="55" t="str">
        <f>IF(H577="","",INDEX(生物种群!$E$3:INDEX(生物种群!$E:$E,COUNTA(生物种群!$E:$E)),MATCH($H577,生物种群!$A$3:INDEX(生物种群!$A:$A,COUNTA(生物种群!$A:$A)),),))</f>
        <v/>
      </c>
      <c r="L577" s="46" t="str">
        <f t="shared" si="30"/>
        <v/>
      </c>
      <c r="M577" s="47" t="str">
        <f>IF(L577="","",ROUND((L577)/VLOOKUP($F577,IF({1,0},站位样品信息!$A$3:INDEX(站位样品信息!$A:$A,COUNTA(站位样品信息!$A:$A)+1),站位样品信息!$H$3:INDEX(站位样品信息!$H:$H,COUNTA(站位样品信息!$H:$H)+1)),2,0),2))</f>
        <v/>
      </c>
      <c r="O577" s="49"/>
      <c r="P577" s="53" t="str">
        <f t="shared" si="28"/>
        <v/>
      </c>
      <c r="Q577" s="53" t="str">
        <f t="shared" si="29"/>
        <v/>
      </c>
    </row>
    <row r="578" spans="1:17" ht="19.5" customHeight="1">
      <c r="A578" s="38"/>
      <c r="B578" s="38"/>
      <c r="C578" s="38"/>
      <c r="D578" s="37"/>
      <c r="E578" s="37"/>
      <c r="F578" s="37"/>
      <c r="G578" s="37" t="str">
        <f>IF(F578="","",INDEX(站位样品信息!$B$3:INDEX(站位样品信息!$B:$B,COUNTA(站位样品信息!$B:$B)+1),MATCH($F578,站位样品信息!$A$3:INDEX(站位样品信息!$A:$A,COUNTA(站位样品信息!$A:$A)+1),),))</f>
        <v/>
      </c>
      <c r="H578" s="55" t="str">
        <f>IF(OR(A578&lt;&gt;"",B578&lt;&gt;"",C578&lt;&gt;""),IF($C578&lt;&gt;0,INDEX(生物种群!$A$3:INDEX(生物种群!$A:$A,COUNTA(生物种群!$A:$A)),MATCH($C578,生物种群!$F$3:INDEX(生物种群!$F:$F,COUNTA(生物种群!$F:$F)),),),IF($A578&lt;&gt;0,INDEX(生物种群!$A$3:INDEX(生物种群!$A:$A,COUNTA(生物种群!$A:$A)),MATCH($A578,生物种群!$C$3:INDEX(生物种群!$C:$C,COUNTA(生物种群!$C:$C)),),),INDEX(生物种群!$A$3:INDEX(生物种群!$A:$A,COUNTA(生物种群!$A:$A)),MATCH($B578,生物种群!$D$3:INDEX(生物种群!$D:$D,COUNTA(生物种群!$D:$D)),),))),"")</f>
        <v/>
      </c>
      <c r="I578" s="56" t="str">
        <f>IF(H578="","",INDEX(生物种群!$B$3:INDEX(生物种群!$B:$B,COUNTA(生物种群!$B:$B)),MATCH($H578,生物种群!$A$3:INDEX(生物种群!$A:$A,COUNTA(生物种群!$A:$A)),),))</f>
        <v/>
      </c>
      <c r="J578" s="55" t="str">
        <f>IF(H578="","",INDEX(生物种群!$I$3:INDEX(生物种群!$I:$I,COUNTA(生物种群!$I:$I)),MATCH($H578,生物种群!$A$3:INDEX(生物种群!$A:$A,COUNTA(生物种群!$A:$A)),),))</f>
        <v/>
      </c>
      <c r="K578" s="55" t="str">
        <f>IF(H578="","",INDEX(生物种群!$E$3:INDEX(生物种群!$E:$E,COUNTA(生物种群!$E:$E)),MATCH($H578,生物种群!$A$3:INDEX(生物种群!$A:$A,COUNTA(生物种群!$A:$A)),),))</f>
        <v/>
      </c>
      <c r="L578" s="46" t="str">
        <f t="shared" si="30"/>
        <v/>
      </c>
      <c r="M578" s="47" t="str">
        <f>IF(L578="","",ROUND((L578)/VLOOKUP($F578,IF({1,0},站位样品信息!$A$3:INDEX(站位样品信息!$A:$A,COUNTA(站位样品信息!$A:$A)+1),站位样品信息!$H$3:INDEX(站位样品信息!$H:$H,COUNTA(站位样品信息!$H:$H)+1)),2,0),2))</f>
        <v/>
      </c>
      <c r="O578" s="49"/>
      <c r="P578" s="53" t="str">
        <f t="shared" si="28"/>
        <v/>
      </c>
      <c r="Q578" s="53" t="str">
        <f t="shared" si="29"/>
        <v/>
      </c>
    </row>
    <row r="579" spans="1:17" ht="19.5" customHeight="1">
      <c r="A579" s="38"/>
      <c r="B579" s="38"/>
      <c r="C579" s="38"/>
      <c r="D579" s="37"/>
      <c r="E579" s="37"/>
      <c r="F579" s="37"/>
      <c r="G579" s="37" t="str">
        <f>IF(F579="","",INDEX(站位样品信息!$B$3:INDEX(站位样品信息!$B:$B,COUNTA(站位样品信息!$B:$B)+1),MATCH($F579,站位样品信息!$A$3:INDEX(站位样品信息!$A:$A,COUNTA(站位样品信息!$A:$A)+1),),))</f>
        <v/>
      </c>
      <c r="H579" s="55" t="str">
        <f>IF(OR(A579&lt;&gt;"",B579&lt;&gt;"",C579&lt;&gt;""),IF($C579&lt;&gt;0,INDEX(生物种群!$A$3:INDEX(生物种群!$A:$A,COUNTA(生物种群!$A:$A)),MATCH($C579,生物种群!$F$3:INDEX(生物种群!$F:$F,COUNTA(生物种群!$F:$F)),),),IF($A579&lt;&gt;0,INDEX(生物种群!$A$3:INDEX(生物种群!$A:$A,COUNTA(生物种群!$A:$A)),MATCH($A579,生物种群!$C$3:INDEX(生物种群!$C:$C,COUNTA(生物种群!$C:$C)),),),INDEX(生物种群!$A$3:INDEX(生物种群!$A:$A,COUNTA(生物种群!$A:$A)),MATCH($B579,生物种群!$D$3:INDEX(生物种群!$D:$D,COUNTA(生物种群!$D:$D)),),))),"")</f>
        <v/>
      </c>
      <c r="I579" s="56" t="str">
        <f>IF(H579="","",INDEX(生物种群!$B$3:INDEX(生物种群!$B:$B,COUNTA(生物种群!$B:$B)),MATCH($H579,生物种群!$A$3:INDEX(生物种群!$A:$A,COUNTA(生物种群!$A:$A)),),))</f>
        <v/>
      </c>
      <c r="J579" s="55" t="str">
        <f>IF(H579="","",INDEX(生物种群!$I$3:INDEX(生物种群!$I:$I,COUNTA(生物种群!$I:$I)),MATCH($H579,生物种群!$A$3:INDEX(生物种群!$A:$A,COUNTA(生物种群!$A:$A)),),))</f>
        <v/>
      </c>
      <c r="K579" s="55" t="str">
        <f>IF(H579="","",INDEX(生物种群!$E$3:INDEX(生物种群!$E:$E,COUNTA(生物种群!$E:$E)),MATCH($H579,生物种群!$A$3:INDEX(生物种群!$A:$A,COUNTA(生物种群!$A:$A)),),))</f>
        <v/>
      </c>
      <c r="L579" s="46" t="str">
        <f t="shared" si="30"/>
        <v/>
      </c>
      <c r="M579" s="47" t="str">
        <f>IF(L579="","",ROUND((L579)/VLOOKUP($F579,IF({1,0},站位样品信息!$A$3:INDEX(站位样品信息!$A:$A,COUNTA(站位样品信息!$A:$A)+1),站位样品信息!$H$3:INDEX(站位样品信息!$H:$H,COUNTA(站位样品信息!$H:$H)+1)),2,0),2))</f>
        <v/>
      </c>
      <c r="O579" s="49"/>
      <c r="P579" s="53" t="str">
        <f t="shared" si="31" ref="P579:P642">IF(F579&gt;0,F579&amp;I579,"")</f>
        <v/>
      </c>
      <c r="Q579" s="53" t="str">
        <f t="shared" si="32" ref="Q579:Q642">IF(COUNTIF($P:$P,P579)=1,"",IF(A579&amp;B579&amp;C579="","","重复"))</f>
        <v/>
      </c>
    </row>
    <row r="580" spans="1:17" ht="19.5" customHeight="1">
      <c r="A580" s="38"/>
      <c r="B580" s="38"/>
      <c r="C580" s="38"/>
      <c r="D580" s="37"/>
      <c r="E580" s="37"/>
      <c r="F580" s="37"/>
      <c r="G580" s="37" t="str">
        <f>IF(F580="","",INDEX(站位样品信息!$B$3:INDEX(站位样品信息!$B:$B,COUNTA(站位样品信息!$B:$B)+1),MATCH($F580,站位样品信息!$A$3:INDEX(站位样品信息!$A:$A,COUNTA(站位样品信息!$A:$A)+1),),))</f>
        <v/>
      </c>
      <c r="H580" s="55" t="str">
        <f>IF(OR(A580&lt;&gt;"",B580&lt;&gt;"",C580&lt;&gt;""),IF($C580&lt;&gt;0,INDEX(生物种群!$A$3:INDEX(生物种群!$A:$A,COUNTA(生物种群!$A:$A)),MATCH($C580,生物种群!$F$3:INDEX(生物种群!$F:$F,COUNTA(生物种群!$F:$F)),),),IF($A580&lt;&gt;0,INDEX(生物种群!$A$3:INDEX(生物种群!$A:$A,COUNTA(生物种群!$A:$A)),MATCH($A580,生物种群!$C$3:INDEX(生物种群!$C:$C,COUNTA(生物种群!$C:$C)),),),INDEX(生物种群!$A$3:INDEX(生物种群!$A:$A,COUNTA(生物种群!$A:$A)),MATCH($B580,生物种群!$D$3:INDEX(生物种群!$D:$D,COUNTA(生物种群!$D:$D)),),))),"")</f>
        <v/>
      </c>
      <c r="I580" s="56" t="str">
        <f>IF(H580="","",INDEX(生物种群!$B$3:INDEX(生物种群!$B:$B,COUNTA(生物种群!$B:$B)),MATCH($H580,生物种群!$A$3:INDEX(生物种群!$A:$A,COUNTA(生物种群!$A:$A)),),))</f>
        <v/>
      </c>
      <c r="J580" s="55" t="str">
        <f>IF(H580="","",INDEX(生物种群!$I$3:INDEX(生物种群!$I:$I,COUNTA(生物种群!$I:$I)),MATCH($H580,生物种群!$A$3:INDEX(生物种群!$A:$A,COUNTA(生物种群!$A:$A)),),))</f>
        <v/>
      </c>
      <c r="K580" s="55" t="str">
        <f>IF(H580="","",INDEX(生物种群!$E$3:INDEX(生物种群!$E:$E,COUNTA(生物种群!$E:$E)),MATCH($H580,生物种群!$A$3:INDEX(生物种群!$A:$A,COUNTA(生物种群!$A:$A)),),))</f>
        <v/>
      </c>
      <c r="L580" s="46" t="str">
        <f t="shared" si="30"/>
        <v/>
      </c>
      <c r="M580" s="47" t="str">
        <f>IF(L580="","",ROUND((L580)/VLOOKUP($F580,IF({1,0},站位样品信息!$A$3:INDEX(站位样品信息!$A:$A,COUNTA(站位样品信息!$A:$A)+1),站位样品信息!$H$3:INDEX(站位样品信息!$H:$H,COUNTA(站位样品信息!$H:$H)+1)),2,0),2))</f>
        <v/>
      </c>
      <c r="O580" s="49"/>
      <c r="P580" s="53" t="str">
        <f t="shared" si="31"/>
        <v/>
      </c>
      <c r="Q580" s="53" t="str">
        <f t="shared" si="32"/>
        <v/>
      </c>
    </row>
    <row r="581" spans="1:17" ht="19.5" customHeight="1">
      <c r="A581" s="38"/>
      <c r="B581" s="38"/>
      <c r="C581" s="38"/>
      <c r="D581" s="37"/>
      <c r="E581" s="37"/>
      <c r="F581" s="37"/>
      <c r="G581" s="37" t="str">
        <f>IF(F581="","",INDEX(站位样品信息!$B$3:INDEX(站位样品信息!$B:$B,COUNTA(站位样品信息!$B:$B)+1),MATCH($F581,站位样品信息!$A$3:INDEX(站位样品信息!$A:$A,COUNTA(站位样品信息!$A:$A)+1),),))</f>
        <v/>
      </c>
      <c r="H581" s="55" t="str">
        <f>IF(OR(A581&lt;&gt;"",B581&lt;&gt;"",C581&lt;&gt;""),IF($C581&lt;&gt;0,INDEX(生物种群!$A$3:INDEX(生物种群!$A:$A,COUNTA(生物种群!$A:$A)),MATCH($C581,生物种群!$F$3:INDEX(生物种群!$F:$F,COUNTA(生物种群!$F:$F)),),),IF($A581&lt;&gt;0,INDEX(生物种群!$A$3:INDEX(生物种群!$A:$A,COUNTA(生物种群!$A:$A)),MATCH($A581,生物种群!$C$3:INDEX(生物种群!$C:$C,COUNTA(生物种群!$C:$C)),),),INDEX(生物种群!$A$3:INDEX(生物种群!$A:$A,COUNTA(生物种群!$A:$A)),MATCH($B581,生物种群!$D$3:INDEX(生物种群!$D:$D,COUNTA(生物种群!$D:$D)),),))),"")</f>
        <v/>
      </c>
      <c r="I581" s="56" t="str">
        <f>IF(H581="","",INDEX(生物种群!$B$3:INDEX(生物种群!$B:$B,COUNTA(生物种群!$B:$B)),MATCH($H581,生物种群!$A$3:INDEX(生物种群!$A:$A,COUNTA(生物种群!$A:$A)),),))</f>
        <v/>
      </c>
      <c r="J581" s="55" t="str">
        <f>IF(H581="","",INDEX(生物种群!$I$3:INDEX(生物种群!$I:$I,COUNTA(生物种群!$I:$I)),MATCH($H581,生物种群!$A$3:INDEX(生物种群!$A:$A,COUNTA(生物种群!$A:$A)),),))</f>
        <v/>
      </c>
      <c r="K581" s="55" t="str">
        <f>IF(H581="","",INDEX(生物种群!$E$3:INDEX(生物种群!$E:$E,COUNTA(生物种群!$E:$E)),MATCH($H581,生物种群!$A$3:INDEX(生物种群!$A:$A,COUNTA(生物种群!$A:$A)),),))</f>
        <v/>
      </c>
      <c r="L581" s="46" t="str">
        <f t="shared" si="30"/>
        <v/>
      </c>
      <c r="M581" s="47" t="str">
        <f>IF(L581="","",ROUND((L581)/VLOOKUP($F581,IF({1,0},站位样品信息!$A$3:INDEX(站位样品信息!$A:$A,COUNTA(站位样品信息!$A:$A)+1),站位样品信息!$H$3:INDEX(站位样品信息!$H:$H,COUNTA(站位样品信息!$H:$H)+1)),2,0),2))</f>
        <v/>
      </c>
      <c r="O581" s="49"/>
      <c r="P581" s="53" t="str">
        <f t="shared" si="31"/>
        <v/>
      </c>
      <c r="Q581" s="53" t="str">
        <f t="shared" si="32"/>
        <v/>
      </c>
    </row>
    <row r="582" spans="1:17" ht="19.5" customHeight="1">
      <c r="A582" s="38"/>
      <c r="B582" s="38"/>
      <c r="C582" s="38"/>
      <c r="D582" s="37"/>
      <c r="E582" s="37"/>
      <c r="F582" s="37"/>
      <c r="G582" s="37" t="str">
        <f>IF(F582="","",INDEX(站位样品信息!$B$3:INDEX(站位样品信息!$B:$B,COUNTA(站位样品信息!$B:$B)+1),MATCH($F582,站位样品信息!$A$3:INDEX(站位样品信息!$A:$A,COUNTA(站位样品信息!$A:$A)+1),),))</f>
        <v/>
      </c>
      <c r="H582" s="55" t="str">
        <f>IF(OR(A582&lt;&gt;"",B582&lt;&gt;"",C582&lt;&gt;""),IF($C582&lt;&gt;0,INDEX(生物种群!$A$3:INDEX(生物种群!$A:$A,COUNTA(生物种群!$A:$A)),MATCH($C582,生物种群!$F$3:INDEX(生物种群!$F:$F,COUNTA(生物种群!$F:$F)),),),IF($A582&lt;&gt;0,INDEX(生物种群!$A$3:INDEX(生物种群!$A:$A,COUNTA(生物种群!$A:$A)),MATCH($A582,生物种群!$C$3:INDEX(生物种群!$C:$C,COUNTA(生物种群!$C:$C)),),),INDEX(生物种群!$A$3:INDEX(生物种群!$A:$A,COUNTA(生物种群!$A:$A)),MATCH($B582,生物种群!$D$3:INDEX(生物种群!$D:$D,COUNTA(生物种群!$D:$D)),),))),"")</f>
        <v/>
      </c>
      <c r="I582" s="56" t="str">
        <f>IF(H582="","",INDEX(生物种群!$B$3:INDEX(生物种群!$B:$B,COUNTA(生物种群!$B:$B)),MATCH($H582,生物种群!$A$3:INDEX(生物种群!$A:$A,COUNTA(生物种群!$A:$A)),),))</f>
        <v/>
      </c>
      <c r="J582" s="55" t="str">
        <f>IF(H582="","",INDEX(生物种群!$I$3:INDEX(生物种群!$I:$I,COUNTA(生物种群!$I:$I)),MATCH($H582,生物种群!$A$3:INDEX(生物种群!$A:$A,COUNTA(生物种群!$A:$A)),),))</f>
        <v/>
      </c>
      <c r="K582" s="55" t="str">
        <f>IF(H582="","",INDEX(生物种群!$E$3:INDEX(生物种群!$E:$E,COUNTA(生物种群!$E:$E)),MATCH($H582,生物种群!$A$3:INDEX(生物种群!$A:$A,COUNTA(生物种群!$A:$A)),),))</f>
        <v/>
      </c>
      <c r="L582" s="46" t="str">
        <f t="shared" si="30"/>
        <v/>
      </c>
      <c r="M582" s="47" t="str">
        <f>IF(L582="","",ROUND((L582)/VLOOKUP($F582,IF({1,0},站位样品信息!$A$3:INDEX(站位样品信息!$A:$A,COUNTA(站位样品信息!$A:$A)+1),站位样品信息!$H$3:INDEX(站位样品信息!$H:$H,COUNTA(站位样品信息!$H:$H)+1)),2,0),2))</f>
        <v/>
      </c>
      <c r="O582" s="49"/>
      <c r="P582" s="53" t="str">
        <f t="shared" si="31"/>
        <v/>
      </c>
      <c r="Q582" s="53" t="str">
        <f t="shared" si="32"/>
        <v/>
      </c>
    </row>
    <row r="583" spans="1:17" ht="19.5" customHeight="1">
      <c r="A583" s="38"/>
      <c r="B583" s="38"/>
      <c r="C583" s="38"/>
      <c r="D583" s="37"/>
      <c r="E583" s="37"/>
      <c r="F583" s="37"/>
      <c r="G583" s="37" t="str">
        <f>IF(F583="","",INDEX(站位样品信息!$B$3:INDEX(站位样品信息!$B:$B,COUNTA(站位样品信息!$B:$B)+1),MATCH($F583,站位样品信息!$A$3:INDEX(站位样品信息!$A:$A,COUNTA(站位样品信息!$A:$A)+1),),))</f>
        <v/>
      </c>
      <c r="H583" s="55" t="str">
        <f>IF(OR(A583&lt;&gt;"",B583&lt;&gt;"",C583&lt;&gt;""),IF($C583&lt;&gt;0,INDEX(生物种群!$A$3:INDEX(生物种群!$A:$A,COUNTA(生物种群!$A:$A)),MATCH($C583,生物种群!$F$3:INDEX(生物种群!$F:$F,COUNTA(生物种群!$F:$F)),),),IF($A583&lt;&gt;0,INDEX(生物种群!$A$3:INDEX(生物种群!$A:$A,COUNTA(生物种群!$A:$A)),MATCH($A583,生物种群!$C$3:INDEX(生物种群!$C:$C,COUNTA(生物种群!$C:$C)),),),INDEX(生物种群!$A$3:INDEX(生物种群!$A:$A,COUNTA(生物种群!$A:$A)),MATCH($B583,生物种群!$D$3:INDEX(生物种群!$D:$D,COUNTA(生物种群!$D:$D)),),))),"")</f>
        <v/>
      </c>
      <c r="I583" s="56" t="str">
        <f>IF(H583="","",INDEX(生物种群!$B$3:INDEX(生物种群!$B:$B,COUNTA(生物种群!$B:$B)),MATCH($H583,生物种群!$A$3:INDEX(生物种群!$A:$A,COUNTA(生物种群!$A:$A)),),))</f>
        <v/>
      </c>
      <c r="J583" s="55" t="str">
        <f>IF(H583="","",INDEX(生物种群!$I$3:INDEX(生物种群!$I:$I,COUNTA(生物种群!$I:$I)),MATCH($H583,生物种群!$A$3:INDEX(生物种群!$A:$A,COUNTA(生物种群!$A:$A)),),))</f>
        <v/>
      </c>
      <c r="K583" s="55" t="str">
        <f>IF(H583="","",INDEX(生物种群!$E$3:INDEX(生物种群!$E:$E,COUNTA(生物种群!$E:$E)),MATCH($H583,生物种群!$A$3:INDEX(生物种群!$A:$A,COUNTA(生物种群!$A:$A)),),))</f>
        <v/>
      </c>
      <c r="L583" s="46" t="str">
        <f t="shared" si="30"/>
        <v/>
      </c>
      <c r="M583" s="47" t="str">
        <f>IF(L583="","",ROUND((L583)/VLOOKUP($F583,IF({1,0},站位样品信息!$A$3:INDEX(站位样品信息!$A:$A,COUNTA(站位样品信息!$A:$A)+1),站位样品信息!$H$3:INDEX(站位样品信息!$H:$H,COUNTA(站位样品信息!$H:$H)+1)),2,0),2))</f>
        <v/>
      </c>
      <c r="O583" s="49"/>
      <c r="P583" s="53" t="str">
        <f t="shared" si="31"/>
        <v/>
      </c>
      <c r="Q583" s="53" t="str">
        <f t="shared" si="32"/>
        <v/>
      </c>
    </row>
    <row r="584" spans="1:17" ht="19.5" customHeight="1">
      <c r="A584" s="38"/>
      <c r="B584" s="38"/>
      <c r="C584" s="38"/>
      <c r="D584" s="37"/>
      <c r="E584" s="37"/>
      <c r="F584" s="37"/>
      <c r="G584" s="37" t="str">
        <f>IF(F584="","",INDEX(站位样品信息!$B$3:INDEX(站位样品信息!$B:$B,COUNTA(站位样品信息!$B:$B)+1),MATCH($F584,站位样品信息!$A$3:INDEX(站位样品信息!$A:$A,COUNTA(站位样品信息!$A:$A)+1),),))</f>
        <v/>
      </c>
      <c r="H584" s="55" t="str">
        <f>IF(OR(A584&lt;&gt;"",B584&lt;&gt;"",C584&lt;&gt;""),IF($C584&lt;&gt;0,INDEX(生物种群!$A$3:INDEX(生物种群!$A:$A,COUNTA(生物种群!$A:$A)),MATCH($C584,生物种群!$F$3:INDEX(生物种群!$F:$F,COUNTA(生物种群!$F:$F)),),),IF($A584&lt;&gt;0,INDEX(生物种群!$A$3:INDEX(生物种群!$A:$A,COUNTA(生物种群!$A:$A)),MATCH($A584,生物种群!$C$3:INDEX(生物种群!$C:$C,COUNTA(生物种群!$C:$C)),),),INDEX(生物种群!$A$3:INDEX(生物种群!$A:$A,COUNTA(生物种群!$A:$A)),MATCH($B584,生物种群!$D$3:INDEX(生物种群!$D:$D,COUNTA(生物种群!$D:$D)),),))),"")</f>
        <v/>
      </c>
      <c r="I584" s="56" t="str">
        <f>IF(H584="","",INDEX(生物种群!$B$3:INDEX(生物种群!$B:$B,COUNTA(生物种群!$B:$B)),MATCH($H584,生物种群!$A$3:INDEX(生物种群!$A:$A,COUNTA(生物种群!$A:$A)),),))</f>
        <v/>
      </c>
      <c r="J584" s="55" t="str">
        <f>IF(H584="","",INDEX(生物种群!$I$3:INDEX(生物种群!$I:$I,COUNTA(生物种群!$I:$I)),MATCH($H584,生物种群!$A$3:INDEX(生物种群!$A:$A,COUNTA(生物种群!$A:$A)),),))</f>
        <v/>
      </c>
      <c r="K584" s="55" t="str">
        <f>IF(H584="","",INDEX(生物种群!$E$3:INDEX(生物种群!$E:$E,COUNTA(生物种群!$E:$E)),MATCH($H584,生物种群!$A$3:INDEX(生物种群!$A:$A,COUNTA(生物种群!$A:$A)),),))</f>
        <v/>
      </c>
      <c r="L584" s="46" t="str">
        <f t="shared" si="30"/>
        <v/>
      </c>
      <c r="M584" s="47" t="str">
        <f>IF(L584="","",ROUND((L584)/VLOOKUP($F584,IF({1,0},站位样品信息!$A$3:INDEX(站位样品信息!$A:$A,COUNTA(站位样品信息!$A:$A)+1),站位样品信息!$H$3:INDEX(站位样品信息!$H:$H,COUNTA(站位样品信息!$H:$H)+1)),2,0),2))</f>
        <v/>
      </c>
      <c r="O584" s="49"/>
      <c r="P584" s="53" t="str">
        <f t="shared" si="31"/>
        <v/>
      </c>
      <c r="Q584" s="53" t="str">
        <f t="shared" si="32"/>
        <v/>
      </c>
    </row>
    <row r="585" spans="1:17" ht="19.5" customHeight="1">
      <c r="A585" s="38"/>
      <c r="B585" s="38"/>
      <c r="C585" s="38"/>
      <c r="D585" s="37"/>
      <c r="E585" s="37"/>
      <c r="F585" s="37"/>
      <c r="G585" s="37" t="str">
        <f>IF(F585="","",INDEX(站位样品信息!$B$3:INDEX(站位样品信息!$B:$B,COUNTA(站位样品信息!$B:$B)+1),MATCH($F585,站位样品信息!$A$3:INDEX(站位样品信息!$A:$A,COUNTA(站位样品信息!$A:$A)+1),),))</f>
        <v/>
      </c>
      <c r="H585" s="55" t="str">
        <f>IF(OR(A585&lt;&gt;"",B585&lt;&gt;"",C585&lt;&gt;""),IF($C585&lt;&gt;0,INDEX(生物种群!$A$3:INDEX(生物种群!$A:$A,COUNTA(生物种群!$A:$A)),MATCH($C585,生物种群!$F$3:INDEX(生物种群!$F:$F,COUNTA(生物种群!$F:$F)),),),IF($A585&lt;&gt;0,INDEX(生物种群!$A$3:INDEX(生物种群!$A:$A,COUNTA(生物种群!$A:$A)),MATCH($A585,生物种群!$C$3:INDEX(生物种群!$C:$C,COUNTA(生物种群!$C:$C)),),),INDEX(生物种群!$A$3:INDEX(生物种群!$A:$A,COUNTA(生物种群!$A:$A)),MATCH($B585,生物种群!$D$3:INDEX(生物种群!$D:$D,COUNTA(生物种群!$D:$D)),),))),"")</f>
        <v/>
      </c>
      <c r="I585" s="56" t="str">
        <f>IF(H585="","",INDEX(生物种群!$B$3:INDEX(生物种群!$B:$B,COUNTA(生物种群!$B:$B)),MATCH($H585,生物种群!$A$3:INDEX(生物种群!$A:$A,COUNTA(生物种群!$A:$A)),),))</f>
        <v/>
      </c>
      <c r="J585" s="55" t="str">
        <f>IF(H585="","",INDEX(生物种群!$I$3:INDEX(生物种群!$I:$I,COUNTA(生物种群!$I:$I)),MATCH($H585,生物种群!$A$3:INDEX(生物种群!$A:$A,COUNTA(生物种群!$A:$A)),),))</f>
        <v/>
      </c>
      <c r="K585" s="55" t="str">
        <f>IF(H585="","",INDEX(生物种群!$E$3:INDEX(生物种群!$E:$E,COUNTA(生物种群!$E:$E)),MATCH($H585,生物种群!$A$3:INDEX(生物种群!$A:$A,COUNTA(生物种群!$A:$A)),),))</f>
        <v/>
      </c>
      <c r="L585" s="46" t="str">
        <f t="shared" si="30"/>
        <v/>
      </c>
      <c r="M585" s="47" t="str">
        <f>IF(L585="","",ROUND((L585)/VLOOKUP($F585,IF({1,0},站位样品信息!$A$3:INDEX(站位样品信息!$A:$A,COUNTA(站位样品信息!$A:$A)+1),站位样品信息!$H$3:INDEX(站位样品信息!$H:$H,COUNTA(站位样品信息!$H:$H)+1)),2,0),2))</f>
        <v/>
      </c>
      <c r="O585" s="49"/>
      <c r="P585" s="53" t="str">
        <f t="shared" si="31"/>
        <v/>
      </c>
      <c r="Q585" s="53" t="str">
        <f t="shared" si="32"/>
        <v/>
      </c>
    </row>
    <row r="586" spans="1:17" ht="19.5" customHeight="1">
      <c r="A586" s="38"/>
      <c r="B586" s="38"/>
      <c r="C586" s="38"/>
      <c r="D586" s="37"/>
      <c r="E586" s="37"/>
      <c r="F586" s="37"/>
      <c r="G586" s="37" t="str">
        <f>IF(F586="","",INDEX(站位样品信息!$B$3:INDEX(站位样品信息!$B:$B,COUNTA(站位样品信息!$B:$B)+1),MATCH($F586,站位样品信息!$A$3:INDEX(站位样品信息!$A:$A,COUNTA(站位样品信息!$A:$A)+1),),))</f>
        <v/>
      </c>
      <c r="H586" s="55" t="str">
        <f>IF(OR(A586&lt;&gt;"",B586&lt;&gt;"",C586&lt;&gt;""),IF($C586&lt;&gt;0,INDEX(生物种群!$A$3:INDEX(生物种群!$A:$A,COUNTA(生物种群!$A:$A)),MATCH($C586,生物种群!$F$3:INDEX(生物种群!$F:$F,COUNTA(生物种群!$F:$F)),),),IF($A586&lt;&gt;0,INDEX(生物种群!$A$3:INDEX(生物种群!$A:$A,COUNTA(生物种群!$A:$A)),MATCH($A586,生物种群!$C$3:INDEX(生物种群!$C:$C,COUNTA(生物种群!$C:$C)),),),INDEX(生物种群!$A$3:INDEX(生物种群!$A:$A,COUNTA(生物种群!$A:$A)),MATCH($B586,生物种群!$D$3:INDEX(生物种群!$D:$D,COUNTA(生物种群!$D:$D)),),))),"")</f>
        <v/>
      </c>
      <c r="I586" s="56" t="str">
        <f>IF(H586="","",INDEX(生物种群!$B$3:INDEX(生物种群!$B:$B,COUNTA(生物种群!$B:$B)),MATCH($H586,生物种群!$A$3:INDEX(生物种群!$A:$A,COUNTA(生物种群!$A:$A)),),))</f>
        <v/>
      </c>
      <c r="J586" s="55" t="str">
        <f>IF(H586="","",INDEX(生物种群!$I$3:INDEX(生物种群!$I:$I,COUNTA(生物种群!$I:$I)),MATCH($H586,生物种群!$A$3:INDEX(生物种群!$A:$A,COUNTA(生物种群!$A:$A)),),))</f>
        <v/>
      </c>
      <c r="K586" s="55" t="str">
        <f>IF(H586="","",INDEX(生物种群!$E$3:INDEX(生物种群!$E:$E,COUNTA(生物种群!$E:$E)),MATCH($H586,生物种群!$A$3:INDEX(生物种群!$A:$A,COUNTA(生物种群!$A:$A)),),))</f>
        <v/>
      </c>
      <c r="L586" s="46" t="str">
        <f t="shared" si="30"/>
        <v/>
      </c>
      <c r="M586" s="47" t="str">
        <f>IF(L586="","",ROUND((L586)/VLOOKUP($F586,IF({1,0},站位样品信息!$A$3:INDEX(站位样品信息!$A:$A,COUNTA(站位样品信息!$A:$A)+1),站位样品信息!$H$3:INDEX(站位样品信息!$H:$H,COUNTA(站位样品信息!$H:$H)+1)),2,0),2))</f>
        <v/>
      </c>
      <c r="O586" s="49"/>
      <c r="P586" s="53" t="str">
        <f t="shared" si="31"/>
        <v/>
      </c>
      <c r="Q586" s="53" t="str">
        <f t="shared" si="32"/>
        <v/>
      </c>
    </row>
    <row r="587" spans="1:17" ht="19.5" customHeight="1">
      <c r="A587" s="38"/>
      <c r="B587" s="38"/>
      <c r="C587" s="38"/>
      <c r="D587" s="37"/>
      <c r="E587" s="37"/>
      <c r="F587" s="37"/>
      <c r="G587" s="37" t="str">
        <f>IF(F587="","",INDEX(站位样品信息!$B$3:INDEX(站位样品信息!$B:$B,COUNTA(站位样品信息!$B:$B)+1),MATCH($F587,站位样品信息!$A$3:INDEX(站位样品信息!$A:$A,COUNTA(站位样品信息!$A:$A)+1),),))</f>
        <v/>
      </c>
      <c r="H587" s="55" t="str">
        <f>IF(OR(A587&lt;&gt;"",B587&lt;&gt;"",C587&lt;&gt;""),IF($C587&lt;&gt;0,INDEX(生物种群!$A$3:INDEX(生物种群!$A:$A,COUNTA(生物种群!$A:$A)),MATCH($C587,生物种群!$F$3:INDEX(生物种群!$F:$F,COUNTA(生物种群!$F:$F)),),),IF($A587&lt;&gt;0,INDEX(生物种群!$A$3:INDEX(生物种群!$A:$A,COUNTA(生物种群!$A:$A)),MATCH($A587,生物种群!$C$3:INDEX(生物种群!$C:$C,COUNTA(生物种群!$C:$C)),),),INDEX(生物种群!$A$3:INDEX(生物种群!$A:$A,COUNTA(生物种群!$A:$A)),MATCH($B587,生物种群!$D$3:INDEX(生物种群!$D:$D,COUNTA(生物种群!$D:$D)),),))),"")</f>
        <v/>
      </c>
      <c r="I587" s="56" t="str">
        <f>IF(H587="","",INDEX(生物种群!$B$3:INDEX(生物种群!$B:$B,COUNTA(生物种群!$B:$B)),MATCH($H587,生物种群!$A$3:INDEX(生物种群!$A:$A,COUNTA(生物种群!$A:$A)),),))</f>
        <v/>
      </c>
      <c r="J587" s="55" t="str">
        <f>IF(H587="","",INDEX(生物种群!$I$3:INDEX(生物种群!$I:$I,COUNTA(生物种群!$I:$I)),MATCH($H587,生物种群!$A$3:INDEX(生物种群!$A:$A,COUNTA(生物种群!$A:$A)),),))</f>
        <v/>
      </c>
      <c r="K587" s="55" t="str">
        <f>IF(H587="","",INDEX(生物种群!$E$3:INDEX(生物种群!$E:$E,COUNTA(生物种群!$E:$E)),MATCH($H587,生物种群!$A$3:INDEX(生物种群!$A:$A,COUNTA(生物种群!$A:$A)),),))</f>
        <v/>
      </c>
      <c r="L587" s="46" t="str">
        <f t="shared" si="30"/>
        <v/>
      </c>
      <c r="M587" s="47" t="str">
        <f>IF(L587="","",ROUND((L587)/VLOOKUP($F587,IF({1,0},站位样品信息!$A$3:INDEX(站位样品信息!$A:$A,COUNTA(站位样品信息!$A:$A)+1),站位样品信息!$H$3:INDEX(站位样品信息!$H:$H,COUNTA(站位样品信息!$H:$H)+1)),2,0),2))</f>
        <v/>
      </c>
      <c r="O587" s="49"/>
      <c r="P587" s="53" t="str">
        <f t="shared" si="31"/>
        <v/>
      </c>
      <c r="Q587" s="53" t="str">
        <f t="shared" si="32"/>
        <v/>
      </c>
    </row>
    <row r="588" spans="1:17" ht="19.5" customHeight="1">
      <c r="A588" s="38"/>
      <c r="B588" s="38"/>
      <c r="C588" s="38"/>
      <c r="D588" s="37"/>
      <c r="E588" s="37"/>
      <c r="F588" s="37"/>
      <c r="G588" s="37" t="str">
        <f>IF(F588="","",INDEX(站位样品信息!$B$3:INDEX(站位样品信息!$B:$B,COUNTA(站位样品信息!$B:$B)+1),MATCH($F588,站位样品信息!$A$3:INDEX(站位样品信息!$A:$A,COUNTA(站位样品信息!$A:$A)+1),),))</f>
        <v/>
      </c>
      <c r="H588" s="55" t="str">
        <f>IF(OR(A588&lt;&gt;"",B588&lt;&gt;"",C588&lt;&gt;""),IF($C588&lt;&gt;0,INDEX(生物种群!$A$3:INDEX(生物种群!$A:$A,COUNTA(生物种群!$A:$A)),MATCH($C588,生物种群!$F$3:INDEX(生物种群!$F:$F,COUNTA(生物种群!$F:$F)),),),IF($A588&lt;&gt;0,INDEX(生物种群!$A$3:INDEX(生物种群!$A:$A,COUNTA(生物种群!$A:$A)),MATCH($A588,生物种群!$C$3:INDEX(生物种群!$C:$C,COUNTA(生物种群!$C:$C)),),),INDEX(生物种群!$A$3:INDEX(生物种群!$A:$A,COUNTA(生物种群!$A:$A)),MATCH($B588,生物种群!$D$3:INDEX(生物种群!$D:$D,COUNTA(生物种群!$D:$D)),),))),"")</f>
        <v/>
      </c>
      <c r="I588" s="56" t="str">
        <f>IF(H588="","",INDEX(生物种群!$B$3:INDEX(生物种群!$B:$B,COUNTA(生物种群!$B:$B)),MATCH($H588,生物种群!$A$3:INDEX(生物种群!$A:$A,COUNTA(生物种群!$A:$A)),),))</f>
        <v/>
      </c>
      <c r="J588" s="55" t="str">
        <f>IF(H588="","",INDEX(生物种群!$I$3:INDEX(生物种群!$I:$I,COUNTA(生物种群!$I:$I)),MATCH($H588,生物种群!$A$3:INDEX(生物种群!$A:$A,COUNTA(生物种群!$A:$A)),),))</f>
        <v/>
      </c>
      <c r="K588" s="55" t="str">
        <f>IF(H588="","",INDEX(生物种群!$E$3:INDEX(生物种群!$E:$E,COUNTA(生物种群!$E:$E)),MATCH($H588,生物种群!$A$3:INDEX(生物种群!$A:$A,COUNTA(生物种群!$A:$A)),),))</f>
        <v/>
      </c>
      <c r="L588" s="46" t="str">
        <f t="shared" si="30"/>
        <v/>
      </c>
      <c r="M588" s="47" t="str">
        <f>IF(L588="","",ROUND((L588)/VLOOKUP($F588,IF({1,0},站位样品信息!$A$3:INDEX(站位样品信息!$A:$A,COUNTA(站位样品信息!$A:$A)+1),站位样品信息!$H$3:INDEX(站位样品信息!$H:$H,COUNTA(站位样品信息!$H:$H)+1)),2,0),2))</f>
        <v/>
      </c>
      <c r="O588" s="49"/>
      <c r="P588" s="53" t="str">
        <f t="shared" si="31"/>
        <v/>
      </c>
      <c r="Q588" s="53" t="str">
        <f t="shared" si="32"/>
        <v/>
      </c>
    </row>
    <row r="589" spans="1:17" ht="19.5" customHeight="1">
      <c r="A589" s="38"/>
      <c r="B589" s="38"/>
      <c r="C589" s="38"/>
      <c r="D589" s="37"/>
      <c r="E589" s="37"/>
      <c r="F589" s="37"/>
      <c r="G589" s="37" t="str">
        <f>IF(F589="","",INDEX(站位样品信息!$B$3:INDEX(站位样品信息!$B:$B,COUNTA(站位样品信息!$B:$B)+1),MATCH($F589,站位样品信息!$A$3:INDEX(站位样品信息!$A:$A,COUNTA(站位样品信息!$A:$A)+1),),))</f>
        <v/>
      </c>
      <c r="H589" s="55" t="str">
        <f>IF(OR(A589&lt;&gt;"",B589&lt;&gt;"",C589&lt;&gt;""),IF($C589&lt;&gt;0,INDEX(生物种群!$A$3:INDEX(生物种群!$A:$A,COUNTA(生物种群!$A:$A)),MATCH($C589,生物种群!$F$3:INDEX(生物种群!$F:$F,COUNTA(生物种群!$F:$F)),),),IF($A589&lt;&gt;0,INDEX(生物种群!$A$3:INDEX(生物种群!$A:$A,COUNTA(生物种群!$A:$A)),MATCH($A589,生物种群!$C$3:INDEX(生物种群!$C:$C,COUNTA(生物种群!$C:$C)),),),INDEX(生物种群!$A$3:INDEX(生物种群!$A:$A,COUNTA(生物种群!$A:$A)),MATCH($B589,生物种群!$D$3:INDEX(生物种群!$D:$D,COUNTA(生物种群!$D:$D)),),))),"")</f>
        <v/>
      </c>
      <c r="I589" s="56" t="str">
        <f>IF(H589="","",INDEX(生物种群!$B$3:INDEX(生物种群!$B:$B,COUNTA(生物种群!$B:$B)),MATCH($H589,生物种群!$A$3:INDEX(生物种群!$A:$A,COUNTA(生物种群!$A:$A)),),))</f>
        <v/>
      </c>
      <c r="J589" s="55" t="str">
        <f>IF(H589="","",INDEX(生物种群!$I$3:INDEX(生物种群!$I:$I,COUNTA(生物种群!$I:$I)),MATCH($H589,生物种群!$A$3:INDEX(生物种群!$A:$A,COUNTA(生物种群!$A:$A)),),))</f>
        <v/>
      </c>
      <c r="K589" s="55" t="str">
        <f>IF(H589="","",INDEX(生物种群!$E$3:INDEX(生物种群!$E:$E,COUNTA(生物种群!$E:$E)),MATCH($H589,生物种群!$A$3:INDEX(生物种群!$A:$A,COUNTA(生物种群!$A:$A)),),))</f>
        <v/>
      </c>
      <c r="L589" s="46" t="str">
        <f t="shared" si="33" ref="L589:L652">IFERROR(IF(OR(D589="",E589=""),"",D589/E589*100),"")</f>
        <v/>
      </c>
      <c r="M589" s="47" t="str">
        <f>IF(L589="","",ROUND((L589)/VLOOKUP($F589,IF({1,0},站位样品信息!$A$3:INDEX(站位样品信息!$A:$A,COUNTA(站位样品信息!$A:$A)+1),站位样品信息!$H$3:INDEX(站位样品信息!$H:$H,COUNTA(站位样品信息!$H:$H)+1)),2,0),2))</f>
        <v/>
      </c>
      <c r="O589" s="49"/>
      <c r="P589" s="53" t="str">
        <f t="shared" si="31"/>
        <v/>
      </c>
      <c r="Q589" s="53" t="str">
        <f t="shared" si="32"/>
        <v/>
      </c>
    </row>
    <row r="590" spans="1:17" ht="19.5" customHeight="1">
      <c r="A590" s="38"/>
      <c r="B590" s="38"/>
      <c r="C590" s="38"/>
      <c r="D590" s="37"/>
      <c r="E590" s="37"/>
      <c r="F590" s="37"/>
      <c r="G590" s="37" t="str">
        <f>IF(F590="","",INDEX(站位样品信息!$B$3:INDEX(站位样品信息!$B:$B,COUNTA(站位样品信息!$B:$B)+1),MATCH($F590,站位样品信息!$A$3:INDEX(站位样品信息!$A:$A,COUNTA(站位样品信息!$A:$A)+1),),))</f>
        <v/>
      </c>
      <c r="H590" s="55" t="str">
        <f>IF(OR(A590&lt;&gt;"",B590&lt;&gt;"",C590&lt;&gt;""),IF($C590&lt;&gt;0,INDEX(生物种群!$A$3:INDEX(生物种群!$A:$A,COUNTA(生物种群!$A:$A)),MATCH($C590,生物种群!$F$3:INDEX(生物种群!$F:$F,COUNTA(生物种群!$F:$F)),),),IF($A590&lt;&gt;0,INDEX(生物种群!$A$3:INDEX(生物种群!$A:$A,COUNTA(生物种群!$A:$A)),MATCH($A590,生物种群!$C$3:INDEX(生物种群!$C:$C,COUNTA(生物种群!$C:$C)),),),INDEX(生物种群!$A$3:INDEX(生物种群!$A:$A,COUNTA(生物种群!$A:$A)),MATCH($B590,生物种群!$D$3:INDEX(生物种群!$D:$D,COUNTA(生物种群!$D:$D)),),))),"")</f>
        <v/>
      </c>
      <c r="I590" s="56" t="str">
        <f>IF(H590="","",INDEX(生物种群!$B$3:INDEX(生物种群!$B:$B,COUNTA(生物种群!$B:$B)),MATCH($H590,生物种群!$A$3:INDEX(生物种群!$A:$A,COUNTA(生物种群!$A:$A)),),))</f>
        <v/>
      </c>
      <c r="J590" s="55" t="str">
        <f>IF(H590="","",INDEX(生物种群!$I$3:INDEX(生物种群!$I:$I,COUNTA(生物种群!$I:$I)),MATCH($H590,生物种群!$A$3:INDEX(生物种群!$A:$A,COUNTA(生物种群!$A:$A)),),))</f>
        <v/>
      </c>
      <c r="K590" s="55" t="str">
        <f>IF(H590="","",INDEX(生物种群!$E$3:INDEX(生物种群!$E:$E,COUNTA(生物种群!$E:$E)),MATCH($H590,生物种群!$A$3:INDEX(生物种群!$A:$A,COUNTA(生物种群!$A:$A)),),))</f>
        <v/>
      </c>
      <c r="L590" s="46" t="str">
        <f t="shared" si="33"/>
        <v/>
      </c>
      <c r="M590" s="47" t="str">
        <f>IF(L590="","",ROUND((L590)/VLOOKUP($F590,IF({1,0},站位样品信息!$A$3:INDEX(站位样品信息!$A:$A,COUNTA(站位样品信息!$A:$A)+1),站位样品信息!$H$3:INDEX(站位样品信息!$H:$H,COUNTA(站位样品信息!$H:$H)+1)),2,0),2))</f>
        <v/>
      </c>
      <c r="O590" s="49"/>
      <c r="P590" s="53" t="str">
        <f t="shared" si="31"/>
        <v/>
      </c>
      <c r="Q590" s="53" t="str">
        <f t="shared" si="32"/>
        <v/>
      </c>
    </row>
    <row r="591" spans="1:17" ht="19.5" customHeight="1">
      <c r="A591" s="38"/>
      <c r="B591" s="38"/>
      <c r="C591" s="38"/>
      <c r="D591" s="37"/>
      <c r="E591" s="37"/>
      <c r="F591" s="37"/>
      <c r="G591" s="37" t="str">
        <f>IF(F591="","",INDEX(站位样品信息!$B$3:INDEX(站位样品信息!$B:$B,COUNTA(站位样品信息!$B:$B)+1),MATCH($F591,站位样品信息!$A$3:INDEX(站位样品信息!$A:$A,COUNTA(站位样品信息!$A:$A)+1),),))</f>
        <v/>
      </c>
      <c r="H591" s="55" t="str">
        <f>IF(OR(A591&lt;&gt;"",B591&lt;&gt;"",C591&lt;&gt;""),IF($C591&lt;&gt;0,INDEX(生物种群!$A$3:INDEX(生物种群!$A:$A,COUNTA(生物种群!$A:$A)),MATCH($C591,生物种群!$F$3:INDEX(生物种群!$F:$F,COUNTA(生物种群!$F:$F)),),),IF($A591&lt;&gt;0,INDEX(生物种群!$A$3:INDEX(生物种群!$A:$A,COUNTA(生物种群!$A:$A)),MATCH($A591,生物种群!$C$3:INDEX(生物种群!$C:$C,COUNTA(生物种群!$C:$C)),),),INDEX(生物种群!$A$3:INDEX(生物种群!$A:$A,COUNTA(生物种群!$A:$A)),MATCH($B591,生物种群!$D$3:INDEX(生物种群!$D:$D,COUNTA(生物种群!$D:$D)),),))),"")</f>
        <v/>
      </c>
      <c r="I591" s="56" t="str">
        <f>IF(H591="","",INDEX(生物种群!$B$3:INDEX(生物种群!$B:$B,COUNTA(生物种群!$B:$B)),MATCH($H591,生物种群!$A$3:INDEX(生物种群!$A:$A,COUNTA(生物种群!$A:$A)),),))</f>
        <v/>
      </c>
      <c r="J591" s="55" t="str">
        <f>IF(H591="","",INDEX(生物种群!$I$3:INDEX(生物种群!$I:$I,COUNTA(生物种群!$I:$I)),MATCH($H591,生物种群!$A$3:INDEX(生物种群!$A:$A,COUNTA(生物种群!$A:$A)),),))</f>
        <v/>
      </c>
      <c r="K591" s="55" t="str">
        <f>IF(H591="","",INDEX(生物种群!$E$3:INDEX(生物种群!$E:$E,COUNTA(生物种群!$E:$E)),MATCH($H591,生物种群!$A$3:INDEX(生物种群!$A:$A,COUNTA(生物种群!$A:$A)),),))</f>
        <v/>
      </c>
      <c r="L591" s="46" t="str">
        <f t="shared" si="33"/>
        <v/>
      </c>
      <c r="M591" s="47" t="str">
        <f>IF(L591="","",ROUND((L591)/VLOOKUP($F591,IF({1,0},站位样品信息!$A$3:INDEX(站位样品信息!$A:$A,COUNTA(站位样品信息!$A:$A)+1),站位样品信息!$H$3:INDEX(站位样品信息!$H:$H,COUNTA(站位样品信息!$H:$H)+1)),2,0),2))</f>
        <v/>
      </c>
      <c r="O591" s="49"/>
      <c r="P591" s="53" t="str">
        <f t="shared" si="31"/>
        <v/>
      </c>
      <c r="Q591" s="53" t="str">
        <f t="shared" si="32"/>
        <v/>
      </c>
    </row>
    <row r="592" spans="1:17" ht="19.5" customHeight="1">
      <c r="A592" s="38"/>
      <c r="B592" s="38"/>
      <c r="C592" s="38"/>
      <c r="D592" s="37"/>
      <c r="E592" s="37"/>
      <c r="F592" s="37"/>
      <c r="G592" s="37" t="str">
        <f>IF(F592="","",INDEX(站位样品信息!$B$3:INDEX(站位样品信息!$B:$B,COUNTA(站位样品信息!$B:$B)+1),MATCH($F592,站位样品信息!$A$3:INDEX(站位样品信息!$A:$A,COUNTA(站位样品信息!$A:$A)+1),),))</f>
        <v/>
      </c>
      <c r="H592" s="55" t="str">
        <f>IF(OR(A592&lt;&gt;"",B592&lt;&gt;"",C592&lt;&gt;""),IF($C592&lt;&gt;0,INDEX(生物种群!$A$3:INDEX(生物种群!$A:$A,COUNTA(生物种群!$A:$A)),MATCH($C592,生物种群!$F$3:INDEX(生物种群!$F:$F,COUNTA(生物种群!$F:$F)),),),IF($A592&lt;&gt;0,INDEX(生物种群!$A$3:INDEX(生物种群!$A:$A,COUNTA(生物种群!$A:$A)),MATCH($A592,生物种群!$C$3:INDEX(生物种群!$C:$C,COUNTA(生物种群!$C:$C)),),),INDEX(生物种群!$A$3:INDEX(生物种群!$A:$A,COUNTA(生物种群!$A:$A)),MATCH($B592,生物种群!$D$3:INDEX(生物种群!$D:$D,COUNTA(生物种群!$D:$D)),),))),"")</f>
        <v/>
      </c>
      <c r="I592" s="56" t="str">
        <f>IF(H592="","",INDEX(生物种群!$B$3:INDEX(生物种群!$B:$B,COUNTA(生物种群!$B:$B)),MATCH($H592,生物种群!$A$3:INDEX(生物种群!$A:$A,COUNTA(生物种群!$A:$A)),),))</f>
        <v/>
      </c>
      <c r="J592" s="55" t="str">
        <f>IF(H592="","",INDEX(生物种群!$I$3:INDEX(生物种群!$I:$I,COUNTA(生物种群!$I:$I)),MATCH($H592,生物种群!$A$3:INDEX(生物种群!$A:$A,COUNTA(生物种群!$A:$A)),),))</f>
        <v/>
      </c>
      <c r="K592" s="55" t="str">
        <f>IF(H592="","",INDEX(生物种群!$E$3:INDEX(生物种群!$E:$E,COUNTA(生物种群!$E:$E)),MATCH($H592,生物种群!$A$3:INDEX(生物种群!$A:$A,COUNTA(生物种群!$A:$A)),),))</f>
        <v/>
      </c>
      <c r="L592" s="46" t="str">
        <f t="shared" si="33"/>
        <v/>
      </c>
      <c r="M592" s="47" t="str">
        <f>IF(L592="","",ROUND((L592)/VLOOKUP($F592,IF({1,0},站位样品信息!$A$3:INDEX(站位样品信息!$A:$A,COUNTA(站位样品信息!$A:$A)+1),站位样品信息!$H$3:INDEX(站位样品信息!$H:$H,COUNTA(站位样品信息!$H:$H)+1)),2,0),2))</f>
        <v/>
      </c>
      <c r="O592" s="49"/>
      <c r="P592" s="53" t="str">
        <f t="shared" si="31"/>
        <v/>
      </c>
      <c r="Q592" s="53" t="str">
        <f t="shared" si="32"/>
        <v/>
      </c>
    </row>
    <row r="593" spans="1:17" ht="19.5" customHeight="1">
      <c r="A593" s="38"/>
      <c r="B593" s="38"/>
      <c r="C593" s="38"/>
      <c r="D593" s="37"/>
      <c r="E593" s="37"/>
      <c r="F593" s="37"/>
      <c r="G593" s="37" t="str">
        <f>IF(F593="","",INDEX(站位样品信息!$B$3:INDEX(站位样品信息!$B:$B,COUNTA(站位样品信息!$B:$B)+1),MATCH($F593,站位样品信息!$A$3:INDEX(站位样品信息!$A:$A,COUNTA(站位样品信息!$A:$A)+1),),))</f>
        <v/>
      </c>
      <c r="H593" s="55" t="str">
        <f>IF(OR(A593&lt;&gt;"",B593&lt;&gt;"",C593&lt;&gt;""),IF($C593&lt;&gt;0,INDEX(生物种群!$A$3:INDEX(生物种群!$A:$A,COUNTA(生物种群!$A:$A)),MATCH($C593,生物种群!$F$3:INDEX(生物种群!$F:$F,COUNTA(生物种群!$F:$F)),),),IF($A593&lt;&gt;0,INDEX(生物种群!$A$3:INDEX(生物种群!$A:$A,COUNTA(生物种群!$A:$A)),MATCH($A593,生物种群!$C$3:INDEX(生物种群!$C:$C,COUNTA(生物种群!$C:$C)),),),INDEX(生物种群!$A$3:INDEX(生物种群!$A:$A,COUNTA(生物种群!$A:$A)),MATCH($B593,生物种群!$D$3:INDEX(生物种群!$D:$D,COUNTA(生物种群!$D:$D)),),))),"")</f>
        <v/>
      </c>
      <c r="I593" s="56" t="str">
        <f>IF(H593="","",INDEX(生物种群!$B$3:INDEX(生物种群!$B:$B,COUNTA(生物种群!$B:$B)),MATCH($H593,生物种群!$A$3:INDEX(生物种群!$A:$A,COUNTA(生物种群!$A:$A)),),))</f>
        <v/>
      </c>
      <c r="J593" s="55" t="str">
        <f>IF(H593="","",INDEX(生物种群!$I$3:INDEX(生物种群!$I:$I,COUNTA(生物种群!$I:$I)),MATCH($H593,生物种群!$A$3:INDEX(生物种群!$A:$A,COUNTA(生物种群!$A:$A)),),))</f>
        <v/>
      </c>
      <c r="K593" s="55" t="str">
        <f>IF(H593="","",INDEX(生物种群!$E$3:INDEX(生物种群!$E:$E,COUNTA(生物种群!$E:$E)),MATCH($H593,生物种群!$A$3:INDEX(生物种群!$A:$A,COUNTA(生物种群!$A:$A)),),))</f>
        <v/>
      </c>
      <c r="L593" s="46" t="str">
        <f t="shared" si="33"/>
        <v/>
      </c>
      <c r="M593" s="47" t="str">
        <f>IF(L593="","",ROUND((L593)/VLOOKUP($F593,IF({1,0},站位样品信息!$A$3:INDEX(站位样品信息!$A:$A,COUNTA(站位样品信息!$A:$A)+1),站位样品信息!$H$3:INDEX(站位样品信息!$H:$H,COUNTA(站位样品信息!$H:$H)+1)),2,0),2))</f>
        <v/>
      </c>
      <c r="O593" s="49"/>
      <c r="P593" s="53" t="str">
        <f t="shared" si="31"/>
        <v/>
      </c>
      <c r="Q593" s="53" t="str">
        <f t="shared" si="32"/>
        <v/>
      </c>
    </row>
    <row r="594" spans="1:17" ht="19.5" customHeight="1">
      <c r="A594" s="38"/>
      <c r="B594" s="38"/>
      <c r="C594" s="38"/>
      <c r="D594" s="37"/>
      <c r="E594" s="37"/>
      <c r="F594" s="37"/>
      <c r="G594" s="37" t="str">
        <f>IF(F594="","",INDEX(站位样品信息!$B$3:INDEX(站位样品信息!$B:$B,COUNTA(站位样品信息!$B:$B)+1),MATCH($F594,站位样品信息!$A$3:INDEX(站位样品信息!$A:$A,COUNTA(站位样品信息!$A:$A)+1),),))</f>
        <v/>
      </c>
      <c r="H594" s="55" t="str">
        <f>IF(OR(A594&lt;&gt;"",B594&lt;&gt;"",C594&lt;&gt;""),IF($C594&lt;&gt;0,INDEX(生物种群!$A$3:INDEX(生物种群!$A:$A,COUNTA(生物种群!$A:$A)),MATCH($C594,生物种群!$F$3:INDEX(生物种群!$F:$F,COUNTA(生物种群!$F:$F)),),),IF($A594&lt;&gt;0,INDEX(生物种群!$A$3:INDEX(生物种群!$A:$A,COUNTA(生物种群!$A:$A)),MATCH($A594,生物种群!$C$3:INDEX(生物种群!$C:$C,COUNTA(生物种群!$C:$C)),),),INDEX(生物种群!$A$3:INDEX(生物种群!$A:$A,COUNTA(生物种群!$A:$A)),MATCH($B594,生物种群!$D$3:INDEX(生物种群!$D:$D,COUNTA(生物种群!$D:$D)),),))),"")</f>
        <v/>
      </c>
      <c r="I594" s="56" t="str">
        <f>IF(H594="","",INDEX(生物种群!$B$3:INDEX(生物种群!$B:$B,COUNTA(生物种群!$B:$B)),MATCH($H594,生物种群!$A$3:INDEX(生物种群!$A:$A,COUNTA(生物种群!$A:$A)),),))</f>
        <v/>
      </c>
      <c r="J594" s="55" t="str">
        <f>IF(H594="","",INDEX(生物种群!$I$3:INDEX(生物种群!$I:$I,COUNTA(生物种群!$I:$I)),MATCH($H594,生物种群!$A$3:INDEX(生物种群!$A:$A,COUNTA(生物种群!$A:$A)),),))</f>
        <v/>
      </c>
      <c r="K594" s="55" t="str">
        <f>IF(H594="","",INDEX(生物种群!$E$3:INDEX(生物种群!$E:$E,COUNTA(生物种群!$E:$E)),MATCH($H594,生物种群!$A$3:INDEX(生物种群!$A:$A,COUNTA(生物种群!$A:$A)),),))</f>
        <v/>
      </c>
      <c r="L594" s="46" t="str">
        <f t="shared" si="33"/>
        <v/>
      </c>
      <c r="M594" s="47" t="str">
        <f>IF(L594="","",ROUND((L594)/VLOOKUP($F594,IF({1,0},站位样品信息!$A$3:INDEX(站位样品信息!$A:$A,COUNTA(站位样品信息!$A:$A)+1),站位样品信息!$H$3:INDEX(站位样品信息!$H:$H,COUNTA(站位样品信息!$H:$H)+1)),2,0),2))</f>
        <v/>
      </c>
      <c r="O594" s="49"/>
      <c r="P594" s="53" t="str">
        <f t="shared" si="31"/>
        <v/>
      </c>
      <c r="Q594" s="53" t="str">
        <f t="shared" si="32"/>
        <v/>
      </c>
    </row>
    <row r="595" spans="1:17" ht="19.5" customHeight="1">
      <c r="A595" s="38"/>
      <c r="B595" s="38"/>
      <c r="C595" s="38"/>
      <c r="D595" s="37"/>
      <c r="E595" s="37"/>
      <c r="F595" s="37"/>
      <c r="G595" s="37" t="str">
        <f>IF(F595="","",INDEX(站位样品信息!$B$3:INDEX(站位样品信息!$B:$B,COUNTA(站位样品信息!$B:$B)+1),MATCH($F595,站位样品信息!$A$3:INDEX(站位样品信息!$A:$A,COUNTA(站位样品信息!$A:$A)+1),),))</f>
        <v/>
      </c>
      <c r="H595" s="55" t="str">
        <f>IF(OR(A595&lt;&gt;"",B595&lt;&gt;"",C595&lt;&gt;""),IF($C595&lt;&gt;0,INDEX(生物种群!$A$3:INDEX(生物种群!$A:$A,COUNTA(生物种群!$A:$A)),MATCH($C595,生物种群!$F$3:INDEX(生物种群!$F:$F,COUNTA(生物种群!$F:$F)),),),IF($A595&lt;&gt;0,INDEX(生物种群!$A$3:INDEX(生物种群!$A:$A,COUNTA(生物种群!$A:$A)),MATCH($A595,生物种群!$C$3:INDEX(生物种群!$C:$C,COUNTA(生物种群!$C:$C)),),),INDEX(生物种群!$A$3:INDEX(生物种群!$A:$A,COUNTA(生物种群!$A:$A)),MATCH($B595,生物种群!$D$3:INDEX(生物种群!$D:$D,COUNTA(生物种群!$D:$D)),),))),"")</f>
        <v/>
      </c>
      <c r="I595" s="56" t="str">
        <f>IF(H595="","",INDEX(生物种群!$B$3:INDEX(生物种群!$B:$B,COUNTA(生物种群!$B:$B)),MATCH($H595,生物种群!$A$3:INDEX(生物种群!$A:$A,COUNTA(生物种群!$A:$A)),),))</f>
        <v/>
      </c>
      <c r="J595" s="55" t="str">
        <f>IF(H595="","",INDEX(生物种群!$I$3:INDEX(生物种群!$I:$I,COUNTA(生物种群!$I:$I)),MATCH($H595,生物种群!$A$3:INDEX(生物种群!$A:$A,COUNTA(生物种群!$A:$A)),),))</f>
        <v/>
      </c>
      <c r="K595" s="55" t="str">
        <f>IF(H595="","",INDEX(生物种群!$E$3:INDEX(生物种群!$E:$E,COUNTA(生物种群!$E:$E)),MATCH($H595,生物种群!$A$3:INDEX(生物种群!$A:$A,COUNTA(生物种群!$A:$A)),),))</f>
        <v/>
      </c>
      <c r="L595" s="46" t="str">
        <f t="shared" si="33"/>
        <v/>
      </c>
      <c r="M595" s="47" t="str">
        <f>IF(L595="","",ROUND((L595)/VLOOKUP($F595,IF({1,0},站位样品信息!$A$3:INDEX(站位样品信息!$A:$A,COUNTA(站位样品信息!$A:$A)+1),站位样品信息!$H$3:INDEX(站位样品信息!$H:$H,COUNTA(站位样品信息!$H:$H)+1)),2,0),2))</f>
        <v/>
      </c>
      <c r="O595" s="49"/>
      <c r="P595" s="53" t="str">
        <f t="shared" si="31"/>
        <v/>
      </c>
      <c r="Q595" s="53" t="str">
        <f t="shared" si="32"/>
        <v/>
      </c>
    </row>
    <row r="596" spans="1:17" ht="19.5" customHeight="1">
      <c r="A596" s="38"/>
      <c r="B596" s="38"/>
      <c r="C596" s="38"/>
      <c r="D596" s="37"/>
      <c r="E596" s="37"/>
      <c r="F596" s="37"/>
      <c r="G596" s="37" t="str">
        <f>IF(F596="","",INDEX(站位样品信息!$B$3:INDEX(站位样品信息!$B:$B,COUNTA(站位样品信息!$B:$B)+1),MATCH($F596,站位样品信息!$A$3:INDEX(站位样品信息!$A:$A,COUNTA(站位样品信息!$A:$A)+1),),))</f>
        <v/>
      </c>
      <c r="H596" s="55" t="str">
        <f>IF(OR(A596&lt;&gt;"",B596&lt;&gt;"",C596&lt;&gt;""),IF($C596&lt;&gt;0,INDEX(生物种群!$A$3:INDEX(生物种群!$A:$A,COUNTA(生物种群!$A:$A)),MATCH($C596,生物种群!$F$3:INDEX(生物种群!$F:$F,COUNTA(生物种群!$F:$F)),),),IF($A596&lt;&gt;0,INDEX(生物种群!$A$3:INDEX(生物种群!$A:$A,COUNTA(生物种群!$A:$A)),MATCH($A596,生物种群!$C$3:INDEX(生物种群!$C:$C,COUNTA(生物种群!$C:$C)),),),INDEX(生物种群!$A$3:INDEX(生物种群!$A:$A,COUNTA(生物种群!$A:$A)),MATCH($B596,生物种群!$D$3:INDEX(生物种群!$D:$D,COUNTA(生物种群!$D:$D)),),))),"")</f>
        <v/>
      </c>
      <c r="I596" s="56" t="str">
        <f>IF(H596="","",INDEX(生物种群!$B$3:INDEX(生物种群!$B:$B,COUNTA(生物种群!$B:$B)),MATCH($H596,生物种群!$A$3:INDEX(生物种群!$A:$A,COUNTA(生物种群!$A:$A)),),))</f>
        <v/>
      </c>
      <c r="J596" s="55" t="str">
        <f>IF(H596="","",INDEX(生物种群!$I$3:INDEX(生物种群!$I:$I,COUNTA(生物种群!$I:$I)),MATCH($H596,生物种群!$A$3:INDEX(生物种群!$A:$A,COUNTA(生物种群!$A:$A)),),))</f>
        <v/>
      </c>
      <c r="K596" s="55" t="str">
        <f>IF(H596="","",INDEX(生物种群!$E$3:INDEX(生物种群!$E:$E,COUNTA(生物种群!$E:$E)),MATCH($H596,生物种群!$A$3:INDEX(生物种群!$A:$A,COUNTA(生物种群!$A:$A)),),))</f>
        <v/>
      </c>
      <c r="L596" s="46" t="str">
        <f t="shared" si="33"/>
        <v/>
      </c>
      <c r="M596" s="47" t="str">
        <f>IF(L596="","",ROUND((L596)/VLOOKUP($F596,IF({1,0},站位样品信息!$A$3:INDEX(站位样品信息!$A:$A,COUNTA(站位样品信息!$A:$A)+1),站位样品信息!$H$3:INDEX(站位样品信息!$H:$H,COUNTA(站位样品信息!$H:$H)+1)),2,0),2))</f>
        <v/>
      </c>
      <c r="O596" s="49"/>
      <c r="P596" s="53" t="str">
        <f t="shared" si="31"/>
        <v/>
      </c>
      <c r="Q596" s="53" t="str">
        <f t="shared" si="32"/>
        <v/>
      </c>
    </row>
    <row r="597" spans="1:17" ht="19.5" customHeight="1">
      <c r="A597" s="38"/>
      <c r="B597" s="38"/>
      <c r="C597" s="38"/>
      <c r="D597" s="37"/>
      <c r="E597" s="37"/>
      <c r="F597" s="37"/>
      <c r="G597" s="37" t="str">
        <f>IF(F597="","",INDEX(站位样品信息!$B$3:INDEX(站位样品信息!$B:$B,COUNTA(站位样品信息!$B:$B)+1),MATCH($F597,站位样品信息!$A$3:INDEX(站位样品信息!$A:$A,COUNTA(站位样品信息!$A:$A)+1),),))</f>
        <v/>
      </c>
      <c r="H597" s="55" t="str">
        <f>IF(OR(A597&lt;&gt;"",B597&lt;&gt;"",C597&lt;&gt;""),IF($C597&lt;&gt;0,INDEX(生物种群!$A$3:INDEX(生物种群!$A:$A,COUNTA(生物种群!$A:$A)),MATCH($C597,生物种群!$F$3:INDEX(生物种群!$F:$F,COUNTA(生物种群!$F:$F)),),),IF($A597&lt;&gt;0,INDEX(生物种群!$A$3:INDEX(生物种群!$A:$A,COUNTA(生物种群!$A:$A)),MATCH($A597,生物种群!$C$3:INDEX(生物种群!$C:$C,COUNTA(生物种群!$C:$C)),),),INDEX(生物种群!$A$3:INDEX(生物种群!$A:$A,COUNTA(生物种群!$A:$A)),MATCH($B597,生物种群!$D$3:INDEX(生物种群!$D:$D,COUNTA(生物种群!$D:$D)),),))),"")</f>
        <v/>
      </c>
      <c r="I597" s="56" t="str">
        <f>IF(H597="","",INDEX(生物种群!$B$3:INDEX(生物种群!$B:$B,COUNTA(生物种群!$B:$B)),MATCH($H597,生物种群!$A$3:INDEX(生物种群!$A:$A,COUNTA(生物种群!$A:$A)),),))</f>
        <v/>
      </c>
      <c r="J597" s="55" t="str">
        <f>IF(H597="","",INDEX(生物种群!$I$3:INDEX(生物种群!$I:$I,COUNTA(生物种群!$I:$I)),MATCH($H597,生物种群!$A$3:INDEX(生物种群!$A:$A,COUNTA(生物种群!$A:$A)),),))</f>
        <v/>
      </c>
      <c r="K597" s="55" t="str">
        <f>IF(H597="","",INDEX(生物种群!$E$3:INDEX(生物种群!$E:$E,COUNTA(生物种群!$E:$E)),MATCH($H597,生物种群!$A$3:INDEX(生物种群!$A:$A,COUNTA(生物种群!$A:$A)),),))</f>
        <v/>
      </c>
      <c r="L597" s="46" t="str">
        <f t="shared" si="33"/>
        <v/>
      </c>
      <c r="M597" s="47" t="str">
        <f>IF(L597="","",ROUND((L597)/VLOOKUP($F597,IF({1,0},站位样品信息!$A$3:INDEX(站位样品信息!$A:$A,COUNTA(站位样品信息!$A:$A)+1),站位样品信息!$H$3:INDEX(站位样品信息!$H:$H,COUNTA(站位样品信息!$H:$H)+1)),2,0),2))</f>
        <v/>
      </c>
      <c r="O597" s="49"/>
      <c r="P597" s="53" t="str">
        <f t="shared" si="31"/>
        <v/>
      </c>
      <c r="Q597" s="53" t="str">
        <f t="shared" si="32"/>
        <v/>
      </c>
    </row>
    <row r="598" spans="1:17" ht="19.5" customHeight="1">
      <c r="A598" s="38"/>
      <c r="B598" s="38"/>
      <c r="C598" s="38"/>
      <c r="D598" s="37"/>
      <c r="E598" s="37"/>
      <c r="F598" s="37"/>
      <c r="G598" s="37" t="str">
        <f>IF(F598="","",INDEX(站位样品信息!$B$3:INDEX(站位样品信息!$B:$B,COUNTA(站位样品信息!$B:$B)+1),MATCH($F598,站位样品信息!$A$3:INDEX(站位样品信息!$A:$A,COUNTA(站位样品信息!$A:$A)+1),),))</f>
        <v/>
      </c>
      <c r="H598" s="55" t="str">
        <f>IF(OR(A598&lt;&gt;"",B598&lt;&gt;"",C598&lt;&gt;""),IF($C598&lt;&gt;0,INDEX(生物种群!$A$3:INDEX(生物种群!$A:$A,COUNTA(生物种群!$A:$A)),MATCH($C598,生物种群!$F$3:INDEX(生物种群!$F:$F,COUNTA(生物种群!$F:$F)),),),IF($A598&lt;&gt;0,INDEX(生物种群!$A$3:INDEX(生物种群!$A:$A,COUNTA(生物种群!$A:$A)),MATCH($A598,生物种群!$C$3:INDEX(生物种群!$C:$C,COUNTA(生物种群!$C:$C)),),),INDEX(生物种群!$A$3:INDEX(生物种群!$A:$A,COUNTA(生物种群!$A:$A)),MATCH($B598,生物种群!$D$3:INDEX(生物种群!$D:$D,COUNTA(生物种群!$D:$D)),),))),"")</f>
        <v/>
      </c>
      <c r="I598" s="56" t="str">
        <f>IF(H598="","",INDEX(生物种群!$B$3:INDEX(生物种群!$B:$B,COUNTA(生物种群!$B:$B)),MATCH($H598,生物种群!$A$3:INDEX(生物种群!$A:$A,COUNTA(生物种群!$A:$A)),),))</f>
        <v/>
      </c>
      <c r="J598" s="55" t="str">
        <f>IF(H598="","",INDEX(生物种群!$I$3:INDEX(生物种群!$I:$I,COUNTA(生物种群!$I:$I)),MATCH($H598,生物种群!$A$3:INDEX(生物种群!$A:$A,COUNTA(生物种群!$A:$A)),),))</f>
        <v/>
      </c>
      <c r="K598" s="55" t="str">
        <f>IF(H598="","",INDEX(生物种群!$E$3:INDEX(生物种群!$E:$E,COUNTA(生物种群!$E:$E)),MATCH($H598,生物种群!$A$3:INDEX(生物种群!$A:$A,COUNTA(生物种群!$A:$A)),),))</f>
        <v/>
      </c>
      <c r="L598" s="46" t="str">
        <f t="shared" si="33"/>
        <v/>
      </c>
      <c r="M598" s="47" t="str">
        <f>IF(L598="","",ROUND((L598)/VLOOKUP($F598,IF({1,0},站位样品信息!$A$3:INDEX(站位样品信息!$A:$A,COUNTA(站位样品信息!$A:$A)+1),站位样品信息!$H$3:INDEX(站位样品信息!$H:$H,COUNTA(站位样品信息!$H:$H)+1)),2,0),2))</f>
        <v/>
      </c>
      <c r="O598" s="49"/>
      <c r="P598" s="53" t="str">
        <f t="shared" si="31"/>
        <v/>
      </c>
      <c r="Q598" s="53" t="str">
        <f t="shared" si="32"/>
        <v/>
      </c>
    </row>
    <row r="599" spans="1:17" ht="19.5" customHeight="1">
      <c r="A599" s="38"/>
      <c r="B599" s="38"/>
      <c r="C599" s="38"/>
      <c r="D599" s="37"/>
      <c r="E599" s="37"/>
      <c r="F599" s="37"/>
      <c r="G599" s="37" t="str">
        <f>IF(F599="","",INDEX(站位样品信息!$B$3:INDEX(站位样品信息!$B:$B,COUNTA(站位样品信息!$B:$B)+1),MATCH($F599,站位样品信息!$A$3:INDEX(站位样品信息!$A:$A,COUNTA(站位样品信息!$A:$A)+1),),))</f>
        <v/>
      </c>
      <c r="H599" s="55" t="str">
        <f>IF(OR(A599&lt;&gt;"",B599&lt;&gt;"",C599&lt;&gt;""),IF($C599&lt;&gt;0,INDEX(生物种群!$A$3:INDEX(生物种群!$A:$A,COUNTA(生物种群!$A:$A)),MATCH($C599,生物种群!$F$3:INDEX(生物种群!$F:$F,COUNTA(生物种群!$F:$F)),),),IF($A599&lt;&gt;0,INDEX(生物种群!$A$3:INDEX(生物种群!$A:$A,COUNTA(生物种群!$A:$A)),MATCH($A599,生物种群!$C$3:INDEX(生物种群!$C:$C,COUNTA(生物种群!$C:$C)),),),INDEX(生物种群!$A$3:INDEX(生物种群!$A:$A,COUNTA(生物种群!$A:$A)),MATCH($B599,生物种群!$D$3:INDEX(生物种群!$D:$D,COUNTA(生物种群!$D:$D)),),))),"")</f>
        <v/>
      </c>
      <c r="I599" s="56" t="str">
        <f>IF(H599="","",INDEX(生物种群!$B$3:INDEX(生物种群!$B:$B,COUNTA(生物种群!$B:$B)),MATCH($H599,生物种群!$A$3:INDEX(生物种群!$A:$A,COUNTA(生物种群!$A:$A)),),))</f>
        <v/>
      </c>
      <c r="J599" s="55" t="str">
        <f>IF(H599="","",INDEX(生物种群!$I$3:INDEX(生物种群!$I:$I,COUNTA(生物种群!$I:$I)),MATCH($H599,生物种群!$A$3:INDEX(生物种群!$A:$A,COUNTA(生物种群!$A:$A)),),))</f>
        <v/>
      </c>
      <c r="K599" s="55" t="str">
        <f>IF(H599="","",INDEX(生物种群!$E$3:INDEX(生物种群!$E:$E,COUNTA(生物种群!$E:$E)),MATCH($H599,生物种群!$A$3:INDEX(生物种群!$A:$A,COUNTA(生物种群!$A:$A)),),))</f>
        <v/>
      </c>
      <c r="L599" s="46" t="str">
        <f t="shared" si="33"/>
        <v/>
      </c>
      <c r="M599" s="47" t="str">
        <f>IF(L599="","",ROUND((L599)/VLOOKUP($F599,IF({1,0},站位样品信息!$A$3:INDEX(站位样品信息!$A:$A,COUNTA(站位样品信息!$A:$A)+1),站位样品信息!$H$3:INDEX(站位样品信息!$H:$H,COUNTA(站位样品信息!$H:$H)+1)),2,0),2))</f>
        <v/>
      </c>
      <c r="O599" s="49"/>
      <c r="P599" s="53" t="str">
        <f t="shared" si="31"/>
        <v/>
      </c>
      <c r="Q599" s="53" t="str">
        <f t="shared" si="32"/>
        <v/>
      </c>
    </row>
    <row r="600" spans="1:17" ht="19.5" customHeight="1">
      <c r="A600" s="38"/>
      <c r="B600" s="38"/>
      <c r="C600" s="38"/>
      <c r="D600" s="37"/>
      <c r="E600" s="37"/>
      <c r="F600" s="37"/>
      <c r="G600" s="37" t="str">
        <f>IF(F600="","",INDEX(站位样品信息!$B$3:INDEX(站位样品信息!$B:$B,COUNTA(站位样品信息!$B:$B)+1),MATCH($F600,站位样品信息!$A$3:INDEX(站位样品信息!$A:$A,COUNTA(站位样品信息!$A:$A)+1),),))</f>
        <v/>
      </c>
      <c r="H600" s="55" t="str">
        <f>IF(OR(A600&lt;&gt;"",B600&lt;&gt;"",C600&lt;&gt;""),IF($C600&lt;&gt;0,INDEX(生物种群!$A$3:INDEX(生物种群!$A:$A,COUNTA(生物种群!$A:$A)),MATCH($C600,生物种群!$F$3:INDEX(生物种群!$F:$F,COUNTA(生物种群!$F:$F)),),),IF($A600&lt;&gt;0,INDEX(生物种群!$A$3:INDEX(生物种群!$A:$A,COUNTA(生物种群!$A:$A)),MATCH($A600,生物种群!$C$3:INDEX(生物种群!$C:$C,COUNTA(生物种群!$C:$C)),),),INDEX(生物种群!$A$3:INDEX(生物种群!$A:$A,COUNTA(生物种群!$A:$A)),MATCH($B600,生物种群!$D$3:INDEX(生物种群!$D:$D,COUNTA(生物种群!$D:$D)),),))),"")</f>
        <v/>
      </c>
      <c r="I600" s="56" t="str">
        <f>IF(H600="","",INDEX(生物种群!$B$3:INDEX(生物种群!$B:$B,COUNTA(生物种群!$B:$B)),MATCH($H600,生物种群!$A$3:INDEX(生物种群!$A:$A,COUNTA(生物种群!$A:$A)),),))</f>
        <v/>
      </c>
      <c r="J600" s="55" t="str">
        <f>IF(H600="","",INDEX(生物种群!$I$3:INDEX(生物种群!$I:$I,COUNTA(生物种群!$I:$I)),MATCH($H600,生物种群!$A$3:INDEX(生物种群!$A:$A,COUNTA(生物种群!$A:$A)),),))</f>
        <v/>
      </c>
      <c r="K600" s="55" t="str">
        <f>IF(H600="","",INDEX(生物种群!$E$3:INDEX(生物种群!$E:$E,COUNTA(生物种群!$E:$E)),MATCH($H600,生物种群!$A$3:INDEX(生物种群!$A:$A,COUNTA(生物种群!$A:$A)),),))</f>
        <v/>
      </c>
      <c r="L600" s="46" t="str">
        <f t="shared" si="33"/>
        <v/>
      </c>
      <c r="M600" s="47" t="str">
        <f>IF(L600="","",ROUND((L600)/VLOOKUP($F600,IF({1,0},站位样品信息!$A$3:INDEX(站位样品信息!$A:$A,COUNTA(站位样品信息!$A:$A)+1),站位样品信息!$H$3:INDEX(站位样品信息!$H:$H,COUNTA(站位样品信息!$H:$H)+1)),2,0),2))</f>
        <v/>
      </c>
      <c r="O600" s="49"/>
      <c r="P600" s="53" t="str">
        <f t="shared" si="31"/>
        <v/>
      </c>
      <c r="Q600" s="53" t="str">
        <f t="shared" si="32"/>
        <v/>
      </c>
    </row>
    <row r="601" spans="1:17" ht="19.5" customHeight="1">
      <c r="A601" s="38"/>
      <c r="B601" s="38"/>
      <c r="C601" s="38"/>
      <c r="D601" s="37"/>
      <c r="E601" s="37"/>
      <c r="F601" s="37"/>
      <c r="G601" s="37" t="str">
        <f>IF(F601="","",INDEX(站位样品信息!$B$3:INDEX(站位样品信息!$B:$B,COUNTA(站位样品信息!$B:$B)+1),MATCH($F601,站位样品信息!$A$3:INDEX(站位样品信息!$A:$A,COUNTA(站位样品信息!$A:$A)+1),),))</f>
        <v/>
      </c>
      <c r="H601" s="55" t="str">
        <f>IF(OR(A601&lt;&gt;"",B601&lt;&gt;"",C601&lt;&gt;""),IF($C601&lt;&gt;0,INDEX(生物种群!$A$3:INDEX(生物种群!$A:$A,COUNTA(生物种群!$A:$A)),MATCH($C601,生物种群!$F$3:INDEX(生物种群!$F:$F,COUNTA(生物种群!$F:$F)),),),IF($A601&lt;&gt;0,INDEX(生物种群!$A$3:INDEX(生物种群!$A:$A,COUNTA(生物种群!$A:$A)),MATCH($A601,生物种群!$C$3:INDEX(生物种群!$C:$C,COUNTA(生物种群!$C:$C)),),),INDEX(生物种群!$A$3:INDEX(生物种群!$A:$A,COUNTA(生物种群!$A:$A)),MATCH($B601,生物种群!$D$3:INDEX(生物种群!$D:$D,COUNTA(生物种群!$D:$D)),),))),"")</f>
        <v/>
      </c>
      <c r="I601" s="56" t="str">
        <f>IF(H601="","",INDEX(生物种群!$B$3:INDEX(生物种群!$B:$B,COUNTA(生物种群!$B:$B)),MATCH($H601,生物种群!$A$3:INDEX(生物种群!$A:$A,COUNTA(生物种群!$A:$A)),),))</f>
        <v/>
      </c>
      <c r="J601" s="55" t="str">
        <f>IF(H601="","",INDEX(生物种群!$I$3:INDEX(生物种群!$I:$I,COUNTA(生物种群!$I:$I)),MATCH($H601,生物种群!$A$3:INDEX(生物种群!$A:$A,COUNTA(生物种群!$A:$A)),),))</f>
        <v/>
      </c>
      <c r="K601" s="55" t="str">
        <f>IF(H601="","",INDEX(生物种群!$E$3:INDEX(生物种群!$E:$E,COUNTA(生物种群!$E:$E)),MATCH($H601,生物种群!$A$3:INDEX(生物种群!$A:$A,COUNTA(生物种群!$A:$A)),),))</f>
        <v/>
      </c>
      <c r="L601" s="46" t="str">
        <f t="shared" si="33"/>
        <v/>
      </c>
      <c r="M601" s="47" t="str">
        <f>IF(L601="","",ROUND((L601)/VLOOKUP($F601,IF({1,0},站位样品信息!$A$3:INDEX(站位样品信息!$A:$A,COUNTA(站位样品信息!$A:$A)+1),站位样品信息!$H$3:INDEX(站位样品信息!$H:$H,COUNTA(站位样品信息!$H:$H)+1)),2,0),2))</f>
        <v/>
      </c>
      <c r="O601" s="49"/>
      <c r="P601" s="53" t="str">
        <f t="shared" si="31"/>
        <v/>
      </c>
      <c r="Q601" s="53" t="str">
        <f t="shared" si="32"/>
        <v/>
      </c>
    </row>
    <row r="602" spans="1:17" ht="19.5" customHeight="1">
      <c r="A602" s="38"/>
      <c r="B602" s="38"/>
      <c r="C602" s="38"/>
      <c r="D602" s="37"/>
      <c r="E602" s="37"/>
      <c r="F602" s="37"/>
      <c r="G602" s="37" t="str">
        <f>IF(F602="","",INDEX(站位样品信息!$B$3:INDEX(站位样品信息!$B:$B,COUNTA(站位样品信息!$B:$B)+1),MATCH($F602,站位样品信息!$A$3:INDEX(站位样品信息!$A:$A,COUNTA(站位样品信息!$A:$A)+1),),))</f>
        <v/>
      </c>
      <c r="H602" s="55" t="str">
        <f>IF(OR(A602&lt;&gt;"",B602&lt;&gt;"",C602&lt;&gt;""),IF($C602&lt;&gt;0,INDEX(生物种群!$A$3:INDEX(生物种群!$A:$A,COUNTA(生物种群!$A:$A)),MATCH($C602,生物种群!$F$3:INDEX(生物种群!$F:$F,COUNTA(生物种群!$F:$F)),),),IF($A602&lt;&gt;0,INDEX(生物种群!$A$3:INDEX(生物种群!$A:$A,COUNTA(生物种群!$A:$A)),MATCH($A602,生物种群!$C$3:INDEX(生物种群!$C:$C,COUNTA(生物种群!$C:$C)),),),INDEX(生物种群!$A$3:INDEX(生物种群!$A:$A,COUNTA(生物种群!$A:$A)),MATCH($B602,生物种群!$D$3:INDEX(生物种群!$D:$D,COUNTA(生物种群!$D:$D)),),))),"")</f>
        <v/>
      </c>
      <c r="I602" s="56" t="str">
        <f>IF(H602="","",INDEX(生物种群!$B$3:INDEX(生物种群!$B:$B,COUNTA(生物种群!$B:$B)),MATCH($H602,生物种群!$A$3:INDEX(生物种群!$A:$A,COUNTA(生物种群!$A:$A)),),))</f>
        <v/>
      </c>
      <c r="J602" s="55" t="str">
        <f>IF(H602="","",INDEX(生物种群!$I$3:INDEX(生物种群!$I:$I,COUNTA(生物种群!$I:$I)),MATCH($H602,生物种群!$A$3:INDEX(生物种群!$A:$A,COUNTA(生物种群!$A:$A)),),))</f>
        <v/>
      </c>
      <c r="K602" s="55" t="str">
        <f>IF(H602="","",INDEX(生物种群!$E$3:INDEX(生物种群!$E:$E,COUNTA(生物种群!$E:$E)),MATCH($H602,生物种群!$A$3:INDEX(生物种群!$A:$A,COUNTA(生物种群!$A:$A)),),))</f>
        <v/>
      </c>
      <c r="L602" s="46" t="str">
        <f t="shared" si="33"/>
        <v/>
      </c>
      <c r="M602" s="47" t="str">
        <f>IF(L602="","",ROUND((L602)/VLOOKUP($F602,IF({1,0},站位样品信息!$A$3:INDEX(站位样品信息!$A:$A,COUNTA(站位样品信息!$A:$A)+1),站位样品信息!$H$3:INDEX(站位样品信息!$H:$H,COUNTA(站位样品信息!$H:$H)+1)),2,0),2))</f>
        <v/>
      </c>
      <c r="O602" s="49"/>
      <c r="P602" s="53" t="str">
        <f t="shared" si="31"/>
        <v/>
      </c>
      <c r="Q602" s="53" t="str">
        <f t="shared" si="32"/>
        <v/>
      </c>
    </row>
    <row r="603" spans="1:17" ht="19.5" customHeight="1">
      <c r="A603" s="38"/>
      <c r="B603" s="38"/>
      <c r="C603" s="38"/>
      <c r="D603" s="37"/>
      <c r="E603" s="37"/>
      <c r="F603" s="37"/>
      <c r="G603" s="37" t="str">
        <f>IF(F603="","",INDEX(站位样品信息!$B$3:INDEX(站位样品信息!$B:$B,COUNTA(站位样品信息!$B:$B)+1),MATCH($F603,站位样品信息!$A$3:INDEX(站位样品信息!$A:$A,COUNTA(站位样品信息!$A:$A)+1),),))</f>
        <v/>
      </c>
      <c r="H603" s="55" t="str">
        <f>IF(OR(A603&lt;&gt;"",B603&lt;&gt;"",C603&lt;&gt;""),IF($C603&lt;&gt;0,INDEX(生物种群!$A$3:INDEX(生物种群!$A:$A,COUNTA(生物种群!$A:$A)),MATCH($C603,生物种群!$F$3:INDEX(生物种群!$F:$F,COUNTA(生物种群!$F:$F)),),),IF($A603&lt;&gt;0,INDEX(生物种群!$A$3:INDEX(生物种群!$A:$A,COUNTA(生物种群!$A:$A)),MATCH($A603,生物种群!$C$3:INDEX(生物种群!$C:$C,COUNTA(生物种群!$C:$C)),),),INDEX(生物种群!$A$3:INDEX(生物种群!$A:$A,COUNTA(生物种群!$A:$A)),MATCH($B603,生物种群!$D$3:INDEX(生物种群!$D:$D,COUNTA(生物种群!$D:$D)),),))),"")</f>
        <v/>
      </c>
      <c r="I603" s="56" t="str">
        <f>IF(H603="","",INDEX(生物种群!$B$3:INDEX(生物种群!$B:$B,COUNTA(生物种群!$B:$B)),MATCH($H603,生物种群!$A$3:INDEX(生物种群!$A:$A,COUNTA(生物种群!$A:$A)),),))</f>
        <v/>
      </c>
      <c r="J603" s="55" t="str">
        <f>IF(H603="","",INDEX(生物种群!$I$3:INDEX(生物种群!$I:$I,COUNTA(生物种群!$I:$I)),MATCH($H603,生物种群!$A$3:INDEX(生物种群!$A:$A,COUNTA(生物种群!$A:$A)),),))</f>
        <v/>
      </c>
      <c r="K603" s="55" t="str">
        <f>IF(H603="","",INDEX(生物种群!$E$3:INDEX(生物种群!$E:$E,COUNTA(生物种群!$E:$E)),MATCH($H603,生物种群!$A$3:INDEX(生物种群!$A:$A,COUNTA(生物种群!$A:$A)),),))</f>
        <v/>
      </c>
      <c r="L603" s="46" t="str">
        <f t="shared" si="33"/>
        <v/>
      </c>
      <c r="M603" s="47" t="str">
        <f>IF(L603="","",ROUND((L603)/VLOOKUP($F603,IF({1,0},站位样品信息!$A$3:INDEX(站位样品信息!$A:$A,COUNTA(站位样品信息!$A:$A)+1),站位样品信息!$H$3:INDEX(站位样品信息!$H:$H,COUNTA(站位样品信息!$H:$H)+1)),2,0),2))</f>
        <v/>
      </c>
      <c r="O603" s="49"/>
      <c r="P603" s="53" t="str">
        <f t="shared" si="31"/>
        <v/>
      </c>
      <c r="Q603" s="53" t="str">
        <f t="shared" si="32"/>
        <v/>
      </c>
    </row>
    <row r="604" spans="1:17" ht="19.5" customHeight="1">
      <c r="A604" s="38"/>
      <c r="B604" s="38"/>
      <c r="C604" s="38"/>
      <c r="D604" s="37"/>
      <c r="E604" s="37"/>
      <c r="F604" s="37"/>
      <c r="G604" s="37" t="str">
        <f>IF(F604="","",INDEX(站位样品信息!$B$3:INDEX(站位样品信息!$B:$B,COUNTA(站位样品信息!$B:$B)+1),MATCH($F604,站位样品信息!$A$3:INDEX(站位样品信息!$A:$A,COUNTA(站位样品信息!$A:$A)+1),),))</f>
        <v/>
      </c>
      <c r="H604" s="55" t="str">
        <f>IF(OR(A604&lt;&gt;"",B604&lt;&gt;"",C604&lt;&gt;""),IF($C604&lt;&gt;0,INDEX(生物种群!$A$3:INDEX(生物种群!$A:$A,COUNTA(生物种群!$A:$A)),MATCH($C604,生物种群!$F$3:INDEX(生物种群!$F:$F,COUNTA(生物种群!$F:$F)),),),IF($A604&lt;&gt;0,INDEX(生物种群!$A$3:INDEX(生物种群!$A:$A,COUNTA(生物种群!$A:$A)),MATCH($A604,生物种群!$C$3:INDEX(生物种群!$C:$C,COUNTA(生物种群!$C:$C)),),),INDEX(生物种群!$A$3:INDEX(生物种群!$A:$A,COUNTA(生物种群!$A:$A)),MATCH($B604,生物种群!$D$3:INDEX(生物种群!$D:$D,COUNTA(生物种群!$D:$D)),),))),"")</f>
        <v/>
      </c>
      <c r="I604" s="56" t="str">
        <f>IF(H604="","",INDEX(生物种群!$B$3:INDEX(生物种群!$B:$B,COUNTA(生物种群!$B:$B)),MATCH($H604,生物种群!$A$3:INDEX(生物种群!$A:$A,COUNTA(生物种群!$A:$A)),),))</f>
        <v/>
      </c>
      <c r="J604" s="55" t="str">
        <f>IF(H604="","",INDEX(生物种群!$I$3:INDEX(生物种群!$I:$I,COUNTA(生物种群!$I:$I)),MATCH($H604,生物种群!$A$3:INDEX(生物种群!$A:$A,COUNTA(生物种群!$A:$A)),),))</f>
        <v/>
      </c>
      <c r="K604" s="55" t="str">
        <f>IF(H604="","",INDEX(生物种群!$E$3:INDEX(生物种群!$E:$E,COUNTA(生物种群!$E:$E)),MATCH($H604,生物种群!$A$3:INDEX(生物种群!$A:$A,COUNTA(生物种群!$A:$A)),),))</f>
        <v/>
      </c>
      <c r="L604" s="46" t="str">
        <f t="shared" si="33"/>
        <v/>
      </c>
      <c r="M604" s="47" t="str">
        <f>IF(L604="","",ROUND((L604)/VLOOKUP($F604,IF({1,0},站位样品信息!$A$3:INDEX(站位样品信息!$A:$A,COUNTA(站位样品信息!$A:$A)+1),站位样品信息!$H$3:INDEX(站位样品信息!$H:$H,COUNTA(站位样品信息!$H:$H)+1)),2,0),2))</f>
        <v/>
      </c>
      <c r="O604" s="49"/>
      <c r="P604" s="53" t="str">
        <f t="shared" si="31"/>
        <v/>
      </c>
      <c r="Q604" s="53" t="str">
        <f t="shared" si="32"/>
        <v/>
      </c>
    </row>
    <row r="605" spans="1:17" ht="19.5" customHeight="1">
      <c r="A605" s="38"/>
      <c r="B605" s="38"/>
      <c r="C605" s="38"/>
      <c r="D605" s="37"/>
      <c r="E605" s="37"/>
      <c r="F605" s="37"/>
      <c r="G605" s="37" t="str">
        <f>IF(F605="","",INDEX(站位样品信息!$B$3:INDEX(站位样品信息!$B:$B,COUNTA(站位样品信息!$B:$B)+1),MATCH($F605,站位样品信息!$A$3:INDEX(站位样品信息!$A:$A,COUNTA(站位样品信息!$A:$A)+1),),))</f>
        <v/>
      </c>
      <c r="H605" s="55" t="str">
        <f>IF(OR(A605&lt;&gt;"",B605&lt;&gt;"",C605&lt;&gt;""),IF($C605&lt;&gt;0,INDEX(生物种群!$A$3:INDEX(生物种群!$A:$A,COUNTA(生物种群!$A:$A)),MATCH($C605,生物种群!$F$3:INDEX(生物种群!$F:$F,COUNTA(生物种群!$F:$F)),),),IF($A605&lt;&gt;0,INDEX(生物种群!$A$3:INDEX(生物种群!$A:$A,COUNTA(生物种群!$A:$A)),MATCH($A605,生物种群!$C$3:INDEX(生物种群!$C:$C,COUNTA(生物种群!$C:$C)),),),INDEX(生物种群!$A$3:INDEX(生物种群!$A:$A,COUNTA(生物种群!$A:$A)),MATCH($B605,生物种群!$D$3:INDEX(生物种群!$D:$D,COUNTA(生物种群!$D:$D)),),))),"")</f>
        <v/>
      </c>
      <c r="I605" s="56" t="str">
        <f>IF(H605="","",INDEX(生物种群!$B$3:INDEX(生物种群!$B:$B,COUNTA(生物种群!$B:$B)),MATCH($H605,生物种群!$A$3:INDEX(生物种群!$A:$A,COUNTA(生物种群!$A:$A)),),))</f>
        <v/>
      </c>
      <c r="J605" s="55" t="str">
        <f>IF(H605="","",INDEX(生物种群!$I$3:INDEX(生物种群!$I:$I,COUNTA(生物种群!$I:$I)),MATCH($H605,生物种群!$A$3:INDEX(生物种群!$A:$A,COUNTA(生物种群!$A:$A)),),))</f>
        <v/>
      </c>
      <c r="K605" s="55" t="str">
        <f>IF(H605="","",INDEX(生物种群!$E$3:INDEX(生物种群!$E:$E,COUNTA(生物种群!$E:$E)),MATCH($H605,生物种群!$A$3:INDEX(生物种群!$A:$A,COUNTA(生物种群!$A:$A)),),))</f>
        <v/>
      </c>
      <c r="L605" s="46" t="str">
        <f t="shared" si="33"/>
        <v/>
      </c>
      <c r="M605" s="47" t="str">
        <f>IF(L605="","",ROUND((L605)/VLOOKUP($F605,IF({1,0},站位样品信息!$A$3:INDEX(站位样品信息!$A:$A,COUNTA(站位样品信息!$A:$A)+1),站位样品信息!$H$3:INDEX(站位样品信息!$H:$H,COUNTA(站位样品信息!$H:$H)+1)),2,0),2))</f>
        <v/>
      </c>
      <c r="O605" s="49"/>
      <c r="P605" s="53" t="str">
        <f t="shared" si="31"/>
        <v/>
      </c>
      <c r="Q605" s="53" t="str">
        <f t="shared" si="32"/>
        <v/>
      </c>
    </row>
    <row r="606" spans="1:17" ht="19.5" customHeight="1">
      <c r="A606" s="38"/>
      <c r="B606" s="38"/>
      <c r="C606" s="38"/>
      <c r="D606" s="37"/>
      <c r="E606" s="37"/>
      <c r="F606" s="37"/>
      <c r="G606" s="37" t="str">
        <f>IF(F606="","",INDEX(站位样品信息!$B$3:INDEX(站位样品信息!$B:$B,COUNTA(站位样品信息!$B:$B)+1),MATCH($F606,站位样品信息!$A$3:INDEX(站位样品信息!$A:$A,COUNTA(站位样品信息!$A:$A)+1),),))</f>
        <v/>
      </c>
      <c r="H606" s="55" t="str">
        <f>IF(OR(A606&lt;&gt;"",B606&lt;&gt;"",C606&lt;&gt;""),IF($C606&lt;&gt;0,INDEX(生物种群!$A$3:INDEX(生物种群!$A:$A,COUNTA(生物种群!$A:$A)),MATCH($C606,生物种群!$F$3:INDEX(生物种群!$F:$F,COUNTA(生物种群!$F:$F)),),),IF($A606&lt;&gt;0,INDEX(生物种群!$A$3:INDEX(生物种群!$A:$A,COUNTA(生物种群!$A:$A)),MATCH($A606,生物种群!$C$3:INDEX(生物种群!$C:$C,COUNTA(生物种群!$C:$C)),),),INDEX(生物种群!$A$3:INDEX(生物种群!$A:$A,COUNTA(生物种群!$A:$A)),MATCH($B606,生物种群!$D$3:INDEX(生物种群!$D:$D,COUNTA(生物种群!$D:$D)),),))),"")</f>
        <v/>
      </c>
      <c r="I606" s="56" t="str">
        <f>IF(H606="","",INDEX(生物种群!$B$3:INDEX(生物种群!$B:$B,COUNTA(生物种群!$B:$B)),MATCH($H606,生物种群!$A$3:INDEX(生物种群!$A:$A,COUNTA(生物种群!$A:$A)),),))</f>
        <v/>
      </c>
      <c r="J606" s="55" t="str">
        <f>IF(H606="","",INDEX(生物种群!$I$3:INDEX(生物种群!$I:$I,COUNTA(生物种群!$I:$I)),MATCH($H606,生物种群!$A$3:INDEX(生物种群!$A:$A,COUNTA(生物种群!$A:$A)),),))</f>
        <v/>
      </c>
      <c r="K606" s="55" t="str">
        <f>IF(H606="","",INDEX(生物种群!$E$3:INDEX(生物种群!$E:$E,COUNTA(生物种群!$E:$E)),MATCH($H606,生物种群!$A$3:INDEX(生物种群!$A:$A,COUNTA(生物种群!$A:$A)),),))</f>
        <v/>
      </c>
      <c r="L606" s="46" t="str">
        <f t="shared" si="33"/>
        <v/>
      </c>
      <c r="M606" s="47" t="str">
        <f>IF(L606="","",ROUND((L606)/VLOOKUP($F606,IF({1,0},站位样品信息!$A$3:INDEX(站位样品信息!$A:$A,COUNTA(站位样品信息!$A:$A)+1),站位样品信息!$H$3:INDEX(站位样品信息!$H:$H,COUNTA(站位样品信息!$H:$H)+1)),2,0),2))</f>
        <v/>
      </c>
      <c r="O606" s="49"/>
      <c r="P606" s="53" t="str">
        <f t="shared" si="31"/>
        <v/>
      </c>
      <c r="Q606" s="53" t="str">
        <f t="shared" si="32"/>
        <v/>
      </c>
    </row>
    <row r="607" spans="1:17" ht="19.5" customHeight="1">
      <c r="A607" s="38"/>
      <c r="B607" s="38"/>
      <c r="C607" s="38"/>
      <c r="D607" s="37"/>
      <c r="E607" s="37"/>
      <c r="F607" s="37"/>
      <c r="G607" s="37" t="str">
        <f>IF(F607="","",INDEX(站位样品信息!$B$3:INDEX(站位样品信息!$B:$B,COUNTA(站位样品信息!$B:$B)+1),MATCH($F607,站位样品信息!$A$3:INDEX(站位样品信息!$A:$A,COUNTA(站位样品信息!$A:$A)+1),),))</f>
        <v/>
      </c>
      <c r="H607" s="55" t="str">
        <f>IF(OR(A607&lt;&gt;"",B607&lt;&gt;"",C607&lt;&gt;""),IF($C607&lt;&gt;0,INDEX(生物种群!$A$3:INDEX(生物种群!$A:$A,COUNTA(生物种群!$A:$A)),MATCH($C607,生物种群!$F$3:INDEX(生物种群!$F:$F,COUNTA(生物种群!$F:$F)),),),IF($A607&lt;&gt;0,INDEX(生物种群!$A$3:INDEX(生物种群!$A:$A,COUNTA(生物种群!$A:$A)),MATCH($A607,生物种群!$C$3:INDEX(生物种群!$C:$C,COUNTA(生物种群!$C:$C)),),),INDEX(生物种群!$A$3:INDEX(生物种群!$A:$A,COUNTA(生物种群!$A:$A)),MATCH($B607,生物种群!$D$3:INDEX(生物种群!$D:$D,COUNTA(生物种群!$D:$D)),),))),"")</f>
        <v/>
      </c>
      <c r="I607" s="56" t="str">
        <f>IF(H607="","",INDEX(生物种群!$B$3:INDEX(生物种群!$B:$B,COUNTA(生物种群!$B:$B)),MATCH($H607,生物种群!$A$3:INDEX(生物种群!$A:$A,COUNTA(生物种群!$A:$A)),),))</f>
        <v/>
      </c>
      <c r="J607" s="55" t="str">
        <f>IF(H607="","",INDEX(生物种群!$I$3:INDEX(生物种群!$I:$I,COUNTA(生物种群!$I:$I)),MATCH($H607,生物种群!$A$3:INDEX(生物种群!$A:$A,COUNTA(生物种群!$A:$A)),),))</f>
        <v/>
      </c>
      <c r="K607" s="55" t="str">
        <f>IF(H607="","",INDEX(生物种群!$E$3:INDEX(生物种群!$E:$E,COUNTA(生物种群!$E:$E)),MATCH($H607,生物种群!$A$3:INDEX(生物种群!$A:$A,COUNTA(生物种群!$A:$A)),),))</f>
        <v/>
      </c>
      <c r="L607" s="46" t="str">
        <f t="shared" si="33"/>
        <v/>
      </c>
      <c r="M607" s="47" t="str">
        <f>IF(L607="","",ROUND((L607)/VLOOKUP($F607,IF({1,0},站位样品信息!$A$3:INDEX(站位样品信息!$A:$A,COUNTA(站位样品信息!$A:$A)+1),站位样品信息!$H$3:INDEX(站位样品信息!$H:$H,COUNTA(站位样品信息!$H:$H)+1)),2,0),2))</f>
        <v/>
      </c>
      <c r="O607" s="49"/>
      <c r="P607" s="53" t="str">
        <f t="shared" si="31"/>
        <v/>
      </c>
      <c r="Q607" s="53" t="str">
        <f t="shared" si="32"/>
        <v/>
      </c>
    </row>
    <row r="608" spans="1:17" ht="19.5" customHeight="1">
      <c r="A608" s="38"/>
      <c r="B608" s="38"/>
      <c r="C608" s="38"/>
      <c r="D608" s="37"/>
      <c r="E608" s="37"/>
      <c r="F608" s="37"/>
      <c r="G608" s="37" t="str">
        <f>IF(F608="","",INDEX(站位样品信息!$B$3:INDEX(站位样品信息!$B:$B,COUNTA(站位样品信息!$B:$B)+1),MATCH($F608,站位样品信息!$A$3:INDEX(站位样品信息!$A:$A,COUNTA(站位样品信息!$A:$A)+1),),))</f>
        <v/>
      </c>
      <c r="H608" s="55" t="str">
        <f>IF(OR(A608&lt;&gt;"",B608&lt;&gt;"",C608&lt;&gt;""),IF($C608&lt;&gt;0,INDEX(生物种群!$A$3:INDEX(生物种群!$A:$A,COUNTA(生物种群!$A:$A)),MATCH($C608,生物种群!$F$3:INDEX(生物种群!$F:$F,COUNTA(生物种群!$F:$F)),),),IF($A608&lt;&gt;0,INDEX(生物种群!$A$3:INDEX(生物种群!$A:$A,COUNTA(生物种群!$A:$A)),MATCH($A608,生物种群!$C$3:INDEX(生物种群!$C:$C,COUNTA(生物种群!$C:$C)),),),INDEX(生物种群!$A$3:INDEX(生物种群!$A:$A,COUNTA(生物种群!$A:$A)),MATCH($B608,生物种群!$D$3:INDEX(生物种群!$D:$D,COUNTA(生物种群!$D:$D)),),))),"")</f>
        <v/>
      </c>
      <c r="I608" s="56" t="str">
        <f>IF(H608="","",INDEX(生物种群!$B$3:INDEX(生物种群!$B:$B,COUNTA(生物种群!$B:$B)),MATCH($H608,生物种群!$A$3:INDEX(生物种群!$A:$A,COUNTA(生物种群!$A:$A)),),))</f>
        <v/>
      </c>
      <c r="J608" s="55" t="str">
        <f>IF(H608="","",INDEX(生物种群!$I$3:INDEX(生物种群!$I:$I,COUNTA(生物种群!$I:$I)),MATCH($H608,生物种群!$A$3:INDEX(生物种群!$A:$A,COUNTA(生物种群!$A:$A)),),))</f>
        <v/>
      </c>
      <c r="K608" s="55" t="str">
        <f>IF(H608="","",INDEX(生物种群!$E$3:INDEX(生物种群!$E:$E,COUNTA(生物种群!$E:$E)),MATCH($H608,生物种群!$A$3:INDEX(生物种群!$A:$A,COUNTA(生物种群!$A:$A)),),))</f>
        <v/>
      </c>
      <c r="L608" s="46" t="str">
        <f t="shared" si="33"/>
        <v/>
      </c>
      <c r="M608" s="47" t="str">
        <f>IF(L608="","",ROUND((L608)/VLOOKUP($F608,IF({1,0},站位样品信息!$A$3:INDEX(站位样品信息!$A:$A,COUNTA(站位样品信息!$A:$A)+1),站位样品信息!$H$3:INDEX(站位样品信息!$H:$H,COUNTA(站位样品信息!$H:$H)+1)),2,0),2))</f>
        <v/>
      </c>
      <c r="O608" s="49"/>
      <c r="P608" s="53" t="str">
        <f t="shared" si="31"/>
        <v/>
      </c>
      <c r="Q608" s="53" t="str">
        <f t="shared" si="32"/>
        <v/>
      </c>
    </row>
    <row r="609" spans="1:17" ht="19.5" customHeight="1">
      <c r="A609" s="38"/>
      <c r="B609" s="38"/>
      <c r="C609" s="38"/>
      <c r="D609" s="37"/>
      <c r="E609" s="37"/>
      <c r="F609" s="37"/>
      <c r="G609" s="37" t="str">
        <f>IF(F609="","",INDEX(站位样品信息!$B$3:INDEX(站位样品信息!$B:$B,COUNTA(站位样品信息!$B:$B)+1),MATCH($F609,站位样品信息!$A$3:INDEX(站位样品信息!$A:$A,COUNTA(站位样品信息!$A:$A)+1),),))</f>
        <v/>
      </c>
      <c r="H609" s="55" t="str">
        <f>IF(OR(A609&lt;&gt;"",B609&lt;&gt;"",C609&lt;&gt;""),IF($C609&lt;&gt;0,INDEX(生物种群!$A$3:INDEX(生物种群!$A:$A,COUNTA(生物种群!$A:$A)),MATCH($C609,生物种群!$F$3:INDEX(生物种群!$F:$F,COUNTA(生物种群!$F:$F)),),),IF($A609&lt;&gt;0,INDEX(生物种群!$A$3:INDEX(生物种群!$A:$A,COUNTA(生物种群!$A:$A)),MATCH($A609,生物种群!$C$3:INDEX(生物种群!$C:$C,COUNTA(生物种群!$C:$C)),),),INDEX(生物种群!$A$3:INDEX(生物种群!$A:$A,COUNTA(生物种群!$A:$A)),MATCH($B609,生物种群!$D$3:INDEX(生物种群!$D:$D,COUNTA(生物种群!$D:$D)),),))),"")</f>
        <v/>
      </c>
      <c r="I609" s="56" t="str">
        <f>IF(H609="","",INDEX(生物种群!$B$3:INDEX(生物种群!$B:$B,COUNTA(生物种群!$B:$B)),MATCH($H609,生物种群!$A$3:INDEX(生物种群!$A:$A,COUNTA(生物种群!$A:$A)),),))</f>
        <v/>
      </c>
      <c r="J609" s="55" t="str">
        <f>IF(H609="","",INDEX(生物种群!$I$3:INDEX(生物种群!$I:$I,COUNTA(生物种群!$I:$I)),MATCH($H609,生物种群!$A$3:INDEX(生物种群!$A:$A,COUNTA(生物种群!$A:$A)),),))</f>
        <v/>
      </c>
      <c r="K609" s="55" t="str">
        <f>IF(H609="","",INDEX(生物种群!$E$3:INDEX(生物种群!$E:$E,COUNTA(生物种群!$E:$E)),MATCH($H609,生物种群!$A$3:INDEX(生物种群!$A:$A,COUNTA(生物种群!$A:$A)),),))</f>
        <v/>
      </c>
      <c r="L609" s="46" t="str">
        <f t="shared" si="33"/>
        <v/>
      </c>
      <c r="M609" s="47" t="str">
        <f>IF(L609="","",ROUND((L609)/VLOOKUP($F609,IF({1,0},站位样品信息!$A$3:INDEX(站位样品信息!$A:$A,COUNTA(站位样品信息!$A:$A)+1),站位样品信息!$H$3:INDEX(站位样品信息!$H:$H,COUNTA(站位样品信息!$H:$H)+1)),2,0),2))</f>
        <v/>
      </c>
      <c r="O609" s="49"/>
      <c r="P609" s="53" t="str">
        <f t="shared" si="31"/>
        <v/>
      </c>
      <c r="Q609" s="53" t="str">
        <f t="shared" si="32"/>
        <v/>
      </c>
    </row>
    <row r="610" spans="1:17" ht="19.5" customHeight="1">
      <c r="A610" s="38"/>
      <c r="B610" s="38"/>
      <c r="C610" s="38"/>
      <c r="D610" s="37"/>
      <c r="E610" s="37"/>
      <c r="F610" s="37"/>
      <c r="G610" s="37" t="str">
        <f>IF(F610="","",INDEX(站位样品信息!$B$3:INDEX(站位样品信息!$B:$B,COUNTA(站位样品信息!$B:$B)+1),MATCH($F610,站位样品信息!$A$3:INDEX(站位样品信息!$A:$A,COUNTA(站位样品信息!$A:$A)+1),),))</f>
        <v/>
      </c>
      <c r="H610" s="55" t="str">
        <f>IF(OR(A610&lt;&gt;"",B610&lt;&gt;"",C610&lt;&gt;""),IF($C610&lt;&gt;0,INDEX(生物种群!$A$3:INDEX(生物种群!$A:$A,COUNTA(生物种群!$A:$A)),MATCH($C610,生物种群!$F$3:INDEX(生物种群!$F:$F,COUNTA(生物种群!$F:$F)),),),IF($A610&lt;&gt;0,INDEX(生物种群!$A$3:INDEX(生物种群!$A:$A,COUNTA(生物种群!$A:$A)),MATCH($A610,生物种群!$C$3:INDEX(生物种群!$C:$C,COUNTA(生物种群!$C:$C)),),),INDEX(生物种群!$A$3:INDEX(生物种群!$A:$A,COUNTA(生物种群!$A:$A)),MATCH($B610,生物种群!$D$3:INDEX(生物种群!$D:$D,COUNTA(生物种群!$D:$D)),),))),"")</f>
        <v/>
      </c>
      <c r="I610" s="56" t="str">
        <f>IF(H610="","",INDEX(生物种群!$B$3:INDEX(生物种群!$B:$B,COUNTA(生物种群!$B:$B)),MATCH($H610,生物种群!$A$3:INDEX(生物种群!$A:$A,COUNTA(生物种群!$A:$A)),),))</f>
        <v/>
      </c>
      <c r="J610" s="55" t="str">
        <f>IF(H610="","",INDEX(生物种群!$I$3:INDEX(生物种群!$I:$I,COUNTA(生物种群!$I:$I)),MATCH($H610,生物种群!$A$3:INDEX(生物种群!$A:$A,COUNTA(生物种群!$A:$A)),),))</f>
        <v/>
      </c>
      <c r="K610" s="55" t="str">
        <f>IF(H610="","",INDEX(生物种群!$E$3:INDEX(生物种群!$E:$E,COUNTA(生物种群!$E:$E)),MATCH($H610,生物种群!$A$3:INDEX(生物种群!$A:$A,COUNTA(生物种群!$A:$A)),),))</f>
        <v/>
      </c>
      <c r="L610" s="46" t="str">
        <f t="shared" si="33"/>
        <v/>
      </c>
      <c r="M610" s="47" t="str">
        <f>IF(L610="","",ROUND((L610)/VLOOKUP($F610,IF({1,0},站位样品信息!$A$3:INDEX(站位样品信息!$A:$A,COUNTA(站位样品信息!$A:$A)+1),站位样品信息!$H$3:INDEX(站位样品信息!$H:$H,COUNTA(站位样品信息!$H:$H)+1)),2,0),2))</f>
        <v/>
      </c>
      <c r="O610" s="49"/>
      <c r="P610" s="53" t="str">
        <f t="shared" si="31"/>
        <v/>
      </c>
      <c r="Q610" s="53" t="str">
        <f t="shared" si="32"/>
        <v/>
      </c>
    </row>
    <row r="611" spans="1:17" ht="19.5" customHeight="1">
      <c r="A611" s="38"/>
      <c r="B611" s="38"/>
      <c r="C611" s="38"/>
      <c r="D611" s="37"/>
      <c r="E611" s="37"/>
      <c r="F611" s="37"/>
      <c r="G611" s="37" t="str">
        <f>IF(F611="","",INDEX(站位样品信息!$B$3:INDEX(站位样品信息!$B:$B,COUNTA(站位样品信息!$B:$B)+1),MATCH($F611,站位样品信息!$A$3:INDEX(站位样品信息!$A:$A,COUNTA(站位样品信息!$A:$A)+1),),))</f>
        <v/>
      </c>
      <c r="H611" s="55" t="str">
        <f>IF(OR(A611&lt;&gt;"",B611&lt;&gt;"",C611&lt;&gt;""),IF($C611&lt;&gt;0,INDEX(生物种群!$A$3:INDEX(生物种群!$A:$A,COUNTA(生物种群!$A:$A)),MATCH($C611,生物种群!$F$3:INDEX(生物种群!$F:$F,COUNTA(生物种群!$F:$F)),),),IF($A611&lt;&gt;0,INDEX(生物种群!$A$3:INDEX(生物种群!$A:$A,COUNTA(生物种群!$A:$A)),MATCH($A611,生物种群!$C$3:INDEX(生物种群!$C:$C,COUNTA(生物种群!$C:$C)),),),INDEX(生物种群!$A$3:INDEX(生物种群!$A:$A,COUNTA(生物种群!$A:$A)),MATCH($B611,生物种群!$D$3:INDEX(生物种群!$D:$D,COUNTA(生物种群!$D:$D)),),))),"")</f>
        <v/>
      </c>
      <c r="I611" s="56" t="str">
        <f>IF(H611="","",INDEX(生物种群!$B$3:INDEX(生物种群!$B:$B,COUNTA(生物种群!$B:$B)),MATCH($H611,生物种群!$A$3:INDEX(生物种群!$A:$A,COUNTA(生物种群!$A:$A)),),))</f>
        <v/>
      </c>
      <c r="J611" s="55" t="str">
        <f>IF(H611="","",INDEX(生物种群!$I$3:INDEX(生物种群!$I:$I,COUNTA(生物种群!$I:$I)),MATCH($H611,生物种群!$A$3:INDEX(生物种群!$A:$A,COUNTA(生物种群!$A:$A)),),))</f>
        <v/>
      </c>
      <c r="K611" s="55" t="str">
        <f>IF(H611="","",INDEX(生物种群!$E$3:INDEX(生物种群!$E:$E,COUNTA(生物种群!$E:$E)),MATCH($H611,生物种群!$A$3:INDEX(生物种群!$A:$A,COUNTA(生物种群!$A:$A)),),))</f>
        <v/>
      </c>
      <c r="L611" s="46" t="str">
        <f t="shared" si="33"/>
        <v/>
      </c>
      <c r="M611" s="47" t="str">
        <f>IF(L611="","",ROUND((L611)/VLOOKUP($F611,IF({1,0},站位样品信息!$A$3:INDEX(站位样品信息!$A:$A,COUNTA(站位样品信息!$A:$A)+1),站位样品信息!$H$3:INDEX(站位样品信息!$H:$H,COUNTA(站位样品信息!$H:$H)+1)),2,0),2))</f>
        <v/>
      </c>
      <c r="O611" s="49"/>
      <c r="P611" s="53" t="str">
        <f t="shared" si="31"/>
        <v/>
      </c>
      <c r="Q611" s="53" t="str">
        <f t="shared" si="32"/>
        <v/>
      </c>
    </row>
    <row r="612" spans="1:17" ht="19.5" customHeight="1">
      <c r="A612" s="38"/>
      <c r="B612" s="38"/>
      <c r="C612" s="38"/>
      <c r="D612" s="37"/>
      <c r="E612" s="37"/>
      <c r="F612" s="37"/>
      <c r="G612" s="37" t="str">
        <f>IF(F612="","",INDEX(站位样品信息!$B$3:INDEX(站位样品信息!$B:$B,COUNTA(站位样品信息!$B:$B)+1),MATCH($F612,站位样品信息!$A$3:INDEX(站位样品信息!$A:$A,COUNTA(站位样品信息!$A:$A)+1),),))</f>
        <v/>
      </c>
      <c r="H612" s="55" t="str">
        <f>IF(OR(A612&lt;&gt;"",B612&lt;&gt;"",C612&lt;&gt;""),IF($C612&lt;&gt;0,INDEX(生物种群!$A$3:INDEX(生物种群!$A:$A,COUNTA(生物种群!$A:$A)),MATCH($C612,生物种群!$F$3:INDEX(生物种群!$F:$F,COUNTA(生物种群!$F:$F)),),),IF($A612&lt;&gt;0,INDEX(生物种群!$A$3:INDEX(生物种群!$A:$A,COUNTA(生物种群!$A:$A)),MATCH($A612,生物种群!$C$3:INDEX(生物种群!$C:$C,COUNTA(生物种群!$C:$C)),),),INDEX(生物种群!$A$3:INDEX(生物种群!$A:$A,COUNTA(生物种群!$A:$A)),MATCH($B612,生物种群!$D$3:INDEX(生物种群!$D:$D,COUNTA(生物种群!$D:$D)),),))),"")</f>
        <v/>
      </c>
      <c r="I612" s="56" t="str">
        <f>IF(H612="","",INDEX(生物种群!$B$3:INDEX(生物种群!$B:$B,COUNTA(生物种群!$B:$B)),MATCH($H612,生物种群!$A$3:INDEX(生物种群!$A:$A,COUNTA(生物种群!$A:$A)),),))</f>
        <v/>
      </c>
      <c r="J612" s="55" t="str">
        <f>IF(H612="","",INDEX(生物种群!$I$3:INDEX(生物种群!$I:$I,COUNTA(生物种群!$I:$I)),MATCH($H612,生物种群!$A$3:INDEX(生物种群!$A:$A,COUNTA(生物种群!$A:$A)),),))</f>
        <v/>
      </c>
      <c r="K612" s="55" t="str">
        <f>IF(H612="","",INDEX(生物种群!$E$3:INDEX(生物种群!$E:$E,COUNTA(生物种群!$E:$E)),MATCH($H612,生物种群!$A$3:INDEX(生物种群!$A:$A,COUNTA(生物种群!$A:$A)),),))</f>
        <v/>
      </c>
      <c r="L612" s="46" t="str">
        <f t="shared" si="33"/>
        <v/>
      </c>
      <c r="M612" s="47" t="str">
        <f>IF(L612="","",ROUND((L612)/VLOOKUP($F612,IF({1,0},站位样品信息!$A$3:INDEX(站位样品信息!$A:$A,COUNTA(站位样品信息!$A:$A)+1),站位样品信息!$H$3:INDEX(站位样品信息!$H:$H,COUNTA(站位样品信息!$H:$H)+1)),2,0),2))</f>
        <v/>
      </c>
      <c r="O612" s="49"/>
      <c r="P612" s="53" t="str">
        <f t="shared" si="31"/>
        <v/>
      </c>
      <c r="Q612" s="53" t="str">
        <f t="shared" si="32"/>
        <v/>
      </c>
    </row>
    <row r="613" spans="1:17" ht="19.5" customHeight="1">
      <c r="A613" s="38"/>
      <c r="B613" s="38"/>
      <c r="C613" s="38"/>
      <c r="D613" s="37"/>
      <c r="E613" s="37"/>
      <c r="F613" s="37"/>
      <c r="G613" s="37" t="str">
        <f>IF(F613="","",INDEX(站位样品信息!$B$3:INDEX(站位样品信息!$B:$B,COUNTA(站位样品信息!$B:$B)+1),MATCH($F613,站位样品信息!$A$3:INDEX(站位样品信息!$A:$A,COUNTA(站位样品信息!$A:$A)+1),),))</f>
        <v/>
      </c>
      <c r="H613" s="55" t="str">
        <f>IF(OR(A613&lt;&gt;"",B613&lt;&gt;"",C613&lt;&gt;""),IF($C613&lt;&gt;0,INDEX(生物种群!$A$3:INDEX(生物种群!$A:$A,COUNTA(生物种群!$A:$A)),MATCH($C613,生物种群!$F$3:INDEX(生物种群!$F:$F,COUNTA(生物种群!$F:$F)),),),IF($A613&lt;&gt;0,INDEX(生物种群!$A$3:INDEX(生物种群!$A:$A,COUNTA(生物种群!$A:$A)),MATCH($A613,生物种群!$C$3:INDEX(生物种群!$C:$C,COUNTA(生物种群!$C:$C)),),),INDEX(生物种群!$A$3:INDEX(生物种群!$A:$A,COUNTA(生物种群!$A:$A)),MATCH($B613,生物种群!$D$3:INDEX(生物种群!$D:$D,COUNTA(生物种群!$D:$D)),),))),"")</f>
        <v/>
      </c>
      <c r="I613" s="56" t="str">
        <f>IF(H613="","",INDEX(生物种群!$B$3:INDEX(生物种群!$B:$B,COUNTA(生物种群!$B:$B)),MATCH($H613,生物种群!$A$3:INDEX(生物种群!$A:$A,COUNTA(生物种群!$A:$A)),),))</f>
        <v/>
      </c>
      <c r="J613" s="55" t="str">
        <f>IF(H613="","",INDEX(生物种群!$I$3:INDEX(生物种群!$I:$I,COUNTA(生物种群!$I:$I)),MATCH($H613,生物种群!$A$3:INDEX(生物种群!$A:$A,COUNTA(生物种群!$A:$A)),),))</f>
        <v/>
      </c>
      <c r="K613" s="55" t="str">
        <f>IF(H613="","",INDEX(生物种群!$E$3:INDEX(生物种群!$E:$E,COUNTA(生物种群!$E:$E)),MATCH($H613,生物种群!$A$3:INDEX(生物种群!$A:$A,COUNTA(生物种群!$A:$A)),),))</f>
        <v/>
      </c>
      <c r="L613" s="46" t="str">
        <f t="shared" si="33"/>
        <v/>
      </c>
      <c r="M613" s="47" t="str">
        <f>IF(L613="","",ROUND((L613)/VLOOKUP($F613,IF({1,0},站位样品信息!$A$3:INDEX(站位样品信息!$A:$A,COUNTA(站位样品信息!$A:$A)+1),站位样品信息!$H$3:INDEX(站位样品信息!$H:$H,COUNTA(站位样品信息!$H:$H)+1)),2,0),2))</f>
        <v/>
      </c>
      <c r="O613" s="49"/>
      <c r="P613" s="53" t="str">
        <f t="shared" si="31"/>
        <v/>
      </c>
      <c r="Q613" s="53" t="str">
        <f t="shared" si="32"/>
        <v/>
      </c>
    </row>
    <row r="614" spans="1:17" ht="19.5" customHeight="1">
      <c r="A614" s="38"/>
      <c r="B614" s="38"/>
      <c r="C614" s="38"/>
      <c r="D614" s="37"/>
      <c r="E614" s="37"/>
      <c r="F614" s="37"/>
      <c r="G614" s="37" t="str">
        <f>IF(F614="","",INDEX(站位样品信息!$B$3:INDEX(站位样品信息!$B:$B,COUNTA(站位样品信息!$B:$B)+1),MATCH($F614,站位样品信息!$A$3:INDEX(站位样品信息!$A:$A,COUNTA(站位样品信息!$A:$A)+1),),))</f>
        <v/>
      </c>
      <c r="H614" s="55" t="str">
        <f>IF(OR(A614&lt;&gt;"",B614&lt;&gt;"",C614&lt;&gt;""),IF($C614&lt;&gt;0,INDEX(生物种群!$A$3:INDEX(生物种群!$A:$A,COUNTA(生物种群!$A:$A)),MATCH($C614,生物种群!$F$3:INDEX(生物种群!$F:$F,COUNTA(生物种群!$F:$F)),),),IF($A614&lt;&gt;0,INDEX(生物种群!$A$3:INDEX(生物种群!$A:$A,COUNTA(生物种群!$A:$A)),MATCH($A614,生物种群!$C$3:INDEX(生物种群!$C:$C,COUNTA(生物种群!$C:$C)),),),INDEX(生物种群!$A$3:INDEX(生物种群!$A:$A,COUNTA(生物种群!$A:$A)),MATCH($B614,生物种群!$D$3:INDEX(生物种群!$D:$D,COUNTA(生物种群!$D:$D)),),))),"")</f>
        <v/>
      </c>
      <c r="I614" s="56" t="str">
        <f>IF(H614="","",INDEX(生物种群!$B$3:INDEX(生物种群!$B:$B,COUNTA(生物种群!$B:$B)),MATCH($H614,生物种群!$A$3:INDEX(生物种群!$A:$A,COUNTA(生物种群!$A:$A)),),))</f>
        <v/>
      </c>
      <c r="J614" s="55" t="str">
        <f>IF(H614="","",INDEX(生物种群!$I$3:INDEX(生物种群!$I:$I,COUNTA(生物种群!$I:$I)),MATCH($H614,生物种群!$A$3:INDEX(生物种群!$A:$A,COUNTA(生物种群!$A:$A)),),))</f>
        <v/>
      </c>
      <c r="K614" s="55" t="str">
        <f>IF(H614="","",INDEX(生物种群!$E$3:INDEX(生物种群!$E:$E,COUNTA(生物种群!$E:$E)),MATCH($H614,生物种群!$A$3:INDEX(生物种群!$A:$A,COUNTA(生物种群!$A:$A)),),))</f>
        <v/>
      </c>
      <c r="L614" s="46" t="str">
        <f t="shared" si="33"/>
        <v/>
      </c>
      <c r="M614" s="47" t="str">
        <f>IF(L614="","",ROUND((L614)/VLOOKUP($F614,IF({1,0},站位样品信息!$A$3:INDEX(站位样品信息!$A:$A,COUNTA(站位样品信息!$A:$A)+1),站位样品信息!$H$3:INDEX(站位样品信息!$H:$H,COUNTA(站位样品信息!$H:$H)+1)),2,0),2))</f>
        <v/>
      </c>
      <c r="O614" s="49"/>
      <c r="P614" s="53" t="str">
        <f t="shared" si="31"/>
        <v/>
      </c>
      <c r="Q614" s="53" t="str">
        <f t="shared" si="32"/>
        <v/>
      </c>
    </row>
    <row r="615" spans="1:17" ht="19.5" customHeight="1">
      <c r="A615" s="38"/>
      <c r="B615" s="38"/>
      <c r="C615" s="38"/>
      <c r="D615" s="37"/>
      <c r="E615" s="37"/>
      <c r="F615" s="37"/>
      <c r="G615" s="37" t="str">
        <f>IF(F615="","",INDEX(站位样品信息!$B$3:INDEX(站位样品信息!$B:$B,COUNTA(站位样品信息!$B:$B)+1),MATCH($F615,站位样品信息!$A$3:INDEX(站位样品信息!$A:$A,COUNTA(站位样品信息!$A:$A)+1),),))</f>
        <v/>
      </c>
      <c r="H615" s="55" t="str">
        <f>IF(OR(A615&lt;&gt;"",B615&lt;&gt;"",C615&lt;&gt;""),IF($C615&lt;&gt;0,INDEX(生物种群!$A$3:INDEX(生物种群!$A:$A,COUNTA(生物种群!$A:$A)),MATCH($C615,生物种群!$F$3:INDEX(生物种群!$F:$F,COUNTA(生物种群!$F:$F)),),),IF($A615&lt;&gt;0,INDEX(生物种群!$A$3:INDEX(生物种群!$A:$A,COUNTA(生物种群!$A:$A)),MATCH($A615,生物种群!$C$3:INDEX(生物种群!$C:$C,COUNTA(生物种群!$C:$C)),),),INDEX(生物种群!$A$3:INDEX(生物种群!$A:$A,COUNTA(生物种群!$A:$A)),MATCH($B615,生物种群!$D$3:INDEX(生物种群!$D:$D,COUNTA(生物种群!$D:$D)),),))),"")</f>
        <v/>
      </c>
      <c r="I615" s="56" t="str">
        <f>IF(H615="","",INDEX(生物种群!$B$3:INDEX(生物种群!$B:$B,COUNTA(生物种群!$B:$B)),MATCH($H615,生物种群!$A$3:INDEX(生物种群!$A:$A,COUNTA(生物种群!$A:$A)),),))</f>
        <v/>
      </c>
      <c r="J615" s="55" t="str">
        <f>IF(H615="","",INDEX(生物种群!$I$3:INDEX(生物种群!$I:$I,COUNTA(生物种群!$I:$I)),MATCH($H615,生物种群!$A$3:INDEX(生物种群!$A:$A,COUNTA(生物种群!$A:$A)),),))</f>
        <v/>
      </c>
      <c r="K615" s="55" t="str">
        <f>IF(H615="","",INDEX(生物种群!$E$3:INDEX(生物种群!$E:$E,COUNTA(生物种群!$E:$E)),MATCH($H615,生物种群!$A$3:INDEX(生物种群!$A:$A,COUNTA(生物种群!$A:$A)),),))</f>
        <v/>
      </c>
      <c r="L615" s="46" t="str">
        <f t="shared" si="33"/>
        <v/>
      </c>
      <c r="M615" s="47" t="str">
        <f>IF(L615="","",ROUND((L615)/VLOOKUP($F615,IF({1,0},站位样品信息!$A$3:INDEX(站位样品信息!$A:$A,COUNTA(站位样品信息!$A:$A)+1),站位样品信息!$H$3:INDEX(站位样品信息!$H:$H,COUNTA(站位样品信息!$H:$H)+1)),2,0),2))</f>
        <v/>
      </c>
      <c r="O615" s="49"/>
      <c r="P615" s="53" t="str">
        <f t="shared" si="31"/>
        <v/>
      </c>
      <c r="Q615" s="53" t="str">
        <f t="shared" si="32"/>
        <v/>
      </c>
    </row>
    <row r="616" spans="1:17" ht="19.5" customHeight="1">
      <c r="A616" s="38"/>
      <c r="B616" s="38"/>
      <c r="C616" s="38"/>
      <c r="D616" s="37"/>
      <c r="E616" s="37"/>
      <c r="F616" s="37"/>
      <c r="G616" s="37" t="str">
        <f>IF(F616="","",INDEX(站位样品信息!$B$3:INDEX(站位样品信息!$B:$B,COUNTA(站位样品信息!$B:$B)+1),MATCH($F616,站位样品信息!$A$3:INDEX(站位样品信息!$A:$A,COUNTA(站位样品信息!$A:$A)+1),),))</f>
        <v/>
      </c>
      <c r="H616" s="55" t="str">
        <f>IF(OR(A616&lt;&gt;"",B616&lt;&gt;"",C616&lt;&gt;""),IF($C616&lt;&gt;0,INDEX(生物种群!$A$3:INDEX(生物种群!$A:$A,COUNTA(生物种群!$A:$A)),MATCH($C616,生物种群!$F$3:INDEX(生物种群!$F:$F,COUNTA(生物种群!$F:$F)),),),IF($A616&lt;&gt;0,INDEX(生物种群!$A$3:INDEX(生物种群!$A:$A,COUNTA(生物种群!$A:$A)),MATCH($A616,生物种群!$C$3:INDEX(生物种群!$C:$C,COUNTA(生物种群!$C:$C)),),),INDEX(生物种群!$A$3:INDEX(生物种群!$A:$A,COUNTA(生物种群!$A:$A)),MATCH($B616,生物种群!$D$3:INDEX(生物种群!$D:$D,COUNTA(生物种群!$D:$D)),),))),"")</f>
        <v/>
      </c>
      <c r="I616" s="56" t="str">
        <f>IF(H616="","",INDEX(生物种群!$B$3:INDEX(生物种群!$B:$B,COUNTA(生物种群!$B:$B)),MATCH($H616,生物种群!$A$3:INDEX(生物种群!$A:$A,COUNTA(生物种群!$A:$A)),),))</f>
        <v/>
      </c>
      <c r="J616" s="55" t="str">
        <f>IF(H616="","",INDEX(生物种群!$I$3:INDEX(生物种群!$I:$I,COUNTA(生物种群!$I:$I)),MATCH($H616,生物种群!$A$3:INDEX(生物种群!$A:$A,COUNTA(生物种群!$A:$A)),),))</f>
        <v/>
      </c>
      <c r="K616" s="55" t="str">
        <f>IF(H616="","",INDEX(生物种群!$E$3:INDEX(生物种群!$E:$E,COUNTA(生物种群!$E:$E)),MATCH($H616,生物种群!$A$3:INDEX(生物种群!$A:$A,COUNTA(生物种群!$A:$A)),),))</f>
        <v/>
      </c>
      <c r="L616" s="46" t="str">
        <f t="shared" si="33"/>
        <v/>
      </c>
      <c r="M616" s="47" t="str">
        <f>IF(L616="","",ROUND((L616)/VLOOKUP($F616,IF({1,0},站位样品信息!$A$3:INDEX(站位样品信息!$A:$A,COUNTA(站位样品信息!$A:$A)+1),站位样品信息!$H$3:INDEX(站位样品信息!$H:$H,COUNTA(站位样品信息!$H:$H)+1)),2,0),2))</f>
        <v/>
      </c>
      <c r="O616" s="49"/>
      <c r="P616" s="53" t="str">
        <f t="shared" si="31"/>
        <v/>
      </c>
      <c r="Q616" s="53" t="str">
        <f t="shared" si="32"/>
        <v/>
      </c>
    </row>
    <row r="617" spans="1:17" ht="19.5" customHeight="1">
      <c r="A617" s="38"/>
      <c r="B617" s="38"/>
      <c r="C617" s="38"/>
      <c r="D617" s="37"/>
      <c r="E617" s="37"/>
      <c r="F617" s="37"/>
      <c r="G617" s="37" t="str">
        <f>IF(F617="","",INDEX(站位样品信息!$B$3:INDEX(站位样品信息!$B:$B,COUNTA(站位样品信息!$B:$B)+1),MATCH($F617,站位样品信息!$A$3:INDEX(站位样品信息!$A:$A,COUNTA(站位样品信息!$A:$A)+1),),))</f>
        <v/>
      </c>
      <c r="H617" s="55" t="str">
        <f>IF(OR(A617&lt;&gt;"",B617&lt;&gt;"",C617&lt;&gt;""),IF($C617&lt;&gt;0,INDEX(生物种群!$A$3:INDEX(生物种群!$A:$A,COUNTA(生物种群!$A:$A)),MATCH($C617,生物种群!$F$3:INDEX(生物种群!$F:$F,COUNTA(生物种群!$F:$F)),),),IF($A617&lt;&gt;0,INDEX(生物种群!$A$3:INDEX(生物种群!$A:$A,COUNTA(生物种群!$A:$A)),MATCH($A617,生物种群!$C$3:INDEX(生物种群!$C:$C,COUNTA(生物种群!$C:$C)),),),INDEX(生物种群!$A$3:INDEX(生物种群!$A:$A,COUNTA(生物种群!$A:$A)),MATCH($B617,生物种群!$D$3:INDEX(生物种群!$D:$D,COUNTA(生物种群!$D:$D)),),))),"")</f>
        <v/>
      </c>
      <c r="I617" s="56" t="str">
        <f>IF(H617="","",INDEX(生物种群!$B$3:INDEX(生物种群!$B:$B,COUNTA(生物种群!$B:$B)),MATCH($H617,生物种群!$A$3:INDEX(生物种群!$A:$A,COUNTA(生物种群!$A:$A)),),))</f>
        <v/>
      </c>
      <c r="J617" s="55" t="str">
        <f>IF(H617="","",INDEX(生物种群!$I$3:INDEX(生物种群!$I:$I,COUNTA(生物种群!$I:$I)),MATCH($H617,生物种群!$A$3:INDEX(生物种群!$A:$A,COUNTA(生物种群!$A:$A)),),))</f>
        <v/>
      </c>
      <c r="K617" s="55" t="str">
        <f>IF(H617="","",INDEX(生物种群!$E$3:INDEX(生物种群!$E:$E,COUNTA(生物种群!$E:$E)),MATCH($H617,生物种群!$A$3:INDEX(生物种群!$A:$A,COUNTA(生物种群!$A:$A)),),))</f>
        <v/>
      </c>
      <c r="L617" s="46" t="str">
        <f t="shared" si="33"/>
        <v/>
      </c>
      <c r="M617" s="47" t="str">
        <f>IF(L617="","",ROUND((L617)/VLOOKUP($F617,IF({1,0},站位样品信息!$A$3:INDEX(站位样品信息!$A:$A,COUNTA(站位样品信息!$A:$A)+1),站位样品信息!$H$3:INDEX(站位样品信息!$H:$H,COUNTA(站位样品信息!$H:$H)+1)),2,0),2))</f>
        <v/>
      </c>
      <c r="O617" s="49"/>
      <c r="P617" s="53" t="str">
        <f t="shared" si="31"/>
        <v/>
      </c>
      <c r="Q617" s="53" t="str">
        <f t="shared" si="32"/>
        <v/>
      </c>
    </row>
    <row r="618" spans="1:17" ht="19.5" customHeight="1">
      <c r="A618" s="38"/>
      <c r="B618" s="38"/>
      <c r="C618" s="38"/>
      <c r="D618" s="37"/>
      <c r="E618" s="37"/>
      <c r="F618" s="37"/>
      <c r="G618" s="37" t="str">
        <f>IF(F618="","",INDEX(站位样品信息!$B$3:INDEX(站位样品信息!$B:$B,COUNTA(站位样品信息!$B:$B)+1),MATCH($F618,站位样品信息!$A$3:INDEX(站位样品信息!$A:$A,COUNTA(站位样品信息!$A:$A)+1),),))</f>
        <v/>
      </c>
      <c r="H618" s="55" t="str">
        <f>IF(OR(A618&lt;&gt;"",B618&lt;&gt;"",C618&lt;&gt;""),IF($C618&lt;&gt;0,INDEX(生物种群!$A$3:INDEX(生物种群!$A:$A,COUNTA(生物种群!$A:$A)),MATCH($C618,生物种群!$F$3:INDEX(生物种群!$F:$F,COUNTA(生物种群!$F:$F)),),),IF($A618&lt;&gt;0,INDEX(生物种群!$A$3:INDEX(生物种群!$A:$A,COUNTA(生物种群!$A:$A)),MATCH($A618,生物种群!$C$3:INDEX(生物种群!$C:$C,COUNTA(生物种群!$C:$C)),),),INDEX(生物种群!$A$3:INDEX(生物种群!$A:$A,COUNTA(生物种群!$A:$A)),MATCH($B618,生物种群!$D$3:INDEX(生物种群!$D:$D,COUNTA(生物种群!$D:$D)),),))),"")</f>
        <v/>
      </c>
      <c r="I618" s="56" t="str">
        <f>IF(H618="","",INDEX(生物种群!$B$3:INDEX(生物种群!$B:$B,COUNTA(生物种群!$B:$B)),MATCH($H618,生物种群!$A$3:INDEX(生物种群!$A:$A,COUNTA(生物种群!$A:$A)),),))</f>
        <v/>
      </c>
      <c r="J618" s="55" t="str">
        <f>IF(H618="","",INDEX(生物种群!$I$3:INDEX(生物种群!$I:$I,COUNTA(生物种群!$I:$I)),MATCH($H618,生物种群!$A$3:INDEX(生物种群!$A:$A,COUNTA(生物种群!$A:$A)),),))</f>
        <v/>
      </c>
      <c r="K618" s="55" t="str">
        <f>IF(H618="","",INDEX(生物种群!$E$3:INDEX(生物种群!$E:$E,COUNTA(生物种群!$E:$E)),MATCH($H618,生物种群!$A$3:INDEX(生物种群!$A:$A,COUNTA(生物种群!$A:$A)),),))</f>
        <v/>
      </c>
      <c r="L618" s="46" t="str">
        <f t="shared" si="33"/>
        <v/>
      </c>
      <c r="M618" s="47" t="str">
        <f>IF(L618="","",ROUND((L618)/VLOOKUP($F618,IF({1,0},站位样品信息!$A$3:INDEX(站位样品信息!$A:$A,COUNTA(站位样品信息!$A:$A)+1),站位样品信息!$H$3:INDEX(站位样品信息!$H:$H,COUNTA(站位样品信息!$H:$H)+1)),2,0),2))</f>
        <v/>
      </c>
      <c r="O618" s="49"/>
      <c r="P618" s="53" t="str">
        <f t="shared" si="31"/>
        <v/>
      </c>
      <c r="Q618" s="53" t="str">
        <f t="shared" si="32"/>
        <v/>
      </c>
    </row>
    <row r="619" spans="1:17" ht="19.5" customHeight="1">
      <c r="A619" s="38"/>
      <c r="B619" s="38"/>
      <c r="C619" s="38"/>
      <c r="D619" s="37"/>
      <c r="E619" s="37"/>
      <c r="F619" s="37"/>
      <c r="G619" s="37" t="str">
        <f>IF(F619="","",INDEX(站位样品信息!$B$3:INDEX(站位样品信息!$B:$B,COUNTA(站位样品信息!$B:$B)+1),MATCH($F619,站位样品信息!$A$3:INDEX(站位样品信息!$A:$A,COUNTA(站位样品信息!$A:$A)+1),),))</f>
        <v/>
      </c>
      <c r="H619" s="55" t="str">
        <f>IF(OR(A619&lt;&gt;"",B619&lt;&gt;"",C619&lt;&gt;""),IF($C619&lt;&gt;0,INDEX(生物种群!$A$3:INDEX(生物种群!$A:$A,COUNTA(生物种群!$A:$A)),MATCH($C619,生物种群!$F$3:INDEX(生物种群!$F:$F,COUNTA(生物种群!$F:$F)),),),IF($A619&lt;&gt;0,INDEX(生物种群!$A$3:INDEX(生物种群!$A:$A,COUNTA(生物种群!$A:$A)),MATCH($A619,生物种群!$C$3:INDEX(生物种群!$C:$C,COUNTA(生物种群!$C:$C)),),),INDEX(生物种群!$A$3:INDEX(生物种群!$A:$A,COUNTA(生物种群!$A:$A)),MATCH($B619,生物种群!$D$3:INDEX(生物种群!$D:$D,COUNTA(生物种群!$D:$D)),),))),"")</f>
        <v/>
      </c>
      <c r="I619" s="56" t="str">
        <f>IF(H619="","",INDEX(生物种群!$B$3:INDEX(生物种群!$B:$B,COUNTA(生物种群!$B:$B)),MATCH($H619,生物种群!$A$3:INDEX(生物种群!$A:$A,COUNTA(生物种群!$A:$A)),),))</f>
        <v/>
      </c>
      <c r="J619" s="55" t="str">
        <f>IF(H619="","",INDEX(生物种群!$I$3:INDEX(生物种群!$I:$I,COUNTA(生物种群!$I:$I)),MATCH($H619,生物种群!$A$3:INDEX(生物种群!$A:$A,COUNTA(生物种群!$A:$A)),),))</f>
        <v/>
      </c>
      <c r="K619" s="55" t="str">
        <f>IF(H619="","",INDEX(生物种群!$E$3:INDEX(生物种群!$E:$E,COUNTA(生物种群!$E:$E)),MATCH($H619,生物种群!$A$3:INDEX(生物种群!$A:$A,COUNTA(生物种群!$A:$A)),),))</f>
        <v/>
      </c>
      <c r="L619" s="46" t="str">
        <f t="shared" si="33"/>
        <v/>
      </c>
      <c r="M619" s="47" t="str">
        <f>IF(L619="","",ROUND((L619)/VLOOKUP($F619,IF({1,0},站位样品信息!$A$3:INDEX(站位样品信息!$A:$A,COUNTA(站位样品信息!$A:$A)+1),站位样品信息!$H$3:INDEX(站位样品信息!$H:$H,COUNTA(站位样品信息!$H:$H)+1)),2,0),2))</f>
        <v/>
      </c>
      <c r="O619" s="49"/>
      <c r="P619" s="53" t="str">
        <f t="shared" si="31"/>
        <v/>
      </c>
      <c r="Q619" s="53" t="str">
        <f t="shared" si="32"/>
        <v/>
      </c>
    </row>
    <row r="620" spans="1:17" ht="19.5" customHeight="1">
      <c r="A620" s="38"/>
      <c r="B620" s="38"/>
      <c r="C620" s="38"/>
      <c r="D620" s="37"/>
      <c r="E620" s="37"/>
      <c r="F620" s="37"/>
      <c r="G620" s="37" t="str">
        <f>IF(F620="","",INDEX(站位样品信息!$B$3:INDEX(站位样品信息!$B:$B,COUNTA(站位样品信息!$B:$B)+1),MATCH($F620,站位样品信息!$A$3:INDEX(站位样品信息!$A:$A,COUNTA(站位样品信息!$A:$A)+1),),))</f>
        <v/>
      </c>
      <c r="H620" s="55" t="str">
        <f>IF(OR(A620&lt;&gt;"",B620&lt;&gt;"",C620&lt;&gt;""),IF($C620&lt;&gt;0,INDEX(生物种群!$A$3:INDEX(生物种群!$A:$A,COUNTA(生物种群!$A:$A)),MATCH($C620,生物种群!$F$3:INDEX(生物种群!$F:$F,COUNTA(生物种群!$F:$F)),),),IF($A620&lt;&gt;0,INDEX(生物种群!$A$3:INDEX(生物种群!$A:$A,COUNTA(生物种群!$A:$A)),MATCH($A620,生物种群!$C$3:INDEX(生物种群!$C:$C,COUNTA(生物种群!$C:$C)),),),INDEX(生物种群!$A$3:INDEX(生物种群!$A:$A,COUNTA(生物种群!$A:$A)),MATCH($B620,生物种群!$D$3:INDEX(生物种群!$D:$D,COUNTA(生物种群!$D:$D)),),))),"")</f>
        <v/>
      </c>
      <c r="I620" s="56" t="str">
        <f>IF(H620="","",INDEX(生物种群!$B$3:INDEX(生物种群!$B:$B,COUNTA(生物种群!$B:$B)),MATCH($H620,生物种群!$A$3:INDEX(生物种群!$A:$A,COUNTA(生物种群!$A:$A)),),))</f>
        <v/>
      </c>
      <c r="J620" s="55" t="str">
        <f>IF(H620="","",INDEX(生物种群!$I$3:INDEX(生物种群!$I:$I,COUNTA(生物种群!$I:$I)),MATCH($H620,生物种群!$A$3:INDEX(生物种群!$A:$A,COUNTA(生物种群!$A:$A)),),))</f>
        <v/>
      </c>
      <c r="K620" s="55" t="str">
        <f>IF(H620="","",INDEX(生物种群!$E$3:INDEX(生物种群!$E:$E,COUNTA(生物种群!$E:$E)),MATCH($H620,生物种群!$A$3:INDEX(生物种群!$A:$A,COUNTA(生物种群!$A:$A)),),))</f>
        <v/>
      </c>
      <c r="L620" s="46" t="str">
        <f t="shared" si="33"/>
        <v/>
      </c>
      <c r="M620" s="47" t="str">
        <f>IF(L620="","",ROUND((L620)/VLOOKUP($F620,IF({1,0},站位样品信息!$A$3:INDEX(站位样品信息!$A:$A,COUNTA(站位样品信息!$A:$A)+1),站位样品信息!$H$3:INDEX(站位样品信息!$H:$H,COUNTA(站位样品信息!$H:$H)+1)),2,0),2))</f>
        <v/>
      </c>
      <c r="O620" s="49"/>
      <c r="P620" s="53" t="str">
        <f t="shared" si="31"/>
        <v/>
      </c>
      <c r="Q620" s="53" t="str">
        <f t="shared" si="32"/>
        <v/>
      </c>
    </row>
    <row r="621" spans="1:17" ht="19.5" customHeight="1">
      <c r="A621" s="38"/>
      <c r="B621" s="38"/>
      <c r="C621" s="38"/>
      <c r="D621" s="37"/>
      <c r="E621" s="37"/>
      <c r="F621" s="37"/>
      <c r="G621" s="37" t="str">
        <f>IF(F621="","",INDEX(站位样品信息!$B$3:INDEX(站位样品信息!$B:$B,COUNTA(站位样品信息!$B:$B)+1),MATCH($F621,站位样品信息!$A$3:INDEX(站位样品信息!$A:$A,COUNTA(站位样品信息!$A:$A)+1),),))</f>
        <v/>
      </c>
      <c r="H621" s="55" t="str">
        <f>IF(OR(A621&lt;&gt;"",B621&lt;&gt;"",C621&lt;&gt;""),IF($C621&lt;&gt;0,INDEX(生物种群!$A$3:INDEX(生物种群!$A:$A,COUNTA(生物种群!$A:$A)),MATCH($C621,生物种群!$F$3:INDEX(生物种群!$F:$F,COUNTA(生物种群!$F:$F)),),),IF($A621&lt;&gt;0,INDEX(生物种群!$A$3:INDEX(生物种群!$A:$A,COUNTA(生物种群!$A:$A)),MATCH($A621,生物种群!$C$3:INDEX(生物种群!$C:$C,COUNTA(生物种群!$C:$C)),),),INDEX(生物种群!$A$3:INDEX(生物种群!$A:$A,COUNTA(生物种群!$A:$A)),MATCH($B621,生物种群!$D$3:INDEX(生物种群!$D:$D,COUNTA(生物种群!$D:$D)),),))),"")</f>
        <v/>
      </c>
      <c r="I621" s="56" t="str">
        <f>IF(H621="","",INDEX(生物种群!$B$3:INDEX(生物种群!$B:$B,COUNTA(生物种群!$B:$B)),MATCH($H621,生物种群!$A$3:INDEX(生物种群!$A:$A,COUNTA(生物种群!$A:$A)),),))</f>
        <v/>
      </c>
      <c r="J621" s="55" t="str">
        <f>IF(H621="","",INDEX(生物种群!$I$3:INDEX(生物种群!$I:$I,COUNTA(生物种群!$I:$I)),MATCH($H621,生物种群!$A$3:INDEX(生物种群!$A:$A,COUNTA(生物种群!$A:$A)),),))</f>
        <v/>
      </c>
      <c r="K621" s="55" t="str">
        <f>IF(H621="","",INDEX(生物种群!$E$3:INDEX(生物种群!$E:$E,COUNTA(生物种群!$E:$E)),MATCH($H621,生物种群!$A$3:INDEX(生物种群!$A:$A,COUNTA(生物种群!$A:$A)),),))</f>
        <v/>
      </c>
      <c r="L621" s="46" t="str">
        <f t="shared" si="33"/>
        <v/>
      </c>
      <c r="M621" s="47" t="str">
        <f>IF(L621="","",ROUND((L621)/VLOOKUP($F621,IF({1,0},站位样品信息!$A$3:INDEX(站位样品信息!$A:$A,COUNTA(站位样品信息!$A:$A)+1),站位样品信息!$H$3:INDEX(站位样品信息!$H:$H,COUNTA(站位样品信息!$H:$H)+1)),2,0),2))</f>
        <v/>
      </c>
      <c r="O621" s="49"/>
      <c r="P621" s="53" t="str">
        <f t="shared" si="31"/>
        <v/>
      </c>
      <c r="Q621" s="53" t="str">
        <f t="shared" si="32"/>
        <v/>
      </c>
    </row>
    <row r="622" spans="1:17" ht="19.5" customHeight="1">
      <c r="A622" s="38"/>
      <c r="B622" s="38"/>
      <c r="C622" s="38"/>
      <c r="D622" s="37"/>
      <c r="E622" s="37"/>
      <c r="F622" s="37"/>
      <c r="G622" s="37" t="str">
        <f>IF(F622="","",INDEX(站位样品信息!$B$3:INDEX(站位样品信息!$B:$B,COUNTA(站位样品信息!$B:$B)+1),MATCH($F622,站位样品信息!$A$3:INDEX(站位样品信息!$A:$A,COUNTA(站位样品信息!$A:$A)+1),),))</f>
        <v/>
      </c>
      <c r="H622" s="55" t="str">
        <f>IF(OR(A622&lt;&gt;"",B622&lt;&gt;"",C622&lt;&gt;""),IF($C622&lt;&gt;0,INDEX(生物种群!$A$3:INDEX(生物种群!$A:$A,COUNTA(生物种群!$A:$A)),MATCH($C622,生物种群!$F$3:INDEX(生物种群!$F:$F,COUNTA(生物种群!$F:$F)),),),IF($A622&lt;&gt;0,INDEX(生物种群!$A$3:INDEX(生物种群!$A:$A,COUNTA(生物种群!$A:$A)),MATCH($A622,生物种群!$C$3:INDEX(生物种群!$C:$C,COUNTA(生物种群!$C:$C)),),),INDEX(生物种群!$A$3:INDEX(生物种群!$A:$A,COUNTA(生物种群!$A:$A)),MATCH($B622,生物种群!$D$3:INDEX(生物种群!$D:$D,COUNTA(生物种群!$D:$D)),),))),"")</f>
        <v/>
      </c>
      <c r="I622" s="56" t="str">
        <f>IF(H622="","",INDEX(生物种群!$B$3:INDEX(生物种群!$B:$B,COUNTA(生物种群!$B:$B)),MATCH($H622,生物种群!$A$3:INDEX(生物种群!$A:$A,COUNTA(生物种群!$A:$A)),),))</f>
        <v/>
      </c>
      <c r="J622" s="55" t="str">
        <f>IF(H622="","",INDEX(生物种群!$I$3:INDEX(生物种群!$I:$I,COUNTA(生物种群!$I:$I)),MATCH($H622,生物种群!$A$3:INDEX(生物种群!$A:$A,COUNTA(生物种群!$A:$A)),),))</f>
        <v/>
      </c>
      <c r="K622" s="55" t="str">
        <f>IF(H622="","",INDEX(生物种群!$E$3:INDEX(生物种群!$E:$E,COUNTA(生物种群!$E:$E)),MATCH($H622,生物种群!$A$3:INDEX(生物种群!$A:$A,COUNTA(生物种群!$A:$A)),),))</f>
        <v/>
      </c>
      <c r="L622" s="46" t="str">
        <f t="shared" si="33"/>
        <v/>
      </c>
      <c r="M622" s="47" t="str">
        <f>IF(L622="","",ROUND((L622)/VLOOKUP($F622,IF({1,0},站位样品信息!$A$3:INDEX(站位样品信息!$A:$A,COUNTA(站位样品信息!$A:$A)+1),站位样品信息!$H$3:INDEX(站位样品信息!$H:$H,COUNTA(站位样品信息!$H:$H)+1)),2,0),2))</f>
        <v/>
      </c>
      <c r="O622" s="49"/>
      <c r="P622" s="53" t="str">
        <f t="shared" si="31"/>
        <v/>
      </c>
      <c r="Q622" s="53" t="str">
        <f t="shared" si="32"/>
        <v/>
      </c>
    </row>
    <row r="623" spans="1:17" ht="19.5" customHeight="1">
      <c r="A623" s="38"/>
      <c r="B623" s="38"/>
      <c r="C623" s="38"/>
      <c r="D623" s="37"/>
      <c r="E623" s="37"/>
      <c r="F623" s="37"/>
      <c r="G623" s="37" t="str">
        <f>IF(F623="","",INDEX(站位样品信息!$B$3:INDEX(站位样品信息!$B:$B,COUNTA(站位样品信息!$B:$B)+1),MATCH($F623,站位样品信息!$A$3:INDEX(站位样品信息!$A:$A,COUNTA(站位样品信息!$A:$A)+1),),))</f>
        <v/>
      </c>
      <c r="H623" s="55" t="str">
        <f>IF(OR(A623&lt;&gt;"",B623&lt;&gt;"",C623&lt;&gt;""),IF($C623&lt;&gt;0,INDEX(生物种群!$A$3:INDEX(生物种群!$A:$A,COUNTA(生物种群!$A:$A)),MATCH($C623,生物种群!$F$3:INDEX(生物种群!$F:$F,COUNTA(生物种群!$F:$F)),),),IF($A623&lt;&gt;0,INDEX(生物种群!$A$3:INDEX(生物种群!$A:$A,COUNTA(生物种群!$A:$A)),MATCH($A623,生物种群!$C$3:INDEX(生物种群!$C:$C,COUNTA(生物种群!$C:$C)),),),INDEX(生物种群!$A$3:INDEX(生物种群!$A:$A,COUNTA(生物种群!$A:$A)),MATCH($B623,生物种群!$D$3:INDEX(生物种群!$D:$D,COUNTA(生物种群!$D:$D)),),))),"")</f>
        <v/>
      </c>
      <c r="I623" s="56" t="str">
        <f>IF(H623="","",INDEX(生物种群!$B$3:INDEX(生物种群!$B:$B,COUNTA(生物种群!$B:$B)),MATCH($H623,生物种群!$A$3:INDEX(生物种群!$A:$A,COUNTA(生物种群!$A:$A)),),))</f>
        <v/>
      </c>
      <c r="J623" s="55" t="str">
        <f>IF(H623="","",INDEX(生物种群!$I$3:INDEX(生物种群!$I:$I,COUNTA(生物种群!$I:$I)),MATCH($H623,生物种群!$A$3:INDEX(生物种群!$A:$A,COUNTA(生物种群!$A:$A)),),))</f>
        <v/>
      </c>
      <c r="K623" s="55" t="str">
        <f>IF(H623="","",INDEX(生物种群!$E$3:INDEX(生物种群!$E:$E,COUNTA(生物种群!$E:$E)),MATCH($H623,生物种群!$A$3:INDEX(生物种群!$A:$A,COUNTA(生物种群!$A:$A)),),))</f>
        <v/>
      </c>
      <c r="L623" s="46" t="str">
        <f t="shared" si="33"/>
        <v/>
      </c>
      <c r="M623" s="47" t="str">
        <f>IF(L623="","",ROUND((L623)/VLOOKUP($F623,IF({1,0},站位样品信息!$A$3:INDEX(站位样品信息!$A:$A,COUNTA(站位样品信息!$A:$A)+1),站位样品信息!$H$3:INDEX(站位样品信息!$H:$H,COUNTA(站位样品信息!$H:$H)+1)),2,0),2))</f>
        <v/>
      </c>
      <c r="O623" s="49"/>
      <c r="P623" s="53" t="str">
        <f t="shared" si="31"/>
        <v/>
      </c>
      <c r="Q623" s="53" t="str">
        <f t="shared" si="32"/>
        <v/>
      </c>
    </row>
    <row r="624" spans="1:17" ht="19.5" customHeight="1">
      <c r="A624" s="38"/>
      <c r="B624" s="38"/>
      <c r="C624" s="38"/>
      <c r="D624" s="37"/>
      <c r="E624" s="37"/>
      <c r="F624" s="37"/>
      <c r="G624" s="37" t="str">
        <f>IF(F624="","",INDEX(站位样品信息!$B$3:INDEX(站位样品信息!$B:$B,COUNTA(站位样品信息!$B:$B)+1),MATCH($F624,站位样品信息!$A$3:INDEX(站位样品信息!$A:$A,COUNTA(站位样品信息!$A:$A)+1),),))</f>
        <v/>
      </c>
      <c r="H624" s="55" t="str">
        <f>IF(OR(A624&lt;&gt;"",B624&lt;&gt;"",C624&lt;&gt;""),IF($C624&lt;&gt;0,INDEX(生物种群!$A$3:INDEX(生物种群!$A:$A,COUNTA(生物种群!$A:$A)),MATCH($C624,生物种群!$F$3:INDEX(生物种群!$F:$F,COUNTA(生物种群!$F:$F)),),),IF($A624&lt;&gt;0,INDEX(生物种群!$A$3:INDEX(生物种群!$A:$A,COUNTA(生物种群!$A:$A)),MATCH($A624,生物种群!$C$3:INDEX(生物种群!$C:$C,COUNTA(生物种群!$C:$C)),),),INDEX(生物种群!$A$3:INDEX(生物种群!$A:$A,COUNTA(生物种群!$A:$A)),MATCH($B624,生物种群!$D$3:INDEX(生物种群!$D:$D,COUNTA(生物种群!$D:$D)),),))),"")</f>
        <v/>
      </c>
      <c r="I624" s="56" t="str">
        <f>IF(H624="","",INDEX(生物种群!$B$3:INDEX(生物种群!$B:$B,COUNTA(生物种群!$B:$B)),MATCH($H624,生物种群!$A$3:INDEX(生物种群!$A:$A,COUNTA(生物种群!$A:$A)),),))</f>
        <v/>
      </c>
      <c r="J624" s="55" t="str">
        <f>IF(H624="","",INDEX(生物种群!$I$3:INDEX(生物种群!$I:$I,COUNTA(生物种群!$I:$I)),MATCH($H624,生物种群!$A$3:INDEX(生物种群!$A:$A,COUNTA(生物种群!$A:$A)),),))</f>
        <v/>
      </c>
      <c r="K624" s="55" t="str">
        <f>IF(H624="","",INDEX(生物种群!$E$3:INDEX(生物种群!$E:$E,COUNTA(生物种群!$E:$E)),MATCH($H624,生物种群!$A$3:INDEX(生物种群!$A:$A,COUNTA(生物种群!$A:$A)),),))</f>
        <v/>
      </c>
      <c r="L624" s="46" t="str">
        <f t="shared" si="33"/>
        <v/>
      </c>
      <c r="M624" s="47" t="str">
        <f>IF(L624="","",ROUND((L624)/VLOOKUP($F624,IF({1,0},站位样品信息!$A$3:INDEX(站位样品信息!$A:$A,COUNTA(站位样品信息!$A:$A)+1),站位样品信息!$H$3:INDEX(站位样品信息!$H:$H,COUNTA(站位样品信息!$H:$H)+1)),2,0),2))</f>
        <v/>
      </c>
      <c r="O624" s="49"/>
      <c r="P624" s="53" t="str">
        <f t="shared" si="31"/>
        <v/>
      </c>
      <c r="Q624" s="53" t="str">
        <f t="shared" si="32"/>
        <v/>
      </c>
    </row>
    <row r="625" spans="1:17" ht="19.5" customHeight="1">
      <c r="A625" s="38"/>
      <c r="B625" s="38"/>
      <c r="C625" s="38"/>
      <c r="D625" s="37"/>
      <c r="E625" s="37"/>
      <c r="F625" s="37"/>
      <c r="G625" s="37" t="str">
        <f>IF(F625="","",INDEX(站位样品信息!$B$3:INDEX(站位样品信息!$B:$B,COUNTA(站位样品信息!$B:$B)+1),MATCH($F625,站位样品信息!$A$3:INDEX(站位样品信息!$A:$A,COUNTA(站位样品信息!$A:$A)+1),),))</f>
        <v/>
      </c>
      <c r="H625" s="55" t="str">
        <f>IF(OR(A625&lt;&gt;"",B625&lt;&gt;"",C625&lt;&gt;""),IF($C625&lt;&gt;0,INDEX(生物种群!$A$3:INDEX(生物种群!$A:$A,COUNTA(生物种群!$A:$A)),MATCH($C625,生物种群!$F$3:INDEX(生物种群!$F:$F,COUNTA(生物种群!$F:$F)),),),IF($A625&lt;&gt;0,INDEX(生物种群!$A$3:INDEX(生物种群!$A:$A,COUNTA(生物种群!$A:$A)),MATCH($A625,生物种群!$C$3:INDEX(生物种群!$C:$C,COUNTA(生物种群!$C:$C)),),),INDEX(生物种群!$A$3:INDEX(生物种群!$A:$A,COUNTA(生物种群!$A:$A)),MATCH($B625,生物种群!$D$3:INDEX(生物种群!$D:$D,COUNTA(生物种群!$D:$D)),),))),"")</f>
        <v/>
      </c>
      <c r="I625" s="56" t="str">
        <f>IF(H625="","",INDEX(生物种群!$B$3:INDEX(生物种群!$B:$B,COUNTA(生物种群!$B:$B)),MATCH($H625,生物种群!$A$3:INDEX(生物种群!$A:$A,COUNTA(生物种群!$A:$A)),),))</f>
        <v/>
      </c>
      <c r="J625" s="55" t="str">
        <f>IF(H625="","",INDEX(生物种群!$I$3:INDEX(生物种群!$I:$I,COUNTA(生物种群!$I:$I)),MATCH($H625,生物种群!$A$3:INDEX(生物种群!$A:$A,COUNTA(生物种群!$A:$A)),),))</f>
        <v/>
      </c>
      <c r="K625" s="55" t="str">
        <f>IF(H625="","",INDEX(生物种群!$E$3:INDEX(生物种群!$E:$E,COUNTA(生物种群!$E:$E)),MATCH($H625,生物种群!$A$3:INDEX(生物种群!$A:$A,COUNTA(生物种群!$A:$A)),),))</f>
        <v/>
      </c>
      <c r="L625" s="46" t="str">
        <f t="shared" si="33"/>
        <v/>
      </c>
      <c r="M625" s="47" t="str">
        <f>IF(L625="","",ROUND((L625)/VLOOKUP($F625,IF({1,0},站位样品信息!$A$3:INDEX(站位样品信息!$A:$A,COUNTA(站位样品信息!$A:$A)+1),站位样品信息!$H$3:INDEX(站位样品信息!$H:$H,COUNTA(站位样品信息!$H:$H)+1)),2,0),2))</f>
        <v/>
      </c>
      <c r="O625" s="49"/>
      <c r="P625" s="53" t="str">
        <f t="shared" si="31"/>
        <v/>
      </c>
      <c r="Q625" s="53" t="str">
        <f t="shared" si="32"/>
        <v/>
      </c>
    </row>
    <row r="626" spans="1:17" ht="19.5" customHeight="1">
      <c r="A626" s="38"/>
      <c r="B626" s="38"/>
      <c r="C626" s="38"/>
      <c r="D626" s="37"/>
      <c r="E626" s="37"/>
      <c r="F626" s="37"/>
      <c r="G626" s="37" t="str">
        <f>IF(F626="","",INDEX(站位样品信息!$B$3:INDEX(站位样品信息!$B:$B,COUNTA(站位样品信息!$B:$B)+1),MATCH($F626,站位样品信息!$A$3:INDEX(站位样品信息!$A:$A,COUNTA(站位样品信息!$A:$A)+1),),))</f>
        <v/>
      </c>
      <c r="H626" s="55" t="str">
        <f>IF(OR(A626&lt;&gt;"",B626&lt;&gt;"",C626&lt;&gt;""),IF($C626&lt;&gt;0,INDEX(生物种群!$A$3:INDEX(生物种群!$A:$A,COUNTA(生物种群!$A:$A)),MATCH($C626,生物种群!$F$3:INDEX(生物种群!$F:$F,COUNTA(生物种群!$F:$F)),),),IF($A626&lt;&gt;0,INDEX(生物种群!$A$3:INDEX(生物种群!$A:$A,COUNTA(生物种群!$A:$A)),MATCH($A626,生物种群!$C$3:INDEX(生物种群!$C:$C,COUNTA(生物种群!$C:$C)),),),INDEX(生物种群!$A$3:INDEX(生物种群!$A:$A,COUNTA(生物种群!$A:$A)),MATCH($B626,生物种群!$D$3:INDEX(生物种群!$D:$D,COUNTA(生物种群!$D:$D)),),))),"")</f>
        <v/>
      </c>
      <c r="I626" s="56" t="str">
        <f>IF(H626="","",INDEX(生物种群!$B$3:INDEX(生物种群!$B:$B,COUNTA(生物种群!$B:$B)),MATCH($H626,生物种群!$A$3:INDEX(生物种群!$A:$A,COUNTA(生物种群!$A:$A)),),))</f>
        <v/>
      </c>
      <c r="J626" s="55" t="str">
        <f>IF(H626="","",INDEX(生物种群!$I$3:INDEX(生物种群!$I:$I,COUNTA(生物种群!$I:$I)),MATCH($H626,生物种群!$A$3:INDEX(生物种群!$A:$A,COUNTA(生物种群!$A:$A)),),))</f>
        <v/>
      </c>
      <c r="K626" s="55" t="str">
        <f>IF(H626="","",INDEX(生物种群!$E$3:INDEX(生物种群!$E:$E,COUNTA(生物种群!$E:$E)),MATCH($H626,生物种群!$A$3:INDEX(生物种群!$A:$A,COUNTA(生物种群!$A:$A)),),))</f>
        <v/>
      </c>
      <c r="L626" s="46" t="str">
        <f t="shared" si="33"/>
        <v/>
      </c>
      <c r="M626" s="47" t="str">
        <f>IF(L626="","",ROUND((L626)/VLOOKUP($F626,IF({1,0},站位样品信息!$A$3:INDEX(站位样品信息!$A:$A,COUNTA(站位样品信息!$A:$A)+1),站位样品信息!$H$3:INDEX(站位样品信息!$H:$H,COUNTA(站位样品信息!$H:$H)+1)),2,0),2))</f>
        <v/>
      </c>
      <c r="O626" s="49"/>
      <c r="P626" s="53" t="str">
        <f t="shared" si="31"/>
        <v/>
      </c>
      <c r="Q626" s="53" t="str">
        <f t="shared" si="32"/>
        <v/>
      </c>
    </row>
    <row r="627" spans="1:17" ht="19.5" customHeight="1">
      <c r="A627" s="38"/>
      <c r="B627" s="38"/>
      <c r="C627" s="38"/>
      <c r="D627" s="37"/>
      <c r="E627" s="37"/>
      <c r="F627" s="37"/>
      <c r="G627" s="37" t="str">
        <f>IF(F627="","",INDEX(站位样品信息!$B$3:INDEX(站位样品信息!$B:$B,COUNTA(站位样品信息!$B:$B)+1),MATCH($F627,站位样品信息!$A$3:INDEX(站位样品信息!$A:$A,COUNTA(站位样品信息!$A:$A)+1),),))</f>
        <v/>
      </c>
      <c r="H627" s="55" t="str">
        <f>IF(OR(A627&lt;&gt;"",B627&lt;&gt;"",C627&lt;&gt;""),IF($C627&lt;&gt;0,INDEX(生物种群!$A$3:INDEX(生物种群!$A:$A,COUNTA(生物种群!$A:$A)),MATCH($C627,生物种群!$F$3:INDEX(生物种群!$F:$F,COUNTA(生物种群!$F:$F)),),),IF($A627&lt;&gt;0,INDEX(生物种群!$A$3:INDEX(生物种群!$A:$A,COUNTA(生物种群!$A:$A)),MATCH($A627,生物种群!$C$3:INDEX(生物种群!$C:$C,COUNTA(生物种群!$C:$C)),),),INDEX(生物种群!$A$3:INDEX(生物种群!$A:$A,COUNTA(生物种群!$A:$A)),MATCH($B627,生物种群!$D$3:INDEX(生物种群!$D:$D,COUNTA(生物种群!$D:$D)),),))),"")</f>
        <v/>
      </c>
      <c r="I627" s="56" t="str">
        <f>IF(H627="","",INDEX(生物种群!$B$3:INDEX(生物种群!$B:$B,COUNTA(生物种群!$B:$B)),MATCH($H627,生物种群!$A$3:INDEX(生物种群!$A:$A,COUNTA(生物种群!$A:$A)),),))</f>
        <v/>
      </c>
      <c r="J627" s="55" t="str">
        <f>IF(H627="","",INDEX(生物种群!$I$3:INDEX(生物种群!$I:$I,COUNTA(生物种群!$I:$I)),MATCH($H627,生物种群!$A$3:INDEX(生物种群!$A:$A,COUNTA(生物种群!$A:$A)),),))</f>
        <v/>
      </c>
      <c r="K627" s="55" t="str">
        <f>IF(H627="","",INDEX(生物种群!$E$3:INDEX(生物种群!$E:$E,COUNTA(生物种群!$E:$E)),MATCH($H627,生物种群!$A$3:INDEX(生物种群!$A:$A,COUNTA(生物种群!$A:$A)),),))</f>
        <v/>
      </c>
      <c r="L627" s="46" t="str">
        <f t="shared" si="33"/>
        <v/>
      </c>
      <c r="M627" s="47" t="str">
        <f>IF(L627="","",ROUND((L627)/VLOOKUP($F627,IF({1,0},站位样品信息!$A$3:INDEX(站位样品信息!$A:$A,COUNTA(站位样品信息!$A:$A)+1),站位样品信息!$H$3:INDEX(站位样品信息!$H:$H,COUNTA(站位样品信息!$H:$H)+1)),2,0),2))</f>
        <v/>
      </c>
      <c r="O627" s="49"/>
      <c r="P627" s="53" t="str">
        <f t="shared" si="31"/>
        <v/>
      </c>
      <c r="Q627" s="53" t="str">
        <f t="shared" si="32"/>
        <v/>
      </c>
    </row>
    <row r="628" spans="1:17" ht="19.5" customHeight="1">
      <c r="A628" s="38"/>
      <c r="B628" s="38"/>
      <c r="C628" s="38"/>
      <c r="D628" s="37"/>
      <c r="E628" s="37"/>
      <c r="F628" s="37"/>
      <c r="G628" s="37" t="str">
        <f>IF(F628="","",INDEX(站位样品信息!$B$3:INDEX(站位样品信息!$B:$B,COUNTA(站位样品信息!$B:$B)+1),MATCH($F628,站位样品信息!$A$3:INDEX(站位样品信息!$A:$A,COUNTA(站位样品信息!$A:$A)+1),),))</f>
        <v/>
      </c>
      <c r="H628" s="55" t="str">
        <f>IF(OR(A628&lt;&gt;"",B628&lt;&gt;"",C628&lt;&gt;""),IF($C628&lt;&gt;0,INDEX(生物种群!$A$3:INDEX(生物种群!$A:$A,COUNTA(生物种群!$A:$A)),MATCH($C628,生物种群!$F$3:INDEX(生物种群!$F:$F,COUNTA(生物种群!$F:$F)),),),IF($A628&lt;&gt;0,INDEX(生物种群!$A$3:INDEX(生物种群!$A:$A,COUNTA(生物种群!$A:$A)),MATCH($A628,生物种群!$C$3:INDEX(生物种群!$C:$C,COUNTA(生物种群!$C:$C)),),),INDEX(生物种群!$A$3:INDEX(生物种群!$A:$A,COUNTA(生物种群!$A:$A)),MATCH($B628,生物种群!$D$3:INDEX(生物种群!$D:$D,COUNTA(生物种群!$D:$D)),),))),"")</f>
        <v/>
      </c>
      <c r="I628" s="56" t="str">
        <f>IF(H628="","",INDEX(生物种群!$B$3:INDEX(生物种群!$B:$B,COUNTA(生物种群!$B:$B)),MATCH($H628,生物种群!$A$3:INDEX(生物种群!$A:$A,COUNTA(生物种群!$A:$A)),),))</f>
        <v/>
      </c>
      <c r="J628" s="55" t="str">
        <f>IF(H628="","",INDEX(生物种群!$I$3:INDEX(生物种群!$I:$I,COUNTA(生物种群!$I:$I)),MATCH($H628,生物种群!$A$3:INDEX(生物种群!$A:$A,COUNTA(生物种群!$A:$A)),),))</f>
        <v/>
      </c>
      <c r="K628" s="55" t="str">
        <f>IF(H628="","",INDEX(生物种群!$E$3:INDEX(生物种群!$E:$E,COUNTA(生物种群!$E:$E)),MATCH($H628,生物种群!$A$3:INDEX(生物种群!$A:$A,COUNTA(生物种群!$A:$A)),),))</f>
        <v/>
      </c>
      <c r="L628" s="46" t="str">
        <f t="shared" si="33"/>
        <v/>
      </c>
      <c r="M628" s="47" t="str">
        <f>IF(L628="","",ROUND((L628)/VLOOKUP($F628,IF({1,0},站位样品信息!$A$3:INDEX(站位样品信息!$A:$A,COUNTA(站位样品信息!$A:$A)+1),站位样品信息!$H$3:INDEX(站位样品信息!$H:$H,COUNTA(站位样品信息!$H:$H)+1)),2,0),2))</f>
        <v/>
      </c>
      <c r="O628" s="49"/>
      <c r="P628" s="53" t="str">
        <f t="shared" si="31"/>
        <v/>
      </c>
      <c r="Q628" s="53" t="str">
        <f t="shared" si="32"/>
        <v/>
      </c>
    </row>
    <row r="629" spans="1:17" ht="19.5" customHeight="1">
      <c r="A629" s="38"/>
      <c r="B629" s="38"/>
      <c r="C629" s="38"/>
      <c r="D629" s="37"/>
      <c r="E629" s="37"/>
      <c r="F629" s="37"/>
      <c r="G629" s="37" t="str">
        <f>IF(F629="","",INDEX(站位样品信息!$B$3:INDEX(站位样品信息!$B:$B,COUNTA(站位样品信息!$B:$B)+1),MATCH($F629,站位样品信息!$A$3:INDEX(站位样品信息!$A:$A,COUNTA(站位样品信息!$A:$A)+1),),))</f>
        <v/>
      </c>
      <c r="H629" s="55" t="str">
        <f>IF(OR(A629&lt;&gt;"",B629&lt;&gt;"",C629&lt;&gt;""),IF($C629&lt;&gt;0,INDEX(生物种群!$A$3:INDEX(生物种群!$A:$A,COUNTA(生物种群!$A:$A)),MATCH($C629,生物种群!$F$3:INDEX(生物种群!$F:$F,COUNTA(生物种群!$F:$F)),),),IF($A629&lt;&gt;0,INDEX(生物种群!$A$3:INDEX(生物种群!$A:$A,COUNTA(生物种群!$A:$A)),MATCH($A629,生物种群!$C$3:INDEX(生物种群!$C:$C,COUNTA(生物种群!$C:$C)),),),INDEX(生物种群!$A$3:INDEX(生物种群!$A:$A,COUNTA(生物种群!$A:$A)),MATCH($B629,生物种群!$D$3:INDEX(生物种群!$D:$D,COUNTA(生物种群!$D:$D)),),))),"")</f>
        <v/>
      </c>
      <c r="I629" s="56" t="str">
        <f>IF(H629="","",INDEX(生物种群!$B$3:INDEX(生物种群!$B:$B,COUNTA(生物种群!$B:$B)),MATCH($H629,生物种群!$A$3:INDEX(生物种群!$A:$A,COUNTA(生物种群!$A:$A)),),))</f>
        <v/>
      </c>
      <c r="J629" s="55" t="str">
        <f>IF(H629="","",INDEX(生物种群!$I$3:INDEX(生物种群!$I:$I,COUNTA(生物种群!$I:$I)),MATCH($H629,生物种群!$A$3:INDEX(生物种群!$A:$A,COUNTA(生物种群!$A:$A)),),))</f>
        <v/>
      </c>
      <c r="K629" s="55" t="str">
        <f>IF(H629="","",INDEX(生物种群!$E$3:INDEX(生物种群!$E:$E,COUNTA(生物种群!$E:$E)),MATCH($H629,生物种群!$A$3:INDEX(生物种群!$A:$A,COUNTA(生物种群!$A:$A)),),))</f>
        <v/>
      </c>
      <c r="L629" s="46" t="str">
        <f t="shared" si="33"/>
        <v/>
      </c>
      <c r="M629" s="47" t="str">
        <f>IF(L629="","",ROUND((L629)/VLOOKUP($F629,IF({1,0},站位样品信息!$A$3:INDEX(站位样品信息!$A:$A,COUNTA(站位样品信息!$A:$A)+1),站位样品信息!$H$3:INDEX(站位样品信息!$H:$H,COUNTA(站位样品信息!$H:$H)+1)),2,0),2))</f>
        <v/>
      </c>
      <c r="O629" s="49"/>
      <c r="P629" s="53" t="str">
        <f t="shared" si="31"/>
        <v/>
      </c>
      <c r="Q629" s="53" t="str">
        <f t="shared" si="32"/>
        <v/>
      </c>
    </row>
    <row r="630" spans="1:17" ht="19.5" customHeight="1">
      <c r="A630" s="38"/>
      <c r="B630" s="38"/>
      <c r="C630" s="38"/>
      <c r="D630" s="37"/>
      <c r="E630" s="37"/>
      <c r="F630" s="37"/>
      <c r="G630" s="37" t="str">
        <f>IF(F630="","",INDEX(站位样品信息!$B$3:INDEX(站位样品信息!$B:$B,COUNTA(站位样品信息!$B:$B)+1),MATCH($F630,站位样品信息!$A$3:INDEX(站位样品信息!$A:$A,COUNTA(站位样品信息!$A:$A)+1),),))</f>
        <v/>
      </c>
      <c r="H630" s="55" t="str">
        <f>IF(OR(A630&lt;&gt;"",B630&lt;&gt;"",C630&lt;&gt;""),IF($C630&lt;&gt;0,INDEX(生物种群!$A$3:INDEX(生物种群!$A:$A,COUNTA(生物种群!$A:$A)),MATCH($C630,生物种群!$F$3:INDEX(生物种群!$F:$F,COUNTA(生物种群!$F:$F)),),),IF($A630&lt;&gt;0,INDEX(生物种群!$A$3:INDEX(生物种群!$A:$A,COUNTA(生物种群!$A:$A)),MATCH($A630,生物种群!$C$3:INDEX(生物种群!$C:$C,COUNTA(生物种群!$C:$C)),),),INDEX(生物种群!$A$3:INDEX(生物种群!$A:$A,COUNTA(生物种群!$A:$A)),MATCH($B630,生物种群!$D$3:INDEX(生物种群!$D:$D,COUNTA(生物种群!$D:$D)),),))),"")</f>
        <v/>
      </c>
      <c r="I630" s="56" t="str">
        <f>IF(H630="","",INDEX(生物种群!$B$3:INDEX(生物种群!$B:$B,COUNTA(生物种群!$B:$B)),MATCH($H630,生物种群!$A$3:INDEX(生物种群!$A:$A,COUNTA(生物种群!$A:$A)),),))</f>
        <v/>
      </c>
      <c r="J630" s="55" t="str">
        <f>IF(H630="","",INDEX(生物种群!$I$3:INDEX(生物种群!$I:$I,COUNTA(生物种群!$I:$I)),MATCH($H630,生物种群!$A$3:INDEX(生物种群!$A:$A,COUNTA(生物种群!$A:$A)),),))</f>
        <v/>
      </c>
      <c r="K630" s="55" t="str">
        <f>IF(H630="","",INDEX(生物种群!$E$3:INDEX(生物种群!$E:$E,COUNTA(生物种群!$E:$E)),MATCH($H630,生物种群!$A$3:INDEX(生物种群!$A:$A,COUNTA(生物种群!$A:$A)),),))</f>
        <v/>
      </c>
      <c r="L630" s="46" t="str">
        <f t="shared" si="33"/>
        <v/>
      </c>
      <c r="M630" s="47" t="str">
        <f>IF(L630="","",ROUND((L630)/VLOOKUP($F630,IF({1,0},站位样品信息!$A$3:INDEX(站位样品信息!$A:$A,COUNTA(站位样品信息!$A:$A)+1),站位样品信息!$H$3:INDEX(站位样品信息!$H:$H,COUNTA(站位样品信息!$H:$H)+1)),2,0),2))</f>
        <v/>
      </c>
      <c r="O630" s="49"/>
      <c r="P630" s="53" t="str">
        <f t="shared" si="31"/>
        <v/>
      </c>
      <c r="Q630" s="53" t="str">
        <f t="shared" si="32"/>
        <v/>
      </c>
    </row>
    <row r="631" spans="1:17" ht="19.5" customHeight="1">
      <c r="A631" s="38"/>
      <c r="B631" s="38"/>
      <c r="C631" s="38"/>
      <c r="D631" s="37"/>
      <c r="E631" s="37"/>
      <c r="F631" s="37"/>
      <c r="G631" s="37" t="str">
        <f>IF(F631="","",INDEX(站位样品信息!$B$3:INDEX(站位样品信息!$B:$B,COUNTA(站位样品信息!$B:$B)+1),MATCH($F631,站位样品信息!$A$3:INDEX(站位样品信息!$A:$A,COUNTA(站位样品信息!$A:$A)+1),),))</f>
        <v/>
      </c>
      <c r="H631" s="55" t="str">
        <f>IF(OR(A631&lt;&gt;"",B631&lt;&gt;"",C631&lt;&gt;""),IF($C631&lt;&gt;0,INDEX(生物种群!$A$3:INDEX(生物种群!$A:$A,COUNTA(生物种群!$A:$A)),MATCH($C631,生物种群!$F$3:INDEX(生物种群!$F:$F,COUNTA(生物种群!$F:$F)),),),IF($A631&lt;&gt;0,INDEX(生物种群!$A$3:INDEX(生物种群!$A:$A,COUNTA(生物种群!$A:$A)),MATCH($A631,生物种群!$C$3:INDEX(生物种群!$C:$C,COUNTA(生物种群!$C:$C)),),),INDEX(生物种群!$A$3:INDEX(生物种群!$A:$A,COUNTA(生物种群!$A:$A)),MATCH($B631,生物种群!$D$3:INDEX(生物种群!$D:$D,COUNTA(生物种群!$D:$D)),),))),"")</f>
        <v/>
      </c>
      <c r="I631" s="56" t="str">
        <f>IF(H631="","",INDEX(生物种群!$B$3:INDEX(生物种群!$B:$B,COUNTA(生物种群!$B:$B)),MATCH($H631,生物种群!$A$3:INDEX(生物种群!$A:$A,COUNTA(生物种群!$A:$A)),),))</f>
        <v/>
      </c>
      <c r="J631" s="55" t="str">
        <f>IF(H631="","",INDEX(生物种群!$I$3:INDEX(生物种群!$I:$I,COUNTA(生物种群!$I:$I)),MATCH($H631,生物种群!$A$3:INDEX(生物种群!$A:$A,COUNTA(生物种群!$A:$A)),),))</f>
        <v/>
      </c>
      <c r="K631" s="55" t="str">
        <f>IF(H631="","",INDEX(生物种群!$E$3:INDEX(生物种群!$E:$E,COUNTA(生物种群!$E:$E)),MATCH($H631,生物种群!$A$3:INDEX(生物种群!$A:$A,COUNTA(生物种群!$A:$A)),),))</f>
        <v/>
      </c>
      <c r="L631" s="46" t="str">
        <f t="shared" si="33"/>
        <v/>
      </c>
      <c r="M631" s="47" t="str">
        <f>IF(L631="","",ROUND((L631)/VLOOKUP($F631,IF({1,0},站位样品信息!$A$3:INDEX(站位样品信息!$A:$A,COUNTA(站位样品信息!$A:$A)+1),站位样品信息!$H$3:INDEX(站位样品信息!$H:$H,COUNTA(站位样品信息!$H:$H)+1)),2,0),2))</f>
        <v/>
      </c>
      <c r="O631" s="49"/>
      <c r="P631" s="53" t="str">
        <f t="shared" si="31"/>
        <v/>
      </c>
      <c r="Q631" s="53" t="str">
        <f t="shared" si="32"/>
        <v/>
      </c>
    </row>
    <row r="632" spans="1:17" ht="19.5" customHeight="1">
      <c r="A632" s="38"/>
      <c r="B632" s="38"/>
      <c r="C632" s="38"/>
      <c r="D632" s="37"/>
      <c r="E632" s="37"/>
      <c r="F632" s="37"/>
      <c r="G632" s="37" t="str">
        <f>IF(F632="","",INDEX(站位样品信息!$B$3:INDEX(站位样品信息!$B:$B,COUNTA(站位样品信息!$B:$B)+1),MATCH($F632,站位样品信息!$A$3:INDEX(站位样品信息!$A:$A,COUNTA(站位样品信息!$A:$A)+1),),))</f>
        <v/>
      </c>
      <c r="H632" s="55" t="str">
        <f>IF(OR(A632&lt;&gt;"",B632&lt;&gt;"",C632&lt;&gt;""),IF($C632&lt;&gt;0,INDEX(生物种群!$A$3:INDEX(生物种群!$A:$A,COUNTA(生物种群!$A:$A)),MATCH($C632,生物种群!$F$3:INDEX(生物种群!$F:$F,COUNTA(生物种群!$F:$F)),),),IF($A632&lt;&gt;0,INDEX(生物种群!$A$3:INDEX(生物种群!$A:$A,COUNTA(生物种群!$A:$A)),MATCH($A632,生物种群!$C$3:INDEX(生物种群!$C:$C,COUNTA(生物种群!$C:$C)),),),INDEX(生物种群!$A$3:INDEX(生物种群!$A:$A,COUNTA(生物种群!$A:$A)),MATCH($B632,生物种群!$D$3:INDEX(生物种群!$D:$D,COUNTA(生物种群!$D:$D)),),))),"")</f>
        <v/>
      </c>
      <c r="I632" s="56" t="str">
        <f>IF(H632="","",INDEX(生物种群!$B$3:INDEX(生物种群!$B:$B,COUNTA(生物种群!$B:$B)),MATCH($H632,生物种群!$A$3:INDEX(生物种群!$A:$A,COUNTA(生物种群!$A:$A)),),))</f>
        <v/>
      </c>
      <c r="J632" s="55" t="str">
        <f>IF(H632="","",INDEX(生物种群!$I$3:INDEX(生物种群!$I:$I,COUNTA(生物种群!$I:$I)),MATCH($H632,生物种群!$A$3:INDEX(生物种群!$A:$A,COUNTA(生物种群!$A:$A)),),))</f>
        <v/>
      </c>
      <c r="K632" s="55" t="str">
        <f>IF(H632="","",INDEX(生物种群!$E$3:INDEX(生物种群!$E:$E,COUNTA(生物种群!$E:$E)),MATCH($H632,生物种群!$A$3:INDEX(生物种群!$A:$A,COUNTA(生物种群!$A:$A)),),))</f>
        <v/>
      </c>
      <c r="L632" s="46" t="str">
        <f t="shared" si="33"/>
        <v/>
      </c>
      <c r="M632" s="47" t="str">
        <f>IF(L632="","",ROUND((L632)/VLOOKUP($F632,IF({1,0},站位样品信息!$A$3:INDEX(站位样品信息!$A:$A,COUNTA(站位样品信息!$A:$A)+1),站位样品信息!$H$3:INDEX(站位样品信息!$H:$H,COUNTA(站位样品信息!$H:$H)+1)),2,0),2))</f>
        <v/>
      </c>
      <c r="O632" s="49"/>
      <c r="P632" s="53" t="str">
        <f t="shared" si="31"/>
        <v/>
      </c>
      <c r="Q632" s="53" t="str">
        <f t="shared" si="32"/>
        <v/>
      </c>
    </row>
    <row r="633" spans="1:17" ht="19.5" customHeight="1">
      <c r="A633" s="38"/>
      <c r="B633" s="38"/>
      <c r="C633" s="38"/>
      <c r="D633" s="37"/>
      <c r="E633" s="37"/>
      <c r="F633" s="37"/>
      <c r="G633" s="37" t="str">
        <f>IF(F633="","",INDEX(站位样品信息!$B$3:INDEX(站位样品信息!$B:$B,COUNTA(站位样品信息!$B:$B)+1),MATCH($F633,站位样品信息!$A$3:INDEX(站位样品信息!$A:$A,COUNTA(站位样品信息!$A:$A)+1),),))</f>
        <v/>
      </c>
      <c r="H633" s="55" t="str">
        <f>IF(OR(A633&lt;&gt;"",B633&lt;&gt;"",C633&lt;&gt;""),IF($C633&lt;&gt;0,INDEX(生物种群!$A$3:INDEX(生物种群!$A:$A,COUNTA(生物种群!$A:$A)),MATCH($C633,生物种群!$F$3:INDEX(生物种群!$F:$F,COUNTA(生物种群!$F:$F)),),),IF($A633&lt;&gt;0,INDEX(生物种群!$A$3:INDEX(生物种群!$A:$A,COUNTA(生物种群!$A:$A)),MATCH($A633,生物种群!$C$3:INDEX(生物种群!$C:$C,COUNTA(生物种群!$C:$C)),),),INDEX(生物种群!$A$3:INDEX(生物种群!$A:$A,COUNTA(生物种群!$A:$A)),MATCH($B633,生物种群!$D$3:INDEX(生物种群!$D:$D,COUNTA(生物种群!$D:$D)),),))),"")</f>
        <v/>
      </c>
      <c r="I633" s="56" t="str">
        <f>IF(H633="","",INDEX(生物种群!$B$3:INDEX(生物种群!$B:$B,COUNTA(生物种群!$B:$B)),MATCH($H633,生物种群!$A$3:INDEX(生物种群!$A:$A,COUNTA(生物种群!$A:$A)),),))</f>
        <v/>
      </c>
      <c r="J633" s="55" t="str">
        <f>IF(H633="","",INDEX(生物种群!$I$3:INDEX(生物种群!$I:$I,COUNTA(生物种群!$I:$I)),MATCH($H633,生物种群!$A$3:INDEX(生物种群!$A:$A,COUNTA(生物种群!$A:$A)),),))</f>
        <v/>
      </c>
      <c r="K633" s="55" t="str">
        <f>IF(H633="","",INDEX(生物种群!$E$3:INDEX(生物种群!$E:$E,COUNTA(生物种群!$E:$E)),MATCH($H633,生物种群!$A$3:INDEX(生物种群!$A:$A,COUNTA(生物种群!$A:$A)),),))</f>
        <v/>
      </c>
      <c r="L633" s="46" t="str">
        <f t="shared" si="33"/>
        <v/>
      </c>
      <c r="M633" s="47" t="str">
        <f>IF(L633="","",ROUND((L633)/VLOOKUP($F633,IF({1,0},站位样品信息!$A$3:INDEX(站位样品信息!$A:$A,COUNTA(站位样品信息!$A:$A)+1),站位样品信息!$H$3:INDEX(站位样品信息!$H:$H,COUNTA(站位样品信息!$H:$H)+1)),2,0),2))</f>
        <v/>
      </c>
      <c r="O633" s="49"/>
      <c r="P633" s="53" t="str">
        <f t="shared" si="31"/>
        <v/>
      </c>
      <c r="Q633" s="53" t="str">
        <f t="shared" si="32"/>
        <v/>
      </c>
    </row>
    <row r="634" spans="1:17" ht="19.5" customHeight="1">
      <c r="A634" s="38"/>
      <c r="B634" s="38"/>
      <c r="C634" s="38"/>
      <c r="D634" s="37"/>
      <c r="E634" s="37"/>
      <c r="F634" s="37"/>
      <c r="G634" s="37" t="str">
        <f>IF(F634="","",INDEX(站位样品信息!$B$3:INDEX(站位样品信息!$B:$B,COUNTA(站位样品信息!$B:$B)+1),MATCH($F634,站位样品信息!$A$3:INDEX(站位样品信息!$A:$A,COUNTA(站位样品信息!$A:$A)+1),),))</f>
        <v/>
      </c>
      <c r="H634" s="55" t="str">
        <f>IF(OR(A634&lt;&gt;"",B634&lt;&gt;"",C634&lt;&gt;""),IF($C634&lt;&gt;0,INDEX(生物种群!$A$3:INDEX(生物种群!$A:$A,COUNTA(生物种群!$A:$A)),MATCH($C634,生物种群!$F$3:INDEX(生物种群!$F:$F,COUNTA(生物种群!$F:$F)),),),IF($A634&lt;&gt;0,INDEX(生物种群!$A$3:INDEX(生物种群!$A:$A,COUNTA(生物种群!$A:$A)),MATCH($A634,生物种群!$C$3:INDEX(生物种群!$C:$C,COUNTA(生物种群!$C:$C)),),),INDEX(生物种群!$A$3:INDEX(生物种群!$A:$A,COUNTA(生物种群!$A:$A)),MATCH($B634,生物种群!$D$3:INDEX(生物种群!$D:$D,COUNTA(生物种群!$D:$D)),),))),"")</f>
        <v/>
      </c>
      <c r="I634" s="56" t="str">
        <f>IF(H634="","",INDEX(生物种群!$B$3:INDEX(生物种群!$B:$B,COUNTA(生物种群!$B:$B)),MATCH($H634,生物种群!$A$3:INDEX(生物种群!$A:$A,COUNTA(生物种群!$A:$A)),),))</f>
        <v/>
      </c>
      <c r="J634" s="55" t="str">
        <f>IF(H634="","",INDEX(生物种群!$I$3:INDEX(生物种群!$I:$I,COUNTA(生物种群!$I:$I)),MATCH($H634,生物种群!$A$3:INDEX(生物种群!$A:$A,COUNTA(生物种群!$A:$A)),),))</f>
        <v/>
      </c>
      <c r="K634" s="55" t="str">
        <f>IF(H634="","",INDEX(生物种群!$E$3:INDEX(生物种群!$E:$E,COUNTA(生物种群!$E:$E)),MATCH($H634,生物种群!$A$3:INDEX(生物种群!$A:$A,COUNTA(生物种群!$A:$A)),),))</f>
        <v/>
      </c>
      <c r="L634" s="46" t="str">
        <f t="shared" si="33"/>
        <v/>
      </c>
      <c r="M634" s="47" t="str">
        <f>IF(L634="","",ROUND((L634)/VLOOKUP($F634,IF({1,0},站位样品信息!$A$3:INDEX(站位样品信息!$A:$A,COUNTA(站位样品信息!$A:$A)+1),站位样品信息!$H$3:INDEX(站位样品信息!$H:$H,COUNTA(站位样品信息!$H:$H)+1)),2,0),2))</f>
        <v/>
      </c>
      <c r="O634" s="49"/>
      <c r="P634" s="53" t="str">
        <f t="shared" si="31"/>
        <v/>
      </c>
      <c r="Q634" s="53" t="str">
        <f t="shared" si="32"/>
        <v/>
      </c>
    </row>
    <row r="635" spans="1:17" ht="19.5" customHeight="1">
      <c r="A635" s="38"/>
      <c r="B635" s="38"/>
      <c r="C635" s="38"/>
      <c r="D635" s="37"/>
      <c r="E635" s="37"/>
      <c r="F635" s="37"/>
      <c r="G635" s="37" t="str">
        <f>IF(F635="","",INDEX(站位样品信息!$B$3:INDEX(站位样品信息!$B:$B,COUNTA(站位样品信息!$B:$B)+1),MATCH($F635,站位样品信息!$A$3:INDEX(站位样品信息!$A:$A,COUNTA(站位样品信息!$A:$A)+1),),))</f>
        <v/>
      </c>
      <c r="H635" s="55" t="str">
        <f>IF(OR(A635&lt;&gt;"",B635&lt;&gt;"",C635&lt;&gt;""),IF($C635&lt;&gt;0,INDEX(生物种群!$A$3:INDEX(生物种群!$A:$A,COUNTA(生物种群!$A:$A)),MATCH($C635,生物种群!$F$3:INDEX(生物种群!$F:$F,COUNTA(生物种群!$F:$F)),),),IF($A635&lt;&gt;0,INDEX(生物种群!$A$3:INDEX(生物种群!$A:$A,COUNTA(生物种群!$A:$A)),MATCH($A635,生物种群!$C$3:INDEX(生物种群!$C:$C,COUNTA(生物种群!$C:$C)),),),INDEX(生物种群!$A$3:INDEX(生物种群!$A:$A,COUNTA(生物种群!$A:$A)),MATCH($B635,生物种群!$D$3:INDEX(生物种群!$D:$D,COUNTA(生物种群!$D:$D)),),))),"")</f>
        <v/>
      </c>
      <c r="I635" s="56" t="str">
        <f>IF(H635="","",INDEX(生物种群!$B$3:INDEX(生物种群!$B:$B,COUNTA(生物种群!$B:$B)),MATCH($H635,生物种群!$A$3:INDEX(生物种群!$A:$A,COUNTA(生物种群!$A:$A)),),))</f>
        <v/>
      </c>
      <c r="J635" s="55" t="str">
        <f>IF(H635="","",INDEX(生物种群!$I$3:INDEX(生物种群!$I:$I,COUNTA(生物种群!$I:$I)),MATCH($H635,生物种群!$A$3:INDEX(生物种群!$A:$A,COUNTA(生物种群!$A:$A)),),))</f>
        <v/>
      </c>
      <c r="K635" s="55" t="str">
        <f>IF(H635="","",INDEX(生物种群!$E$3:INDEX(生物种群!$E:$E,COUNTA(生物种群!$E:$E)),MATCH($H635,生物种群!$A$3:INDEX(生物种群!$A:$A,COUNTA(生物种群!$A:$A)),),))</f>
        <v/>
      </c>
      <c r="L635" s="46" t="str">
        <f t="shared" si="33"/>
        <v/>
      </c>
      <c r="M635" s="47" t="str">
        <f>IF(L635="","",ROUND((L635)/VLOOKUP($F635,IF({1,0},站位样品信息!$A$3:INDEX(站位样品信息!$A:$A,COUNTA(站位样品信息!$A:$A)+1),站位样品信息!$H$3:INDEX(站位样品信息!$H:$H,COUNTA(站位样品信息!$H:$H)+1)),2,0),2))</f>
        <v/>
      </c>
      <c r="O635" s="49"/>
      <c r="P635" s="53" t="str">
        <f t="shared" si="31"/>
        <v/>
      </c>
      <c r="Q635" s="53" t="str">
        <f t="shared" si="32"/>
        <v/>
      </c>
    </row>
    <row r="636" spans="1:17" ht="19.5" customHeight="1">
      <c r="A636" s="38"/>
      <c r="B636" s="38"/>
      <c r="C636" s="38"/>
      <c r="D636" s="37"/>
      <c r="E636" s="37"/>
      <c r="F636" s="37"/>
      <c r="G636" s="37" t="str">
        <f>IF(F636="","",INDEX(站位样品信息!$B$3:INDEX(站位样品信息!$B:$B,COUNTA(站位样品信息!$B:$B)+1),MATCH($F636,站位样品信息!$A$3:INDEX(站位样品信息!$A:$A,COUNTA(站位样品信息!$A:$A)+1),),))</f>
        <v/>
      </c>
      <c r="H636" s="55" t="str">
        <f>IF(OR(A636&lt;&gt;"",B636&lt;&gt;"",C636&lt;&gt;""),IF($C636&lt;&gt;0,INDEX(生物种群!$A$3:INDEX(生物种群!$A:$A,COUNTA(生物种群!$A:$A)),MATCH($C636,生物种群!$F$3:INDEX(生物种群!$F:$F,COUNTA(生物种群!$F:$F)),),),IF($A636&lt;&gt;0,INDEX(生物种群!$A$3:INDEX(生物种群!$A:$A,COUNTA(生物种群!$A:$A)),MATCH($A636,生物种群!$C$3:INDEX(生物种群!$C:$C,COUNTA(生物种群!$C:$C)),),),INDEX(生物种群!$A$3:INDEX(生物种群!$A:$A,COUNTA(生物种群!$A:$A)),MATCH($B636,生物种群!$D$3:INDEX(生物种群!$D:$D,COUNTA(生物种群!$D:$D)),),))),"")</f>
        <v/>
      </c>
      <c r="I636" s="56" t="str">
        <f>IF(H636="","",INDEX(生物种群!$B$3:INDEX(生物种群!$B:$B,COUNTA(生物种群!$B:$B)),MATCH($H636,生物种群!$A$3:INDEX(生物种群!$A:$A,COUNTA(生物种群!$A:$A)),),))</f>
        <v/>
      </c>
      <c r="J636" s="55" t="str">
        <f>IF(H636="","",INDEX(生物种群!$I$3:INDEX(生物种群!$I:$I,COUNTA(生物种群!$I:$I)),MATCH($H636,生物种群!$A$3:INDEX(生物种群!$A:$A,COUNTA(生物种群!$A:$A)),),))</f>
        <v/>
      </c>
      <c r="K636" s="55" t="str">
        <f>IF(H636="","",INDEX(生物种群!$E$3:INDEX(生物种群!$E:$E,COUNTA(生物种群!$E:$E)),MATCH($H636,生物种群!$A$3:INDEX(生物种群!$A:$A,COUNTA(生物种群!$A:$A)),),))</f>
        <v/>
      </c>
      <c r="L636" s="46" t="str">
        <f t="shared" si="33"/>
        <v/>
      </c>
      <c r="M636" s="47" t="str">
        <f>IF(L636="","",ROUND((L636)/VLOOKUP($F636,IF({1,0},站位样品信息!$A$3:INDEX(站位样品信息!$A:$A,COUNTA(站位样品信息!$A:$A)+1),站位样品信息!$H$3:INDEX(站位样品信息!$H:$H,COUNTA(站位样品信息!$H:$H)+1)),2,0),2))</f>
        <v/>
      </c>
      <c r="O636" s="49"/>
      <c r="P636" s="53" t="str">
        <f t="shared" si="31"/>
        <v/>
      </c>
      <c r="Q636" s="53" t="str">
        <f t="shared" si="32"/>
        <v/>
      </c>
    </row>
    <row r="637" spans="1:17" ht="19.5" customHeight="1">
      <c r="A637" s="38"/>
      <c r="B637" s="38"/>
      <c r="C637" s="38"/>
      <c r="D637" s="37"/>
      <c r="E637" s="37"/>
      <c r="F637" s="37"/>
      <c r="G637" s="37" t="str">
        <f>IF(F637="","",INDEX(站位样品信息!$B$3:INDEX(站位样品信息!$B:$B,COUNTA(站位样品信息!$B:$B)+1),MATCH($F637,站位样品信息!$A$3:INDEX(站位样品信息!$A:$A,COUNTA(站位样品信息!$A:$A)+1),),))</f>
        <v/>
      </c>
      <c r="H637" s="55" t="str">
        <f>IF(OR(A637&lt;&gt;"",B637&lt;&gt;"",C637&lt;&gt;""),IF($C637&lt;&gt;0,INDEX(生物种群!$A$3:INDEX(生物种群!$A:$A,COUNTA(生物种群!$A:$A)),MATCH($C637,生物种群!$F$3:INDEX(生物种群!$F:$F,COUNTA(生物种群!$F:$F)),),),IF($A637&lt;&gt;0,INDEX(生物种群!$A$3:INDEX(生物种群!$A:$A,COUNTA(生物种群!$A:$A)),MATCH($A637,生物种群!$C$3:INDEX(生物种群!$C:$C,COUNTA(生物种群!$C:$C)),),),INDEX(生物种群!$A$3:INDEX(生物种群!$A:$A,COUNTA(生物种群!$A:$A)),MATCH($B637,生物种群!$D$3:INDEX(生物种群!$D:$D,COUNTA(生物种群!$D:$D)),),))),"")</f>
        <v/>
      </c>
      <c r="I637" s="56" t="str">
        <f>IF(H637="","",INDEX(生物种群!$B$3:INDEX(生物种群!$B:$B,COUNTA(生物种群!$B:$B)),MATCH($H637,生物种群!$A$3:INDEX(生物种群!$A:$A,COUNTA(生物种群!$A:$A)),),))</f>
        <v/>
      </c>
      <c r="J637" s="55" t="str">
        <f>IF(H637="","",INDEX(生物种群!$I$3:INDEX(生物种群!$I:$I,COUNTA(生物种群!$I:$I)),MATCH($H637,生物种群!$A$3:INDEX(生物种群!$A:$A,COUNTA(生物种群!$A:$A)),),))</f>
        <v/>
      </c>
      <c r="K637" s="55" t="str">
        <f>IF(H637="","",INDEX(生物种群!$E$3:INDEX(生物种群!$E:$E,COUNTA(生物种群!$E:$E)),MATCH($H637,生物种群!$A$3:INDEX(生物种群!$A:$A,COUNTA(生物种群!$A:$A)),),))</f>
        <v/>
      </c>
      <c r="L637" s="46" t="str">
        <f t="shared" si="33"/>
        <v/>
      </c>
      <c r="M637" s="47" t="str">
        <f>IF(L637="","",ROUND((L637)/VLOOKUP($F637,IF({1,0},站位样品信息!$A$3:INDEX(站位样品信息!$A:$A,COUNTA(站位样品信息!$A:$A)+1),站位样品信息!$H$3:INDEX(站位样品信息!$H:$H,COUNTA(站位样品信息!$H:$H)+1)),2,0),2))</f>
        <v/>
      </c>
      <c r="O637" s="49"/>
      <c r="P637" s="53" t="str">
        <f t="shared" si="31"/>
        <v/>
      </c>
      <c r="Q637" s="53" t="str">
        <f t="shared" si="32"/>
        <v/>
      </c>
    </row>
    <row r="638" spans="1:17" ht="19.5" customHeight="1">
      <c r="A638" s="38"/>
      <c r="B638" s="38"/>
      <c r="C638" s="38"/>
      <c r="D638" s="37"/>
      <c r="E638" s="37"/>
      <c r="F638" s="37"/>
      <c r="G638" s="37" t="str">
        <f>IF(F638="","",INDEX(站位样品信息!$B$3:INDEX(站位样品信息!$B:$B,COUNTA(站位样品信息!$B:$B)+1),MATCH($F638,站位样品信息!$A$3:INDEX(站位样品信息!$A:$A,COUNTA(站位样品信息!$A:$A)+1),),))</f>
        <v/>
      </c>
      <c r="H638" s="55" t="str">
        <f>IF(OR(A638&lt;&gt;"",B638&lt;&gt;"",C638&lt;&gt;""),IF($C638&lt;&gt;0,INDEX(生物种群!$A$3:INDEX(生物种群!$A:$A,COUNTA(生物种群!$A:$A)),MATCH($C638,生物种群!$F$3:INDEX(生物种群!$F:$F,COUNTA(生物种群!$F:$F)),),),IF($A638&lt;&gt;0,INDEX(生物种群!$A$3:INDEX(生物种群!$A:$A,COUNTA(生物种群!$A:$A)),MATCH($A638,生物种群!$C$3:INDEX(生物种群!$C:$C,COUNTA(生物种群!$C:$C)),),),INDEX(生物种群!$A$3:INDEX(生物种群!$A:$A,COUNTA(生物种群!$A:$A)),MATCH($B638,生物种群!$D$3:INDEX(生物种群!$D:$D,COUNTA(生物种群!$D:$D)),),))),"")</f>
        <v/>
      </c>
      <c r="I638" s="56" t="str">
        <f>IF(H638="","",INDEX(生物种群!$B$3:INDEX(生物种群!$B:$B,COUNTA(生物种群!$B:$B)),MATCH($H638,生物种群!$A$3:INDEX(生物种群!$A:$A,COUNTA(生物种群!$A:$A)),),))</f>
        <v/>
      </c>
      <c r="J638" s="55" t="str">
        <f>IF(H638="","",INDEX(生物种群!$I$3:INDEX(生物种群!$I:$I,COUNTA(生物种群!$I:$I)),MATCH($H638,生物种群!$A$3:INDEX(生物种群!$A:$A,COUNTA(生物种群!$A:$A)),),))</f>
        <v/>
      </c>
      <c r="K638" s="55" t="str">
        <f>IF(H638="","",INDEX(生物种群!$E$3:INDEX(生物种群!$E:$E,COUNTA(生物种群!$E:$E)),MATCH($H638,生物种群!$A$3:INDEX(生物种群!$A:$A,COUNTA(生物种群!$A:$A)),),))</f>
        <v/>
      </c>
      <c r="L638" s="46" t="str">
        <f t="shared" si="33"/>
        <v/>
      </c>
      <c r="M638" s="47" t="str">
        <f>IF(L638="","",ROUND((L638)/VLOOKUP($F638,IF({1,0},站位样品信息!$A$3:INDEX(站位样品信息!$A:$A,COUNTA(站位样品信息!$A:$A)+1),站位样品信息!$H$3:INDEX(站位样品信息!$H:$H,COUNTA(站位样品信息!$H:$H)+1)),2,0),2))</f>
        <v/>
      </c>
      <c r="O638" s="49"/>
      <c r="P638" s="53" t="str">
        <f t="shared" si="31"/>
        <v/>
      </c>
      <c r="Q638" s="53" t="str">
        <f t="shared" si="32"/>
        <v/>
      </c>
    </row>
    <row r="639" spans="1:17" ht="19.5" customHeight="1">
      <c r="A639" s="38"/>
      <c r="B639" s="38"/>
      <c r="C639" s="38"/>
      <c r="D639" s="37"/>
      <c r="E639" s="37"/>
      <c r="F639" s="37"/>
      <c r="G639" s="37" t="str">
        <f>IF(F639="","",INDEX(站位样品信息!$B$3:INDEX(站位样品信息!$B:$B,COUNTA(站位样品信息!$B:$B)+1),MATCH($F639,站位样品信息!$A$3:INDEX(站位样品信息!$A:$A,COUNTA(站位样品信息!$A:$A)+1),),))</f>
        <v/>
      </c>
      <c r="H639" s="55" t="str">
        <f>IF(OR(A639&lt;&gt;"",B639&lt;&gt;"",C639&lt;&gt;""),IF($C639&lt;&gt;0,INDEX(生物种群!$A$3:INDEX(生物种群!$A:$A,COUNTA(生物种群!$A:$A)),MATCH($C639,生物种群!$F$3:INDEX(生物种群!$F:$F,COUNTA(生物种群!$F:$F)),),),IF($A639&lt;&gt;0,INDEX(生物种群!$A$3:INDEX(生物种群!$A:$A,COUNTA(生物种群!$A:$A)),MATCH($A639,生物种群!$C$3:INDEX(生物种群!$C:$C,COUNTA(生物种群!$C:$C)),),),INDEX(生物种群!$A$3:INDEX(生物种群!$A:$A,COUNTA(生物种群!$A:$A)),MATCH($B639,生物种群!$D$3:INDEX(生物种群!$D:$D,COUNTA(生物种群!$D:$D)),),))),"")</f>
        <v/>
      </c>
      <c r="I639" s="56" t="str">
        <f>IF(H639="","",INDEX(生物种群!$B$3:INDEX(生物种群!$B:$B,COUNTA(生物种群!$B:$B)),MATCH($H639,生物种群!$A$3:INDEX(生物种群!$A:$A,COUNTA(生物种群!$A:$A)),),))</f>
        <v/>
      </c>
      <c r="J639" s="55" t="str">
        <f>IF(H639="","",INDEX(生物种群!$I$3:INDEX(生物种群!$I:$I,COUNTA(生物种群!$I:$I)),MATCH($H639,生物种群!$A$3:INDEX(生物种群!$A:$A,COUNTA(生物种群!$A:$A)),),))</f>
        <v/>
      </c>
      <c r="K639" s="55" t="str">
        <f>IF(H639="","",INDEX(生物种群!$E$3:INDEX(生物种群!$E:$E,COUNTA(生物种群!$E:$E)),MATCH($H639,生物种群!$A$3:INDEX(生物种群!$A:$A,COUNTA(生物种群!$A:$A)),),))</f>
        <v/>
      </c>
      <c r="L639" s="46" t="str">
        <f t="shared" si="33"/>
        <v/>
      </c>
      <c r="M639" s="47" t="str">
        <f>IF(L639="","",ROUND((L639)/VLOOKUP($F639,IF({1,0},站位样品信息!$A$3:INDEX(站位样品信息!$A:$A,COUNTA(站位样品信息!$A:$A)+1),站位样品信息!$H$3:INDEX(站位样品信息!$H:$H,COUNTA(站位样品信息!$H:$H)+1)),2,0),2))</f>
        <v/>
      </c>
      <c r="O639" s="49"/>
      <c r="P639" s="53" t="str">
        <f t="shared" si="31"/>
        <v/>
      </c>
      <c r="Q639" s="53" t="str">
        <f t="shared" si="32"/>
        <v/>
      </c>
    </row>
    <row r="640" spans="1:17" ht="19.5" customHeight="1">
      <c r="A640" s="38"/>
      <c r="B640" s="38"/>
      <c r="C640" s="38"/>
      <c r="D640" s="37"/>
      <c r="E640" s="37"/>
      <c r="F640" s="37"/>
      <c r="G640" s="37" t="str">
        <f>IF(F640="","",INDEX(站位样品信息!$B$3:INDEX(站位样品信息!$B:$B,COUNTA(站位样品信息!$B:$B)+1),MATCH($F640,站位样品信息!$A$3:INDEX(站位样品信息!$A:$A,COUNTA(站位样品信息!$A:$A)+1),),))</f>
        <v/>
      </c>
      <c r="H640" s="55" t="str">
        <f>IF(OR(A640&lt;&gt;"",B640&lt;&gt;"",C640&lt;&gt;""),IF($C640&lt;&gt;0,INDEX(生物种群!$A$3:INDEX(生物种群!$A:$A,COUNTA(生物种群!$A:$A)),MATCH($C640,生物种群!$F$3:INDEX(生物种群!$F:$F,COUNTA(生物种群!$F:$F)),),),IF($A640&lt;&gt;0,INDEX(生物种群!$A$3:INDEX(生物种群!$A:$A,COUNTA(生物种群!$A:$A)),MATCH($A640,生物种群!$C$3:INDEX(生物种群!$C:$C,COUNTA(生物种群!$C:$C)),),),INDEX(生物种群!$A$3:INDEX(生物种群!$A:$A,COUNTA(生物种群!$A:$A)),MATCH($B640,生物种群!$D$3:INDEX(生物种群!$D:$D,COUNTA(生物种群!$D:$D)),),))),"")</f>
        <v/>
      </c>
      <c r="I640" s="56" t="str">
        <f>IF(H640="","",INDEX(生物种群!$B$3:INDEX(生物种群!$B:$B,COUNTA(生物种群!$B:$B)),MATCH($H640,生物种群!$A$3:INDEX(生物种群!$A:$A,COUNTA(生物种群!$A:$A)),),))</f>
        <v/>
      </c>
      <c r="J640" s="55" t="str">
        <f>IF(H640="","",INDEX(生物种群!$I$3:INDEX(生物种群!$I:$I,COUNTA(生物种群!$I:$I)),MATCH($H640,生物种群!$A$3:INDEX(生物种群!$A:$A,COUNTA(生物种群!$A:$A)),),))</f>
        <v/>
      </c>
      <c r="K640" s="55" t="str">
        <f>IF(H640="","",INDEX(生物种群!$E$3:INDEX(生物种群!$E:$E,COUNTA(生物种群!$E:$E)),MATCH($H640,生物种群!$A$3:INDEX(生物种群!$A:$A,COUNTA(生物种群!$A:$A)),),))</f>
        <v/>
      </c>
      <c r="L640" s="46" t="str">
        <f t="shared" si="33"/>
        <v/>
      </c>
      <c r="M640" s="47" t="str">
        <f>IF(L640="","",ROUND((L640)/VLOOKUP($F640,IF({1,0},站位样品信息!$A$3:INDEX(站位样品信息!$A:$A,COUNTA(站位样品信息!$A:$A)+1),站位样品信息!$H$3:INDEX(站位样品信息!$H:$H,COUNTA(站位样品信息!$H:$H)+1)),2,0),2))</f>
        <v/>
      </c>
      <c r="O640" s="49"/>
      <c r="P640" s="53" t="str">
        <f t="shared" si="31"/>
        <v/>
      </c>
      <c r="Q640" s="53" t="str">
        <f t="shared" si="32"/>
        <v/>
      </c>
    </row>
    <row r="641" spans="1:17" ht="19.5" customHeight="1">
      <c r="A641" s="38"/>
      <c r="B641" s="38"/>
      <c r="C641" s="38"/>
      <c r="D641" s="37"/>
      <c r="E641" s="37"/>
      <c r="F641" s="37"/>
      <c r="G641" s="37" t="str">
        <f>IF(F641="","",INDEX(站位样品信息!$B$3:INDEX(站位样品信息!$B:$B,COUNTA(站位样品信息!$B:$B)+1),MATCH($F641,站位样品信息!$A$3:INDEX(站位样品信息!$A:$A,COUNTA(站位样品信息!$A:$A)+1),),))</f>
        <v/>
      </c>
      <c r="H641" s="55" t="str">
        <f>IF(OR(A641&lt;&gt;"",B641&lt;&gt;"",C641&lt;&gt;""),IF($C641&lt;&gt;0,INDEX(生物种群!$A$3:INDEX(生物种群!$A:$A,COUNTA(生物种群!$A:$A)),MATCH($C641,生物种群!$F$3:INDEX(生物种群!$F:$F,COUNTA(生物种群!$F:$F)),),),IF($A641&lt;&gt;0,INDEX(生物种群!$A$3:INDEX(生物种群!$A:$A,COUNTA(生物种群!$A:$A)),MATCH($A641,生物种群!$C$3:INDEX(生物种群!$C:$C,COUNTA(生物种群!$C:$C)),),),INDEX(生物种群!$A$3:INDEX(生物种群!$A:$A,COUNTA(生物种群!$A:$A)),MATCH($B641,生物种群!$D$3:INDEX(生物种群!$D:$D,COUNTA(生物种群!$D:$D)),),))),"")</f>
        <v/>
      </c>
      <c r="I641" s="56" t="str">
        <f>IF(H641="","",INDEX(生物种群!$B$3:INDEX(生物种群!$B:$B,COUNTA(生物种群!$B:$B)),MATCH($H641,生物种群!$A$3:INDEX(生物种群!$A:$A,COUNTA(生物种群!$A:$A)),),))</f>
        <v/>
      </c>
      <c r="J641" s="55" t="str">
        <f>IF(H641="","",INDEX(生物种群!$I$3:INDEX(生物种群!$I:$I,COUNTA(生物种群!$I:$I)),MATCH($H641,生物种群!$A$3:INDEX(生物种群!$A:$A,COUNTA(生物种群!$A:$A)),),))</f>
        <v/>
      </c>
      <c r="K641" s="55" t="str">
        <f>IF(H641="","",INDEX(生物种群!$E$3:INDEX(生物种群!$E:$E,COUNTA(生物种群!$E:$E)),MATCH($H641,生物种群!$A$3:INDEX(生物种群!$A:$A,COUNTA(生物种群!$A:$A)),),))</f>
        <v/>
      </c>
      <c r="L641" s="46" t="str">
        <f t="shared" si="33"/>
        <v/>
      </c>
      <c r="M641" s="47" t="str">
        <f>IF(L641="","",ROUND((L641)/VLOOKUP($F641,IF({1,0},站位样品信息!$A$3:INDEX(站位样品信息!$A:$A,COUNTA(站位样品信息!$A:$A)+1),站位样品信息!$H$3:INDEX(站位样品信息!$H:$H,COUNTA(站位样品信息!$H:$H)+1)),2,0),2))</f>
        <v/>
      </c>
      <c r="O641" s="49"/>
      <c r="P641" s="53" t="str">
        <f t="shared" si="31"/>
        <v/>
      </c>
      <c r="Q641" s="53" t="str">
        <f t="shared" si="32"/>
        <v/>
      </c>
    </row>
    <row r="642" spans="1:17" ht="19.5" customHeight="1">
      <c r="A642" s="38"/>
      <c r="B642" s="38"/>
      <c r="C642" s="38"/>
      <c r="D642" s="37"/>
      <c r="E642" s="37"/>
      <c r="F642" s="37"/>
      <c r="G642" s="37" t="str">
        <f>IF(F642="","",INDEX(站位样品信息!$B$3:INDEX(站位样品信息!$B:$B,COUNTA(站位样品信息!$B:$B)+1),MATCH($F642,站位样品信息!$A$3:INDEX(站位样品信息!$A:$A,COUNTA(站位样品信息!$A:$A)+1),),))</f>
        <v/>
      </c>
      <c r="H642" s="55" t="str">
        <f>IF(OR(A642&lt;&gt;"",B642&lt;&gt;"",C642&lt;&gt;""),IF($C642&lt;&gt;0,INDEX(生物种群!$A$3:INDEX(生物种群!$A:$A,COUNTA(生物种群!$A:$A)),MATCH($C642,生物种群!$F$3:INDEX(生物种群!$F:$F,COUNTA(生物种群!$F:$F)),),),IF($A642&lt;&gt;0,INDEX(生物种群!$A$3:INDEX(生物种群!$A:$A,COUNTA(生物种群!$A:$A)),MATCH($A642,生物种群!$C$3:INDEX(生物种群!$C:$C,COUNTA(生物种群!$C:$C)),),),INDEX(生物种群!$A$3:INDEX(生物种群!$A:$A,COUNTA(生物种群!$A:$A)),MATCH($B642,生物种群!$D$3:INDEX(生物种群!$D:$D,COUNTA(生物种群!$D:$D)),),))),"")</f>
        <v/>
      </c>
      <c r="I642" s="56" t="str">
        <f>IF(H642="","",INDEX(生物种群!$B$3:INDEX(生物种群!$B:$B,COUNTA(生物种群!$B:$B)),MATCH($H642,生物种群!$A$3:INDEX(生物种群!$A:$A,COUNTA(生物种群!$A:$A)),),))</f>
        <v/>
      </c>
      <c r="J642" s="55" t="str">
        <f>IF(H642="","",INDEX(生物种群!$I$3:INDEX(生物种群!$I:$I,COUNTA(生物种群!$I:$I)),MATCH($H642,生物种群!$A$3:INDEX(生物种群!$A:$A,COUNTA(生物种群!$A:$A)),),))</f>
        <v/>
      </c>
      <c r="K642" s="55" t="str">
        <f>IF(H642="","",INDEX(生物种群!$E$3:INDEX(生物种群!$E:$E,COUNTA(生物种群!$E:$E)),MATCH($H642,生物种群!$A$3:INDEX(生物种群!$A:$A,COUNTA(生物种群!$A:$A)),),))</f>
        <v/>
      </c>
      <c r="L642" s="46" t="str">
        <f t="shared" si="33"/>
        <v/>
      </c>
      <c r="M642" s="47" t="str">
        <f>IF(L642="","",ROUND((L642)/VLOOKUP($F642,IF({1,0},站位样品信息!$A$3:INDEX(站位样品信息!$A:$A,COUNTA(站位样品信息!$A:$A)+1),站位样品信息!$H$3:INDEX(站位样品信息!$H:$H,COUNTA(站位样品信息!$H:$H)+1)),2,0),2))</f>
        <v/>
      </c>
      <c r="O642" s="49"/>
      <c r="P642" s="53" t="str">
        <f t="shared" si="31"/>
        <v/>
      </c>
      <c r="Q642" s="53" t="str">
        <f t="shared" si="32"/>
        <v/>
      </c>
    </row>
    <row r="643" spans="1:17" ht="19.5" customHeight="1">
      <c r="A643" s="38"/>
      <c r="B643" s="38"/>
      <c r="C643" s="38"/>
      <c r="D643" s="37"/>
      <c r="E643" s="37"/>
      <c r="F643" s="37"/>
      <c r="G643" s="37" t="str">
        <f>IF(F643="","",INDEX(站位样品信息!$B$3:INDEX(站位样品信息!$B:$B,COUNTA(站位样品信息!$B:$B)+1),MATCH($F643,站位样品信息!$A$3:INDEX(站位样品信息!$A:$A,COUNTA(站位样品信息!$A:$A)+1),),))</f>
        <v/>
      </c>
      <c r="H643" s="55" t="str">
        <f>IF(OR(A643&lt;&gt;"",B643&lt;&gt;"",C643&lt;&gt;""),IF($C643&lt;&gt;0,INDEX(生物种群!$A$3:INDEX(生物种群!$A:$A,COUNTA(生物种群!$A:$A)),MATCH($C643,生物种群!$F$3:INDEX(生物种群!$F:$F,COUNTA(生物种群!$F:$F)),),),IF($A643&lt;&gt;0,INDEX(生物种群!$A$3:INDEX(生物种群!$A:$A,COUNTA(生物种群!$A:$A)),MATCH($A643,生物种群!$C$3:INDEX(生物种群!$C:$C,COUNTA(生物种群!$C:$C)),),),INDEX(生物种群!$A$3:INDEX(生物种群!$A:$A,COUNTA(生物种群!$A:$A)),MATCH($B643,生物种群!$D$3:INDEX(生物种群!$D:$D,COUNTA(生物种群!$D:$D)),),))),"")</f>
        <v/>
      </c>
      <c r="I643" s="56" t="str">
        <f>IF(H643="","",INDEX(生物种群!$B$3:INDEX(生物种群!$B:$B,COUNTA(生物种群!$B:$B)),MATCH($H643,生物种群!$A$3:INDEX(生物种群!$A:$A,COUNTA(生物种群!$A:$A)),),))</f>
        <v/>
      </c>
      <c r="J643" s="55" t="str">
        <f>IF(H643="","",INDEX(生物种群!$I$3:INDEX(生物种群!$I:$I,COUNTA(生物种群!$I:$I)),MATCH($H643,生物种群!$A$3:INDEX(生物种群!$A:$A,COUNTA(生物种群!$A:$A)),),))</f>
        <v/>
      </c>
      <c r="K643" s="55" t="str">
        <f>IF(H643="","",INDEX(生物种群!$E$3:INDEX(生物种群!$E:$E,COUNTA(生物种群!$E:$E)),MATCH($H643,生物种群!$A$3:INDEX(生物种群!$A:$A,COUNTA(生物种群!$A:$A)),),))</f>
        <v/>
      </c>
      <c r="L643" s="46" t="str">
        <f t="shared" si="33"/>
        <v/>
      </c>
      <c r="M643" s="47" t="str">
        <f>IF(L643="","",ROUND((L643)/VLOOKUP($F643,IF({1,0},站位样品信息!$A$3:INDEX(站位样品信息!$A:$A,COUNTA(站位样品信息!$A:$A)+1),站位样品信息!$H$3:INDEX(站位样品信息!$H:$H,COUNTA(站位样品信息!$H:$H)+1)),2,0),2))</f>
        <v/>
      </c>
      <c r="O643" s="49"/>
      <c r="P643" s="53" t="str">
        <f t="shared" si="34" ref="P643:P706">IF(F643&gt;0,F643&amp;I643,"")</f>
        <v/>
      </c>
      <c r="Q643" s="53" t="str">
        <f t="shared" si="35" ref="Q643:Q706">IF(COUNTIF($P:$P,P643)=1,"",IF(A643&amp;B643&amp;C643="","","重复"))</f>
        <v/>
      </c>
    </row>
    <row r="644" spans="1:17" ht="19.5" customHeight="1">
      <c r="A644" s="38"/>
      <c r="B644" s="38"/>
      <c r="C644" s="38"/>
      <c r="D644" s="37"/>
      <c r="E644" s="37"/>
      <c r="F644" s="37"/>
      <c r="G644" s="37" t="str">
        <f>IF(F644="","",INDEX(站位样品信息!$B$3:INDEX(站位样品信息!$B:$B,COUNTA(站位样品信息!$B:$B)+1),MATCH($F644,站位样品信息!$A$3:INDEX(站位样品信息!$A:$A,COUNTA(站位样品信息!$A:$A)+1),),))</f>
        <v/>
      </c>
      <c r="H644" s="55" t="str">
        <f>IF(OR(A644&lt;&gt;"",B644&lt;&gt;"",C644&lt;&gt;""),IF($C644&lt;&gt;0,INDEX(生物种群!$A$3:INDEX(生物种群!$A:$A,COUNTA(生物种群!$A:$A)),MATCH($C644,生物种群!$F$3:INDEX(生物种群!$F:$F,COUNTA(生物种群!$F:$F)),),),IF($A644&lt;&gt;0,INDEX(生物种群!$A$3:INDEX(生物种群!$A:$A,COUNTA(生物种群!$A:$A)),MATCH($A644,生物种群!$C$3:INDEX(生物种群!$C:$C,COUNTA(生物种群!$C:$C)),),),INDEX(生物种群!$A$3:INDEX(生物种群!$A:$A,COUNTA(生物种群!$A:$A)),MATCH($B644,生物种群!$D$3:INDEX(生物种群!$D:$D,COUNTA(生物种群!$D:$D)),),))),"")</f>
        <v/>
      </c>
      <c r="I644" s="56" t="str">
        <f>IF(H644="","",INDEX(生物种群!$B$3:INDEX(生物种群!$B:$B,COUNTA(生物种群!$B:$B)),MATCH($H644,生物种群!$A$3:INDEX(生物种群!$A:$A,COUNTA(生物种群!$A:$A)),),))</f>
        <v/>
      </c>
      <c r="J644" s="55" t="str">
        <f>IF(H644="","",INDEX(生物种群!$I$3:INDEX(生物种群!$I:$I,COUNTA(生物种群!$I:$I)),MATCH($H644,生物种群!$A$3:INDEX(生物种群!$A:$A,COUNTA(生物种群!$A:$A)),),))</f>
        <v/>
      </c>
      <c r="K644" s="55" t="str">
        <f>IF(H644="","",INDEX(生物种群!$E$3:INDEX(生物种群!$E:$E,COUNTA(生物种群!$E:$E)),MATCH($H644,生物种群!$A$3:INDEX(生物种群!$A:$A,COUNTA(生物种群!$A:$A)),),))</f>
        <v/>
      </c>
      <c r="L644" s="46" t="str">
        <f t="shared" si="33"/>
        <v/>
      </c>
      <c r="M644" s="47" t="str">
        <f>IF(L644="","",ROUND((L644)/VLOOKUP($F644,IF({1,0},站位样品信息!$A$3:INDEX(站位样品信息!$A:$A,COUNTA(站位样品信息!$A:$A)+1),站位样品信息!$H$3:INDEX(站位样品信息!$H:$H,COUNTA(站位样品信息!$H:$H)+1)),2,0),2))</f>
        <v/>
      </c>
      <c r="O644" s="49"/>
      <c r="P644" s="53" t="str">
        <f t="shared" si="34"/>
        <v/>
      </c>
      <c r="Q644" s="53" t="str">
        <f t="shared" si="35"/>
        <v/>
      </c>
    </row>
    <row r="645" spans="1:17" ht="19.5" customHeight="1">
      <c r="A645" s="38"/>
      <c r="B645" s="38"/>
      <c r="C645" s="38"/>
      <c r="D645" s="37"/>
      <c r="E645" s="37"/>
      <c r="F645" s="37"/>
      <c r="G645" s="37" t="str">
        <f>IF(F645="","",INDEX(站位样品信息!$B$3:INDEX(站位样品信息!$B:$B,COUNTA(站位样品信息!$B:$B)+1),MATCH($F645,站位样品信息!$A$3:INDEX(站位样品信息!$A:$A,COUNTA(站位样品信息!$A:$A)+1),),))</f>
        <v/>
      </c>
      <c r="H645" s="55" t="str">
        <f>IF(OR(A645&lt;&gt;"",B645&lt;&gt;"",C645&lt;&gt;""),IF($C645&lt;&gt;0,INDEX(生物种群!$A$3:INDEX(生物种群!$A:$A,COUNTA(生物种群!$A:$A)),MATCH($C645,生物种群!$F$3:INDEX(生物种群!$F:$F,COUNTA(生物种群!$F:$F)),),),IF($A645&lt;&gt;0,INDEX(生物种群!$A$3:INDEX(生物种群!$A:$A,COUNTA(生物种群!$A:$A)),MATCH($A645,生物种群!$C$3:INDEX(生物种群!$C:$C,COUNTA(生物种群!$C:$C)),),),INDEX(生物种群!$A$3:INDEX(生物种群!$A:$A,COUNTA(生物种群!$A:$A)),MATCH($B645,生物种群!$D$3:INDEX(生物种群!$D:$D,COUNTA(生物种群!$D:$D)),),))),"")</f>
        <v/>
      </c>
      <c r="I645" s="56" t="str">
        <f>IF(H645="","",INDEX(生物种群!$B$3:INDEX(生物种群!$B:$B,COUNTA(生物种群!$B:$B)),MATCH($H645,生物种群!$A$3:INDEX(生物种群!$A:$A,COUNTA(生物种群!$A:$A)),),))</f>
        <v/>
      </c>
      <c r="J645" s="55" t="str">
        <f>IF(H645="","",INDEX(生物种群!$I$3:INDEX(生物种群!$I:$I,COUNTA(生物种群!$I:$I)),MATCH($H645,生物种群!$A$3:INDEX(生物种群!$A:$A,COUNTA(生物种群!$A:$A)),),))</f>
        <v/>
      </c>
      <c r="K645" s="55" t="str">
        <f>IF(H645="","",INDEX(生物种群!$E$3:INDEX(生物种群!$E:$E,COUNTA(生物种群!$E:$E)),MATCH($H645,生物种群!$A$3:INDEX(生物种群!$A:$A,COUNTA(生物种群!$A:$A)),),))</f>
        <v/>
      </c>
      <c r="L645" s="46" t="str">
        <f t="shared" si="33"/>
        <v/>
      </c>
      <c r="M645" s="47" t="str">
        <f>IF(L645="","",ROUND((L645)/VLOOKUP($F645,IF({1,0},站位样品信息!$A$3:INDEX(站位样品信息!$A:$A,COUNTA(站位样品信息!$A:$A)+1),站位样品信息!$H$3:INDEX(站位样品信息!$H:$H,COUNTA(站位样品信息!$H:$H)+1)),2,0),2))</f>
        <v/>
      </c>
      <c r="O645" s="49"/>
      <c r="P645" s="53" t="str">
        <f t="shared" si="34"/>
        <v/>
      </c>
      <c r="Q645" s="53" t="str">
        <f t="shared" si="35"/>
        <v/>
      </c>
    </row>
    <row r="646" spans="1:17" ht="19.5" customHeight="1">
      <c r="A646" s="38"/>
      <c r="B646" s="38"/>
      <c r="C646" s="38"/>
      <c r="D646" s="37"/>
      <c r="E646" s="37"/>
      <c r="F646" s="37"/>
      <c r="G646" s="37" t="str">
        <f>IF(F646="","",INDEX(站位样品信息!$B$3:INDEX(站位样品信息!$B:$B,COUNTA(站位样品信息!$B:$B)+1),MATCH($F646,站位样品信息!$A$3:INDEX(站位样品信息!$A:$A,COUNTA(站位样品信息!$A:$A)+1),),))</f>
        <v/>
      </c>
      <c r="H646" s="55" t="str">
        <f>IF(OR(A646&lt;&gt;"",B646&lt;&gt;"",C646&lt;&gt;""),IF($C646&lt;&gt;0,INDEX(生物种群!$A$3:INDEX(生物种群!$A:$A,COUNTA(生物种群!$A:$A)),MATCH($C646,生物种群!$F$3:INDEX(生物种群!$F:$F,COUNTA(生物种群!$F:$F)),),),IF($A646&lt;&gt;0,INDEX(生物种群!$A$3:INDEX(生物种群!$A:$A,COUNTA(生物种群!$A:$A)),MATCH($A646,生物种群!$C$3:INDEX(生物种群!$C:$C,COUNTA(生物种群!$C:$C)),),),INDEX(生物种群!$A$3:INDEX(生物种群!$A:$A,COUNTA(生物种群!$A:$A)),MATCH($B646,生物种群!$D$3:INDEX(生物种群!$D:$D,COUNTA(生物种群!$D:$D)),),))),"")</f>
        <v/>
      </c>
      <c r="I646" s="56" t="str">
        <f>IF(H646="","",INDEX(生物种群!$B$3:INDEX(生物种群!$B:$B,COUNTA(生物种群!$B:$B)),MATCH($H646,生物种群!$A$3:INDEX(生物种群!$A:$A,COUNTA(生物种群!$A:$A)),),))</f>
        <v/>
      </c>
      <c r="J646" s="55" t="str">
        <f>IF(H646="","",INDEX(生物种群!$I$3:INDEX(生物种群!$I:$I,COUNTA(生物种群!$I:$I)),MATCH($H646,生物种群!$A$3:INDEX(生物种群!$A:$A,COUNTA(生物种群!$A:$A)),),))</f>
        <v/>
      </c>
      <c r="K646" s="55" t="str">
        <f>IF(H646="","",INDEX(生物种群!$E$3:INDEX(生物种群!$E:$E,COUNTA(生物种群!$E:$E)),MATCH($H646,生物种群!$A$3:INDEX(生物种群!$A:$A,COUNTA(生物种群!$A:$A)),),))</f>
        <v/>
      </c>
      <c r="L646" s="46" t="str">
        <f t="shared" si="33"/>
        <v/>
      </c>
      <c r="M646" s="47" t="str">
        <f>IF(L646="","",ROUND((L646)/VLOOKUP($F646,IF({1,0},站位样品信息!$A$3:INDEX(站位样品信息!$A:$A,COUNTA(站位样品信息!$A:$A)+1),站位样品信息!$H$3:INDEX(站位样品信息!$H:$H,COUNTA(站位样品信息!$H:$H)+1)),2,0),2))</f>
        <v/>
      </c>
      <c r="O646" s="49"/>
      <c r="P646" s="53" t="str">
        <f t="shared" si="34"/>
        <v/>
      </c>
      <c r="Q646" s="53" t="str">
        <f t="shared" si="35"/>
        <v/>
      </c>
    </row>
    <row r="647" spans="1:17" ht="19.5" customHeight="1">
      <c r="A647" s="38"/>
      <c r="B647" s="38"/>
      <c r="C647" s="38"/>
      <c r="D647" s="37"/>
      <c r="E647" s="37"/>
      <c r="F647" s="37"/>
      <c r="G647" s="37" t="str">
        <f>IF(F647="","",INDEX(站位样品信息!$B$3:INDEX(站位样品信息!$B:$B,COUNTA(站位样品信息!$B:$B)+1),MATCH($F647,站位样品信息!$A$3:INDEX(站位样品信息!$A:$A,COUNTA(站位样品信息!$A:$A)+1),),))</f>
        <v/>
      </c>
      <c r="H647" s="55" t="str">
        <f>IF(OR(A647&lt;&gt;"",B647&lt;&gt;"",C647&lt;&gt;""),IF($C647&lt;&gt;0,INDEX(生物种群!$A$3:INDEX(生物种群!$A:$A,COUNTA(生物种群!$A:$A)),MATCH($C647,生物种群!$F$3:INDEX(生物种群!$F:$F,COUNTA(生物种群!$F:$F)),),),IF($A647&lt;&gt;0,INDEX(生物种群!$A$3:INDEX(生物种群!$A:$A,COUNTA(生物种群!$A:$A)),MATCH($A647,生物种群!$C$3:INDEX(生物种群!$C:$C,COUNTA(生物种群!$C:$C)),),),INDEX(生物种群!$A$3:INDEX(生物种群!$A:$A,COUNTA(生物种群!$A:$A)),MATCH($B647,生物种群!$D$3:INDEX(生物种群!$D:$D,COUNTA(生物种群!$D:$D)),),))),"")</f>
        <v/>
      </c>
      <c r="I647" s="56" t="str">
        <f>IF(H647="","",INDEX(生物种群!$B$3:INDEX(生物种群!$B:$B,COUNTA(生物种群!$B:$B)),MATCH($H647,生物种群!$A$3:INDEX(生物种群!$A:$A,COUNTA(生物种群!$A:$A)),),))</f>
        <v/>
      </c>
      <c r="J647" s="55" t="str">
        <f>IF(H647="","",INDEX(生物种群!$I$3:INDEX(生物种群!$I:$I,COUNTA(生物种群!$I:$I)),MATCH($H647,生物种群!$A$3:INDEX(生物种群!$A:$A,COUNTA(生物种群!$A:$A)),),))</f>
        <v/>
      </c>
      <c r="K647" s="55" t="str">
        <f>IF(H647="","",INDEX(生物种群!$E$3:INDEX(生物种群!$E:$E,COUNTA(生物种群!$E:$E)),MATCH($H647,生物种群!$A$3:INDEX(生物种群!$A:$A,COUNTA(生物种群!$A:$A)),),))</f>
        <v/>
      </c>
      <c r="L647" s="46" t="str">
        <f t="shared" si="33"/>
        <v/>
      </c>
      <c r="M647" s="47" t="str">
        <f>IF(L647="","",ROUND((L647)/VLOOKUP($F647,IF({1,0},站位样品信息!$A$3:INDEX(站位样品信息!$A:$A,COUNTA(站位样品信息!$A:$A)+1),站位样品信息!$H$3:INDEX(站位样品信息!$H:$H,COUNTA(站位样品信息!$H:$H)+1)),2,0),2))</f>
        <v/>
      </c>
      <c r="O647" s="49"/>
      <c r="P647" s="53" t="str">
        <f t="shared" si="34"/>
        <v/>
      </c>
      <c r="Q647" s="53" t="str">
        <f t="shared" si="35"/>
        <v/>
      </c>
    </row>
    <row r="648" spans="1:17" ht="19.5" customHeight="1">
      <c r="A648" s="38"/>
      <c r="B648" s="38"/>
      <c r="C648" s="38"/>
      <c r="D648" s="37"/>
      <c r="E648" s="37"/>
      <c r="F648" s="37"/>
      <c r="G648" s="37" t="str">
        <f>IF(F648="","",INDEX(站位样品信息!$B$3:INDEX(站位样品信息!$B:$B,COUNTA(站位样品信息!$B:$B)+1),MATCH($F648,站位样品信息!$A$3:INDEX(站位样品信息!$A:$A,COUNTA(站位样品信息!$A:$A)+1),),))</f>
        <v/>
      </c>
      <c r="H648" s="55" t="str">
        <f>IF(OR(A648&lt;&gt;"",B648&lt;&gt;"",C648&lt;&gt;""),IF($C648&lt;&gt;0,INDEX(生物种群!$A$3:INDEX(生物种群!$A:$A,COUNTA(生物种群!$A:$A)),MATCH($C648,生物种群!$F$3:INDEX(生物种群!$F:$F,COUNTA(生物种群!$F:$F)),),),IF($A648&lt;&gt;0,INDEX(生物种群!$A$3:INDEX(生物种群!$A:$A,COUNTA(生物种群!$A:$A)),MATCH($A648,生物种群!$C$3:INDEX(生物种群!$C:$C,COUNTA(生物种群!$C:$C)),),),INDEX(生物种群!$A$3:INDEX(生物种群!$A:$A,COUNTA(生物种群!$A:$A)),MATCH($B648,生物种群!$D$3:INDEX(生物种群!$D:$D,COUNTA(生物种群!$D:$D)),),))),"")</f>
        <v/>
      </c>
      <c r="I648" s="56" t="str">
        <f>IF(H648="","",INDEX(生物种群!$B$3:INDEX(生物种群!$B:$B,COUNTA(生物种群!$B:$B)),MATCH($H648,生物种群!$A$3:INDEX(生物种群!$A:$A,COUNTA(生物种群!$A:$A)),),))</f>
        <v/>
      </c>
      <c r="J648" s="55" t="str">
        <f>IF(H648="","",INDEX(生物种群!$I$3:INDEX(生物种群!$I:$I,COUNTA(生物种群!$I:$I)),MATCH($H648,生物种群!$A$3:INDEX(生物种群!$A:$A,COUNTA(生物种群!$A:$A)),),))</f>
        <v/>
      </c>
      <c r="K648" s="55" t="str">
        <f>IF(H648="","",INDEX(生物种群!$E$3:INDEX(生物种群!$E:$E,COUNTA(生物种群!$E:$E)),MATCH($H648,生物种群!$A$3:INDEX(生物种群!$A:$A,COUNTA(生物种群!$A:$A)),),))</f>
        <v/>
      </c>
      <c r="L648" s="46" t="str">
        <f t="shared" si="33"/>
        <v/>
      </c>
      <c r="M648" s="47" t="str">
        <f>IF(L648="","",ROUND((L648)/VLOOKUP($F648,IF({1,0},站位样品信息!$A$3:INDEX(站位样品信息!$A:$A,COUNTA(站位样品信息!$A:$A)+1),站位样品信息!$H$3:INDEX(站位样品信息!$H:$H,COUNTA(站位样品信息!$H:$H)+1)),2,0),2))</f>
        <v/>
      </c>
      <c r="O648" s="49"/>
      <c r="P648" s="53" t="str">
        <f t="shared" si="34"/>
        <v/>
      </c>
      <c r="Q648" s="53" t="str">
        <f t="shared" si="35"/>
        <v/>
      </c>
    </row>
    <row r="649" spans="1:17" ht="19.5" customHeight="1">
      <c r="A649" s="38"/>
      <c r="B649" s="38"/>
      <c r="C649" s="38"/>
      <c r="D649" s="37"/>
      <c r="E649" s="37"/>
      <c r="F649" s="37"/>
      <c r="G649" s="37" t="str">
        <f>IF(F649="","",INDEX(站位样品信息!$B$3:INDEX(站位样品信息!$B:$B,COUNTA(站位样品信息!$B:$B)+1),MATCH($F649,站位样品信息!$A$3:INDEX(站位样品信息!$A:$A,COUNTA(站位样品信息!$A:$A)+1),),))</f>
        <v/>
      </c>
      <c r="H649" s="55" t="str">
        <f>IF(OR(A649&lt;&gt;"",B649&lt;&gt;"",C649&lt;&gt;""),IF($C649&lt;&gt;0,INDEX(生物种群!$A$3:INDEX(生物种群!$A:$A,COUNTA(生物种群!$A:$A)),MATCH($C649,生物种群!$F$3:INDEX(生物种群!$F:$F,COUNTA(生物种群!$F:$F)),),),IF($A649&lt;&gt;0,INDEX(生物种群!$A$3:INDEX(生物种群!$A:$A,COUNTA(生物种群!$A:$A)),MATCH($A649,生物种群!$C$3:INDEX(生物种群!$C:$C,COUNTA(生物种群!$C:$C)),),),INDEX(生物种群!$A$3:INDEX(生物种群!$A:$A,COUNTA(生物种群!$A:$A)),MATCH($B649,生物种群!$D$3:INDEX(生物种群!$D:$D,COUNTA(生物种群!$D:$D)),),))),"")</f>
        <v/>
      </c>
      <c r="I649" s="56" t="str">
        <f>IF(H649="","",INDEX(生物种群!$B$3:INDEX(生物种群!$B:$B,COUNTA(生物种群!$B:$B)),MATCH($H649,生物种群!$A$3:INDEX(生物种群!$A:$A,COUNTA(生物种群!$A:$A)),),))</f>
        <v/>
      </c>
      <c r="J649" s="55" t="str">
        <f>IF(H649="","",INDEX(生物种群!$I$3:INDEX(生物种群!$I:$I,COUNTA(生物种群!$I:$I)),MATCH($H649,生物种群!$A$3:INDEX(生物种群!$A:$A,COUNTA(生物种群!$A:$A)),),))</f>
        <v/>
      </c>
      <c r="K649" s="55" t="str">
        <f>IF(H649="","",INDEX(生物种群!$E$3:INDEX(生物种群!$E:$E,COUNTA(生物种群!$E:$E)),MATCH($H649,生物种群!$A$3:INDEX(生物种群!$A:$A,COUNTA(生物种群!$A:$A)),),))</f>
        <v/>
      </c>
      <c r="L649" s="46" t="str">
        <f t="shared" si="33"/>
        <v/>
      </c>
      <c r="M649" s="47" t="str">
        <f>IF(L649="","",ROUND((L649)/VLOOKUP($F649,IF({1,0},站位样品信息!$A$3:INDEX(站位样品信息!$A:$A,COUNTA(站位样品信息!$A:$A)+1),站位样品信息!$H$3:INDEX(站位样品信息!$H:$H,COUNTA(站位样品信息!$H:$H)+1)),2,0),2))</f>
        <v/>
      </c>
      <c r="O649" s="49"/>
      <c r="P649" s="53" t="str">
        <f t="shared" si="34"/>
        <v/>
      </c>
      <c r="Q649" s="53" t="str">
        <f t="shared" si="35"/>
        <v/>
      </c>
    </row>
    <row r="650" spans="1:17" ht="19.5" customHeight="1">
      <c r="A650" s="38"/>
      <c r="B650" s="38"/>
      <c r="C650" s="38"/>
      <c r="D650" s="37"/>
      <c r="E650" s="37"/>
      <c r="F650" s="37"/>
      <c r="G650" s="37" t="str">
        <f>IF(F650="","",INDEX(站位样品信息!$B$3:INDEX(站位样品信息!$B:$B,COUNTA(站位样品信息!$B:$B)+1),MATCH($F650,站位样品信息!$A$3:INDEX(站位样品信息!$A:$A,COUNTA(站位样品信息!$A:$A)+1),),))</f>
        <v/>
      </c>
      <c r="H650" s="55" t="str">
        <f>IF(OR(A650&lt;&gt;"",B650&lt;&gt;"",C650&lt;&gt;""),IF($C650&lt;&gt;0,INDEX(生物种群!$A$3:INDEX(生物种群!$A:$A,COUNTA(生物种群!$A:$A)),MATCH($C650,生物种群!$F$3:INDEX(生物种群!$F:$F,COUNTA(生物种群!$F:$F)),),),IF($A650&lt;&gt;0,INDEX(生物种群!$A$3:INDEX(生物种群!$A:$A,COUNTA(生物种群!$A:$A)),MATCH($A650,生物种群!$C$3:INDEX(生物种群!$C:$C,COUNTA(生物种群!$C:$C)),),),INDEX(生物种群!$A$3:INDEX(生物种群!$A:$A,COUNTA(生物种群!$A:$A)),MATCH($B650,生物种群!$D$3:INDEX(生物种群!$D:$D,COUNTA(生物种群!$D:$D)),),))),"")</f>
        <v/>
      </c>
      <c r="I650" s="56" t="str">
        <f>IF(H650="","",INDEX(生物种群!$B$3:INDEX(生物种群!$B:$B,COUNTA(生物种群!$B:$B)),MATCH($H650,生物种群!$A$3:INDEX(生物种群!$A:$A,COUNTA(生物种群!$A:$A)),),))</f>
        <v/>
      </c>
      <c r="J650" s="55" t="str">
        <f>IF(H650="","",INDEX(生物种群!$I$3:INDEX(生物种群!$I:$I,COUNTA(生物种群!$I:$I)),MATCH($H650,生物种群!$A$3:INDEX(生物种群!$A:$A,COUNTA(生物种群!$A:$A)),),))</f>
        <v/>
      </c>
      <c r="K650" s="55" t="str">
        <f>IF(H650="","",INDEX(生物种群!$E$3:INDEX(生物种群!$E:$E,COUNTA(生物种群!$E:$E)),MATCH($H650,生物种群!$A$3:INDEX(生物种群!$A:$A,COUNTA(生物种群!$A:$A)),),))</f>
        <v/>
      </c>
      <c r="L650" s="46" t="str">
        <f t="shared" si="33"/>
        <v/>
      </c>
      <c r="M650" s="47" t="str">
        <f>IF(L650="","",ROUND((L650)/VLOOKUP($F650,IF({1,0},站位样品信息!$A$3:INDEX(站位样品信息!$A:$A,COUNTA(站位样品信息!$A:$A)+1),站位样品信息!$H$3:INDEX(站位样品信息!$H:$H,COUNTA(站位样品信息!$H:$H)+1)),2,0),2))</f>
        <v/>
      </c>
      <c r="O650" s="49"/>
      <c r="P650" s="53" t="str">
        <f t="shared" si="34"/>
        <v/>
      </c>
      <c r="Q650" s="53" t="str">
        <f t="shared" si="35"/>
        <v/>
      </c>
    </row>
    <row r="651" spans="1:17" ht="19.5" customHeight="1">
      <c r="A651" s="38"/>
      <c r="B651" s="38"/>
      <c r="C651" s="38"/>
      <c r="D651" s="37"/>
      <c r="E651" s="37"/>
      <c r="F651" s="37"/>
      <c r="G651" s="37" t="str">
        <f>IF(F651="","",INDEX(站位样品信息!$B$3:INDEX(站位样品信息!$B:$B,COUNTA(站位样品信息!$B:$B)+1),MATCH($F651,站位样品信息!$A$3:INDEX(站位样品信息!$A:$A,COUNTA(站位样品信息!$A:$A)+1),),))</f>
        <v/>
      </c>
      <c r="H651" s="55" t="str">
        <f>IF(OR(A651&lt;&gt;"",B651&lt;&gt;"",C651&lt;&gt;""),IF($C651&lt;&gt;0,INDEX(生物种群!$A$3:INDEX(生物种群!$A:$A,COUNTA(生物种群!$A:$A)),MATCH($C651,生物种群!$F$3:INDEX(生物种群!$F:$F,COUNTA(生物种群!$F:$F)),),),IF($A651&lt;&gt;0,INDEX(生物种群!$A$3:INDEX(生物种群!$A:$A,COUNTA(生物种群!$A:$A)),MATCH($A651,生物种群!$C$3:INDEX(生物种群!$C:$C,COUNTA(生物种群!$C:$C)),),),INDEX(生物种群!$A$3:INDEX(生物种群!$A:$A,COUNTA(生物种群!$A:$A)),MATCH($B651,生物种群!$D$3:INDEX(生物种群!$D:$D,COUNTA(生物种群!$D:$D)),),))),"")</f>
        <v/>
      </c>
      <c r="I651" s="56" t="str">
        <f>IF(H651="","",INDEX(生物种群!$B$3:INDEX(生物种群!$B:$B,COUNTA(生物种群!$B:$B)),MATCH($H651,生物种群!$A$3:INDEX(生物种群!$A:$A,COUNTA(生物种群!$A:$A)),),))</f>
        <v/>
      </c>
      <c r="J651" s="55" t="str">
        <f>IF(H651="","",INDEX(生物种群!$I$3:INDEX(生物种群!$I:$I,COUNTA(生物种群!$I:$I)),MATCH($H651,生物种群!$A$3:INDEX(生物种群!$A:$A,COUNTA(生物种群!$A:$A)),),))</f>
        <v/>
      </c>
      <c r="K651" s="55" t="str">
        <f>IF(H651="","",INDEX(生物种群!$E$3:INDEX(生物种群!$E:$E,COUNTA(生物种群!$E:$E)),MATCH($H651,生物种群!$A$3:INDEX(生物种群!$A:$A,COUNTA(生物种群!$A:$A)),),))</f>
        <v/>
      </c>
      <c r="L651" s="46" t="str">
        <f t="shared" si="33"/>
        <v/>
      </c>
      <c r="M651" s="47" t="str">
        <f>IF(L651="","",ROUND((L651)/VLOOKUP($F651,IF({1,0},站位样品信息!$A$3:INDEX(站位样品信息!$A:$A,COUNTA(站位样品信息!$A:$A)+1),站位样品信息!$H$3:INDEX(站位样品信息!$H:$H,COUNTA(站位样品信息!$H:$H)+1)),2,0),2))</f>
        <v/>
      </c>
      <c r="O651" s="49"/>
      <c r="P651" s="53" t="str">
        <f t="shared" si="34"/>
        <v/>
      </c>
      <c r="Q651" s="53" t="str">
        <f t="shared" si="35"/>
        <v/>
      </c>
    </row>
    <row r="652" spans="1:17" ht="19.5" customHeight="1">
      <c r="A652" s="38"/>
      <c r="B652" s="38"/>
      <c r="C652" s="38"/>
      <c r="D652" s="37"/>
      <c r="E652" s="37"/>
      <c r="F652" s="37"/>
      <c r="G652" s="37" t="str">
        <f>IF(F652="","",INDEX(站位样品信息!$B$3:INDEX(站位样品信息!$B:$B,COUNTA(站位样品信息!$B:$B)+1),MATCH($F652,站位样品信息!$A$3:INDEX(站位样品信息!$A:$A,COUNTA(站位样品信息!$A:$A)+1),),))</f>
        <v/>
      </c>
      <c r="H652" s="55" t="str">
        <f>IF(OR(A652&lt;&gt;"",B652&lt;&gt;"",C652&lt;&gt;""),IF($C652&lt;&gt;0,INDEX(生物种群!$A$3:INDEX(生物种群!$A:$A,COUNTA(生物种群!$A:$A)),MATCH($C652,生物种群!$F$3:INDEX(生物种群!$F:$F,COUNTA(生物种群!$F:$F)),),),IF($A652&lt;&gt;0,INDEX(生物种群!$A$3:INDEX(生物种群!$A:$A,COUNTA(生物种群!$A:$A)),MATCH($A652,生物种群!$C$3:INDEX(生物种群!$C:$C,COUNTA(生物种群!$C:$C)),),),INDEX(生物种群!$A$3:INDEX(生物种群!$A:$A,COUNTA(生物种群!$A:$A)),MATCH($B652,生物种群!$D$3:INDEX(生物种群!$D:$D,COUNTA(生物种群!$D:$D)),),))),"")</f>
        <v/>
      </c>
      <c r="I652" s="56" t="str">
        <f>IF(H652="","",INDEX(生物种群!$B$3:INDEX(生物种群!$B:$B,COUNTA(生物种群!$B:$B)),MATCH($H652,生物种群!$A$3:INDEX(生物种群!$A:$A,COUNTA(生物种群!$A:$A)),),))</f>
        <v/>
      </c>
      <c r="J652" s="55" t="str">
        <f>IF(H652="","",INDEX(生物种群!$I$3:INDEX(生物种群!$I:$I,COUNTA(生物种群!$I:$I)),MATCH($H652,生物种群!$A$3:INDEX(生物种群!$A:$A,COUNTA(生物种群!$A:$A)),),))</f>
        <v/>
      </c>
      <c r="K652" s="55" t="str">
        <f>IF(H652="","",INDEX(生物种群!$E$3:INDEX(生物种群!$E:$E,COUNTA(生物种群!$E:$E)),MATCH($H652,生物种群!$A$3:INDEX(生物种群!$A:$A,COUNTA(生物种群!$A:$A)),),))</f>
        <v/>
      </c>
      <c r="L652" s="46" t="str">
        <f t="shared" si="33"/>
        <v/>
      </c>
      <c r="M652" s="47" t="str">
        <f>IF(L652="","",ROUND((L652)/VLOOKUP($F652,IF({1,0},站位样品信息!$A$3:INDEX(站位样品信息!$A:$A,COUNTA(站位样品信息!$A:$A)+1),站位样品信息!$H$3:INDEX(站位样品信息!$H:$H,COUNTA(站位样品信息!$H:$H)+1)),2,0),2))</f>
        <v/>
      </c>
      <c r="O652" s="49"/>
      <c r="P652" s="53" t="str">
        <f t="shared" si="34"/>
        <v/>
      </c>
      <c r="Q652" s="53" t="str">
        <f t="shared" si="35"/>
        <v/>
      </c>
    </row>
    <row r="653" spans="1:17" ht="19.5" customHeight="1">
      <c r="A653" s="38"/>
      <c r="B653" s="38"/>
      <c r="C653" s="38"/>
      <c r="D653" s="37"/>
      <c r="E653" s="37"/>
      <c r="F653" s="37"/>
      <c r="G653" s="37" t="str">
        <f>IF(F653="","",INDEX(站位样品信息!$B$3:INDEX(站位样品信息!$B:$B,COUNTA(站位样品信息!$B:$B)+1),MATCH($F653,站位样品信息!$A$3:INDEX(站位样品信息!$A:$A,COUNTA(站位样品信息!$A:$A)+1),),))</f>
        <v/>
      </c>
      <c r="H653" s="55" t="str">
        <f>IF(OR(A653&lt;&gt;"",B653&lt;&gt;"",C653&lt;&gt;""),IF($C653&lt;&gt;0,INDEX(生物种群!$A$3:INDEX(生物种群!$A:$A,COUNTA(生物种群!$A:$A)),MATCH($C653,生物种群!$F$3:INDEX(生物种群!$F:$F,COUNTA(生物种群!$F:$F)),),),IF($A653&lt;&gt;0,INDEX(生物种群!$A$3:INDEX(生物种群!$A:$A,COUNTA(生物种群!$A:$A)),MATCH($A653,生物种群!$C$3:INDEX(生物种群!$C:$C,COUNTA(生物种群!$C:$C)),),),INDEX(生物种群!$A$3:INDEX(生物种群!$A:$A,COUNTA(生物种群!$A:$A)),MATCH($B653,生物种群!$D$3:INDEX(生物种群!$D:$D,COUNTA(生物种群!$D:$D)),),))),"")</f>
        <v/>
      </c>
      <c r="I653" s="56" t="str">
        <f>IF(H653="","",INDEX(生物种群!$B$3:INDEX(生物种群!$B:$B,COUNTA(生物种群!$B:$B)),MATCH($H653,生物种群!$A$3:INDEX(生物种群!$A:$A,COUNTA(生物种群!$A:$A)),),))</f>
        <v/>
      </c>
      <c r="J653" s="55" t="str">
        <f>IF(H653="","",INDEX(生物种群!$I$3:INDEX(生物种群!$I:$I,COUNTA(生物种群!$I:$I)),MATCH($H653,生物种群!$A$3:INDEX(生物种群!$A:$A,COUNTA(生物种群!$A:$A)),),))</f>
        <v/>
      </c>
      <c r="K653" s="55" t="str">
        <f>IF(H653="","",INDEX(生物种群!$E$3:INDEX(生物种群!$E:$E,COUNTA(生物种群!$E:$E)),MATCH($H653,生物种群!$A$3:INDEX(生物种群!$A:$A,COUNTA(生物种群!$A:$A)),),))</f>
        <v/>
      </c>
      <c r="L653" s="46" t="str">
        <f t="shared" si="36" ref="L653:L716">IFERROR(IF(OR(D653="",E653=""),"",D653/E653*100),"")</f>
        <v/>
      </c>
      <c r="M653" s="47" t="str">
        <f>IF(L653="","",ROUND((L653)/VLOOKUP($F653,IF({1,0},站位样品信息!$A$3:INDEX(站位样品信息!$A:$A,COUNTA(站位样品信息!$A:$A)+1),站位样品信息!$H$3:INDEX(站位样品信息!$H:$H,COUNTA(站位样品信息!$H:$H)+1)),2,0),2))</f>
        <v/>
      </c>
      <c r="O653" s="49"/>
      <c r="P653" s="53" t="str">
        <f t="shared" si="34"/>
        <v/>
      </c>
      <c r="Q653" s="53" t="str">
        <f t="shared" si="35"/>
        <v/>
      </c>
    </row>
    <row r="654" spans="1:17" ht="19.5" customHeight="1">
      <c r="A654" s="38"/>
      <c r="B654" s="38"/>
      <c r="C654" s="38"/>
      <c r="D654" s="37"/>
      <c r="E654" s="37"/>
      <c r="F654" s="37"/>
      <c r="G654" s="37" t="str">
        <f>IF(F654="","",INDEX(站位样品信息!$B$3:INDEX(站位样品信息!$B:$B,COUNTA(站位样品信息!$B:$B)+1),MATCH($F654,站位样品信息!$A$3:INDEX(站位样品信息!$A:$A,COUNTA(站位样品信息!$A:$A)+1),),))</f>
        <v/>
      </c>
      <c r="H654" s="55" t="str">
        <f>IF(OR(A654&lt;&gt;"",B654&lt;&gt;"",C654&lt;&gt;""),IF($C654&lt;&gt;0,INDEX(生物种群!$A$3:INDEX(生物种群!$A:$A,COUNTA(生物种群!$A:$A)),MATCH($C654,生物种群!$F$3:INDEX(生物种群!$F:$F,COUNTA(生物种群!$F:$F)),),),IF($A654&lt;&gt;0,INDEX(生物种群!$A$3:INDEX(生物种群!$A:$A,COUNTA(生物种群!$A:$A)),MATCH($A654,生物种群!$C$3:INDEX(生物种群!$C:$C,COUNTA(生物种群!$C:$C)),),),INDEX(生物种群!$A$3:INDEX(生物种群!$A:$A,COUNTA(生物种群!$A:$A)),MATCH($B654,生物种群!$D$3:INDEX(生物种群!$D:$D,COUNTA(生物种群!$D:$D)),),))),"")</f>
        <v/>
      </c>
      <c r="I654" s="56" t="str">
        <f>IF(H654="","",INDEX(生物种群!$B$3:INDEX(生物种群!$B:$B,COUNTA(生物种群!$B:$B)),MATCH($H654,生物种群!$A$3:INDEX(生物种群!$A:$A,COUNTA(生物种群!$A:$A)),),))</f>
        <v/>
      </c>
      <c r="J654" s="55" t="str">
        <f>IF(H654="","",INDEX(生物种群!$I$3:INDEX(生物种群!$I:$I,COUNTA(生物种群!$I:$I)),MATCH($H654,生物种群!$A$3:INDEX(生物种群!$A:$A,COUNTA(生物种群!$A:$A)),),))</f>
        <v/>
      </c>
      <c r="K654" s="55" t="str">
        <f>IF(H654="","",INDEX(生物种群!$E$3:INDEX(生物种群!$E:$E,COUNTA(生物种群!$E:$E)),MATCH($H654,生物种群!$A$3:INDEX(生物种群!$A:$A,COUNTA(生物种群!$A:$A)),),))</f>
        <v/>
      </c>
      <c r="L654" s="46" t="str">
        <f t="shared" si="36"/>
        <v/>
      </c>
      <c r="M654" s="47" t="str">
        <f>IF(L654="","",ROUND((L654)/VLOOKUP($F654,IF({1,0},站位样品信息!$A$3:INDEX(站位样品信息!$A:$A,COUNTA(站位样品信息!$A:$A)+1),站位样品信息!$H$3:INDEX(站位样品信息!$H:$H,COUNTA(站位样品信息!$H:$H)+1)),2,0),2))</f>
        <v/>
      </c>
      <c r="O654" s="49"/>
      <c r="P654" s="53" t="str">
        <f t="shared" si="34"/>
        <v/>
      </c>
      <c r="Q654" s="53" t="str">
        <f t="shared" si="35"/>
        <v/>
      </c>
    </row>
    <row r="655" spans="1:17" ht="19.5" customHeight="1">
      <c r="A655" s="38"/>
      <c r="B655" s="38"/>
      <c r="C655" s="38"/>
      <c r="D655" s="37"/>
      <c r="E655" s="37"/>
      <c r="F655" s="37"/>
      <c r="G655" s="37" t="str">
        <f>IF(F655="","",INDEX(站位样品信息!$B$3:INDEX(站位样品信息!$B:$B,COUNTA(站位样品信息!$B:$B)+1),MATCH($F655,站位样品信息!$A$3:INDEX(站位样品信息!$A:$A,COUNTA(站位样品信息!$A:$A)+1),),))</f>
        <v/>
      </c>
      <c r="H655" s="55" t="str">
        <f>IF(OR(A655&lt;&gt;"",B655&lt;&gt;"",C655&lt;&gt;""),IF($C655&lt;&gt;0,INDEX(生物种群!$A$3:INDEX(生物种群!$A:$A,COUNTA(生物种群!$A:$A)),MATCH($C655,生物种群!$F$3:INDEX(生物种群!$F:$F,COUNTA(生物种群!$F:$F)),),),IF($A655&lt;&gt;0,INDEX(生物种群!$A$3:INDEX(生物种群!$A:$A,COUNTA(生物种群!$A:$A)),MATCH($A655,生物种群!$C$3:INDEX(生物种群!$C:$C,COUNTA(生物种群!$C:$C)),),),INDEX(生物种群!$A$3:INDEX(生物种群!$A:$A,COUNTA(生物种群!$A:$A)),MATCH($B655,生物种群!$D$3:INDEX(生物种群!$D:$D,COUNTA(生物种群!$D:$D)),),))),"")</f>
        <v/>
      </c>
      <c r="I655" s="56" t="str">
        <f>IF(H655="","",INDEX(生物种群!$B$3:INDEX(生物种群!$B:$B,COUNTA(生物种群!$B:$B)),MATCH($H655,生物种群!$A$3:INDEX(生物种群!$A:$A,COUNTA(生物种群!$A:$A)),),))</f>
        <v/>
      </c>
      <c r="J655" s="55" t="str">
        <f>IF(H655="","",INDEX(生物种群!$I$3:INDEX(生物种群!$I:$I,COUNTA(生物种群!$I:$I)),MATCH($H655,生物种群!$A$3:INDEX(生物种群!$A:$A,COUNTA(生物种群!$A:$A)),),))</f>
        <v/>
      </c>
      <c r="K655" s="55" t="str">
        <f>IF(H655="","",INDEX(生物种群!$E$3:INDEX(生物种群!$E:$E,COUNTA(生物种群!$E:$E)),MATCH($H655,生物种群!$A$3:INDEX(生物种群!$A:$A,COUNTA(生物种群!$A:$A)),),))</f>
        <v/>
      </c>
      <c r="L655" s="46" t="str">
        <f t="shared" si="36"/>
        <v/>
      </c>
      <c r="M655" s="47" t="str">
        <f>IF(L655="","",ROUND((L655)/VLOOKUP($F655,IF({1,0},站位样品信息!$A$3:INDEX(站位样品信息!$A:$A,COUNTA(站位样品信息!$A:$A)+1),站位样品信息!$H$3:INDEX(站位样品信息!$H:$H,COUNTA(站位样品信息!$H:$H)+1)),2,0),2))</f>
        <v/>
      </c>
      <c r="O655" s="49"/>
      <c r="P655" s="53" t="str">
        <f t="shared" si="34"/>
        <v/>
      </c>
      <c r="Q655" s="53" t="str">
        <f t="shared" si="35"/>
        <v/>
      </c>
    </row>
    <row r="656" spans="1:17" ht="19.5" customHeight="1">
      <c r="A656" s="38"/>
      <c r="B656" s="38"/>
      <c r="C656" s="38"/>
      <c r="D656" s="37"/>
      <c r="E656" s="37"/>
      <c r="F656" s="37"/>
      <c r="G656" s="37" t="str">
        <f>IF(F656="","",INDEX(站位样品信息!$B$3:INDEX(站位样品信息!$B:$B,COUNTA(站位样品信息!$B:$B)+1),MATCH($F656,站位样品信息!$A$3:INDEX(站位样品信息!$A:$A,COUNTA(站位样品信息!$A:$A)+1),),))</f>
        <v/>
      </c>
      <c r="H656" s="55" t="str">
        <f>IF(OR(A656&lt;&gt;"",B656&lt;&gt;"",C656&lt;&gt;""),IF($C656&lt;&gt;0,INDEX(生物种群!$A$3:INDEX(生物种群!$A:$A,COUNTA(生物种群!$A:$A)),MATCH($C656,生物种群!$F$3:INDEX(生物种群!$F:$F,COUNTA(生物种群!$F:$F)),),),IF($A656&lt;&gt;0,INDEX(生物种群!$A$3:INDEX(生物种群!$A:$A,COUNTA(生物种群!$A:$A)),MATCH($A656,生物种群!$C$3:INDEX(生物种群!$C:$C,COUNTA(生物种群!$C:$C)),),),INDEX(生物种群!$A$3:INDEX(生物种群!$A:$A,COUNTA(生物种群!$A:$A)),MATCH($B656,生物种群!$D$3:INDEX(生物种群!$D:$D,COUNTA(生物种群!$D:$D)),),))),"")</f>
        <v/>
      </c>
      <c r="I656" s="56" t="str">
        <f>IF(H656="","",INDEX(生物种群!$B$3:INDEX(生物种群!$B:$B,COUNTA(生物种群!$B:$B)),MATCH($H656,生物种群!$A$3:INDEX(生物种群!$A:$A,COUNTA(生物种群!$A:$A)),),))</f>
        <v/>
      </c>
      <c r="J656" s="55" t="str">
        <f>IF(H656="","",INDEX(生物种群!$I$3:INDEX(生物种群!$I:$I,COUNTA(生物种群!$I:$I)),MATCH($H656,生物种群!$A$3:INDEX(生物种群!$A:$A,COUNTA(生物种群!$A:$A)),),))</f>
        <v/>
      </c>
      <c r="K656" s="55" t="str">
        <f>IF(H656="","",INDEX(生物种群!$E$3:INDEX(生物种群!$E:$E,COUNTA(生物种群!$E:$E)),MATCH($H656,生物种群!$A$3:INDEX(生物种群!$A:$A,COUNTA(生物种群!$A:$A)),),))</f>
        <v/>
      </c>
      <c r="L656" s="46" t="str">
        <f t="shared" si="36"/>
        <v/>
      </c>
      <c r="M656" s="47" t="str">
        <f>IF(L656="","",ROUND((L656)/VLOOKUP($F656,IF({1,0},站位样品信息!$A$3:INDEX(站位样品信息!$A:$A,COUNTA(站位样品信息!$A:$A)+1),站位样品信息!$H$3:INDEX(站位样品信息!$H:$H,COUNTA(站位样品信息!$H:$H)+1)),2,0),2))</f>
        <v/>
      </c>
      <c r="O656" s="49"/>
      <c r="P656" s="53" t="str">
        <f t="shared" si="34"/>
        <v/>
      </c>
      <c r="Q656" s="53" t="str">
        <f t="shared" si="35"/>
        <v/>
      </c>
    </row>
    <row r="657" spans="1:17" ht="19.5" customHeight="1">
      <c r="A657" s="38"/>
      <c r="B657" s="38"/>
      <c r="C657" s="38"/>
      <c r="D657" s="37"/>
      <c r="E657" s="37"/>
      <c r="F657" s="37"/>
      <c r="G657" s="37" t="str">
        <f>IF(F657="","",INDEX(站位样品信息!$B$3:INDEX(站位样品信息!$B:$B,COUNTA(站位样品信息!$B:$B)+1),MATCH($F657,站位样品信息!$A$3:INDEX(站位样品信息!$A:$A,COUNTA(站位样品信息!$A:$A)+1),),))</f>
        <v/>
      </c>
      <c r="H657" s="55" t="str">
        <f>IF(OR(A657&lt;&gt;"",B657&lt;&gt;"",C657&lt;&gt;""),IF($C657&lt;&gt;0,INDEX(生物种群!$A$3:INDEX(生物种群!$A:$A,COUNTA(生物种群!$A:$A)),MATCH($C657,生物种群!$F$3:INDEX(生物种群!$F:$F,COUNTA(生物种群!$F:$F)),),),IF($A657&lt;&gt;0,INDEX(生物种群!$A$3:INDEX(生物种群!$A:$A,COUNTA(生物种群!$A:$A)),MATCH($A657,生物种群!$C$3:INDEX(生物种群!$C:$C,COUNTA(生物种群!$C:$C)),),),INDEX(生物种群!$A$3:INDEX(生物种群!$A:$A,COUNTA(生物种群!$A:$A)),MATCH($B657,生物种群!$D$3:INDEX(生物种群!$D:$D,COUNTA(生物种群!$D:$D)),),))),"")</f>
        <v/>
      </c>
      <c r="I657" s="56" t="str">
        <f>IF(H657="","",INDEX(生物种群!$B$3:INDEX(生物种群!$B:$B,COUNTA(生物种群!$B:$B)),MATCH($H657,生物种群!$A$3:INDEX(生物种群!$A:$A,COUNTA(生物种群!$A:$A)),),))</f>
        <v/>
      </c>
      <c r="J657" s="55" t="str">
        <f>IF(H657="","",INDEX(生物种群!$I$3:INDEX(生物种群!$I:$I,COUNTA(生物种群!$I:$I)),MATCH($H657,生物种群!$A$3:INDEX(生物种群!$A:$A,COUNTA(生物种群!$A:$A)),),))</f>
        <v/>
      </c>
      <c r="K657" s="55" t="str">
        <f>IF(H657="","",INDEX(生物种群!$E$3:INDEX(生物种群!$E:$E,COUNTA(生物种群!$E:$E)),MATCH($H657,生物种群!$A$3:INDEX(生物种群!$A:$A,COUNTA(生物种群!$A:$A)),),))</f>
        <v/>
      </c>
      <c r="L657" s="46" t="str">
        <f t="shared" si="36"/>
        <v/>
      </c>
      <c r="M657" s="47" t="str">
        <f>IF(L657="","",ROUND((L657)/VLOOKUP($F657,IF({1,0},站位样品信息!$A$3:INDEX(站位样品信息!$A:$A,COUNTA(站位样品信息!$A:$A)+1),站位样品信息!$H$3:INDEX(站位样品信息!$H:$H,COUNTA(站位样品信息!$H:$H)+1)),2,0),2))</f>
        <v/>
      </c>
      <c r="O657" s="49"/>
      <c r="P657" s="53" t="str">
        <f t="shared" si="34"/>
        <v/>
      </c>
      <c r="Q657" s="53" t="str">
        <f t="shared" si="35"/>
        <v/>
      </c>
    </row>
    <row r="658" spans="1:17" ht="19.5" customHeight="1">
      <c r="A658" s="38"/>
      <c r="B658" s="38"/>
      <c r="C658" s="38"/>
      <c r="D658" s="37"/>
      <c r="E658" s="37"/>
      <c r="F658" s="37"/>
      <c r="G658" s="37" t="str">
        <f>IF(F658="","",INDEX(站位样品信息!$B$3:INDEX(站位样品信息!$B:$B,COUNTA(站位样品信息!$B:$B)+1),MATCH($F658,站位样品信息!$A$3:INDEX(站位样品信息!$A:$A,COUNTA(站位样品信息!$A:$A)+1),),))</f>
        <v/>
      </c>
      <c r="H658" s="55" t="str">
        <f>IF(OR(A658&lt;&gt;"",B658&lt;&gt;"",C658&lt;&gt;""),IF($C658&lt;&gt;0,INDEX(生物种群!$A$3:INDEX(生物种群!$A:$A,COUNTA(生物种群!$A:$A)),MATCH($C658,生物种群!$F$3:INDEX(生物种群!$F:$F,COUNTA(生物种群!$F:$F)),),),IF($A658&lt;&gt;0,INDEX(生物种群!$A$3:INDEX(生物种群!$A:$A,COUNTA(生物种群!$A:$A)),MATCH($A658,生物种群!$C$3:INDEX(生物种群!$C:$C,COUNTA(生物种群!$C:$C)),),),INDEX(生物种群!$A$3:INDEX(生物种群!$A:$A,COUNTA(生物种群!$A:$A)),MATCH($B658,生物种群!$D$3:INDEX(生物种群!$D:$D,COUNTA(生物种群!$D:$D)),),))),"")</f>
        <v/>
      </c>
      <c r="I658" s="56" t="str">
        <f>IF(H658="","",INDEX(生物种群!$B$3:INDEX(生物种群!$B:$B,COUNTA(生物种群!$B:$B)),MATCH($H658,生物种群!$A$3:INDEX(生物种群!$A:$A,COUNTA(生物种群!$A:$A)),),))</f>
        <v/>
      </c>
      <c r="J658" s="55" t="str">
        <f>IF(H658="","",INDEX(生物种群!$I$3:INDEX(生物种群!$I:$I,COUNTA(生物种群!$I:$I)),MATCH($H658,生物种群!$A$3:INDEX(生物种群!$A:$A,COUNTA(生物种群!$A:$A)),),))</f>
        <v/>
      </c>
      <c r="K658" s="55" t="str">
        <f>IF(H658="","",INDEX(生物种群!$E$3:INDEX(生物种群!$E:$E,COUNTA(生物种群!$E:$E)),MATCH($H658,生物种群!$A$3:INDEX(生物种群!$A:$A,COUNTA(生物种群!$A:$A)),),))</f>
        <v/>
      </c>
      <c r="L658" s="46" t="str">
        <f t="shared" si="36"/>
        <v/>
      </c>
      <c r="M658" s="47" t="str">
        <f>IF(L658="","",ROUND((L658)/VLOOKUP($F658,IF({1,0},站位样品信息!$A$3:INDEX(站位样品信息!$A:$A,COUNTA(站位样品信息!$A:$A)+1),站位样品信息!$H$3:INDEX(站位样品信息!$H:$H,COUNTA(站位样品信息!$H:$H)+1)),2,0),2))</f>
        <v/>
      </c>
      <c r="O658" s="49"/>
      <c r="P658" s="53" t="str">
        <f t="shared" si="34"/>
        <v/>
      </c>
      <c r="Q658" s="53" t="str">
        <f t="shared" si="35"/>
        <v/>
      </c>
    </row>
    <row r="659" spans="1:17" ht="19.5" customHeight="1">
      <c r="A659" s="38"/>
      <c r="B659" s="38"/>
      <c r="C659" s="38"/>
      <c r="D659" s="37"/>
      <c r="E659" s="37"/>
      <c r="F659" s="37"/>
      <c r="G659" s="37" t="str">
        <f>IF(F659="","",INDEX(站位样品信息!$B$3:INDEX(站位样品信息!$B:$B,COUNTA(站位样品信息!$B:$B)+1),MATCH($F659,站位样品信息!$A$3:INDEX(站位样品信息!$A:$A,COUNTA(站位样品信息!$A:$A)+1),),))</f>
        <v/>
      </c>
      <c r="H659" s="55" t="str">
        <f>IF(OR(A659&lt;&gt;"",B659&lt;&gt;"",C659&lt;&gt;""),IF($C659&lt;&gt;0,INDEX(生物种群!$A$3:INDEX(生物种群!$A:$A,COUNTA(生物种群!$A:$A)),MATCH($C659,生物种群!$F$3:INDEX(生物种群!$F:$F,COUNTA(生物种群!$F:$F)),),),IF($A659&lt;&gt;0,INDEX(生物种群!$A$3:INDEX(生物种群!$A:$A,COUNTA(生物种群!$A:$A)),MATCH($A659,生物种群!$C$3:INDEX(生物种群!$C:$C,COUNTA(生物种群!$C:$C)),),),INDEX(生物种群!$A$3:INDEX(生物种群!$A:$A,COUNTA(生物种群!$A:$A)),MATCH($B659,生物种群!$D$3:INDEX(生物种群!$D:$D,COUNTA(生物种群!$D:$D)),),))),"")</f>
        <v/>
      </c>
      <c r="I659" s="56" t="str">
        <f>IF(H659="","",INDEX(生物种群!$B$3:INDEX(生物种群!$B:$B,COUNTA(生物种群!$B:$B)),MATCH($H659,生物种群!$A$3:INDEX(生物种群!$A:$A,COUNTA(生物种群!$A:$A)),),))</f>
        <v/>
      </c>
      <c r="J659" s="55" t="str">
        <f>IF(H659="","",INDEX(生物种群!$I$3:INDEX(生物种群!$I:$I,COUNTA(生物种群!$I:$I)),MATCH($H659,生物种群!$A$3:INDEX(生物种群!$A:$A,COUNTA(生物种群!$A:$A)),),))</f>
        <v/>
      </c>
      <c r="K659" s="55" t="str">
        <f>IF(H659="","",INDEX(生物种群!$E$3:INDEX(生物种群!$E:$E,COUNTA(生物种群!$E:$E)),MATCH($H659,生物种群!$A$3:INDEX(生物种群!$A:$A,COUNTA(生物种群!$A:$A)),),))</f>
        <v/>
      </c>
      <c r="L659" s="46" t="str">
        <f t="shared" si="36"/>
        <v/>
      </c>
      <c r="M659" s="47" t="str">
        <f>IF(L659="","",ROUND((L659)/VLOOKUP($F659,IF({1,0},站位样品信息!$A$3:INDEX(站位样品信息!$A:$A,COUNTA(站位样品信息!$A:$A)+1),站位样品信息!$H$3:INDEX(站位样品信息!$H:$H,COUNTA(站位样品信息!$H:$H)+1)),2,0),2))</f>
        <v/>
      </c>
      <c r="O659" s="49"/>
      <c r="P659" s="53" t="str">
        <f t="shared" si="34"/>
        <v/>
      </c>
      <c r="Q659" s="53" t="str">
        <f t="shared" si="35"/>
        <v/>
      </c>
    </row>
    <row r="660" spans="1:17" ht="19.5" customHeight="1">
      <c r="A660" s="38"/>
      <c r="B660" s="38"/>
      <c r="C660" s="38"/>
      <c r="D660" s="37"/>
      <c r="E660" s="37"/>
      <c r="F660" s="37"/>
      <c r="G660" s="37" t="str">
        <f>IF(F660="","",INDEX(站位样品信息!$B$3:INDEX(站位样品信息!$B:$B,COUNTA(站位样品信息!$B:$B)+1),MATCH($F660,站位样品信息!$A$3:INDEX(站位样品信息!$A:$A,COUNTA(站位样品信息!$A:$A)+1),),))</f>
        <v/>
      </c>
      <c r="H660" s="55" t="str">
        <f>IF(OR(A660&lt;&gt;"",B660&lt;&gt;"",C660&lt;&gt;""),IF($C660&lt;&gt;0,INDEX(生物种群!$A$3:INDEX(生物种群!$A:$A,COUNTA(生物种群!$A:$A)),MATCH($C660,生物种群!$F$3:INDEX(生物种群!$F:$F,COUNTA(生物种群!$F:$F)),),),IF($A660&lt;&gt;0,INDEX(生物种群!$A$3:INDEX(生物种群!$A:$A,COUNTA(生物种群!$A:$A)),MATCH($A660,生物种群!$C$3:INDEX(生物种群!$C:$C,COUNTA(生物种群!$C:$C)),),),INDEX(生物种群!$A$3:INDEX(生物种群!$A:$A,COUNTA(生物种群!$A:$A)),MATCH($B660,生物种群!$D$3:INDEX(生物种群!$D:$D,COUNTA(生物种群!$D:$D)),),))),"")</f>
        <v/>
      </c>
      <c r="I660" s="56" t="str">
        <f>IF(H660="","",INDEX(生物种群!$B$3:INDEX(生物种群!$B:$B,COUNTA(生物种群!$B:$B)),MATCH($H660,生物种群!$A$3:INDEX(生物种群!$A:$A,COUNTA(生物种群!$A:$A)),),))</f>
        <v/>
      </c>
      <c r="J660" s="55" t="str">
        <f>IF(H660="","",INDEX(生物种群!$I$3:INDEX(生物种群!$I:$I,COUNTA(生物种群!$I:$I)),MATCH($H660,生物种群!$A$3:INDEX(生物种群!$A:$A,COUNTA(生物种群!$A:$A)),),))</f>
        <v/>
      </c>
      <c r="K660" s="55" t="str">
        <f>IF(H660="","",INDEX(生物种群!$E$3:INDEX(生物种群!$E:$E,COUNTA(生物种群!$E:$E)),MATCH($H660,生物种群!$A$3:INDEX(生物种群!$A:$A,COUNTA(生物种群!$A:$A)),),))</f>
        <v/>
      </c>
      <c r="L660" s="46" t="str">
        <f t="shared" si="36"/>
        <v/>
      </c>
      <c r="M660" s="47" t="str">
        <f>IF(L660="","",ROUND((L660)/VLOOKUP($F660,IF({1,0},站位样品信息!$A$3:INDEX(站位样品信息!$A:$A,COUNTA(站位样品信息!$A:$A)+1),站位样品信息!$H$3:INDEX(站位样品信息!$H:$H,COUNTA(站位样品信息!$H:$H)+1)),2,0),2))</f>
        <v/>
      </c>
      <c r="O660" s="49"/>
      <c r="P660" s="53" t="str">
        <f t="shared" si="34"/>
        <v/>
      </c>
      <c r="Q660" s="53" t="str">
        <f t="shared" si="35"/>
        <v/>
      </c>
    </row>
    <row r="661" spans="1:17" ht="19.5" customHeight="1">
      <c r="A661" s="38"/>
      <c r="B661" s="38"/>
      <c r="C661" s="38"/>
      <c r="D661" s="37"/>
      <c r="E661" s="37"/>
      <c r="F661" s="37"/>
      <c r="G661" s="37" t="str">
        <f>IF(F661="","",INDEX(站位样品信息!$B$3:INDEX(站位样品信息!$B:$B,COUNTA(站位样品信息!$B:$B)+1),MATCH($F661,站位样品信息!$A$3:INDEX(站位样品信息!$A:$A,COUNTA(站位样品信息!$A:$A)+1),),))</f>
        <v/>
      </c>
      <c r="H661" s="55" t="str">
        <f>IF(OR(A661&lt;&gt;"",B661&lt;&gt;"",C661&lt;&gt;""),IF($C661&lt;&gt;0,INDEX(生物种群!$A$3:INDEX(生物种群!$A:$A,COUNTA(生物种群!$A:$A)),MATCH($C661,生物种群!$F$3:INDEX(生物种群!$F:$F,COUNTA(生物种群!$F:$F)),),),IF($A661&lt;&gt;0,INDEX(生物种群!$A$3:INDEX(生物种群!$A:$A,COUNTA(生物种群!$A:$A)),MATCH($A661,生物种群!$C$3:INDEX(生物种群!$C:$C,COUNTA(生物种群!$C:$C)),),),INDEX(生物种群!$A$3:INDEX(生物种群!$A:$A,COUNTA(生物种群!$A:$A)),MATCH($B661,生物种群!$D$3:INDEX(生物种群!$D:$D,COUNTA(生物种群!$D:$D)),),))),"")</f>
        <v/>
      </c>
      <c r="I661" s="56" t="str">
        <f>IF(H661="","",INDEX(生物种群!$B$3:INDEX(生物种群!$B:$B,COUNTA(生物种群!$B:$B)),MATCH($H661,生物种群!$A$3:INDEX(生物种群!$A:$A,COUNTA(生物种群!$A:$A)),),))</f>
        <v/>
      </c>
      <c r="J661" s="55" t="str">
        <f>IF(H661="","",INDEX(生物种群!$I$3:INDEX(生物种群!$I:$I,COUNTA(生物种群!$I:$I)),MATCH($H661,生物种群!$A$3:INDEX(生物种群!$A:$A,COUNTA(生物种群!$A:$A)),),))</f>
        <v/>
      </c>
      <c r="K661" s="55" t="str">
        <f>IF(H661="","",INDEX(生物种群!$E$3:INDEX(生物种群!$E:$E,COUNTA(生物种群!$E:$E)),MATCH($H661,生物种群!$A$3:INDEX(生物种群!$A:$A,COUNTA(生物种群!$A:$A)),),))</f>
        <v/>
      </c>
      <c r="L661" s="46" t="str">
        <f t="shared" si="36"/>
        <v/>
      </c>
      <c r="M661" s="47" t="str">
        <f>IF(L661="","",ROUND((L661)/VLOOKUP($F661,IF({1,0},站位样品信息!$A$3:INDEX(站位样品信息!$A:$A,COUNTA(站位样品信息!$A:$A)+1),站位样品信息!$H$3:INDEX(站位样品信息!$H:$H,COUNTA(站位样品信息!$H:$H)+1)),2,0),2))</f>
        <v/>
      </c>
      <c r="O661" s="49"/>
      <c r="P661" s="53" t="str">
        <f t="shared" si="34"/>
        <v/>
      </c>
      <c r="Q661" s="53" t="str">
        <f t="shared" si="35"/>
        <v/>
      </c>
    </row>
    <row r="662" spans="1:17" ht="19.5" customHeight="1">
      <c r="A662" s="38"/>
      <c r="B662" s="38"/>
      <c r="C662" s="38"/>
      <c r="D662" s="37"/>
      <c r="E662" s="37"/>
      <c r="F662" s="37"/>
      <c r="G662" s="37" t="str">
        <f>IF(F662="","",INDEX(站位样品信息!$B$3:INDEX(站位样品信息!$B:$B,COUNTA(站位样品信息!$B:$B)+1),MATCH($F662,站位样品信息!$A$3:INDEX(站位样品信息!$A:$A,COUNTA(站位样品信息!$A:$A)+1),),))</f>
        <v/>
      </c>
      <c r="H662" s="55" t="str">
        <f>IF(OR(A662&lt;&gt;"",B662&lt;&gt;"",C662&lt;&gt;""),IF($C662&lt;&gt;0,INDEX(生物种群!$A$3:INDEX(生物种群!$A:$A,COUNTA(生物种群!$A:$A)),MATCH($C662,生物种群!$F$3:INDEX(生物种群!$F:$F,COUNTA(生物种群!$F:$F)),),),IF($A662&lt;&gt;0,INDEX(生物种群!$A$3:INDEX(生物种群!$A:$A,COUNTA(生物种群!$A:$A)),MATCH($A662,生物种群!$C$3:INDEX(生物种群!$C:$C,COUNTA(生物种群!$C:$C)),),),INDEX(生物种群!$A$3:INDEX(生物种群!$A:$A,COUNTA(生物种群!$A:$A)),MATCH($B662,生物种群!$D$3:INDEX(生物种群!$D:$D,COUNTA(生物种群!$D:$D)),),))),"")</f>
        <v/>
      </c>
      <c r="I662" s="56" t="str">
        <f>IF(H662="","",INDEX(生物种群!$B$3:INDEX(生物种群!$B:$B,COUNTA(生物种群!$B:$B)),MATCH($H662,生物种群!$A$3:INDEX(生物种群!$A:$A,COUNTA(生物种群!$A:$A)),),))</f>
        <v/>
      </c>
      <c r="J662" s="55" t="str">
        <f>IF(H662="","",INDEX(生物种群!$I$3:INDEX(生物种群!$I:$I,COUNTA(生物种群!$I:$I)),MATCH($H662,生物种群!$A$3:INDEX(生物种群!$A:$A,COUNTA(生物种群!$A:$A)),),))</f>
        <v/>
      </c>
      <c r="K662" s="55" t="str">
        <f>IF(H662="","",INDEX(生物种群!$E$3:INDEX(生物种群!$E:$E,COUNTA(生物种群!$E:$E)),MATCH($H662,生物种群!$A$3:INDEX(生物种群!$A:$A,COUNTA(生物种群!$A:$A)),),))</f>
        <v/>
      </c>
      <c r="L662" s="46" t="str">
        <f t="shared" si="36"/>
        <v/>
      </c>
      <c r="M662" s="47" t="str">
        <f>IF(L662="","",ROUND((L662)/VLOOKUP($F662,IF({1,0},站位样品信息!$A$3:INDEX(站位样品信息!$A:$A,COUNTA(站位样品信息!$A:$A)+1),站位样品信息!$H$3:INDEX(站位样品信息!$H:$H,COUNTA(站位样品信息!$H:$H)+1)),2,0),2))</f>
        <v/>
      </c>
      <c r="O662" s="49"/>
      <c r="P662" s="53" t="str">
        <f t="shared" si="34"/>
        <v/>
      </c>
      <c r="Q662" s="53" t="str">
        <f t="shared" si="35"/>
        <v/>
      </c>
    </row>
    <row r="663" spans="1:17" ht="19.5" customHeight="1">
      <c r="A663" s="38"/>
      <c r="B663" s="38"/>
      <c r="C663" s="38"/>
      <c r="D663" s="37"/>
      <c r="E663" s="37"/>
      <c r="F663" s="37"/>
      <c r="G663" s="37" t="str">
        <f>IF(F663="","",INDEX(站位样品信息!$B$3:INDEX(站位样品信息!$B:$B,COUNTA(站位样品信息!$B:$B)+1),MATCH($F663,站位样品信息!$A$3:INDEX(站位样品信息!$A:$A,COUNTA(站位样品信息!$A:$A)+1),),))</f>
        <v/>
      </c>
      <c r="H663" s="55" t="str">
        <f>IF(OR(A663&lt;&gt;"",B663&lt;&gt;"",C663&lt;&gt;""),IF($C663&lt;&gt;0,INDEX(生物种群!$A$3:INDEX(生物种群!$A:$A,COUNTA(生物种群!$A:$A)),MATCH($C663,生物种群!$F$3:INDEX(生物种群!$F:$F,COUNTA(生物种群!$F:$F)),),),IF($A663&lt;&gt;0,INDEX(生物种群!$A$3:INDEX(生物种群!$A:$A,COUNTA(生物种群!$A:$A)),MATCH($A663,生物种群!$C$3:INDEX(生物种群!$C:$C,COUNTA(生物种群!$C:$C)),),),INDEX(生物种群!$A$3:INDEX(生物种群!$A:$A,COUNTA(生物种群!$A:$A)),MATCH($B663,生物种群!$D$3:INDEX(生物种群!$D:$D,COUNTA(生物种群!$D:$D)),),))),"")</f>
        <v/>
      </c>
      <c r="I663" s="56" t="str">
        <f>IF(H663="","",INDEX(生物种群!$B$3:INDEX(生物种群!$B:$B,COUNTA(生物种群!$B:$B)),MATCH($H663,生物种群!$A$3:INDEX(生物种群!$A:$A,COUNTA(生物种群!$A:$A)),),))</f>
        <v/>
      </c>
      <c r="J663" s="55" t="str">
        <f>IF(H663="","",INDEX(生物种群!$I$3:INDEX(生物种群!$I:$I,COUNTA(生物种群!$I:$I)),MATCH($H663,生物种群!$A$3:INDEX(生物种群!$A:$A,COUNTA(生物种群!$A:$A)),),))</f>
        <v/>
      </c>
      <c r="K663" s="55" t="str">
        <f>IF(H663="","",INDEX(生物种群!$E$3:INDEX(生物种群!$E:$E,COUNTA(生物种群!$E:$E)),MATCH($H663,生物种群!$A$3:INDEX(生物种群!$A:$A,COUNTA(生物种群!$A:$A)),),))</f>
        <v/>
      </c>
      <c r="L663" s="46" t="str">
        <f t="shared" si="36"/>
        <v/>
      </c>
      <c r="M663" s="47" t="str">
        <f>IF(L663="","",ROUND((L663)/VLOOKUP($F663,IF({1,0},站位样品信息!$A$3:INDEX(站位样品信息!$A:$A,COUNTA(站位样品信息!$A:$A)+1),站位样品信息!$H$3:INDEX(站位样品信息!$H:$H,COUNTA(站位样品信息!$H:$H)+1)),2,0),2))</f>
        <v/>
      </c>
      <c r="O663" s="49"/>
      <c r="P663" s="53" t="str">
        <f t="shared" si="34"/>
        <v/>
      </c>
      <c r="Q663" s="53" t="str">
        <f t="shared" si="35"/>
        <v/>
      </c>
    </row>
    <row r="664" spans="1:17" ht="19.5" customHeight="1">
      <c r="A664" s="38"/>
      <c r="B664" s="38"/>
      <c r="C664" s="38"/>
      <c r="D664" s="37"/>
      <c r="E664" s="37"/>
      <c r="F664" s="37"/>
      <c r="G664" s="37" t="str">
        <f>IF(F664="","",INDEX(站位样品信息!$B$3:INDEX(站位样品信息!$B:$B,COUNTA(站位样品信息!$B:$B)+1),MATCH($F664,站位样品信息!$A$3:INDEX(站位样品信息!$A:$A,COUNTA(站位样品信息!$A:$A)+1),),))</f>
        <v/>
      </c>
      <c r="H664" s="55" t="str">
        <f>IF(OR(A664&lt;&gt;"",B664&lt;&gt;"",C664&lt;&gt;""),IF($C664&lt;&gt;0,INDEX(生物种群!$A$3:INDEX(生物种群!$A:$A,COUNTA(生物种群!$A:$A)),MATCH($C664,生物种群!$F$3:INDEX(生物种群!$F:$F,COUNTA(生物种群!$F:$F)),),),IF($A664&lt;&gt;0,INDEX(生物种群!$A$3:INDEX(生物种群!$A:$A,COUNTA(生物种群!$A:$A)),MATCH($A664,生物种群!$C$3:INDEX(生物种群!$C:$C,COUNTA(生物种群!$C:$C)),),),INDEX(生物种群!$A$3:INDEX(生物种群!$A:$A,COUNTA(生物种群!$A:$A)),MATCH($B664,生物种群!$D$3:INDEX(生物种群!$D:$D,COUNTA(生物种群!$D:$D)),),))),"")</f>
        <v/>
      </c>
      <c r="I664" s="56" t="str">
        <f>IF(H664="","",INDEX(生物种群!$B$3:INDEX(生物种群!$B:$B,COUNTA(生物种群!$B:$B)),MATCH($H664,生物种群!$A$3:INDEX(生物种群!$A:$A,COUNTA(生物种群!$A:$A)),),))</f>
        <v/>
      </c>
      <c r="J664" s="55" t="str">
        <f>IF(H664="","",INDEX(生物种群!$I$3:INDEX(生物种群!$I:$I,COUNTA(生物种群!$I:$I)),MATCH($H664,生物种群!$A$3:INDEX(生物种群!$A:$A,COUNTA(生物种群!$A:$A)),),))</f>
        <v/>
      </c>
      <c r="K664" s="55" t="str">
        <f>IF(H664="","",INDEX(生物种群!$E$3:INDEX(生物种群!$E:$E,COUNTA(生物种群!$E:$E)),MATCH($H664,生物种群!$A$3:INDEX(生物种群!$A:$A,COUNTA(生物种群!$A:$A)),),))</f>
        <v/>
      </c>
      <c r="L664" s="46" t="str">
        <f t="shared" si="36"/>
        <v/>
      </c>
      <c r="M664" s="47" t="str">
        <f>IF(L664="","",ROUND((L664)/VLOOKUP($F664,IF({1,0},站位样品信息!$A$3:INDEX(站位样品信息!$A:$A,COUNTA(站位样品信息!$A:$A)+1),站位样品信息!$H$3:INDEX(站位样品信息!$H:$H,COUNTA(站位样品信息!$H:$H)+1)),2,0),2))</f>
        <v/>
      </c>
      <c r="O664" s="49"/>
      <c r="P664" s="53" t="str">
        <f t="shared" si="34"/>
        <v/>
      </c>
      <c r="Q664" s="53" t="str">
        <f t="shared" si="35"/>
        <v/>
      </c>
    </row>
    <row r="665" spans="1:17" ht="19.5" customHeight="1">
      <c r="A665" s="38"/>
      <c r="B665" s="38"/>
      <c r="C665" s="38"/>
      <c r="D665" s="37"/>
      <c r="E665" s="37"/>
      <c r="F665" s="37"/>
      <c r="G665" s="37" t="str">
        <f>IF(F665="","",INDEX(站位样品信息!$B$3:INDEX(站位样品信息!$B:$B,COUNTA(站位样品信息!$B:$B)+1),MATCH($F665,站位样品信息!$A$3:INDEX(站位样品信息!$A:$A,COUNTA(站位样品信息!$A:$A)+1),),))</f>
        <v/>
      </c>
      <c r="H665" s="55" t="str">
        <f>IF(OR(A665&lt;&gt;"",B665&lt;&gt;"",C665&lt;&gt;""),IF($C665&lt;&gt;0,INDEX(生物种群!$A$3:INDEX(生物种群!$A:$A,COUNTA(生物种群!$A:$A)),MATCH($C665,生物种群!$F$3:INDEX(生物种群!$F:$F,COUNTA(生物种群!$F:$F)),),),IF($A665&lt;&gt;0,INDEX(生物种群!$A$3:INDEX(生物种群!$A:$A,COUNTA(生物种群!$A:$A)),MATCH($A665,生物种群!$C$3:INDEX(生物种群!$C:$C,COUNTA(生物种群!$C:$C)),),),INDEX(生物种群!$A$3:INDEX(生物种群!$A:$A,COUNTA(生物种群!$A:$A)),MATCH($B665,生物种群!$D$3:INDEX(生物种群!$D:$D,COUNTA(生物种群!$D:$D)),),))),"")</f>
        <v/>
      </c>
      <c r="I665" s="56" t="str">
        <f>IF(H665="","",INDEX(生物种群!$B$3:INDEX(生物种群!$B:$B,COUNTA(生物种群!$B:$B)),MATCH($H665,生物种群!$A$3:INDEX(生物种群!$A:$A,COUNTA(生物种群!$A:$A)),),))</f>
        <v/>
      </c>
      <c r="J665" s="55" t="str">
        <f>IF(H665="","",INDEX(生物种群!$I$3:INDEX(生物种群!$I:$I,COUNTA(生物种群!$I:$I)),MATCH($H665,生物种群!$A$3:INDEX(生物种群!$A:$A,COUNTA(生物种群!$A:$A)),),))</f>
        <v/>
      </c>
      <c r="K665" s="55" t="str">
        <f>IF(H665="","",INDEX(生物种群!$E$3:INDEX(生物种群!$E:$E,COUNTA(生物种群!$E:$E)),MATCH($H665,生物种群!$A$3:INDEX(生物种群!$A:$A,COUNTA(生物种群!$A:$A)),),))</f>
        <v/>
      </c>
      <c r="L665" s="46" t="str">
        <f t="shared" si="36"/>
        <v/>
      </c>
      <c r="M665" s="47" t="str">
        <f>IF(L665="","",ROUND((L665)/VLOOKUP($F665,IF({1,0},站位样品信息!$A$3:INDEX(站位样品信息!$A:$A,COUNTA(站位样品信息!$A:$A)+1),站位样品信息!$H$3:INDEX(站位样品信息!$H:$H,COUNTA(站位样品信息!$H:$H)+1)),2,0),2))</f>
        <v/>
      </c>
      <c r="O665" s="49"/>
      <c r="P665" s="53" t="str">
        <f t="shared" si="34"/>
        <v/>
      </c>
      <c r="Q665" s="53" t="str">
        <f t="shared" si="35"/>
        <v/>
      </c>
    </row>
    <row r="666" spans="1:17" ht="19.5" customHeight="1">
      <c r="A666" s="38"/>
      <c r="B666" s="38"/>
      <c r="C666" s="38"/>
      <c r="D666" s="37"/>
      <c r="E666" s="37"/>
      <c r="F666" s="37"/>
      <c r="G666" s="37" t="str">
        <f>IF(F666="","",INDEX(站位样品信息!$B$3:INDEX(站位样品信息!$B:$B,COUNTA(站位样品信息!$B:$B)+1),MATCH($F666,站位样品信息!$A$3:INDEX(站位样品信息!$A:$A,COUNTA(站位样品信息!$A:$A)+1),),))</f>
        <v/>
      </c>
      <c r="H666" s="55" t="str">
        <f>IF(OR(A666&lt;&gt;"",B666&lt;&gt;"",C666&lt;&gt;""),IF($C666&lt;&gt;0,INDEX(生物种群!$A$3:INDEX(生物种群!$A:$A,COUNTA(生物种群!$A:$A)),MATCH($C666,生物种群!$F$3:INDEX(生物种群!$F:$F,COUNTA(生物种群!$F:$F)),),),IF($A666&lt;&gt;0,INDEX(生物种群!$A$3:INDEX(生物种群!$A:$A,COUNTA(生物种群!$A:$A)),MATCH($A666,生物种群!$C$3:INDEX(生物种群!$C:$C,COUNTA(生物种群!$C:$C)),),),INDEX(生物种群!$A$3:INDEX(生物种群!$A:$A,COUNTA(生物种群!$A:$A)),MATCH($B666,生物种群!$D$3:INDEX(生物种群!$D:$D,COUNTA(生物种群!$D:$D)),),))),"")</f>
        <v/>
      </c>
      <c r="I666" s="56" t="str">
        <f>IF(H666="","",INDEX(生物种群!$B$3:INDEX(生物种群!$B:$B,COUNTA(生物种群!$B:$B)),MATCH($H666,生物种群!$A$3:INDEX(生物种群!$A:$A,COUNTA(生物种群!$A:$A)),),))</f>
        <v/>
      </c>
      <c r="J666" s="55" t="str">
        <f>IF(H666="","",INDEX(生物种群!$I$3:INDEX(生物种群!$I:$I,COUNTA(生物种群!$I:$I)),MATCH($H666,生物种群!$A$3:INDEX(生物种群!$A:$A,COUNTA(生物种群!$A:$A)),),))</f>
        <v/>
      </c>
      <c r="K666" s="55" t="str">
        <f>IF(H666="","",INDEX(生物种群!$E$3:INDEX(生物种群!$E:$E,COUNTA(生物种群!$E:$E)),MATCH($H666,生物种群!$A$3:INDEX(生物种群!$A:$A,COUNTA(生物种群!$A:$A)),),))</f>
        <v/>
      </c>
      <c r="L666" s="46" t="str">
        <f t="shared" si="36"/>
        <v/>
      </c>
      <c r="M666" s="47" t="str">
        <f>IF(L666="","",ROUND((L666)/VLOOKUP($F666,IF({1,0},站位样品信息!$A$3:INDEX(站位样品信息!$A:$A,COUNTA(站位样品信息!$A:$A)+1),站位样品信息!$H$3:INDEX(站位样品信息!$H:$H,COUNTA(站位样品信息!$H:$H)+1)),2,0),2))</f>
        <v/>
      </c>
      <c r="O666" s="49"/>
      <c r="P666" s="53" t="str">
        <f t="shared" si="34"/>
        <v/>
      </c>
      <c r="Q666" s="53" t="str">
        <f t="shared" si="35"/>
        <v/>
      </c>
    </row>
    <row r="667" spans="1:17" ht="19.5" customHeight="1">
      <c r="A667" s="38"/>
      <c r="B667" s="38"/>
      <c r="C667" s="38"/>
      <c r="D667" s="37"/>
      <c r="E667" s="37"/>
      <c r="F667" s="37"/>
      <c r="G667" s="37" t="str">
        <f>IF(F667="","",INDEX(站位样品信息!$B$3:INDEX(站位样品信息!$B:$B,COUNTA(站位样品信息!$B:$B)+1),MATCH($F667,站位样品信息!$A$3:INDEX(站位样品信息!$A:$A,COUNTA(站位样品信息!$A:$A)+1),),))</f>
        <v/>
      </c>
      <c r="H667" s="55" t="str">
        <f>IF(OR(A667&lt;&gt;"",B667&lt;&gt;"",C667&lt;&gt;""),IF($C667&lt;&gt;0,INDEX(生物种群!$A$3:INDEX(生物种群!$A:$A,COUNTA(生物种群!$A:$A)),MATCH($C667,生物种群!$F$3:INDEX(生物种群!$F:$F,COUNTA(生物种群!$F:$F)),),),IF($A667&lt;&gt;0,INDEX(生物种群!$A$3:INDEX(生物种群!$A:$A,COUNTA(生物种群!$A:$A)),MATCH($A667,生物种群!$C$3:INDEX(生物种群!$C:$C,COUNTA(生物种群!$C:$C)),),),INDEX(生物种群!$A$3:INDEX(生物种群!$A:$A,COUNTA(生物种群!$A:$A)),MATCH($B667,生物种群!$D$3:INDEX(生物种群!$D:$D,COUNTA(生物种群!$D:$D)),),))),"")</f>
        <v/>
      </c>
      <c r="I667" s="56" t="str">
        <f>IF(H667="","",INDEX(生物种群!$B$3:INDEX(生物种群!$B:$B,COUNTA(生物种群!$B:$B)),MATCH($H667,生物种群!$A$3:INDEX(生物种群!$A:$A,COUNTA(生物种群!$A:$A)),),))</f>
        <v/>
      </c>
      <c r="J667" s="55" t="str">
        <f>IF(H667="","",INDEX(生物种群!$I$3:INDEX(生物种群!$I:$I,COUNTA(生物种群!$I:$I)),MATCH($H667,生物种群!$A$3:INDEX(生物种群!$A:$A,COUNTA(生物种群!$A:$A)),),))</f>
        <v/>
      </c>
      <c r="K667" s="55" t="str">
        <f>IF(H667="","",INDEX(生物种群!$E$3:INDEX(生物种群!$E:$E,COUNTA(生物种群!$E:$E)),MATCH($H667,生物种群!$A$3:INDEX(生物种群!$A:$A,COUNTA(生物种群!$A:$A)),),))</f>
        <v/>
      </c>
      <c r="L667" s="46" t="str">
        <f t="shared" si="36"/>
        <v/>
      </c>
      <c r="M667" s="47" t="str">
        <f>IF(L667="","",ROUND((L667)/VLOOKUP($F667,IF({1,0},站位样品信息!$A$3:INDEX(站位样品信息!$A:$A,COUNTA(站位样品信息!$A:$A)+1),站位样品信息!$H$3:INDEX(站位样品信息!$H:$H,COUNTA(站位样品信息!$H:$H)+1)),2,0),2))</f>
        <v/>
      </c>
      <c r="O667" s="49"/>
      <c r="P667" s="53" t="str">
        <f t="shared" si="34"/>
        <v/>
      </c>
      <c r="Q667" s="53" t="str">
        <f t="shared" si="35"/>
        <v/>
      </c>
    </row>
    <row r="668" spans="1:17" ht="19.5" customHeight="1">
      <c r="A668" s="38"/>
      <c r="B668" s="38"/>
      <c r="C668" s="38"/>
      <c r="D668" s="37"/>
      <c r="E668" s="37"/>
      <c r="F668" s="37"/>
      <c r="G668" s="37" t="str">
        <f>IF(F668="","",INDEX(站位样品信息!$B$3:INDEX(站位样品信息!$B:$B,COUNTA(站位样品信息!$B:$B)+1),MATCH($F668,站位样品信息!$A$3:INDEX(站位样品信息!$A:$A,COUNTA(站位样品信息!$A:$A)+1),),))</f>
        <v/>
      </c>
      <c r="H668" s="55" t="str">
        <f>IF(OR(A668&lt;&gt;"",B668&lt;&gt;"",C668&lt;&gt;""),IF($C668&lt;&gt;0,INDEX(生物种群!$A$3:INDEX(生物种群!$A:$A,COUNTA(生物种群!$A:$A)),MATCH($C668,生物种群!$F$3:INDEX(生物种群!$F:$F,COUNTA(生物种群!$F:$F)),),),IF($A668&lt;&gt;0,INDEX(生物种群!$A$3:INDEX(生物种群!$A:$A,COUNTA(生物种群!$A:$A)),MATCH($A668,生物种群!$C$3:INDEX(生物种群!$C:$C,COUNTA(生物种群!$C:$C)),),),INDEX(生物种群!$A$3:INDEX(生物种群!$A:$A,COUNTA(生物种群!$A:$A)),MATCH($B668,生物种群!$D$3:INDEX(生物种群!$D:$D,COUNTA(生物种群!$D:$D)),),))),"")</f>
        <v/>
      </c>
      <c r="I668" s="56" t="str">
        <f>IF(H668="","",INDEX(生物种群!$B$3:INDEX(生物种群!$B:$B,COUNTA(生物种群!$B:$B)),MATCH($H668,生物种群!$A$3:INDEX(生物种群!$A:$A,COUNTA(生物种群!$A:$A)),),))</f>
        <v/>
      </c>
      <c r="J668" s="55" t="str">
        <f>IF(H668="","",INDEX(生物种群!$I$3:INDEX(生物种群!$I:$I,COUNTA(生物种群!$I:$I)),MATCH($H668,生物种群!$A$3:INDEX(生物种群!$A:$A,COUNTA(生物种群!$A:$A)),),))</f>
        <v/>
      </c>
      <c r="K668" s="55" t="str">
        <f>IF(H668="","",INDEX(生物种群!$E$3:INDEX(生物种群!$E:$E,COUNTA(生物种群!$E:$E)),MATCH($H668,生物种群!$A$3:INDEX(生物种群!$A:$A,COUNTA(生物种群!$A:$A)),),))</f>
        <v/>
      </c>
      <c r="L668" s="46" t="str">
        <f t="shared" si="36"/>
        <v/>
      </c>
      <c r="M668" s="47" t="str">
        <f>IF(L668="","",ROUND((L668)/VLOOKUP($F668,IF({1,0},站位样品信息!$A$3:INDEX(站位样品信息!$A:$A,COUNTA(站位样品信息!$A:$A)+1),站位样品信息!$H$3:INDEX(站位样品信息!$H:$H,COUNTA(站位样品信息!$H:$H)+1)),2,0),2))</f>
        <v/>
      </c>
      <c r="O668" s="49"/>
      <c r="P668" s="53" t="str">
        <f t="shared" si="34"/>
        <v/>
      </c>
      <c r="Q668" s="53" t="str">
        <f t="shared" si="35"/>
        <v/>
      </c>
    </row>
    <row r="669" spans="1:17" ht="19.5" customHeight="1">
      <c r="A669" s="38"/>
      <c r="B669" s="38"/>
      <c r="C669" s="38"/>
      <c r="D669" s="37"/>
      <c r="E669" s="37"/>
      <c r="F669" s="37"/>
      <c r="G669" s="37" t="str">
        <f>IF(F669="","",INDEX(站位样品信息!$B$3:INDEX(站位样品信息!$B:$B,COUNTA(站位样品信息!$B:$B)+1),MATCH($F669,站位样品信息!$A$3:INDEX(站位样品信息!$A:$A,COUNTA(站位样品信息!$A:$A)+1),),))</f>
        <v/>
      </c>
      <c r="H669" s="55" t="str">
        <f>IF(OR(A669&lt;&gt;"",B669&lt;&gt;"",C669&lt;&gt;""),IF($C669&lt;&gt;0,INDEX(生物种群!$A$3:INDEX(生物种群!$A:$A,COUNTA(生物种群!$A:$A)),MATCH($C669,生物种群!$F$3:INDEX(生物种群!$F:$F,COUNTA(生物种群!$F:$F)),),),IF($A669&lt;&gt;0,INDEX(生物种群!$A$3:INDEX(生物种群!$A:$A,COUNTA(生物种群!$A:$A)),MATCH($A669,生物种群!$C$3:INDEX(生物种群!$C:$C,COUNTA(生物种群!$C:$C)),),),INDEX(生物种群!$A$3:INDEX(生物种群!$A:$A,COUNTA(生物种群!$A:$A)),MATCH($B669,生物种群!$D$3:INDEX(生物种群!$D:$D,COUNTA(生物种群!$D:$D)),),))),"")</f>
        <v/>
      </c>
      <c r="I669" s="56" t="str">
        <f>IF(H669="","",INDEX(生物种群!$B$3:INDEX(生物种群!$B:$B,COUNTA(生物种群!$B:$B)),MATCH($H669,生物种群!$A$3:INDEX(生物种群!$A:$A,COUNTA(生物种群!$A:$A)),),))</f>
        <v/>
      </c>
      <c r="J669" s="55" t="str">
        <f>IF(H669="","",INDEX(生物种群!$I$3:INDEX(生物种群!$I:$I,COUNTA(生物种群!$I:$I)),MATCH($H669,生物种群!$A$3:INDEX(生物种群!$A:$A,COUNTA(生物种群!$A:$A)),),))</f>
        <v/>
      </c>
      <c r="K669" s="55" t="str">
        <f>IF(H669="","",INDEX(生物种群!$E$3:INDEX(生物种群!$E:$E,COUNTA(生物种群!$E:$E)),MATCH($H669,生物种群!$A$3:INDEX(生物种群!$A:$A,COUNTA(生物种群!$A:$A)),),))</f>
        <v/>
      </c>
      <c r="L669" s="46" t="str">
        <f t="shared" si="36"/>
        <v/>
      </c>
      <c r="M669" s="47" t="str">
        <f>IF(L669="","",ROUND((L669)/VLOOKUP($F669,IF({1,0},站位样品信息!$A$3:INDEX(站位样品信息!$A:$A,COUNTA(站位样品信息!$A:$A)+1),站位样品信息!$H$3:INDEX(站位样品信息!$H:$H,COUNTA(站位样品信息!$H:$H)+1)),2,0),2))</f>
        <v/>
      </c>
      <c r="O669" s="49"/>
      <c r="P669" s="53" t="str">
        <f t="shared" si="34"/>
        <v/>
      </c>
      <c r="Q669" s="53" t="str">
        <f t="shared" si="35"/>
        <v/>
      </c>
    </row>
    <row r="670" spans="1:17" ht="19.5" customHeight="1">
      <c r="A670" s="38"/>
      <c r="B670" s="38"/>
      <c r="C670" s="38"/>
      <c r="D670" s="37"/>
      <c r="E670" s="37"/>
      <c r="F670" s="37"/>
      <c r="G670" s="37" t="str">
        <f>IF(F670="","",INDEX(站位样品信息!$B$3:INDEX(站位样品信息!$B:$B,COUNTA(站位样品信息!$B:$B)+1),MATCH($F670,站位样品信息!$A$3:INDEX(站位样品信息!$A:$A,COUNTA(站位样品信息!$A:$A)+1),),))</f>
        <v/>
      </c>
      <c r="H670" s="55" t="str">
        <f>IF(OR(A670&lt;&gt;"",B670&lt;&gt;"",C670&lt;&gt;""),IF($C670&lt;&gt;0,INDEX(生物种群!$A$3:INDEX(生物种群!$A:$A,COUNTA(生物种群!$A:$A)),MATCH($C670,生物种群!$F$3:INDEX(生物种群!$F:$F,COUNTA(生物种群!$F:$F)),),),IF($A670&lt;&gt;0,INDEX(生物种群!$A$3:INDEX(生物种群!$A:$A,COUNTA(生物种群!$A:$A)),MATCH($A670,生物种群!$C$3:INDEX(生物种群!$C:$C,COUNTA(生物种群!$C:$C)),),),INDEX(生物种群!$A$3:INDEX(生物种群!$A:$A,COUNTA(生物种群!$A:$A)),MATCH($B670,生物种群!$D$3:INDEX(生物种群!$D:$D,COUNTA(生物种群!$D:$D)),),))),"")</f>
        <v/>
      </c>
      <c r="I670" s="56" t="str">
        <f>IF(H670="","",INDEX(生物种群!$B$3:INDEX(生物种群!$B:$B,COUNTA(生物种群!$B:$B)),MATCH($H670,生物种群!$A$3:INDEX(生物种群!$A:$A,COUNTA(生物种群!$A:$A)),),))</f>
        <v/>
      </c>
      <c r="J670" s="55" t="str">
        <f>IF(H670="","",INDEX(生物种群!$I$3:INDEX(生物种群!$I:$I,COUNTA(生物种群!$I:$I)),MATCH($H670,生物种群!$A$3:INDEX(生物种群!$A:$A,COUNTA(生物种群!$A:$A)),),))</f>
        <v/>
      </c>
      <c r="K670" s="55" t="str">
        <f>IF(H670="","",INDEX(生物种群!$E$3:INDEX(生物种群!$E:$E,COUNTA(生物种群!$E:$E)),MATCH($H670,生物种群!$A$3:INDEX(生物种群!$A:$A,COUNTA(生物种群!$A:$A)),),))</f>
        <v/>
      </c>
      <c r="L670" s="46" t="str">
        <f t="shared" si="36"/>
        <v/>
      </c>
      <c r="M670" s="47" t="str">
        <f>IF(L670="","",ROUND((L670)/VLOOKUP($F670,IF({1,0},站位样品信息!$A$3:INDEX(站位样品信息!$A:$A,COUNTA(站位样品信息!$A:$A)+1),站位样品信息!$H$3:INDEX(站位样品信息!$H:$H,COUNTA(站位样品信息!$H:$H)+1)),2,0),2))</f>
        <v/>
      </c>
      <c r="O670" s="49"/>
      <c r="P670" s="53" t="str">
        <f t="shared" si="34"/>
        <v/>
      </c>
      <c r="Q670" s="53" t="str">
        <f t="shared" si="35"/>
        <v/>
      </c>
    </row>
    <row r="671" spans="1:17" ht="19.5" customHeight="1">
      <c r="A671" s="38"/>
      <c r="B671" s="38"/>
      <c r="C671" s="38"/>
      <c r="D671" s="37"/>
      <c r="E671" s="37"/>
      <c r="F671" s="37"/>
      <c r="G671" s="37" t="str">
        <f>IF(F671="","",INDEX(站位样品信息!$B$3:INDEX(站位样品信息!$B:$B,COUNTA(站位样品信息!$B:$B)+1),MATCH($F671,站位样品信息!$A$3:INDEX(站位样品信息!$A:$A,COUNTA(站位样品信息!$A:$A)+1),),))</f>
        <v/>
      </c>
      <c r="H671" s="55" t="str">
        <f>IF(OR(A671&lt;&gt;"",B671&lt;&gt;"",C671&lt;&gt;""),IF($C671&lt;&gt;0,INDEX(生物种群!$A$3:INDEX(生物种群!$A:$A,COUNTA(生物种群!$A:$A)),MATCH($C671,生物种群!$F$3:INDEX(生物种群!$F:$F,COUNTA(生物种群!$F:$F)),),),IF($A671&lt;&gt;0,INDEX(生物种群!$A$3:INDEX(生物种群!$A:$A,COUNTA(生物种群!$A:$A)),MATCH($A671,生物种群!$C$3:INDEX(生物种群!$C:$C,COUNTA(生物种群!$C:$C)),),),INDEX(生物种群!$A$3:INDEX(生物种群!$A:$A,COUNTA(生物种群!$A:$A)),MATCH($B671,生物种群!$D$3:INDEX(生物种群!$D:$D,COUNTA(生物种群!$D:$D)),),))),"")</f>
        <v/>
      </c>
      <c r="I671" s="56" t="str">
        <f>IF(H671="","",INDEX(生物种群!$B$3:INDEX(生物种群!$B:$B,COUNTA(生物种群!$B:$B)),MATCH($H671,生物种群!$A$3:INDEX(生物种群!$A:$A,COUNTA(生物种群!$A:$A)),),))</f>
        <v/>
      </c>
      <c r="J671" s="55" t="str">
        <f>IF(H671="","",INDEX(生物种群!$I$3:INDEX(生物种群!$I:$I,COUNTA(生物种群!$I:$I)),MATCH($H671,生物种群!$A$3:INDEX(生物种群!$A:$A,COUNTA(生物种群!$A:$A)),),))</f>
        <v/>
      </c>
      <c r="K671" s="55" t="str">
        <f>IF(H671="","",INDEX(生物种群!$E$3:INDEX(生物种群!$E:$E,COUNTA(生物种群!$E:$E)),MATCH($H671,生物种群!$A$3:INDEX(生物种群!$A:$A,COUNTA(生物种群!$A:$A)),),))</f>
        <v/>
      </c>
      <c r="L671" s="46" t="str">
        <f t="shared" si="36"/>
        <v/>
      </c>
      <c r="M671" s="47" t="str">
        <f>IF(L671="","",ROUND((L671)/VLOOKUP($F671,IF({1,0},站位样品信息!$A$3:INDEX(站位样品信息!$A:$A,COUNTA(站位样品信息!$A:$A)+1),站位样品信息!$H$3:INDEX(站位样品信息!$H:$H,COUNTA(站位样品信息!$H:$H)+1)),2,0),2))</f>
        <v/>
      </c>
      <c r="O671" s="49"/>
      <c r="P671" s="53" t="str">
        <f t="shared" si="34"/>
        <v/>
      </c>
      <c r="Q671" s="53" t="str">
        <f t="shared" si="35"/>
        <v/>
      </c>
    </row>
    <row r="672" spans="1:17" ht="19.5" customHeight="1">
      <c r="A672" s="38"/>
      <c r="B672" s="38"/>
      <c r="C672" s="38"/>
      <c r="D672" s="37"/>
      <c r="E672" s="37"/>
      <c r="F672" s="37"/>
      <c r="G672" s="37" t="str">
        <f>IF(F672="","",INDEX(站位样品信息!$B$3:INDEX(站位样品信息!$B:$B,COUNTA(站位样品信息!$B:$B)+1),MATCH($F672,站位样品信息!$A$3:INDEX(站位样品信息!$A:$A,COUNTA(站位样品信息!$A:$A)+1),),))</f>
        <v/>
      </c>
      <c r="H672" s="55" t="str">
        <f>IF(OR(A672&lt;&gt;"",B672&lt;&gt;"",C672&lt;&gt;""),IF($C672&lt;&gt;0,INDEX(生物种群!$A$3:INDEX(生物种群!$A:$A,COUNTA(生物种群!$A:$A)),MATCH($C672,生物种群!$F$3:INDEX(生物种群!$F:$F,COUNTA(生物种群!$F:$F)),),),IF($A672&lt;&gt;0,INDEX(生物种群!$A$3:INDEX(生物种群!$A:$A,COUNTA(生物种群!$A:$A)),MATCH($A672,生物种群!$C$3:INDEX(生物种群!$C:$C,COUNTA(生物种群!$C:$C)),),),INDEX(生物种群!$A$3:INDEX(生物种群!$A:$A,COUNTA(生物种群!$A:$A)),MATCH($B672,生物种群!$D$3:INDEX(生物种群!$D:$D,COUNTA(生物种群!$D:$D)),),))),"")</f>
        <v/>
      </c>
      <c r="I672" s="56" t="str">
        <f>IF(H672="","",INDEX(生物种群!$B$3:INDEX(生物种群!$B:$B,COUNTA(生物种群!$B:$B)),MATCH($H672,生物种群!$A$3:INDEX(生物种群!$A:$A,COUNTA(生物种群!$A:$A)),),))</f>
        <v/>
      </c>
      <c r="J672" s="55" t="str">
        <f>IF(H672="","",INDEX(生物种群!$I$3:INDEX(生物种群!$I:$I,COUNTA(生物种群!$I:$I)),MATCH($H672,生物种群!$A$3:INDEX(生物种群!$A:$A,COUNTA(生物种群!$A:$A)),),))</f>
        <v/>
      </c>
      <c r="K672" s="55" t="str">
        <f>IF(H672="","",INDEX(生物种群!$E$3:INDEX(生物种群!$E:$E,COUNTA(生物种群!$E:$E)),MATCH($H672,生物种群!$A$3:INDEX(生物种群!$A:$A,COUNTA(生物种群!$A:$A)),),))</f>
        <v/>
      </c>
      <c r="L672" s="46" t="str">
        <f t="shared" si="36"/>
        <v/>
      </c>
      <c r="M672" s="47" t="str">
        <f>IF(L672="","",ROUND((L672)/VLOOKUP($F672,IF({1,0},站位样品信息!$A$3:INDEX(站位样品信息!$A:$A,COUNTA(站位样品信息!$A:$A)+1),站位样品信息!$H$3:INDEX(站位样品信息!$H:$H,COUNTA(站位样品信息!$H:$H)+1)),2,0),2))</f>
        <v/>
      </c>
      <c r="O672" s="49"/>
      <c r="P672" s="53" t="str">
        <f t="shared" si="34"/>
        <v/>
      </c>
      <c r="Q672" s="53" t="str">
        <f t="shared" si="35"/>
        <v/>
      </c>
    </row>
    <row r="673" spans="1:17" ht="19.5" customHeight="1">
      <c r="A673" s="38"/>
      <c r="B673" s="38"/>
      <c r="C673" s="38"/>
      <c r="D673" s="37"/>
      <c r="E673" s="37"/>
      <c r="F673" s="37"/>
      <c r="G673" s="37" t="str">
        <f>IF(F673="","",INDEX(站位样品信息!$B$3:INDEX(站位样品信息!$B:$B,COUNTA(站位样品信息!$B:$B)+1),MATCH($F673,站位样品信息!$A$3:INDEX(站位样品信息!$A:$A,COUNTA(站位样品信息!$A:$A)+1),),))</f>
        <v/>
      </c>
      <c r="H673" s="55" t="str">
        <f>IF(OR(A673&lt;&gt;"",B673&lt;&gt;"",C673&lt;&gt;""),IF($C673&lt;&gt;0,INDEX(生物种群!$A$3:INDEX(生物种群!$A:$A,COUNTA(生物种群!$A:$A)),MATCH($C673,生物种群!$F$3:INDEX(生物种群!$F:$F,COUNTA(生物种群!$F:$F)),),),IF($A673&lt;&gt;0,INDEX(生物种群!$A$3:INDEX(生物种群!$A:$A,COUNTA(生物种群!$A:$A)),MATCH($A673,生物种群!$C$3:INDEX(生物种群!$C:$C,COUNTA(生物种群!$C:$C)),),),INDEX(生物种群!$A$3:INDEX(生物种群!$A:$A,COUNTA(生物种群!$A:$A)),MATCH($B673,生物种群!$D$3:INDEX(生物种群!$D:$D,COUNTA(生物种群!$D:$D)),),))),"")</f>
        <v/>
      </c>
      <c r="I673" s="56" t="str">
        <f>IF(H673="","",INDEX(生物种群!$B$3:INDEX(生物种群!$B:$B,COUNTA(生物种群!$B:$B)),MATCH($H673,生物种群!$A$3:INDEX(生物种群!$A:$A,COUNTA(生物种群!$A:$A)),),))</f>
        <v/>
      </c>
      <c r="J673" s="55" t="str">
        <f>IF(H673="","",INDEX(生物种群!$I$3:INDEX(生物种群!$I:$I,COUNTA(生物种群!$I:$I)),MATCH($H673,生物种群!$A$3:INDEX(生物种群!$A:$A,COUNTA(生物种群!$A:$A)),),))</f>
        <v/>
      </c>
      <c r="K673" s="55" t="str">
        <f>IF(H673="","",INDEX(生物种群!$E$3:INDEX(生物种群!$E:$E,COUNTA(生物种群!$E:$E)),MATCH($H673,生物种群!$A$3:INDEX(生物种群!$A:$A,COUNTA(生物种群!$A:$A)),),))</f>
        <v/>
      </c>
      <c r="L673" s="46" t="str">
        <f t="shared" si="36"/>
        <v/>
      </c>
      <c r="M673" s="47" t="str">
        <f>IF(L673="","",ROUND((L673)/VLOOKUP($F673,IF({1,0},站位样品信息!$A$3:INDEX(站位样品信息!$A:$A,COUNTA(站位样品信息!$A:$A)+1),站位样品信息!$H$3:INDEX(站位样品信息!$H:$H,COUNTA(站位样品信息!$H:$H)+1)),2,0),2))</f>
        <v/>
      </c>
      <c r="O673" s="49"/>
      <c r="P673" s="53" t="str">
        <f t="shared" si="34"/>
        <v/>
      </c>
      <c r="Q673" s="53" t="str">
        <f t="shared" si="35"/>
        <v/>
      </c>
    </row>
    <row r="674" spans="1:17" ht="19.5" customHeight="1">
      <c r="A674" s="38"/>
      <c r="B674" s="38"/>
      <c r="C674" s="38"/>
      <c r="D674" s="37"/>
      <c r="E674" s="37"/>
      <c r="F674" s="37"/>
      <c r="G674" s="37" t="str">
        <f>IF(F674="","",INDEX(站位样品信息!$B$3:INDEX(站位样品信息!$B:$B,COUNTA(站位样品信息!$B:$B)+1),MATCH($F674,站位样品信息!$A$3:INDEX(站位样品信息!$A:$A,COUNTA(站位样品信息!$A:$A)+1),),))</f>
        <v/>
      </c>
      <c r="H674" s="55" t="str">
        <f>IF(OR(A674&lt;&gt;"",B674&lt;&gt;"",C674&lt;&gt;""),IF($C674&lt;&gt;0,INDEX(生物种群!$A$3:INDEX(生物种群!$A:$A,COUNTA(生物种群!$A:$A)),MATCH($C674,生物种群!$F$3:INDEX(生物种群!$F:$F,COUNTA(生物种群!$F:$F)),),),IF($A674&lt;&gt;0,INDEX(生物种群!$A$3:INDEX(生物种群!$A:$A,COUNTA(生物种群!$A:$A)),MATCH($A674,生物种群!$C$3:INDEX(生物种群!$C:$C,COUNTA(生物种群!$C:$C)),),),INDEX(生物种群!$A$3:INDEX(生物种群!$A:$A,COUNTA(生物种群!$A:$A)),MATCH($B674,生物种群!$D$3:INDEX(生物种群!$D:$D,COUNTA(生物种群!$D:$D)),),))),"")</f>
        <v/>
      </c>
      <c r="I674" s="56" t="str">
        <f>IF(H674="","",INDEX(生物种群!$B$3:INDEX(生物种群!$B:$B,COUNTA(生物种群!$B:$B)),MATCH($H674,生物种群!$A$3:INDEX(生物种群!$A:$A,COUNTA(生物种群!$A:$A)),),))</f>
        <v/>
      </c>
      <c r="J674" s="55" t="str">
        <f>IF(H674="","",INDEX(生物种群!$I$3:INDEX(生物种群!$I:$I,COUNTA(生物种群!$I:$I)),MATCH($H674,生物种群!$A$3:INDEX(生物种群!$A:$A,COUNTA(生物种群!$A:$A)),),))</f>
        <v/>
      </c>
      <c r="K674" s="55" t="str">
        <f>IF(H674="","",INDEX(生物种群!$E$3:INDEX(生物种群!$E:$E,COUNTA(生物种群!$E:$E)),MATCH($H674,生物种群!$A$3:INDEX(生物种群!$A:$A,COUNTA(生物种群!$A:$A)),),))</f>
        <v/>
      </c>
      <c r="L674" s="46" t="str">
        <f t="shared" si="36"/>
        <v/>
      </c>
      <c r="M674" s="47" t="str">
        <f>IF(L674="","",ROUND((L674)/VLOOKUP($F674,IF({1,0},站位样品信息!$A$3:INDEX(站位样品信息!$A:$A,COUNTA(站位样品信息!$A:$A)+1),站位样品信息!$H$3:INDEX(站位样品信息!$H:$H,COUNTA(站位样品信息!$H:$H)+1)),2,0),2))</f>
        <v/>
      </c>
      <c r="O674" s="49"/>
      <c r="P674" s="53" t="str">
        <f t="shared" si="34"/>
        <v/>
      </c>
      <c r="Q674" s="53" t="str">
        <f t="shared" si="35"/>
        <v/>
      </c>
    </row>
    <row r="675" spans="1:17" ht="19.5" customHeight="1">
      <c r="A675" s="38"/>
      <c r="B675" s="38"/>
      <c r="C675" s="38"/>
      <c r="D675" s="37"/>
      <c r="E675" s="37"/>
      <c r="F675" s="37"/>
      <c r="G675" s="37" t="str">
        <f>IF(F675="","",INDEX(站位样品信息!$B$3:INDEX(站位样品信息!$B:$B,COUNTA(站位样品信息!$B:$B)+1),MATCH($F675,站位样品信息!$A$3:INDEX(站位样品信息!$A:$A,COUNTA(站位样品信息!$A:$A)+1),),))</f>
        <v/>
      </c>
      <c r="H675" s="55" t="str">
        <f>IF(OR(A675&lt;&gt;"",B675&lt;&gt;"",C675&lt;&gt;""),IF($C675&lt;&gt;0,INDEX(生物种群!$A$3:INDEX(生物种群!$A:$A,COUNTA(生物种群!$A:$A)),MATCH($C675,生物种群!$F$3:INDEX(生物种群!$F:$F,COUNTA(生物种群!$F:$F)),),),IF($A675&lt;&gt;0,INDEX(生物种群!$A$3:INDEX(生物种群!$A:$A,COUNTA(生物种群!$A:$A)),MATCH($A675,生物种群!$C$3:INDEX(生物种群!$C:$C,COUNTA(生物种群!$C:$C)),),),INDEX(生物种群!$A$3:INDEX(生物种群!$A:$A,COUNTA(生物种群!$A:$A)),MATCH($B675,生物种群!$D$3:INDEX(生物种群!$D:$D,COUNTA(生物种群!$D:$D)),),))),"")</f>
        <v/>
      </c>
      <c r="I675" s="56" t="str">
        <f>IF(H675="","",INDEX(生物种群!$B$3:INDEX(生物种群!$B:$B,COUNTA(生物种群!$B:$B)),MATCH($H675,生物种群!$A$3:INDEX(生物种群!$A:$A,COUNTA(生物种群!$A:$A)),),))</f>
        <v/>
      </c>
      <c r="J675" s="55" t="str">
        <f>IF(H675="","",INDEX(生物种群!$I$3:INDEX(生物种群!$I:$I,COUNTA(生物种群!$I:$I)),MATCH($H675,生物种群!$A$3:INDEX(生物种群!$A:$A,COUNTA(生物种群!$A:$A)),),))</f>
        <v/>
      </c>
      <c r="K675" s="55" t="str">
        <f>IF(H675="","",INDEX(生物种群!$E$3:INDEX(生物种群!$E:$E,COUNTA(生物种群!$E:$E)),MATCH($H675,生物种群!$A$3:INDEX(生物种群!$A:$A,COUNTA(生物种群!$A:$A)),),))</f>
        <v/>
      </c>
      <c r="L675" s="46" t="str">
        <f t="shared" si="36"/>
        <v/>
      </c>
      <c r="M675" s="47" t="str">
        <f>IF(L675="","",ROUND((L675)/VLOOKUP($F675,IF({1,0},站位样品信息!$A$3:INDEX(站位样品信息!$A:$A,COUNTA(站位样品信息!$A:$A)+1),站位样品信息!$H$3:INDEX(站位样品信息!$H:$H,COUNTA(站位样品信息!$H:$H)+1)),2,0),2))</f>
        <v/>
      </c>
      <c r="O675" s="49"/>
      <c r="P675" s="53" t="str">
        <f t="shared" si="34"/>
        <v/>
      </c>
      <c r="Q675" s="53" t="str">
        <f t="shared" si="35"/>
        <v/>
      </c>
    </row>
    <row r="676" spans="1:17" ht="19.5" customHeight="1">
      <c r="A676" s="38"/>
      <c r="B676" s="38"/>
      <c r="C676" s="38"/>
      <c r="D676" s="37"/>
      <c r="E676" s="37"/>
      <c r="F676" s="37"/>
      <c r="G676" s="37" t="str">
        <f>IF(F676="","",INDEX(站位样品信息!$B$3:INDEX(站位样品信息!$B:$B,COUNTA(站位样品信息!$B:$B)+1),MATCH($F676,站位样品信息!$A$3:INDEX(站位样品信息!$A:$A,COUNTA(站位样品信息!$A:$A)+1),),))</f>
        <v/>
      </c>
      <c r="H676" s="55" t="str">
        <f>IF(OR(A676&lt;&gt;"",B676&lt;&gt;"",C676&lt;&gt;""),IF($C676&lt;&gt;0,INDEX(生物种群!$A$3:INDEX(生物种群!$A:$A,COUNTA(生物种群!$A:$A)),MATCH($C676,生物种群!$F$3:INDEX(生物种群!$F:$F,COUNTA(生物种群!$F:$F)),),),IF($A676&lt;&gt;0,INDEX(生物种群!$A$3:INDEX(生物种群!$A:$A,COUNTA(生物种群!$A:$A)),MATCH($A676,生物种群!$C$3:INDEX(生物种群!$C:$C,COUNTA(生物种群!$C:$C)),),),INDEX(生物种群!$A$3:INDEX(生物种群!$A:$A,COUNTA(生物种群!$A:$A)),MATCH($B676,生物种群!$D$3:INDEX(生物种群!$D:$D,COUNTA(生物种群!$D:$D)),),))),"")</f>
        <v/>
      </c>
      <c r="I676" s="56" t="str">
        <f>IF(H676="","",INDEX(生物种群!$B$3:INDEX(生物种群!$B:$B,COUNTA(生物种群!$B:$B)),MATCH($H676,生物种群!$A$3:INDEX(生物种群!$A:$A,COUNTA(生物种群!$A:$A)),),))</f>
        <v/>
      </c>
      <c r="J676" s="55" t="str">
        <f>IF(H676="","",INDEX(生物种群!$I$3:INDEX(生物种群!$I:$I,COUNTA(生物种群!$I:$I)),MATCH($H676,生物种群!$A$3:INDEX(生物种群!$A:$A,COUNTA(生物种群!$A:$A)),),))</f>
        <v/>
      </c>
      <c r="K676" s="55" t="str">
        <f>IF(H676="","",INDEX(生物种群!$E$3:INDEX(生物种群!$E:$E,COUNTA(生物种群!$E:$E)),MATCH($H676,生物种群!$A$3:INDEX(生物种群!$A:$A,COUNTA(生物种群!$A:$A)),),))</f>
        <v/>
      </c>
      <c r="L676" s="46" t="str">
        <f t="shared" si="36"/>
        <v/>
      </c>
      <c r="M676" s="47" t="str">
        <f>IF(L676="","",ROUND((L676)/VLOOKUP($F676,IF({1,0},站位样品信息!$A$3:INDEX(站位样品信息!$A:$A,COUNTA(站位样品信息!$A:$A)+1),站位样品信息!$H$3:INDEX(站位样品信息!$H:$H,COUNTA(站位样品信息!$H:$H)+1)),2,0),2))</f>
        <v/>
      </c>
      <c r="O676" s="49"/>
      <c r="P676" s="53" t="str">
        <f t="shared" si="34"/>
        <v/>
      </c>
      <c r="Q676" s="53" t="str">
        <f t="shared" si="35"/>
        <v/>
      </c>
    </row>
    <row r="677" spans="1:17" ht="19.5" customHeight="1">
      <c r="A677" s="38"/>
      <c r="B677" s="38"/>
      <c r="C677" s="38"/>
      <c r="D677" s="37"/>
      <c r="E677" s="37"/>
      <c r="F677" s="37"/>
      <c r="G677" s="37" t="str">
        <f>IF(F677="","",INDEX(站位样品信息!$B$3:INDEX(站位样品信息!$B:$B,COUNTA(站位样品信息!$B:$B)+1),MATCH($F677,站位样品信息!$A$3:INDEX(站位样品信息!$A:$A,COUNTA(站位样品信息!$A:$A)+1),),))</f>
        <v/>
      </c>
      <c r="H677" s="55" t="str">
        <f>IF(OR(A677&lt;&gt;"",B677&lt;&gt;"",C677&lt;&gt;""),IF($C677&lt;&gt;0,INDEX(生物种群!$A$3:INDEX(生物种群!$A:$A,COUNTA(生物种群!$A:$A)),MATCH($C677,生物种群!$F$3:INDEX(生物种群!$F:$F,COUNTA(生物种群!$F:$F)),),),IF($A677&lt;&gt;0,INDEX(生物种群!$A$3:INDEX(生物种群!$A:$A,COUNTA(生物种群!$A:$A)),MATCH($A677,生物种群!$C$3:INDEX(生物种群!$C:$C,COUNTA(生物种群!$C:$C)),),),INDEX(生物种群!$A$3:INDEX(生物种群!$A:$A,COUNTA(生物种群!$A:$A)),MATCH($B677,生物种群!$D$3:INDEX(生物种群!$D:$D,COUNTA(生物种群!$D:$D)),),))),"")</f>
        <v/>
      </c>
      <c r="I677" s="56" t="str">
        <f>IF(H677="","",INDEX(生物种群!$B$3:INDEX(生物种群!$B:$B,COUNTA(生物种群!$B:$B)),MATCH($H677,生物种群!$A$3:INDEX(生物种群!$A:$A,COUNTA(生物种群!$A:$A)),),))</f>
        <v/>
      </c>
      <c r="J677" s="55" t="str">
        <f>IF(H677="","",INDEX(生物种群!$I$3:INDEX(生物种群!$I:$I,COUNTA(生物种群!$I:$I)),MATCH($H677,生物种群!$A$3:INDEX(生物种群!$A:$A,COUNTA(生物种群!$A:$A)),),))</f>
        <v/>
      </c>
      <c r="K677" s="55" t="str">
        <f>IF(H677="","",INDEX(生物种群!$E$3:INDEX(生物种群!$E:$E,COUNTA(生物种群!$E:$E)),MATCH($H677,生物种群!$A$3:INDEX(生物种群!$A:$A,COUNTA(生物种群!$A:$A)),),))</f>
        <v/>
      </c>
      <c r="L677" s="46" t="str">
        <f t="shared" si="36"/>
        <v/>
      </c>
      <c r="M677" s="47" t="str">
        <f>IF(L677="","",ROUND((L677)/VLOOKUP($F677,IF({1,0},站位样品信息!$A$3:INDEX(站位样品信息!$A:$A,COUNTA(站位样品信息!$A:$A)+1),站位样品信息!$H$3:INDEX(站位样品信息!$H:$H,COUNTA(站位样品信息!$H:$H)+1)),2,0),2))</f>
        <v/>
      </c>
      <c r="O677" s="49"/>
      <c r="P677" s="53" t="str">
        <f t="shared" si="34"/>
        <v/>
      </c>
      <c r="Q677" s="53" t="str">
        <f t="shared" si="35"/>
        <v/>
      </c>
    </row>
    <row r="678" spans="1:17" ht="19.5" customHeight="1">
      <c r="A678" s="38"/>
      <c r="B678" s="38"/>
      <c r="C678" s="38"/>
      <c r="D678" s="37"/>
      <c r="E678" s="37"/>
      <c r="F678" s="37"/>
      <c r="G678" s="37" t="str">
        <f>IF(F678="","",INDEX(站位样品信息!$B$3:INDEX(站位样品信息!$B:$B,COUNTA(站位样品信息!$B:$B)+1),MATCH($F678,站位样品信息!$A$3:INDEX(站位样品信息!$A:$A,COUNTA(站位样品信息!$A:$A)+1),),))</f>
        <v/>
      </c>
      <c r="H678" s="55" t="str">
        <f>IF(OR(A678&lt;&gt;"",B678&lt;&gt;"",C678&lt;&gt;""),IF($C678&lt;&gt;0,INDEX(生物种群!$A$3:INDEX(生物种群!$A:$A,COUNTA(生物种群!$A:$A)),MATCH($C678,生物种群!$F$3:INDEX(生物种群!$F:$F,COUNTA(生物种群!$F:$F)),),),IF($A678&lt;&gt;0,INDEX(生物种群!$A$3:INDEX(生物种群!$A:$A,COUNTA(生物种群!$A:$A)),MATCH($A678,生物种群!$C$3:INDEX(生物种群!$C:$C,COUNTA(生物种群!$C:$C)),),),INDEX(生物种群!$A$3:INDEX(生物种群!$A:$A,COUNTA(生物种群!$A:$A)),MATCH($B678,生物种群!$D$3:INDEX(生物种群!$D:$D,COUNTA(生物种群!$D:$D)),),))),"")</f>
        <v/>
      </c>
      <c r="I678" s="56" t="str">
        <f>IF(H678="","",INDEX(生物种群!$B$3:INDEX(生物种群!$B:$B,COUNTA(生物种群!$B:$B)),MATCH($H678,生物种群!$A$3:INDEX(生物种群!$A:$A,COUNTA(生物种群!$A:$A)),),))</f>
        <v/>
      </c>
      <c r="J678" s="55" t="str">
        <f>IF(H678="","",INDEX(生物种群!$I$3:INDEX(生物种群!$I:$I,COUNTA(生物种群!$I:$I)),MATCH($H678,生物种群!$A$3:INDEX(生物种群!$A:$A,COUNTA(生物种群!$A:$A)),),))</f>
        <v/>
      </c>
      <c r="K678" s="55" t="str">
        <f>IF(H678="","",INDEX(生物种群!$E$3:INDEX(生物种群!$E:$E,COUNTA(生物种群!$E:$E)),MATCH($H678,生物种群!$A$3:INDEX(生物种群!$A:$A,COUNTA(生物种群!$A:$A)),),))</f>
        <v/>
      </c>
      <c r="L678" s="46" t="str">
        <f t="shared" si="36"/>
        <v/>
      </c>
      <c r="M678" s="47" t="str">
        <f>IF(L678="","",ROUND((L678)/VLOOKUP($F678,IF({1,0},站位样品信息!$A$3:INDEX(站位样品信息!$A:$A,COUNTA(站位样品信息!$A:$A)+1),站位样品信息!$H$3:INDEX(站位样品信息!$H:$H,COUNTA(站位样品信息!$H:$H)+1)),2,0),2))</f>
        <v/>
      </c>
      <c r="O678" s="49"/>
      <c r="P678" s="53" t="str">
        <f t="shared" si="34"/>
        <v/>
      </c>
      <c r="Q678" s="53" t="str">
        <f t="shared" si="35"/>
        <v/>
      </c>
    </row>
    <row r="679" spans="1:17" ht="19.5" customHeight="1">
      <c r="A679" s="38"/>
      <c r="B679" s="38"/>
      <c r="C679" s="38"/>
      <c r="D679" s="37"/>
      <c r="E679" s="37"/>
      <c r="F679" s="37"/>
      <c r="G679" s="37" t="str">
        <f>IF(F679="","",INDEX(站位样品信息!$B$3:INDEX(站位样品信息!$B:$B,COUNTA(站位样品信息!$B:$B)+1),MATCH($F679,站位样品信息!$A$3:INDEX(站位样品信息!$A:$A,COUNTA(站位样品信息!$A:$A)+1),),))</f>
        <v/>
      </c>
      <c r="H679" s="55" t="str">
        <f>IF(OR(A679&lt;&gt;"",B679&lt;&gt;"",C679&lt;&gt;""),IF($C679&lt;&gt;0,INDEX(生物种群!$A$3:INDEX(生物种群!$A:$A,COUNTA(生物种群!$A:$A)),MATCH($C679,生物种群!$F$3:INDEX(生物种群!$F:$F,COUNTA(生物种群!$F:$F)),),),IF($A679&lt;&gt;0,INDEX(生物种群!$A$3:INDEX(生物种群!$A:$A,COUNTA(生物种群!$A:$A)),MATCH($A679,生物种群!$C$3:INDEX(生物种群!$C:$C,COUNTA(生物种群!$C:$C)),),),INDEX(生物种群!$A$3:INDEX(生物种群!$A:$A,COUNTA(生物种群!$A:$A)),MATCH($B679,生物种群!$D$3:INDEX(生物种群!$D:$D,COUNTA(生物种群!$D:$D)),),))),"")</f>
        <v/>
      </c>
      <c r="I679" s="56" t="str">
        <f>IF(H679="","",INDEX(生物种群!$B$3:INDEX(生物种群!$B:$B,COUNTA(生物种群!$B:$B)),MATCH($H679,生物种群!$A$3:INDEX(生物种群!$A:$A,COUNTA(生物种群!$A:$A)),),))</f>
        <v/>
      </c>
      <c r="J679" s="55" t="str">
        <f>IF(H679="","",INDEX(生物种群!$I$3:INDEX(生物种群!$I:$I,COUNTA(生物种群!$I:$I)),MATCH($H679,生物种群!$A$3:INDEX(生物种群!$A:$A,COUNTA(生物种群!$A:$A)),),))</f>
        <v/>
      </c>
      <c r="K679" s="55" t="str">
        <f>IF(H679="","",INDEX(生物种群!$E$3:INDEX(生物种群!$E:$E,COUNTA(生物种群!$E:$E)),MATCH($H679,生物种群!$A$3:INDEX(生物种群!$A:$A,COUNTA(生物种群!$A:$A)),),))</f>
        <v/>
      </c>
      <c r="L679" s="46" t="str">
        <f t="shared" si="36"/>
        <v/>
      </c>
      <c r="M679" s="47" t="str">
        <f>IF(L679="","",ROUND((L679)/VLOOKUP($F679,IF({1,0},站位样品信息!$A$3:INDEX(站位样品信息!$A:$A,COUNTA(站位样品信息!$A:$A)+1),站位样品信息!$H$3:INDEX(站位样品信息!$H:$H,COUNTA(站位样品信息!$H:$H)+1)),2,0),2))</f>
        <v/>
      </c>
      <c r="O679" s="49"/>
      <c r="P679" s="53" t="str">
        <f t="shared" si="34"/>
        <v/>
      </c>
      <c r="Q679" s="53" t="str">
        <f t="shared" si="35"/>
        <v/>
      </c>
    </row>
    <row r="680" spans="1:17" ht="19.5" customHeight="1">
      <c r="A680" s="38"/>
      <c r="B680" s="38"/>
      <c r="C680" s="38"/>
      <c r="D680" s="37"/>
      <c r="E680" s="37"/>
      <c r="F680" s="37"/>
      <c r="G680" s="37" t="str">
        <f>IF(F680="","",INDEX(站位样品信息!$B$3:INDEX(站位样品信息!$B:$B,COUNTA(站位样品信息!$B:$B)+1),MATCH($F680,站位样品信息!$A$3:INDEX(站位样品信息!$A:$A,COUNTA(站位样品信息!$A:$A)+1),),))</f>
        <v/>
      </c>
      <c r="H680" s="55" t="str">
        <f>IF(OR(A680&lt;&gt;"",B680&lt;&gt;"",C680&lt;&gt;""),IF($C680&lt;&gt;0,INDEX(生物种群!$A$3:INDEX(生物种群!$A:$A,COUNTA(生物种群!$A:$A)),MATCH($C680,生物种群!$F$3:INDEX(生物种群!$F:$F,COUNTA(生物种群!$F:$F)),),),IF($A680&lt;&gt;0,INDEX(生物种群!$A$3:INDEX(生物种群!$A:$A,COUNTA(生物种群!$A:$A)),MATCH($A680,生物种群!$C$3:INDEX(生物种群!$C:$C,COUNTA(生物种群!$C:$C)),),),INDEX(生物种群!$A$3:INDEX(生物种群!$A:$A,COUNTA(生物种群!$A:$A)),MATCH($B680,生物种群!$D$3:INDEX(生物种群!$D:$D,COUNTA(生物种群!$D:$D)),),))),"")</f>
        <v/>
      </c>
      <c r="I680" s="56" t="str">
        <f>IF(H680="","",INDEX(生物种群!$B$3:INDEX(生物种群!$B:$B,COUNTA(生物种群!$B:$B)),MATCH($H680,生物种群!$A$3:INDEX(生物种群!$A:$A,COUNTA(生物种群!$A:$A)),),))</f>
        <v/>
      </c>
      <c r="J680" s="55" t="str">
        <f>IF(H680="","",INDEX(生物种群!$I$3:INDEX(生物种群!$I:$I,COUNTA(生物种群!$I:$I)),MATCH($H680,生物种群!$A$3:INDEX(生物种群!$A:$A,COUNTA(生物种群!$A:$A)),),))</f>
        <v/>
      </c>
      <c r="K680" s="55" t="str">
        <f>IF(H680="","",INDEX(生物种群!$E$3:INDEX(生物种群!$E:$E,COUNTA(生物种群!$E:$E)),MATCH($H680,生物种群!$A$3:INDEX(生物种群!$A:$A,COUNTA(生物种群!$A:$A)),),))</f>
        <v/>
      </c>
      <c r="L680" s="46" t="str">
        <f t="shared" si="36"/>
        <v/>
      </c>
      <c r="M680" s="47" t="str">
        <f>IF(L680="","",ROUND((L680)/VLOOKUP($F680,IF({1,0},站位样品信息!$A$3:INDEX(站位样品信息!$A:$A,COUNTA(站位样品信息!$A:$A)+1),站位样品信息!$H$3:INDEX(站位样品信息!$H:$H,COUNTA(站位样品信息!$H:$H)+1)),2,0),2))</f>
        <v/>
      </c>
      <c r="O680" s="49"/>
      <c r="P680" s="53" t="str">
        <f t="shared" si="34"/>
        <v/>
      </c>
      <c r="Q680" s="53" t="str">
        <f t="shared" si="35"/>
        <v/>
      </c>
    </row>
    <row r="681" spans="1:17" ht="19.5" customHeight="1">
      <c r="A681" s="38"/>
      <c r="B681" s="38"/>
      <c r="C681" s="38"/>
      <c r="D681" s="37"/>
      <c r="E681" s="37"/>
      <c r="F681" s="37"/>
      <c r="G681" s="37" t="str">
        <f>IF(F681="","",INDEX(站位样品信息!$B$3:INDEX(站位样品信息!$B:$B,COUNTA(站位样品信息!$B:$B)+1),MATCH($F681,站位样品信息!$A$3:INDEX(站位样品信息!$A:$A,COUNTA(站位样品信息!$A:$A)+1),),))</f>
        <v/>
      </c>
      <c r="H681" s="55" t="str">
        <f>IF(OR(A681&lt;&gt;"",B681&lt;&gt;"",C681&lt;&gt;""),IF($C681&lt;&gt;0,INDEX(生物种群!$A$3:INDEX(生物种群!$A:$A,COUNTA(生物种群!$A:$A)),MATCH($C681,生物种群!$F$3:INDEX(生物种群!$F:$F,COUNTA(生物种群!$F:$F)),),),IF($A681&lt;&gt;0,INDEX(生物种群!$A$3:INDEX(生物种群!$A:$A,COUNTA(生物种群!$A:$A)),MATCH($A681,生物种群!$C$3:INDEX(生物种群!$C:$C,COUNTA(生物种群!$C:$C)),),),INDEX(生物种群!$A$3:INDEX(生物种群!$A:$A,COUNTA(生物种群!$A:$A)),MATCH($B681,生物种群!$D$3:INDEX(生物种群!$D:$D,COUNTA(生物种群!$D:$D)),),))),"")</f>
        <v/>
      </c>
      <c r="I681" s="56" t="str">
        <f>IF(H681="","",INDEX(生物种群!$B$3:INDEX(生物种群!$B:$B,COUNTA(生物种群!$B:$B)),MATCH($H681,生物种群!$A$3:INDEX(生物种群!$A:$A,COUNTA(生物种群!$A:$A)),),))</f>
        <v/>
      </c>
      <c r="J681" s="55" t="str">
        <f>IF(H681="","",INDEX(生物种群!$I$3:INDEX(生物种群!$I:$I,COUNTA(生物种群!$I:$I)),MATCH($H681,生物种群!$A$3:INDEX(生物种群!$A:$A,COUNTA(生物种群!$A:$A)),),))</f>
        <v/>
      </c>
      <c r="K681" s="55" t="str">
        <f>IF(H681="","",INDEX(生物种群!$E$3:INDEX(生物种群!$E:$E,COUNTA(生物种群!$E:$E)),MATCH($H681,生物种群!$A$3:INDEX(生物种群!$A:$A,COUNTA(生物种群!$A:$A)),),))</f>
        <v/>
      </c>
      <c r="L681" s="46" t="str">
        <f t="shared" si="36"/>
        <v/>
      </c>
      <c r="M681" s="47" t="str">
        <f>IF(L681="","",ROUND((L681)/VLOOKUP($F681,IF({1,0},站位样品信息!$A$3:INDEX(站位样品信息!$A:$A,COUNTA(站位样品信息!$A:$A)+1),站位样品信息!$H$3:INDEX(站位样品信息!$H:$H,COUNTA(站位样品信息!$H:$H)+1)),2,0),2))</f>
        <v/>
      </c>
      <c r="O681" s="49"/>
      <c r="P681" s="53" t="str">
        <f t="shared" si="34"/>
        <v/>
      </c>
      <c r="Q681" s="53" t="str">
        <f t="shared" si="35"/>
        <v/>
      </c>
    </row>
    <row r="682" spans="1:17" ht="19.5" customHeight="1">
      <c r="A682" s="38"/>
      <c r="B682" s="38"/>
      <c r="C682" s="38"/>
      <c r="D682" s="37"/>
      <c r="E682" s="37"/>
      <c r="F682" s="37"/>
      <c r="G682" s="37" t="str">
        <f>IF(F682="","",INDEX(站位样品信息!$B$3:INDEX(站位样品信息!$B:$B,COUNTA(站位样品信息!$B:$B)+1),MATCH($F682,站位样品信息!$A$3:INDEX(站位样品信息!$A:$A,COUNTA(站位样品信息!$A:$A)+1),),))</f>
        <v/>
      </c>
      <c r="H682" s="55" t="str">
        <f>IF(OR(A682&lt;&gt;"",B682&lt;&gt;"",C682&lt;&gt;""),IF($C682&lt;&gt;0,INDEX(生物种群!$A$3:INDEX(生物种群!$A:$A,COUNTA(生物种群!$A:$A)),MATCH($C682,生物种群!$F$3:INDEX(生物种群!$F:$F,COUNTA(生物种群!$F:$F)),),),IF($A682&lt;&gt;0,INDEX(生物种群!$A$3:INDEX(生物种群!$A:$A,COUNTA(生物种群!$A:$A)),MATCH($A682,生物种群!$C$3:INDEX(生物种群!$C:$C,COUNTA(生物种群!$C:$C)),),),INDEX(生物种群!$A$3:INDEX(生物种群!$A:$A,COUNTA(生物种群!$A:$A)),MATCH($B682,生物种群!$D$3:INDEX(生物种群!$D:$D,COUNTA(生物种群!$D:$D)),),))),"")</f>
        <v/>
      </c>
      <c r="I682" s="56" t="str">
        <f>IF(H682="","",INDEX(生物种群!$B$3:INDEX(生物种群!$B:$B,COUNTA(生物种群!$B:$B)),MATCH($H682,生物种群!$A$3:INDEX(生物种群!$A:$A,COUNTA(生物种群!$A:$A)),),))</f>
        <v/>
      </c>
      <c r="J682" s="55" t="str">
        <f>IF(H682="","",INDEX(生物种群!$I$3:INDEX(生物种群!$I:$I,COUNTA(生物种群!$I:$I)),MATCH($H682,生物种群!$A$3:INDEX(生物种群!$A:$A,COUNTA(生物种群!$A:$A)),),))</f>
        <v/>
      </c>
      <c r="K682" s="55" t="str">
        <f>IF(H682="","",INDEX(生物种群!$E$3:INDEX(生物种群!$E:$E,COUNTA(生物种群!$E:$E)),MATCH($H682,生物种群!$A$3:INDEX(生物种群!$A:$A,COUNTA(生物种群!$A:$A)),),))</f>
        <v/>
      </c>
      <c r="L682" s="46" t="str">
        <f t="shared" si="36"/>
        <v/>
      </c>
      <c r="M682" s="47" t="str">
        <f>IF(L682="","",ROUND((L682)/VLOOKUP($F682,IF({1,0},站位样品信息!$A$3:INDEX(站位样品信息!$A:$A,COUNTA(站位样品信息!$A:$A)+1),站位样品信息!$H$3:INDEX(站位样品信息!$H:$H,COUNTA(站位样品信息!$H:$H)+1)),2,0),2))</f>
        <v/>
      </c>
      <c r="O682" s="49"/>
      <c r="P682" s="53" t="str">
        <f t="shared" si="34"/>
        <v/>
      </c>
      <c r="Q682" s="53" t="str">
        <f t="shared" si="35"/>
        <v/>
      </c>
    </row>
    <row r="683" spans="1:17" ht="19.5" customHeight="1">
      <c r="A683" s="38"/>
      <c r="B683" s="38"/>
      <c r="C683" s="38"/>
      <c r="D683" s="37"/>
      <c r="E683" s="37"/>
      <c r="F683" s="37"/>
      <c r="G683" s="37" t="str">
        <f>IF(F683="","",INDEX(站位样品信息!$B$3:INDEX(站位样品信息!$B:$B,COUNTA(站位样品信息!$B:$B)+1),MATCH($F683,站位样品信息!$A$3:INDEX(站位样品信息!$A:$A,COUNTA(站位样品信息!$A:$A)+1),),))</f>
        <v/>
      </c>
      <c r="H683" s="55" t="str">
        <f>IF(OR(A683&lt;&gt;"",B683&lt;&gt;"",C683&lt;&gt;""),IF($C683&lt;&gt;0,INDEX(生物种群!$A$3:INDEX(生物种群!$A:$A,COUNTA(生物种群!$A:$A)),MATCH($C683,生物种群!$F$3:INDEX(生物种群!$F:$F,COUNTA(生物种群!$F:$F)),),),IF($A683&lt;&gt;0,INDEX(生物种群!$A$3:INDEX(生物种群!$A:$A,COUNTA(生物种群!$A:$A)),MATCH($A683,生物种群!$C$3:INDEX(生物种群!$C:$C,COUNTA(生物种群!$C:$C)),),),INDEX(生物种群!$A$3:INDEX(生物种群!$A:$A,COUNTA(生物种群!$A:$A)),MATCH($B683,生物种群!$D$3:INDEX(生物种群!$D:$D,COUNTA(生物种群!$D:$D)),),))),"")</f>
        <v/>
      </c>
      <c r="I683" s="56" t="str">
        <f>IF(H683="","",INDEX(生物种群!$B$3:INDEX(生物种群!$B:$B,COUNTA(生物种群!$B:$B)),MATCH($H683,生物种群!$A$3:INDEX(生物种群!$A:$A,COUNTA(生物种群!$A:$A)),),))</f>
        <v/>
      </c>
      <c r="J683" s="55" t="str">
        <f>IF(H683="","",INDEX(生物种群!$I$3:INDEX(生物种群!$I:$I,COUNTA(生物种群!$I:$I)),MATCH($H683,生物种群!$A$3:INDEX(生物种群!$A:$A,COUNTA(生物种群!$A:$A)),),))</f>
        <v/>
      </c>
      <c r="K683" s="55" t="str">
        <f>IF(H683="","",INDEX(生物种群!$E$3:INDEX(生物种群!$E:$E,COUNTA(生物种群!$E:$E)),MATCH($H683,生物种群!$A$3:INDEX(生物种群!$A:$A,COUNTA(生物种群!$A:$A)),),))</f>
        <v/>
      </c>
      <c r="L683" s="46" t="str">
        <f t="shared" si="36"/>
        <v/>
      </c>
      <c r="M683" s="47" t="str">
        <f>IF(L683="","",ROUND((L683)/VLOOKUP($F683,IF({1,0},站位样品信息!$A$3:INDEX(站位样品信息!$A:$A,COUNTA(站位样品信息!$A:$A)+1),站位样品信息!$H$3:INDEX(站位样品信息!$H:$H,COUNTA(站位样品信息!$H:$H)+1)),2,0),2))</f>
        <v/>
      </c>
      <c r="O683" s="49"/>
      <c r="P683" s="53" t="str">
        <f t="shared" si="34"/>
        <v/>
      </c>
      <c r="Q683" s="53" t="str">
        <f t="shared" si="35"/>
        <v/>
      </c>
    </row>
    <row r="684" spans="1:17" ht="19.5" customHeight="1">
      <c r="A684" s="38"/>
      <c r="B684" s="38"/>
      <c r="C684" s="38"/>
      <c r="D684" s="37"/>
      <c r="E684" s="37"/>
      <c r="F684" s="37"/>
      <c r="G684" s="37" t="str">
        <f>IF(F684="","",INDEX(站位样品信息!$B$3:INDEX(站位样品信息!$B:$B,COUNTA(站位样品信息!$B:$B)+1),MATCH($F684,站位样品信息!$A$3:INDEX(站位样品信息!$A:$A,COUNTA(站位样品信息!$A:$A)+1),),))</f>
        <v/>
      </c>
      <c r="H684" s="55" t="str">
        <f>IF(OR(A684&lt;&gt;"",B684&lt;&gt;"",C684&lt;&gt;""),IF($C684&lt;&gt;0,INDEX(生物种群!$A$3:INDEX(生物种群!$A:$A,COUNTA(生物种群!$A:$A)),MATCH($C684,生物种群!$F$3:INDEX(生物种群!$F:$F,COUNTA(生物种群!$F:$F)),),),IF($A684&lt;&gt;0,INDEX(生物种群!$A$3:INDEX(生物种群!$A:$A,COUNTA(生物种群!$A:$A)),MATCH($A684,生物种群!$C$3:INDEX(生物种群!$C:$C,COUNTA(生物种群!$C:$C)),),),INDEX(生物种群!$A$3:INDEX(生物种群!$A:$A,COUNTA(生物种群!$A:$A)),MATCH($B684,生物种群!$D$3:INDEX(生物种群!$D:$D,COUNTA(生物种群!$D:$D)),),))),"")</f>
        <v/>
      </c>
      <c r="I684" s="56" t="str">
        <f>IF(H684="","",INDEX(生物种群!$B$3:INDEX(生物种群!$B:$B,COUNTA(生物种群!$B:$B)),MATCH($H684,生物种群!$A$3:INDEX(生物种群!$A:$A,COUNTA(生物种群!$A:$A)),),))</f>
        <v/>
      </c>
      <c r="J684" s="55" t="str">
        <f>IF(H684="","",INDEX(生物种群!$I$3:INDEX(生物种群!$I:$I,COUNTA(生物种群!$I:$I)),MATCH($H684,生物种群!$A$3:INDEX(生物种群!$A:$A,COUNTA(生物种群!$A:$A)),),))</f>
        <v/>
      </c>
      <c r="K684" s="55" t="str">
        <f>IF(H684="","",INDEX(生物种群!$E$3:INDEX(生物种群!$E:$E,COUNTA(生物种群!$E:$E)),MATCH($H684,生物种群!$A$3:INDEX(生物种群!$A:$A,COUNTA(生物种群!$A:$A)),),))</f>
        <v/>
      </c>
      <c r="L684" s="46" t="str">
        <f t="shared" si="36"/>
        <v/>
      </c>
      <c r="M684" s="47" t="str">
        <f>IF(L684="","",ROUND((L684)/VLOOKUP($F684,IF({1,0},站位样品信息!$A$3:INDEX(站位样品信息!$A:$A,COUNTA(站位样品信息!$A:$A)+1),站位样品信息!$H$3:INDEX(站位样品信息!$H:$H,COUNTA(站位样品信息!$H:$H)+1)),2,0),2))</f>
        <v/>
      </c>
      <c r="O684" s="49"/>
      <c r="P684" s="53" t="str">
        <f t="shared" si="34"/>
        <v/>
      </c>
      <c r="Q684" s="53" t="str">
        <f t="shared" si="35"/>
        <v/>
      </c>
    </row>
    <row r="685" spans="1:17" ht="19.5" customHeight="1">
      <c r="A685" s="38"/>
      <c r="B685" s="38"/>
      <c r="C685" s="38"/>
      <c r="D685" s="37"/>
      <c r="E685" s="37"/>
      <c r="F685" s="37"/>
      <c r="G685" s="37" t="str">
        <f>IF(F685="","",INDEX(站位样品信息!$B$3:INDEX(站位样品信息!$B:$B,COUNTA(站位样品信息!$B:$B)+1),MATCH($F685,站位样品信息!$A$3:INDEX(站位样品信息!$A:$A,COUNTA(站位样品信息!$A:$A)+1),),))</f>
        <v/>
      </c>
      <c r="H685" s="55" t="str">
        <f>IF(OR(A685&lt;&gt;"",B685&lt;&gt;"",C685&lt;&gt;""),IF($C685&lt;&gt;0,INDEX(生物种群!$A$3:INDEX(生物种群!$A:$A,COUNTA(生物种群!$A:$A)),MATCH($C685,生物种群!$F$3:INDEX(生物种群!$F:$F,COUNTA(生物种群!$F:$F)),),),IF($A685&lt;&gt;0,INDEX(生物种群!$A$3:INDEX(生物种群!$A:$A,COUNTA(生物种群!$A:$A)),MATCH($A685,生物种群!$C$3:INDEX(生物种群!$C:$C,COUNTA(生物种群!$C:$C)),),),INDEX(生物种群!$A$3:INDEX(生物种群!$A:$A,COUNTA(生物种群!$A:$A)),MATCH($B685,生物种群!$D$3:INDEX(生物种群!$D:$D,COUNTA(生物种群!$D:$D)),),))),"")</f>
        <v/>
      </c>
      <c r="I685" s="56" t="str">
        <f>IF(H685="","",INDEX(生物种群!$B$3:INDEX(生物种群!$B:$B,COUNTA(生物种群!$B:$B)),MATCH($H685,生物种群!$A$3:INDEX(生物种群!$A:$A,COUNTA(生物种群!$A:$A)),),))</f>
        <v/>
      </c>
      <c r="J685" s="55" t="str">
        <f>IF(H685="","",INDEX(生物种群!$I$3:INDEX(生物种群!$I:$I,COUNTA(生物种群!$I:$I)),MATCH($H685,生物种群!$A$3:INDEX(生物种群!$A:$A,COUNTA(生物种群!$A:$A)),),))</f>
        <v/>
      </c>
      <c r="K685" s="55" t="str">
        <f>IF(H685="","",INDEX(生物种群!$E$3:INDEX(生物种群!$E:$E,COUNTA(生物种群!$E:$E)),MATCH($H685,生物种群!$A$3:INDEX(生物种群!$A:$A,COUNTA(生物种群!$A:$A)),),))</f>
        <v/>
      </c>
      <c r="L685" s="46" t="str">
        <f t="shared" si="36"/>
        <v/>
      </c>
      <c r="M685" s="47" t="str">
        <f>IF(L685="","",ROUND((L685)/VLOOKUP($F685,IF({1,0},站位样品信息!$A$3:INDEX(站位样品信息!$A:$A,COUNTA(站位样品信息!$A:$A)+1),站位样品信息!$H$3:INDEX(站位样品信息!$H:$H,COUNTA(站位样品信息!$H:$H)+1)),2,0),2))</f>
        <v/>
      </c>
      <c r="O685" s="49"/>
      <c r="P685" s="53" t="str">
        <f t="shared" si="34"/>
        <v/>
      </c>
      <c r="Q685" s="53" t="str">
        <f t="shared" si="35"/>
        <v/>
      </c>
    </row>
    <row r="686" spans="1:17" ht="19.5" customHeight="1">
      <c r="A686" s="38"/>
      <c r="B686" s="38"/>
      <c r="C686" s="38"/>
      <c r="D686" s="37"/>
      <c r="E686" s="37"/>
      <c r="F686" s="37"/>
      <c r="G686" s="37" t="str">
        <f>IF(F686="","",INDEX(站位样品信息!$B$3:INDEX(站位样品信息!$B:$B,COUNTA(站位样品信息!$B:$B)+1),MATCH($F686,站位样品信息!$A$3:INDEX(站位样品信息!$A:$A,COUNTA(站位样品信息!$A:$A)+1),),))</f>
        <v/>
      </c>
      <c r="H686" s="55" t="str">
        <f>IF(OR(A686&lt;&gt;"",B686&lt;&gt;"",C686&lt;&gt;""),IF($C686&lt;&gt;0,INDEX(生物种群!$A$3:INDEX(生物种群!$A:$A,COUNTA(生物种群!$A:$A)),MATCH($C686,生物种群!$F$3:INDEX(生物种群!$F:$F,COUNTA(生物种群!$F:$F)),),),IF($A686&lt;&gt;0,INDEX(生物种群!$A$3:INDEX(生物种群!$A:$A,COUNTA(生物种群!$A:$A)),MATCH($A686,生物种群!$C$3:INDEX(生物种群!$C:$C,COUNTA(生物种群!$C:$C)),),),INDEX(生物种群!$A$3:INDEX(生物种群!$A:$A,COUNTA(生物种群!$A:$A)),MATCH($B686,生物种群!$D$3:INDEX(生物种群!$D:$D,COUNTA(生物种群!$D:$D)),),))),"")</f>
        <v/>
      </c>
      <c r="I686" s="56" t="str">
        <f>IF(H686="","",INDEX(生物种群!$B$3:INDEX(生物种群!$B:$B,COUNTA(生物种群!$B:$B)),MATCH($H686,生物种群!$A$3:INDEX(生物种群!$A:$A,COUNTA(生物种群!$A:$A)),),))</f>
        <v/>
      </c>
      <c r="J686" s="55" t="str">
        <f>IF(H686="","",INDEX(生物种群!$I$3:INDEX(生物种群!$I:$I,COUNTA(生物种群!$I:$I)),MATCH($H686,生物种群!$A$3:INDEX(生物种群!$A:$A,COUNTA(生物种群!$A:$A)),),))</f>
        <v/>
      </c>
      <c r="K686" s="55" t="str">
        <f>IF(H686="","",INDEX(生物种群!$E$3:INDEX(生物种群!$E:$E,COUNTA(生物种群!$E:$E)),MATCH($H686,生物种群!$A$3:INDEX(生物种群!$A:$A,COUNTA(生物种群!$A:$A)),),))</f>
        <v/>
      </c>
      <c r="L686" s="46" t="str">
        <f t="shared" si="36"/>
        <v/>
      </c>
      <c r="M686" s="47" t="str">
        <f>IF(L686="","",ROUND((L686)/VLOOKUP($F686,IF({1,0},站位样品信息!$A$3:INDEX(站位样品信息!$A:$A,COUNTA(站位样品信息!$A:$A)+1),站位样品信息!$H$3:INDEX(站位样品信息!$H:$H,COUNTA(站位样品信息!$H:$H)+1)),2,0),2))</f>
        <v/>
      </c>
      <c r="O686" s="49"/>
      <c r="P686" s="53" t="str">
        <f t="shared" si="34"/>
        <v/>
      </c>
      <c r="Q686" s="53" t="str">
        <f t="shared" si="35"/>
        <v/>
      </c>
    </row>
    <row r="687" spans="1:17" ht="19.5" customHeight="1">
      <c r="A687" s="38"/>
      <c r="B687" s="38"/>
      <c r="C687" s="38"/>
      <c r="D687" s="37"/>
      <c r="E687" s="37"/>
      <c r="F687" s="37"/>
      <c r="G687" s="37" t="str">
        <f>IF(F687="","",INDEX(站位样品信息!$B$3:INDEX(站位样品信息!$B:$B,COUNTA(站位样品信息!$B:$B)+1),MATCH($F687,站位样品信息!$A$3:INDEX(站位样品信息!$A:$A,COUNTA(站位样品信息!$A:$A)+1),),))</f>
        <v/>
      </c>
      <c r="H687" s="55" t="str">
        <f>IF(OR(A687&lt;&gt;"",B687&lt;&gt;"",C687&lt;&gt;""),IF($C687&lt;&gt;0,INDEX(生物种群!$A$3:INDEX(生物种群!$A:$A,COUNTA(生物种群!$A:$A)),MATCH($C687,生物种群!$F$3:INDEX(生物种群!$F:$F,COUNTA(生物种群!$F:$F)),),),IF($A687&lt;&gt;0,INDEX(生物种群!$A$3:INDEX(生物种群!$A:$A,COUNTA(生物种群!$A:$A)),MATCH($A687,生物种群!$C$3:INDEX(生物种群!$C:$C,COUNTA(生物种群!$C:$C)),),),INDEX(生物种群!$A$3:INDEX(生物种群!$A:$A,COUNTA(生物种群!$A:$A)),MATCH($B687,生物种群!$D$3:INDEX(生物种群!$D:$D,COUNTA(生物种群!$D:$D)),),))),"")</f>
        <v/>
      </c>
      <c r="I687" s="56" t="str">
        <f>IF(H687="","",INDEX(生物种群!$B$3:INDEX(生物种群!$B:$B,COUNTA(生物种群!$B:$B)),MATCH($H687,生物种群!$A$3:INDEX(生物种群!$A:$A,COUNTA(生物种群!$A:$A)),),))</f>
        <v/>
      </c>
      <c r="J687" s="55" t="str">
        <f>IF(H687="","",INDEX(生物种群!$I$3:INDEX(生物种群!$I:$I,COUNTA(生物种群!$I:$I)),MATCH($H687,生物种群!$A$3:INDEX(生物种群!$A:$A,COUNTA(生物种群!$A:$A)),),))</f>
        <v/>
      </c>
      <c r="K687" s="55" t="str">
        <f>IF(H687="","",INDEX(生物种群!$E$3:INDEX(生物种群!$E:$E,COUNTA(生物种群!$E:$E)),MATCH($H687,生物种群!$A$3:INDEX(生物种群!$A:$A,COUNTA(生物种群!$A:$A)),),))</f>
        <v/>
      </c>
      <c r="L687" s="46" t="str">
        <f t="shared" si="36"/>
        <v/>
      </c>
      <c r="M687" s="47" t="str">
        <f>IF(L687="","",ROUND((L687)/VLOOKUP($F687,IF({1,0},站位样品信息!$A$3:INDEX(站位样品信息!$A:$A,COUNTA(站位样品信息!$A:$A)+1),站位样品信息!$H$3:INDEX(站位样品信息!$H:$H,COUNTA(站位样品信息!$H:$H)+1)),2,0),2))</f>
        <v/>
      </c>
      <c r="O687" s="49"/>
      <c r="P687" s="53" t="str">
        <f t="shared" si="34"/>
        <v/>
      </c>
      <c r="Q687" s="53" t="str">
        <f t="shared" si="35"/>
        <v/>
      </c>
    </row>
    <row r="688" spans="1:17" ht="19.5" customHeight="1">
      <c r="A688" s="38"/>
      <c r="B688" s="38"/>
      <c r="C688" s="38"/>
      <c r="D688" s="37"/>
      <c r="E688" s="37"/>
      <c r="F688" s="37"/>
      <c r="G688" s="37" t="str">
        <f>IF(F688="","",INDEX(站位样品信息!$B$3:INDEX(站位样品信息!$B:$B,COUNTA(站位样品信息!$B:$B)+1),MATCH($F688,站位样品信息!$A$3:INDEX(站位样品信息!$A:$A,COUNTA(站位样品信息!$A:$A)+1),),))</f>
        <v/>
      </c>
      <c r="H688" s="55" t="str">
        <f>IF(OR(A688&lt;&gt;"",B688&lt;&gt;"",C688&lt;&gt;""),IF($C688&lt;&gt;0,INDEX(生物种群!$A$3:INDEX(生物种群!$A:$A,COUNTA(生物种群!$A:$A)),MATCH($C688,生物种群!$F$3:INDEX(生物种群!$F:$F,COUNTA(生物种群!$F:$F)),),),IF($A688&lt;&gt;0,INDEX(生物种群!$A$3:INDEX(生物种群!$A:$A,COUNTA(生物种群!$A:$A)),MATCH($A688,生物种群!$C$3:INDEX(生物种群!$C:$C,COUNTA(生物种群!$C:$C)),),),INDEX(生物种群!$A$3:INDEX(生物种群!$A:$A,COUNTA(生物种群!$A:$A)),MATCH($B688,生物种群!$D$3:INDEX(生物种群!$D:$D,COUNTA(生物种群!$D:$D)),),))),"")</f>
        <v/>
      </c>
      <c r="I688" s="56" t="str">
        <f>IF(H688="","",INDEX(生物种群!$B$3:INDEX(生物种群!$B:$B,COUNTA(生物种群!$B:$B)),MATCH($H688,生物种群!$A$3:INDEX(生物种群!$A:$A,COUNTA(生物种群!$A:$A)),),))</f>
        <v/>
      </c>
      <c r="J688" s="55" t="str">
        <f>IF(H688="","",INDEX(生物种群!$I$3:INDEX(生物种群!$I:$I,COUNTA(生物种群!$I:$I)),MATCH($H688,生物种群!$A$3:INDEX(生物种群!$A:$A,COUNTA(生物种群!$A:$A)),),))</f>
        <v/>
      </c>
      <c r="K688" s="55" t="str">
        <f>IF(H688="","",INDEX(生物种群!$E$3:INDEX(生物种群!$E:$E,COUNTA(生物种群!$E:$E)),MATCH($H688,生物种群!$A$3:INDEX(生物种群!$A:$A,COUNTA(生物种群!$A:$A)),),))</f>
        <v/>
      </c>
      <c r="L688" s="46" t="str">
        <f t="shared" si="36"/>
        <v/>
      </c>
      <c r="M688" s="47" t="str">
        <f>IF(L688="","",ROUND((L688)/VLOOKUP($F688,IF({1,0},站位样品信息!$A$3:INDEX(站位样品信息!$A:$A,COUNTA(站位样品信息!$A:$A)+1),站位样品信息!$H$3:INDEX(站位样品信息!$H:$H,COUNTA(站位样品信息!$H:$H)+1)),2,0),2))</f>
        <v/>
      </c>
      <c r="O688" s="49"/>
      <c r="P688" s="53" t="str">
        <f t="shared" si="34"/>
        <v/>
      </c>
      <c r="Q688" s="53" t="str">
        <f t="shared" si="35"/>
        <v/>
      </c>
    </row>
    <row r="689" spans="1:17" ht="19.5" customHeight="1">
      <c r="A689" s="38"/>
      <c r="B689" s="38"/>
      <c r="C689" s="38"/>
      <c r="D689" s="37"/>
      <c r="E689" s="37"/>
      <c r="F689" s="37"/>
      <c r="G689" s="37" t="str">
        <f>IF(F689="","",INDEX(站位样品信息!$B$3:INDEX(站位样品信息!$B:$B,COUNTA(站位样品信息!$B:$B)+1),MATCH($F689,站位样品信息!$A$3:INDEX(站位样品信息!$A:$A,COUNTA(站位样品信息!$A:$A)+1),),))</f>
        <v/>
      </c>
      <c r="H689" s="55" t="str">
        <f>IF(OR(A689&lt;&gt;"",B689&lt;&gt;"",C689&lt;&gt;""),IF($C689&lt;&gt;0,INDEX(生物种群!$A$3:INDEX(生物种群!$A:$A,COUNTA(生物种群!$A:$A)),MATCH($C689,生物种群!$F$3:INDEX(生物种群!$F:$F,COUNTA(生物种群!$F:$F)),),),IF($A689&lt;&gt;0,INDEX(生物种群!$A$3:INDEX(生物种群!$A:$A,COUNTA(生物种群!$A:$A)),MATCH($A689,生物种群!$C$3:INDEX(生物种群!$C:$C,COUNTA(生物种群!$C:$C)),),),INDEX(生物种群!$A$3:INDEX(生物种群!$A:$A,COUNTA(生物种群!$A:$A)),MATCH($B689,生物种群!$D$3:INDEX(生物种群!$D:$D,COUNTA(生物种群!$D:$D)),),))),"")</f>
        <v/>
      </c>
      <c r="I689" s="56" t="str">
        <f>IF(H689="","",INDEX(生物种群!$B$3:INDEX(生物种群!$B:$B,COUNTA(生物种群!$B:$B)),MATCH($H689,生物种群!$A$3:INDEX(生物种群!$A:$A,COUNTA(生物种群!$A:$A)),),))</f>
        <v/>
      </c>
      <c r="J689" s="55" t="str">
        <f>IF(H689="","",INDEX(生物种群!$I$3:INDEX(生物种群!$I:$I,COUNTA(生物种群!$I:$I)),MATCH($H689,生物种群!$A$3:INDEX(生物种群!$A:$A,COUNTA(生物种群!$A:$A)),),))</f>
        <v/>
      </c>
      <c r="K689" s="55" t="str">
        <f>IF(H689="","",INDEX(生物种群!$E$3:INDEX(生物种群!$E:$E,COUNTA(生物种群!$E:$E)),MATCH($H689,生物种群!$A$3:INDEX(生物种群!$A:$A,COUNTA(生物种群!$A:$A)),),))</f>
        <v/>
      </c>
      <c r="L689" s="46" t="str">
        <f t="shared" si="36"/>
        <v/>
      </c>
      <c r="M689" s="47" t="str">
        <f>IF(L689="","",ROUND((L689)/VLOOKUP($F689,IF({1,0},站位样品信息!$A$3:INDEX(站位样品信息!$A:$A,COUNTA(站位样品信息!$A:$A)+1),站位样品信息!$H$3:INDEX(站位样品信息!$H:$H,COUNTA(站位样品信息!$H:$H)+1)),2,0),2))</f>
        <v/>
      </c>
      <c r="O689" s="49"/>
      <c r="P689" s="53" t="str">
        <f t="shared" si="34"/>
        <v/>
      </c>
      <c r="Q689" s="53" t="str">
        <f t="shared" si="35"/>
        <v/>
      </c>
    </row>
    <row r="690" spans="1:17" ht="19.5" customHeight="1">
      <c r="A690" s="38"/>
      <c r="B690" s="38"/>
      <c r="C690" s="38"/>
      <c r="D690" s="37"/>
      <c r="E690" s="37"/>
      <c r="F690" s="37"/>
      <c r="G690" s="37" t="str">
        <f>IF(F690="","",INDEX(站位样品信息!$B$3:INDEX(站位样品信息!$B:$B,COUNTA(站位样品信息!$B:$B)+1),MATCH($F690,站位样品信息!$A$3:INDEX(站位样品信息!$A:$A,COUNTA(站位样品信息!$A:$A)+1),),))</f>
        <v/>
      </c>
      <c r="H690" s="55" t="str">
        <f>IF(OR(A690&lt;&gt;"",B690&lt;&gt;"",C690&lt;&gt;""),IF($C690&lt;&gt;0,INDEX(生物种群!$A$3:INDEX(生物种群!$A:$A,COUNTA(生物种群!$A:$A)),MATCH($C690,生物种群!$F$3:INDEX(生物种群!$F:$F,COUNTA(生物种群!$F:$F)),),),IF($A690&lt;&gt;0,INDEX(生物种群!$A$3:INDEX(生物种群!$A:$A,COUNTA(生物种群!$A:$A)),MATCH($A690,生物种群!$C$3:INDEX(生物种群!$C:$C,COUNTA(生物种群!$C:$C)),),),INDEX(生物种群!$A$3:INDEX(生物种群!$A:$A,COUNTA(生物种群!$A:$A)),MATCH($B690,生物种群!$D$3:INDEX(生物种群!$D:$D,COUNTA(生物种群!$D:$D)),),))),"")</f>
        <v/>
      </c>
      <c r="I690" s="56" t="str">
        <f>IF(H690="","",INDEX(生物种群!$B$3:INDEX(生物种群!$B:$B,COUNTA(生物种群!$B:$B)),MATCH($H690,生物种群!$A$3:INDEX(生物种群!$A:$A,COUNTA(生物种群!$A:$A)),),))</f>
        <v/>
      </c>
      <c r="J690" s="55" t="str">
        <f>IF(H690="","",INDEX(生物种群!$I$3:INDEX(生物种群!$I:$I,COUNTA(生物种群!$I:$I)),MATCH($H690,生物种群!$A$3:INDEX(生物种群!$A:$A,COUNTA(生物种群!$A:$A)),),))</f>
        <v/>
      </c>
      <c r="K690" s="55" t="str">
        <f>IF(H690="","",INDEX(生物种群!$E$3:INDEX(生物种群!$E:$E,COUNTA(生物种群!$E:$E)),MATCH($H690,生物种群!$A$3:INDEX(生物种群!$A:$A,COUNTA(生物种群!$A:$A)),),))</f>
        <v/>
      </c>
      <c r="L690" s="46" t="str">
        <f t="shared" si="36"/>
        <v/>
      </c>
      <c r="M690" s="47" t="str">
        <f>IF(L690="","",ROUND((L690)/VLOOKUP($F690,IF({1,0},站位样品信息!$A$3:INDEX(站位样品信息!$A:$A,COUNTA(站位样品信息!$A:$A)+1),站位样品信息!$H$3:INDEX(站位样品信息!$H:$H,COUNTA(站位样品信息!$H:$H)+1)),2,0),2))</f>
        <v/>
      </c>
      <c r="O690" s="49"/>
      <c r="P690" s="53" t="str">
        <f t="shared" si="34"/>
        <v/>
      </c>
      <c r="Q690" s="53" t="str">
        <f t="shared" si="35"/>
        <v/>
      </c>
    </row>
    <row r="691" spans="1:17" ht="19.5" customHeight="1">
      <c r="A691" s="38"/>
      <c r="B691" s="38"/>
      <c r="C691" s="38"/>
      <c r="D691" s="37"/>
      <c r="E691" s="37"/>
      <c r="F691" s="37"/>
      <c r="G691" s="37" t="str">
        <f>IF(F691="","",INDEX(站位样品信息!$B$3:INDEX(站位样品信息!$B:$B,COUNTA(站位样品信息!$B:$B)+1),MATCH($F691,站位样品信息!$A$3:INDEX(站位样品信息!$A:$A,COUNTA(站位样品信息!$A:$A)+1),),))</f>
        <v/>
      </c>
      <c r="H691" s="55" t="str">
        <f>IF(OR(A691&lt;&gt;"",B691&lt;&gt;"",C691&lt;&gt;""),IF($C691&lt;&gt;0,INDEX(生物种群!$A$3:INDEX(生物种群!$A:$A,COUNTA(生物种群!$A:$A)),MATCH($C691,生物种群!$F$3:INDEX(生物种群!$F:$F,COUNTA(生物种群!$F:$F)),),),IF($A691&lt;&gt;0,INDEX(生物种群!$A$3:INDEX(生物种群!$A:$A,COUNTA(生物种群!$A:$A)),MATCH($A691,生物种群!$C$3:INDEX(生物种群!$C:$C,COUNTA(生物种群!$C:$C)),),),INDEX(生物种群!$A$3:INDEX(生物种群!$A:$A,COUNTA(生物种群!$A:$A)),MATCH($B691,生物种群!$D$3:INDEX(生物种群!$D:$D,COUNTA(生物种群!$D:$D)),),))),"")</f>
        <v/>
      </c>
      <c r="I691" s="56" t="str">
        <f>IF(H691="","",INDEX(生物种群!$B$3:INDEX(生物种群!$B:$B,COUNTA(生物种群!$B:$B)),MATCH($H691,生物种群!$A$3:INDEX(生物种群!$A:$A,COUNTA(生物种群!$A:$A)),),))</f>
        <v/>
      </c>
      <c r="J691" s="55" t="str">
        <f>IF(H691="","",INDEX(生物种群!$I$3:INDEX(生物种群!$I:$I,COUNTA(生物种群!$I:$I)),MATCH($H691,生物种群!$A$3:INDEX(生物种群!$A:$A,COUNTA(生物种群!$A:$A)),),))</f>
        <v/>
      </c>
      <c r="K691" s="55" t="str">
        <f>IF(H691="","",INDEX(生物种群!$E$3:INDEX(生物种群!$E:$E,COUNTA(生物种群!$E:$E)),MATCH($H691,生物种群!$A$3:INDEX(生物种群!$A:$A,COUNTA(生物种群!$A:$A)),),))</f>
        <v/>
      </c>
      <c r="L691" s="46" t="str">
        <f t="shared" si="36"/>
        <v/>
      </c>
      <c r="M691" s="47" t="str">
        <f>IF(L691="","",ROUND((L691)/VLOOKUP($F691,IF({1,0},站位样品信息!$A$3:INDEX(站位样品信息!$A:$A,COUNTA(站位样品信息!$A:$A)+1),站位样品信息!$H$3:INDEX(站位样品信息!$H:$H,COUNTA(站位样品信息!$H:$H)+1)),2,0),2))</f>
        <v/>
      </c>
      <c r="O691" s="49"/>
      <c r="P691" s="53" t="str">
        <f t="shared" si="34"/>
        <v/>
      </c>
      <c r="Q691" s="53" t="str">
        <f t="shared" si="35"/>
        <v/>
      </c>
    </row>
    <row r="692" spans="1:17" ht="19.5" customHeight="1">
      <c r="A692" s="38"/>
      <c r="B692" s="38"/>
      <c r="C692" s="38"/>
      <c r="D692" s="37"/>
      <c r="E692" s="37"/>
      <c r="F692" s="37"/>
      <c r="G692" s="37" t="str">
        <f>IF(F692="","",INDEX(站位样品信息!$B$3:INDEX(站位样品信息!$B:$B,COUNTA(站位样品信息!$B:$B)+1),MATCH($F692,站位样品信息!$A$3:INDEX(站位样品信息!$A:$A,COUNTA(站位样品信息!$A:$A)+1),),))</f>
        <v/>
      </c>
      <c r="H692" s="55" t="str">
        <f>IF(OR(A692&lt;&gt;"",B692&lt;&gt;"",C692&lt;&gt;""),IF($C692&lt;&gt;0,INDEX(生物种群!$A$3:INDEX(生物种群!$A:$A,COUNTA(生物种群!$A:$A)),MATCH($C692,生物种群!$F$3:INDEX(生物种群!$F:$F,COUNTA(生物种群!$F:$F)),),),IF($A692&lt;&gt;0,INDEX(生物种群!$A$3:INDEX(生物种群!$A:$A,COUNTA(生物种群!$A:$A)),MATCH($A692,生物种群!$C$3:INDEX(生物种群!$C:$C,COUNTA(生物种群!$C:$C)),),),INDEX(生物种群!$A$3:INDEX(生物种群!$A:$A,COUNTA(生物种群!$A:$A)),MATCH($B692,生物种群!$D$3:INDEX(生物种群!$D:$D,COUNTA(生物种群!$D:$D)),),))),"")</f>
        <v/>
      </c>
      <c r="I692" s="56" t="str">
        <f>IF(H692="","",INDEX(生物种群!$B$3:INDEX(生物种群!$B:$B,COUNTA(生物种群!$B:$B)),MATCH($H692,生物种群!$A$3:INDEX(生物种群!$A:$A,COUNTA(生物种群!$A:$A)),),))</f>
        <v/>
      </c>
      <c r="J692" s="55" t="str">
        <f>IF(H692="","",INDEX(生物种群!$I$3:INDEX(生物种群!$I:$I,COUNTA(生物种群!$I:$I)),MATCH($H692,生物种群!$A$3:INDEX(生物种群!$A:$A,COUNTA(生物种群!$A:$A)),),))</f>
        <v/>
      </c>
      <c r="K692" s="55" t="str">
        <f>IF(H692="","",INDEX(生物种群!$E$3:INDEX(生物种群!$E:$E,COUNTA(生物种群!$E:$E)),MATCH($H692,生物种群!$A$3:INDEX(生物种群!$A:$A,COUNTA(生物种群!$A:$A)),),))</f>
        <v/>
      </c>
      <c r="L692" s="46" t="str">
        <f t="shared" si="36"/>
        <v/>
      </c>
      <c r="M692" s="47" t="str">
        <f>IF(L692="","",ROUND((L692)/VLOOKUP($F692,IF({1,0},站位样品信息!$A$3:INDEX(站位样品信息!$A:$A,COUNTA(站位样品信息!$A:$A)+1),站位样品信息!$H$3:INDEX(站位样品信息!$H:$H,COUNTA(站位样品信息!$H:$H)+1)),2,0),2))</f>
        <v/>
      </c>
      <c r="O692" s="49"/>
      <c r="P692" s="53" t="str">
        <f t="shared" si="34"/>
        <v/>
      </c>
      <c r="Q692" s="53" t="str">
        <f t="shared" si="35"/>
        <v/>
      </c>
    </row>
    <row r="693" spans="1:17" ht="19.5" customHeight="1">
      <c r="A693" s="38"/>
      <c r="B693" s="38"/>
      <c r="C693" s="38"/>
      <c r="D693" s="37"/>
      <c r="E693" s="37"/>
      <c r="F693" s="37"/>
      <c r="G693" s="37" t="str">
        <f>IF(F693="","",INDEX(站位样品信息!$B$3:INDEX(站位样品信息!$B:$B,COUNTA(站位样品信息!$B:$B)+1),MATCH($F693,站位样品信息!$A$3:INDEX(站位样品信息!$A:$A,COUNTA(站位样品信息!$A:$A)+1),),))</f>
        <v/>
      </c>
      <c r="H693" s="55" t="str">
        <f>IF(OR(A693&lt;&gt;"",B693&lt;&gt;"",C693&lt;&gt;""),IF($C693&lt;&gt;0,INDEX(生物种群!$A$3:INDEX(生物种群!$A:$A,COUNTA(生物种群!$A:$A)),MATCH($C693,生物种群!$F$3:INDEX(生物种群!$F:$F,COUNTA(生物种群!$F:$F)),),),IF($A693&lt;&gt;0,INDEX(生物种群!$A$3:INDEX(生物种群!$A:$A,COUNTA(生物种群!$A:$A)),MATCH($A693,生物种群!$C$3:INDEX(生物种群!$C:$C,COUNTA(生物种群!$C:$C)),),),INDEX(生物种群!$A$3:INDEX(生物种群!$A:$A,COUNTA(生物种群!$A:$A)),MATCH($B693,生物种群!$D$3:INDEX(生物种群!$D:$D,COUNTA(生物种群!$D:$D)),),))),"")</f>
        <v/>
      </c>
      <c r="I693" s="56" t="str">
        <f>IF(H693="","",INDEX(生物种群!$B$3:INDEX(生物种群!$B:$B,COUNTA(生物种群!$B:$B)),MATCH($H693,生物种群!$A$3:INDEX(生物种群!$A:$A,COUNTA(生物种群!$A:$A)),),))</f>
        <v/>
      </c>
      <c r="J693" s="55" t="str">
        <f>IF(H693="","",INDEX(生物种群!$I$3:INDEX(生物种群!$I:$I,COUNTA(生物种群!$I:$I)),MATCH($H693,生物种群!$A$3:INDEX(生物种群!$A:$A,COUNTA(生物种群!$A:$A)),),))</f>
        <v/>
      </c>
      <c r="K693" s="55" t="str">
        <f>IF(H693="","",INDEX(生物种群!$E$3:INDEX(生物种群!$E:$E,COUNTA(生物种群!$E:$E)),MATCH($H693,生物种群!$A$3:INDEX(生物种群!$A:$A,COUNTA(生物种群!$A:$A)),),))</f>
        <v/>
      </c>
      <c r="L693" s="46" t="str">
        <f t="shared" si="36"/>
        <v/>
      </c>
      <c r="M693" s="47" t="str">
        <f>IF(L693="","",ROUND((L693)/VLOOKUP($F693,IF({1,0},站位样品信息!$A$3:INDEX(站位样品信息!$A:$A,COUNTA(站位样品信息!$A:$A)+1),站位样品信息!$H$3:INDEX(站位样品信息!$H:$H,COUNTA(站位样品信息!$H:$H)+1)),2,0),2))</f>
        <v/>
      </c>
      <c r="O693" s="49"/>
      <c r="P693" s="53" t="str">
        <f t="shared" si="34"/>
        <v/>
      </c>
      <c r="Q693" s="53" t="str">
        <f t="shared" si="35"/>
        <v/>
      </c>
    </row>
    <row r="694" spans="1:17" ht="19.5" customHeight="1">
      <c r="A694" s="38"/>
      <c r="B694" s="38"/>
      <c r="C694" s="38"/>
      <c r="D694" s="37"/>
      <c r="E694" s="37"/>
      <c r="F694" s="37"/>
      <c r="G694" s="37" t="str">
        <f>IF(F694="","",INDEX(站位样品信息!$B$3:INDEX(站位样品信息!$B:$B,COUNTA(站位样品信息!$B:$B)+1),MATCH($F694,站位样品信息!$A$3:INDEX(站位样品信息!$A:$A,COUNTA(站位样品信息!$A:$A)+1),),))</f>
        <v/>
      </c>
      <c r="H694" s="55" t="str">
        <f>IF(OR(A694&lt;&gt;"",B694&lt;&gt;"",C694&lt;&gt;""),IF($C694&lt;&gt;0,INDEX(生物种群!$A$3:INDEX(生物种群!$A:$A,COUNTA(生物种群!$A:$A)),MATCH($C694,生物种群!$F$3:INDEX(生物种群!$F:$F,COUNTA(生物种群!$F:$F)),),),IF($A694&lt;&gt;0,INDEX(生物种群!$A$3:INDEX(生物种群!$A:$A,COUNTA(生物种群!$A:$A)),MATCH($A694,生物种群!$C$3:INDEX(生物种群!$C:$C,COUNTA(生物种群!$C:$C)),),),INDEX(生物种群!$A$3:INDEX(生物种群!$A:$A,COUNTA(生物种群!$A:$A)),MATCH($B694,生物种群!$D$3:INDEX(生物种群!$D:$D,COUNTA(生物种群!$D:$D)),),))),"")</f>
        <v/>
      </c>
      <c r="I694" s="56" t="str">
        <f>IF(H694="","",INDEX(生物种群!$B$3:INDEX(生物种群!$B:$B,COUNTA(生物种群!$B:$B)),MATCH($H694,生物种群!$A$3:INDEX(生物种群!$A:$A,COUNTA(生物种群!$A:$A)),),))</f>
        <v/>
      </c>
      <c r="J694" s="55" t="str">
        <f>IF(H694="","",INDEX(生物种群!$I$3:INDEX(生物种群!$I:$I,COUNTA(生物种群!$I:$I)),MATCH($H694,生物种群!$A$3:INDEX(生物种群!$A:$A,COUNTA(生物种群!$A:$A)),),))</f>
        <v/>
      </c>
      <c r="K694" s="55" t="str">
        <f>IF(H694="","",INDEX(生物种群!$E$3:INDEX(生物种群!$E:$E,COUNTA(生物种群!$E:$E)),MATCH($H694,生物种群!$A$3:INDEX(生物种群!$A:$A,COUNTA(生物种群!$A:$A)),),))</f>
        <v/>
      </c>
      <c r="L694" s="46" t="str">
        <f t="shared" si="36"/>
        <v/>
      </c>
      <c r="M694" s="47" t="str">
        <f>IF(L694="","",ROUND((L694)/VLOOKUP($F694,IF({1,0},站位样品信息!$A$3:INDEX(站位样品信息!$A:$A,COUNTA(站位样品信息!$A:$A)+1),站位样品信息!$H$3:INDEX(站位样品信息!$H:$H,COUNTA(站位样品信息!$H:$H)+1)),2,0),2))</f>
        <v/>
      </c>
      <c r="O694" s="49"/>
      <c r="P694" s="53" t="str">
        <f t="shared" si="34"/>
        <v/>
      </c>
      <c r="Q694" s="53" t="str">
        <f t="shared" si="35"/>
        <v/>
      </c>
    </row>
    <row r="695" spans="1:17" ht="19.5" customHeight="1">
      <c r="A695" s="38"/>
      <c r="B695" s="38"/>
      <c r="C695" s="38"/>
      <c r="D695" s="37"/>
      <c r="E695" s="37"/>
      <c r="F695" s="37"/>
      <c r="G695" s="37" t="str">
        <f>IF(F695="","",INDEX(站位样品信息!$B$3:INDEX(站位样品信息!$B:$B,COUNTA(站位样品信息!$B:$B)+1),MATCH($F695,站位样品信息!$A$3:INDEX(站位样品信息!$A:$A,COUNTA(站位样品信息!$A:$A)+1),),))</f>
        <v/>
      </c>
      <c r="H695" s="55" t="str">
        <f>IF(OR(A695&lt;&gt;"",B695&lt;&gt;"",C695&lt;&gt;""),IF($C695&lt;&gt;0,INDEX(生物种群!$A$3:INDEX(生物种群!$A:$A,COUNTA(生物种群!$A:$A)),MATCH($C695,生物种群!$F$3:INDEX(生物种群!$F:$F,COUNTA(生物种群!$F:$F)),),),IF($A695&lt;&gt;0,INDEX(生物种群!$A$3:INDEX(生物种群!$A:$A,COUNTA(生物种群!$A:$A)),MATCH($A695,生物种群!$C$3:INDEX(生物种群!$C:$C,COUNTA(生物种群!$C:$C)),),),INDEX(生物种群!$A$3:INDEX(生物种群!$A:$A,COUNTA(生物种群!$A:$A)),MATCH($B695,生物种群!$D$3:INDEX(生物种群!$D:$D,COUNTA(生物种群!$D:$D)),),))),"")</f>
        <v/>
      </c>
      <c r="I695" s="56" t="str">
        <f>IF(H695="","",INDEX(生物种群!$B$3:INDEX(生物种群!$B:$B,COUNTA(生物种群!$B:$B)),MATCH($H695,生物种群!$A$3:INDEX(生物种群!$A:$A,COUNTA(生物种群!$A:$A)),),))</f>
        <v/>
      </c>
      <c r="J695" s="55" t="str">
        <f>IF(H695="","",INDEX(生物种群!$I$3:INDEX(生物种群!$I:$I,COUNTA(生物种群!$I:$I)),MATCH($H695,生物种群!$A$3:INDEX(生物种群!$A:$A,COUNTA(生物种群!$A:$A)),),))</f>
        <v/>
      </c>
      <c r="K695" s="55" t="str">
        <f>IF(H695="","",INDEX(生物种群!$E$3:INDEX(生物种群!$E:$E,COUNTA(生物种群!$E:$E)),MATCH($H695,生物种群!$A$3:INDEX(生物种群!$A:$A,COUNTA(生物种群!$A:$A)),),))</f>
        <v/>
      </c>
      <c r="L695" s="46" t="str">
        <f t="shared" si="36"/>
        <v/>
      </c>
      <c r="M695" s="47" t="str">
        <f>IF(L695="","",ROUND((L695)/VLOOKUP($F695,IF({1,0},站位样品信息!$A$3:INDEX(站位样品信息!$A:$A,COUNTA(站位样品信息!$A:$A)+1),站位样品信息!$H$3:INDEX(站位样品信息!$H:$H,COUNTA(站位样品信息!$H:$H)+1)),2,0),2))</f>
        <v/>
      </c>
      <c r="O695" s="49"/>
      <c r="P695" s="53" t="str">
        <f t="shared" si="34"/>
        <v/>
      </c>
      <c r="Q695" s="53" t="str">
        <f t="shared" si="35"/>
        <v/>
      </c>
    </row>
    <row r="696" spans="1:17" ht="19.5" customHeight="1">
      <c r="A696" s="38"/>
      <c r="B696" s="38"/>
      <c r="C696" s="38"/>
      <c r="D696" s="37"/>
      <c r="E696" s="37"/>
      <c r="F696" s="37"/>
      <c r="G696" s="37" t="str">
        <f>IF(F696="","",INDEX(站位样品信息!$B$3:INDEX(站位样品信息!$B:$B,COUNTA(站位样品信息!$B:$B)+1),MATCH($F696,站位样品信息!$A$3:INDEX(站位样品信息!$A:$A,COUNTA(站位样品信息!$A:$A)+1),),))</f>
        <v/>
      </c>
      <c r="H696" s="55" t="str">
        <f>IF(OR(A696&lt;&gt;"",B696&lt;&gt;"",C696&lt;&gt;""),IF($C696&lt;&gt;0,INDEX(生物种群!$A$3:INDEX(生物种群!$A:$A,COUNTA(生物种群!$A:$A)),MATCH($C696,生物种群!$F$3:INDEX(生物种群!$F:$F,COUNTA(生物种群!$F:$F)),),),IF($A696&lt;&gt;0,INDEX(生物种群!$A$3:INDEX(生物种群!$A:$A,COUNTA(生物种群!$A:$A)),MATCH($A696,生物种群!$C$3:INDEX(生物种群!$C:$C,COUNTA(生物种群!$C:$C)),),),INDEX(生物种群!$A$3:INDEX(生物种群!$A:$A,COUNTA(生物种群!$A:$A)),MATCH($B696,生物种群!$D$3:INDEX(生物种群!$D:$D,COUNTA(生物种群!$D:$D)),),))),"")</f>
        <v/>
      </c>
      <c r="I696" s="56" t="str">
        <f>IF(H696="","",INDEX(生物种群!$B$3:INDEX(生物种群!$B:$B,COUNTA(生物种群!$B:$B)),MATCH($H696,生物种群!$A$3:INDEX(生物种群!$A:$A,COUNTA(生物种群!$A:$A)),),))</f>
        <v/>
      </c>
      <c r="J696" s="55" t="str">
        <f>IF(H696="","",INDEX(生物种群!$I$3:INDEX(生物种群!$I:$I,COUNTA(生物种群!$I:$I)),MATCH($H696,生物种群!$A$3:INDEX(生物种群!$A:$A,COUNTA(生物种群!$A:$A)),),))</f>
        <v/>
      </c>
      <c r="K696" s="55" t="str">
        <f>IF(H696="","",INDEX(生物种群!$E$3:INDEX(生物种群!$E:$E,COUNTA(生物种群!$E:$E)),MATCH($H696,生物种群!$A$3:INDEX(生物种群!$A:$A,COUNTA(生物种群!$A:$A)),),))</f>
        <v/>
      </c>
      <c r="L696" s="46" t="str">
        <f t="shared" si="36"/>
        <v/>
      </c>
      <c r="M696" s="47" t="str">
        <f>IF(L696="","",ROUND((L696)/VLOOKUP($F696,IF({1,0},站位样品信息!$A$3:INDEX(站位样品信息!$A:$A,COUNTA(站位样品信息!$A:$A)+1),站位样品信息!$H$3:INDEX(站位样品信息!$H:$H,COUNTA(站位样品信息!$H:$H)+1)),2,0),2))</f>
        <v/>
      </c>
      <c r="O696" s="49"/>
      <c r="P696" s="53" t="str">
        <f t="shared" si="34"/>
        <v/>
      </c>
      <c r="Q696" s="53" t="str">
        <f t="shared" si="35"/>
        <v/>
      </c>
    </row>
    <row r="697" spans="1:17" ht="19.5" customHeight="1">
      <c r="A697" s="38"/>
      <c r="B697" s="38"/>
      <c r="C697" s="38"/>
      <c r="D697" s="37"/>
      <c r="E697" s="37"/>
      <c r="F697" s="37"/>
      <c r="G697" s="37" t="str">
        <f>IF(F697="","",INDEX(站位样品信息!$B$3:INDEX(站位样品信息!$B:$B,COUNTA(站位样品信息!$B:$B)+1),MATCH($F697,站位样品信息!$A$3:INDEX(站位样品信息!$A:$A,COUNTA(站位样品信息!$A:$A)+1),),))</f>
        <v/>
      </c>
      <c r="H697" s="55" t="str">
        <f>IF(OR(A697&lt;&gt;"",B697&lt;&gt;"",C697&lt;&gt;""),IF($C697&lt;&gt;0,INDEX(生物种群!$A$3:INDEX(生物种群!$A:$A,COUNTA(生物种群!$A:$A)),MATCH($C697,生物种群!$F$3:INDEX(生物种群!$F:$F,COUNTA(生物种群!$F:$F)),),),IF($A697&lt;&gt;0,INDEX(生物种群!$A$3:INDEX(生物种群!$A:$A,COUNTA(生物种群!$A:$A)),MATCH($A697,生物种群!$C$3:INDEX(生物种群!$C:$C,COUNTA(生物种群!$C:$C)),),),INDEX(生物种群!$A$3:INDEX(生物种群!$A:$A,COUNTA(生物种群!$A:$A)),MATCH($B697,生物种群!$D$3:INDEX(生物种群!$D:$D,COUNTA(生物种群!$D:$D)),),))),"")</f>
        <v/>
      </c>
      <c r="I697" s="56" t="str">
        <f>IF(H697="","",INDEX(生物种群!$B$3:INDEX(生物种群!$B:$B,COUNTA(生物种群!$B:$B)),MATCH($H697,生物种群!$A$3:INDEX(生物种群!$A:$A,COUNTA(生物种群!$A:$A)),),))</f>
        <v/>
      </c>
      <c r="J697" s="55" t="str">
        <f>IF(H697="","",INDEX(生物种群!$I$3:INDEX(生物种群!$I:$I,COUNTA(生物种群!$I:$I)),MATCH($H697,生物种群!$A$3:INDEX(生物种群!$A:$A,COUNTA(生物种群!$A:$A)),),))</f>
        <v/>
      </c>
      <c r="K697" s="55" t="str">
        <f>IF(H697="","",INDEX(生物种群!$E$3:INDEX(生物种群!$E:$E,COUNTA(生物种群!$E:$E)),MATCH($H697,生物种群!$A$3:INDEX(生物种群!$A:$A,COUNTA(生物种群!$A:$A)),),))</f>
        <v/>
      </c>
      <c r="L697" s="46" t="str">
        <f t="shared" si="36"/>
        <v/>
      </c>
      <c r="M697" s="47" t="str">
        <f>IF(L697="","",ROUND((L697)/VLOOKUP($F697,IF({1,0},站位样品信息!$A$3:INDEX(站位样品信息!$A:$A,COUNTA(站位样品信息!$A:$A)+1),站位样品信息!$H$3:INDEX(站位样品信息!$H:$H,COUNTA(站位样品信息!$H:$H)+1)),2,0),2))</f>
        <v/>
      </c>
      <c r="O697" s="49"/>
      <c r="P697" s="53" t="str">
        <f t="shared" si="34"/>
        <v/>
      </c>
      <c r="Q697" s="53" t="str">
        <f t="shared" si="35"/>
        <v/>
      </c>
    </row>
    <row r="698" spans="1:17" ht="19.5" customHeight="1">
      <c r="A698" s="38"/>
      <c r="B698" s="38"/>
      <c r="C698" s="38"/>
      <c r="D698" s="37"/>
      <c r="E698" s="37"/>
      <c r="F698" s="37"/>
      <c r="G698" s="37" t="str">
        <f>IF(F698="","",INDEX(站位样品信息!$B$3:INDEX(站位样品信息!$B:$B,COUNTA(站位样品信息!$B:$B)+1),MATCH($F698,站位样品信息!$A$3:INDEX(站位样品信息!$A:$A,COUNTA(站位样品信息!$A:$A)+1),),))</f>
        <v/>
      </c>
      <c r="H698" s="55" t="str">
        <f>IF(OR(A698&lt;&gt;"",B698&lt;&gt;"",C698&lt;&gt;""),IF($C698&lt;&gt;0,INDEX(生物种群!$A$3:INDEX(生物种群!$A:$A,COUNTA(生物种群!$A:$A)),MATCH($C698,生物种群!$F$3:INDEX(生物种群!$F:$F,COUNTA(生物种群!$F:$F)),),),IF($A698&lt;&gt;0,INDEX(生物种群!$A$3:INDEX(生物种群!$A:$A,COUNTA(生物种群!$A:$A)),MATCH($A698,生物种群!$C$3:INDEX(生物种群!$C:$C,COUNTA(生物种群!$C:$C)),),),INDEX(生物种群!$A$3:INDEX(生物种群!$A:$A,COUNTA(生物种群!$A:$A)),MATCH($B698,生物种群!$D$3:INDEX(生物种群!$D:$D,COUNTA(生物种群!$D:$D)),),))),"")</f>
        <v/>
      </c>
      <c r="I698" s="56" t="str">
        <f>IF(H698="","",INDEX(生物种群!$B$3:INDEX(生物种群!$B:$B,COUNTA(生物种群!$B:$B)),MATCH($H698,生物种群!$A$3:INDEX(生物种群!$A:$A,COUNTA(生物种群!$A:$A)),),))</f>
        <v/>
      </c>
      <c r="J698" s="55" t="str">
        <f>IF(H698="","",INDEX(生物种群!$I$3:INDEX(生物种群!$I:$I,COUNTA(生物种群!$I:$I)),MATCH($H698,生物种群!$A$3:INDEX(生物种群!$A:$A,COUNTA(生物种群!$A:$A)),),))</f>
        <v/>
      </c>
      <c r="K698" s="55" t="str">
        <f>IF(H698="","",INDEX(生物种群!$E$3:INDEX(生物种群!$E:$E,COUNTA(生物种群!$E:$E)),MATCH($H698,生物种群!$A$3:INDEX(生物种群!$A:$A,COUNTA(生物种群!$A:$A)),),))</f>
        <v/>
      </c>
      <c r="L698" s="46" t="str">
        <f t="shared" si="36"/>
        <v/>
      </c>
      <c r="M698" s="47" t="str">
        <f>IF(L698="","",ROUND((L698)/VLOOKUP($F698,IF({1,0},站位样品信息!$A$3:INDEX(站位样品信息!$A:$A,COUNTA(站位样品信息!$A:$A)+1),站位样品信息!$H$3:INDEX(站位样品信息!$H:$H,COUNTA(站位样品信息!$H:$H)+1)),2,0),2))</f>
        <v/>
      </c>
      <c r="O698" s="49"/>
      <c r="P698" s="53" t="str">
        <f t="shared" si="34"/>
        <v/>
      </c>
      <c r="Q698" s="53" t="str">
        <f t="shared" si="35"/>
        <v/>
      </c>
    </row>
    <row r="699" spans="1:17" ht="19.5" customHeight="1">
      <c r="A699" s="38"/>
      <c r="B699" s="38"/>
      <c r="C699" s="38"/>
      <c r="D699" s="37"/>
      <c r="E699" s="37"/>
      <c r="F699" s="37"/>
      <c r="G699" s="37" t="str">
        <f>IF(F699="","",INDEX(站位样品信息!$B$3:INDEX(站位样品信息!$B:$B,COUNTA(站位样品信息!$B:$B)+1),MATCH($F699,站位样品信息!$A$3:INDEX(站位样品信息!$A:$A,COUNTA(站位样品信息!$A:$A)+1),),))</f>
        <v/>
      </c>
      <c r="H699" s="55" t="str">
        <f>IF(OR(A699&lt;&gt;"",B699&lt;&gt;"",C699&lt;&gt;""),IF($C699&lt;&gt;0,INDEX(生物种群!$A$3:INDEX(生物种群!$A:$A,COUNTA(生物种群!$A:$A)),MATCH($C699,生物种群!$F$3:INDEX(生物种群!$F:$F,COUNTA(生物种群!$F:$F)),),),IF($A699&lt;&gt;0,INDEX(生物种群!$A$3:INDEX(生物种群!$A:$A,COUNTA(生物种群!$A:$A)),MATCH($A699,生物种群!$C$3:INDEX(生物种群!$C:$C,COUNTA(生物种群!$C:$C)),),),INDEX(生物种群!$A$3:INDEX(生物种群!$A:$A,COUNTA(生物种群!$A:$A)),MATCH($B699,生物种群!$D$3:INDEX(生物种群!$D:$D,COUNTA(生物种群!$D:$D)),),))),"")</f>
        <v/>
      </c>
      <c r="I699" s="56" t="str">
        <f>IF(H699="","",INDEX(生物种群!$B$3:INDEX(生物种群!$B:$B,COUNTA(生物种群!$B:$B)),MATCH($H699,生物种群!$A$3:INDEX(生物种群!$A:$A,COUNTA(生物种群!$A:$A)),),))</f>
        <v/>
      </c>
      <c r="J699" s="55" t="str">
        <f>IF(H699="","",INDEX(生物种群!$I$3:INDEX(生物种群!$I:$I,COUNTA(生物种群!$I:$I)),MATCH($H699,生物种群!$A$3:INDEX(生物种群!$A:$A,COUNTA(生物种群!$A:$A)),),))</f>
        <v/>
      </c>
      <c r="K699" s="55" t="str">
        <f>IF(H699="","",INDEX(生物种群!$E$3:INDEX(生物种群!$E:$E,COUNTA(生物种群!$E:$E)),MATCH($H699,生物种群!$A$3:INDEX(生物种群!$A:$A,COUNTA(生物种群!$A:$A)),),))</f>
        <v/>
      </c>
      <c r="L699" s="46" t="str">
        <f t="shared" si="36"/>
        <v/>
      </c>
      <c r="M699" s="47" t="str">
        <f>IF(L699="","",ROUND((L699)/VLOOKUP($F699,IF({1,0},站位样品信息!$A$3:INDEX(站位样品信息!$A:$A,COUNTA(站位样品信息!$A:$A)+1),站位样品信息!$H$3:INDEX(站位样品信息!$H:$H,COUNTA(站位样品信息!$H:$H)+1)),2,0),2))</f>
        <v/>
      </c>
      <c r="O699" s="49"/>
      <c r="P699" s="53" t="str">
        <f t="shared" si="34"/>
        <v/>
      </c>
      <c r="Q699" s="53" t="str">
        <f t="shared" si="35"/>
        <v/>
      </c>
    </row>
    <row r="700" spans="1:17" ht="19.5" customHeight="1">
      <c r="A700" s="38"/>
      <c r="B700" s="38"/>
      <c r="C700" s="38"/>
      <c r="D700" s="37"/>
      <c r="E700" s="37"/>
      <c r="F700" s="37"/>
      <c r="G700" s="37" t="str">
        <f>IF(F700="","",INDEX(站位样品信息!$B$3:INDEX(站位样品信息!$B:$B,COUNTA(站位样品信息!$B:$B)+1),MATCH($F700,站位样品信息!$A$3:INDEX(站位样品信息!$A:$A,COUNTA(站位样品信息!$A:$A)+1),),))</f>
        <v/>
      </c>
      <c r="H700" s="55" t="str">
        <f>IF(OR(A700&lt;&gt;"",B700&lt;&gt;"",C700&lt;&gt;""),IF($C700&lt;&gt;0,INDEX(生物种群!$A$3:INDEX(生物种群!$A:$A,COUNTA(生物种群!$A:$A)),MATCH($C700,生物种群!$F$3:INDEX(生物种群!$F:$F,COUNTA(生物种群!$F:$F)),),),IF($A700&lt;&gt;0,INDEX(生物种群!$A$3:INDEX(生物种群!$A:$A,COUNTA(生物种群!$A:$A)),MATCH($A700,生物种群!$C$3:INDEX(生物种群!$C:$C,COUNTA(生物种群!$C:$C)),),),INDEX(生物种群!$A$3:INDEX(生物种群!$A:$A,COUNTA(生物种群!$A:$A)),MATCH($B700,生物种群!$D$3:INDEX(生物种群!$D:$D,COUNTA(生物种群!$D:$D)),),))),"")</f>
        <v/>
      </c>
      <c r="I700" s="56" t="str">
        <f>IF(H700="","",INDEX(生物种群!$B$3:INDEX(生物种群!$B:$B,COUNTA(生物种群!$B:$B)),MATCH($H700,生物种群!$A$3:INDEX(生物种群!$A:$A,COUNTA(生物种群!$A:$A)),),))</f>
        <v/>
      </c>
      <c r="J700" s="55" t="str">
        <f>IF(H700="","",INDEX(生物种群!$I$3:INDEX(生物种群!$I:$I,COUNTA(生物种群!$I:$I)),MATCH($H700,生物种群!$A$3:INDEX(生物种群!$A:$A,COUNTA(生物种群!$A:$A)),),))</f>
        <v/>
      </c>
      <c r="K700" s="55" t="str">
        <f>IF(H700="","",INDEX(生物种群!$E$3:INDEX(生物种群!$E:$E,COUNTA(生物种群!$E:$E)),MATCH($H700,生物种群!$A$3:INDEX(生物种群!$A:$A,COUNTA(生物种群!$A:$A)),),))</f>
        <v/>
      </c>
      <c r="L700" s="46" t="str">
        <f t="shared" si="36"/>
        <v/>
      </c>
      <c r="M700" s="47" t="str">
        <f>IF(L700="","",ROUND((L700)/VLOOKUP($F700,IF({1,0},站位样品信息!$A$3:INDEX(站位样品信息!$A:$A,COUNTA(站位样品信息!$A:$A)+1),站位样品信息!$H$3:INDEX(站位样品信息!$H:$H,COUNTA(站位样品信息!$H:$H)+1)),2,0),2))</f>
        <v/>
      </c>
      <c r="O700" s="49"/>
      <c r="P700" s="53" t="str">
        <f t="shared" si="34"/>
        <v/>
      </c>
      <c r="Q700" s="53" t="str">
        <f t="shared" si="35"/>
        <v/>
      </c>
    </row>
    <row r="701" spans="1:17" ht="19.5" customHeight="1">
      <c r="A701" s="38"/>
      <c r="B701" s="38"/>
      <c r="C701" s="38"/>
      <c r="D701" s="37"/>
      <c r="E701" s="37"/>
      <c r="F701" s="37"/>
      <c r="G701" s="37" t="str">
        <f>IF(F701="","",INDEX(站位样品信息!$B$3:INDEX(站位样品信息!$B:$B,COUNTA(站位样品信息!$B:$B)+1),MATCH($F701,站位样品信息!$A$3:INDEX(站位样品信息!$A:$A,COUNTA(站位样品信息!$A:$A)+1),),))</f>
        <v/>
      </c>
      <c r="H701" s="55" t="str">
        <f>IF(OR(A701&lt;&gt;"",B701&lt;&gt;"",C701&lt;&gt;""),IF($C701&lt;&gt;0,INDEX(生物种群!$A$3:INDEX(生物种群!$A:$A,COUNTA(生物种群!$A:$A)),MATCH($C701,生物种群!$F$3:INDEX(生物种群!$F:$F,COUNTA(生物种群!$F:$F)),),),IF($A701&lt;&gt;0,INDEX(生物种群!$A$3:INDEX(生物种群!$A:$A,COUNTA(生物种群!$A:$A)),MATCH($A701,生物种群!$C$3:INDEX(生物种群!$C:$C,COUNTA(生物种群!$C:$C)),),),INDEX(生物种群!$A$3:INDEX(生物种群!$A:$A,COUNTA(生物种群!$A:$A)),MATCH($B701,生物种群!$D$3:INDEX(生物种群!$D:$D,COUNTA(生物种群!$D:$D)),),))),"")</f>
        <v/>
      </c>
      <c r="I701" s="56" t="str">
        <f>IF(H701="","",INDEX(生物种群!$B$3:INDEX(生物种群!$B:$B,COUNTA(生物种群!$B:$B)),MATCH($H701,生物种群!$A$3:INDEX(生物种群!$A:$A,COUNTA(生物种群!$A:$A)),),))</f>
        <v/>
      </c>
      <c r="J701" s="55" t="str">
        <f>IF(H701="","",INDEX(生物种群!$I$3:INDEX(生物种群!$I:$I,COUNTA(生物种群!$I:$I)),MATCH($H701,生物种群!$A$3:INDEX(生物种群!$A:$A,COUNTA(生物种群!$A:$A)),),))</f>
        <v/>
      </c>
      <c r="K701" s="55" t="str">
        <f>IF(H701="","",INDEX(生物种群!$E$3:INDEX(生物种群!$E:$E,COUNTA(生物种群!$E:$E)),MATCH($H701,生物种群!$A$3:INDEX(生物种群!$A:$A,COUNTA(生物种群!$A:$A)),),))</f>
        <v/>
      </c>
      <c r="L701" s="46" t="str">
        <f t="shared" si="36"/>
        <v/>
      </c>
      <c r="M701" s="47" t="str">
        <f>IF(L701="","",ROUND((L701)/VLOOKUP($F701,IF({1,0},站位样品信息!$A$3:INDEX(站位样品信息!$A:$A,COUNTA(站位样品信息!$A:$A)+1),站位样品信息!$H$3:INDEX(站位样品信息!$H:$H,COUNTA(站位样品信息!$H:$H)+1)),2,0),2))</f>
        <v/>
      </c>
      <c r="O701" s="49"/>
      <c r="P701" s="53" t="str">
        <f t="shared" si="34"/>
        <v/>
      </c>
      <c r="Q701" s="53" t="str">
        <f t="shared" si="35"/>
        <v/>
      </c>
    </row>
    <row r="702" spans="1:17" ht="19.5" customHeight="1">
      <c r="A702" s="38"/>
      <c r="B702" s="38"/>
      <c r="C702" s="38"/>
      <c r="D702" s="37"/>
      <c r="E702" s="37"/>
      <c r="F702" s="37"/>
      <c r="G702" s="37" t="str">
        <f>IF(F702="","",INDEX(站位样品信息!$B$3:INDEX(站位样品信息!$B:$B,COUNTA(站位样品信息!$B:$B)+1),MATCH($F702,站位样品信息!$A$3:INDEX(站位样品信息!$A:$A,COUNTA(站位样品信息!$A:$A)+1),),))</f>
        <v/>
      </c>
      <c r="H702" s="55" t="str">
        <f>IF(OR(A702&lt;&gt;"",B702&lt;&gt;"",C702&lt;&gt;""),IF($C702&lt;&gt;0,INDEX(生物种群!$A$3:INDEX(生物种群!$A:$A,COUNTA(生物种群!$A:$A)),MATCH($C702,生物种群!$F$3:INDEX(生物种群!$F:$F,COUNTA(生物种群!$F:$F)),),),IF($A702&lt;&gt;0,INDEX(生物种群!$A$3:INDEX(生物种群!$A:$A,COUNTA(生物种群!$A:$A)),MATCH($A702,生物种群!$C$3:INDEX(生物种群!$C:$C,COUNTA(生物种群!$C:$C)),),),INDEX(生物种群!$A$3:INDEX(生物种群!$A:$A,COUNTA(生物种群!$A:$A)),MATCH($B702,生物种群!$D$3:INDEX(生物种群!$D:$D,COUNTA(生物种群!$D:$D)),),))),"")</f>
        <v/>
      </c>
      <c r="I702" s="56" t="str">
        <f>IF(H702="","",INDEX(生物种群!$B$3:INDEX(生物种群!$B:$B,COUNTA(生物种群!$B:$B)),MATCH($H702,生物种群!$A$3:INDEX(生物种群!$A:$A,COUNTA(生物种群!$A:$A)),),))</f>
        <v/>
      </c>
      <c r="J702" s="55" t="str">
        <f>IF(H702="","",INDEX(生物种群!$I$3:INDEX(生物种群!$I:$I,COUNTA(生物种群!$I:$I)),MATCH($H702,生物种群!$A$3:INDEX(生物种群!$A:$A,COUNTA(生物种群!$A:$A)),),))</f>
        <v/>
      </c>
      <c r="K702" s="55" t="str">
        <f>IF(H702="","",INDEX(生物种群!$E$3:INDEX(生物种群!$E:$E,COUNTA(生物种群!$E:$E)),MATCH($H702,生物种群!$A$3:INDEX(生物种群!$A:$A,COUNTA(生物种群!$A:$A)),),))</f>
        <v/>
      </c>
      <c r="L702" s="46" t="str">
        <f t="shared" si="36"/>
        <v/>
      </c>
      <c r="M702" s="47" t="str">
        <f>IF(L702="","",ROUND((L702)/VLOOKUP($F702,IF({1,0},站位样品信息!$A$3:INDEX(站位样品信息!$A:$A,COUNTA(站位样品信息!$A:$A)+1),站位样品信息!$H$3:INDEX(站位样品信息!$H:$H,COUNTA(站位样品信息!$H:$H)+1)),2,0),2))</f>
        <v/>
      </c>
      <c r="O702" s="49"/>
      <c r="P702" s="53" t="str">
        <f t="shared" si="34"/>
        <v/>
      </c>
      <c r="Q702" s="53" t="str">
        <f t="shared" si="35"/>
        <v/>
      </c>
    </row>
    <row r="703" spans="1:17" ht="19.5" customHeight="1">
      <c r="A703" s="38"/>
      <c r="B703" s="38"/>
      <c r="C703" s="38"/>
      <c r="D703" s="37"/>
      <c r="E703" s="37"/>
      <c r="F703" s="37"/>
      <c r="G703" s="37" t="str">
        <f>IF(F703="","",INDEX(站位样品信息!$B$3:INDEX(站位样品信息!$B:$B,COUNTA(站位样品信息!$B:$B)+1),MATCH($F703,站位样品信息!$A$3:INDEX(站位样品信息!$A:$A,COUNTA(站位样品信息!$A:$A)+1),),))</f>
        <v/>
      </c>
      <c r="H703" s="55" t="str">
        <f>IF(OR(A703&lt;&gt;"",B703&lt;&gt;"",C703&lt;&gt;""),IF($C703&lt;&gt;0,INDEX(生物种群!$A$3:INDEX(生物种群!$A:$A,COUNTA(生物种群!$A:$A)),MATCH($C703,生物种群!$F$3:INDEX(生物种群!$F:$F,COUNTA(生物种群!$F:$F)),),),IF($A703&lt;&gt;0,INDEX(生物种群!$A$3:INDEX(生物种群!$A:$A,COUNTA(生物种群!$A:$A)),MATCH($A703,生物种群!$C$3:INDEX(生物种群!$C:$C,COUNTA(生物种群!$C:$C)),),),INDEX(生物种群!$A$3:INDEX(生物种群!$A:$A,COUNTA(生物种群!$A:$A)),MATCH($B703,生物种群!$D$3:INDEX(生物种群!$D:$D,COUNTA(生物种群!$D:$D)),),))),"")</f>
        <v/>
      </c>
      <c r="I703" s="56" t="str">
        <f>IF(H703="","",INDEX(生物种群!$B$3:INDEX(生物种群!$B:$B,COUNTA(生物种群!$B:$B)),MATCH($H703,生物种群!$A$3:INDEX(生物种群!$A:$A,COUNTA(生物种群!$A:$A)),),))</f>
        <v/>
      </c>
      <c r="J703" s="55" t="str">
        <f>IF(H703="","",INDEX(生物种群!$I$3:INDEX(生物种群!$I:$I,COUNTA(生物种群!$I:$I)),MATCH($H703,生物种群!$A$3:INDEX(生物种群!$A:$A,COUNTA(生物种群!$A:$A)),),))</f>
        <v/>
      </c>
      <c r="K703" s="55" t="str">
        <f>IF(H703="","",INDEX(生物种群!$E$3:INDEX(生物种群!$E:$E,COUNTA(生物种群!$E:$E)),MATCH($H703,生物种群!$A$3:INDEX(生物种群!$A:$A,COUNTA(生物种群!$A:$A)),),))</f>
        <v/>
      </c>
      <c r="L703" s="46" t="str">
        <f t="shared" si="36"/>
        <v/>
      </c>
      <c r="M703" s="47" t="str">
        <f>IF(L703="","",ROUND((L703)/VLOOKUP($F703,IF({1,0},站位样品信息!$A$3:INDEX(站位样品信息!$A:$A,COUNTA(站位样品信息!$A:$A)+1),站位样品信息!$H$3:INDEX(站位样品信息!$H:$H,COUNTA(站位样品信息!$H:$H)+1)),2,0),2))</f>
        <v/>
      </c>
      <c r="O703" s="49"/>
      <c r="P703" s="53" t="str">
        <f t="shared" si="34"/>
        <v/>
      </c>
      <c r="Q703" s="53" t="str">
        <f t="shared" si="35"/>
        <v/>
      </c>
    </row>
    <row r="704" spans="1:17" ht="19.5" customHeight="1">
      <c r="A704" s="38"/>
      <c r="B704" s="38"/>
      <c r="C704" s="38"/>
      <c r="D704" s="37"/>
      <c r="E704" s="37"/>
      <c r="F704" s="37"/>
      <c r="G704" s="37" t="str">
        <f>IF(F704="","",INDEX(站位样品信息!$B$3:INDEX(站位样品信息!$B:$B,COUNTA(站位样品信息!$B:$B)+1),MATCH($F704,站位样品信息!$A$3:INDEX(站位样品信息!$A:$A,COUNTA(站位样品信息!$A:$A)+1),),))</f>
        <v/>
      </c>
      <c r="H704" s="55" t="str">
        <f>IF(OR(A704&lt;&gt;"",B704&lt;&gt;"",C704&lt;&gt;""),IF($C704&lt;&gt;0,INDEX(生物种群!$A$3:INDEX(生物种群!$A:$A,COUNTA(生物种群!$A:$A)),MATCH($C704,生物种群!$F$3:INDEX(生物种群!$F:$F,COUNTA(生物种群!$F:$F)),),),IF($A704&lt;&gt;0,INDEX(生物种群!$A$3:INDEX(生物种群!$A:$A,COUNTA(生物种群!$A:$A)),MATCH($A704,生物种群!$C$3:INDEX(生物种群!$C:$C,COUNTA(生物种群!$C:$C)),),),INDEX(生物种群!$A$3:INDEX(生物种群!$A:$A,COUNTA(生物种群!$A:$A)),MATCH($B704,生物种群!$D$3:INDEX(生物种群!$D:$D,COUNTA(生物种群!$D:$D)),),))),"")</f>
        <v/>
      </c>
      <c r="I704" s="56" t="str">
        <f>IF(H704="","",INDEX(生物种群!$B$3:INDEX(生物种群!$B:$B,COUNTA(生物种群!$B:$B)),MATCH($H704,生物种群!$A$3:INDEX(生物种群!$A:$A,COUNTA(生物种群!$A:$A)),),))</f>
        <v/>
      </c>
      <c r="J704" s="55" t="str">
        <f>IF(H704="","",INDEX(生物种群!$I$3:INDEX(生物种群!$I:$I,COUNTA(生物种群!$I:$I)),MATCH($H704,生物种群!$A$3:INDEX(生物种群!$A:$A,COUNTA(生物种群!$A:$A)),),))</f>
        <v/>
      </c>
      <c r="K704" s="55" t="str">
        <f>IF(H704="","",INDEX(生物种群!$E$3:INDEX(生物种群!$E:$E,COUNTA(生物种群!$E:$E)),MATCH($H704,生物种群!$A$3:INDEX(生物种群!$A:$A,COUNTA(生物种群!$A:$A)),),))</f>
        <v/>
      </c>
      <c r="L704" s="46" t="str">
        <f t="shared" si="36"/>
        <v/>
      </c>
      <c r="M704" s="47" t="str">
        <f>IF(L704="","",ROUND((L704)/VLOOKUP($F704,IF({1,0},站位样品信息!$A$3:INDEX(站位样品信息!$A:$A,COUNTA(站位样品信息!$A:$A)+1),站位样品信息!$H$3:INDEX(站位样品信息!$H:$H,COUNTA(站位样品信息!$H:$H)+1)),2,0),2))</f>
        <v/>
      </c>
      <c r="O704" s="49"/>
      <c r="P704" s="53" t="str">
        <f t="shared" si="34"/>
        <v/>
      </c>
      <c r="Q704" s="53" t="str">
        <f t="shared" si="35"/>
        <v/>
      </c>
    </row>
    <row r="705" spans="1:17" ht="19.5" customHeight="1">
      <c r="A705" s="38"/>
      <c r="B705" s="38"/>
      <c r="C705" s="38"/>
      <c r="D705" s="37"/>
      <c r="E705" s="37"/>
      <c r="F705" s="37"/>
      <c r="G705" s="37" t="str">
        <f>IF(F705="","",INDEX(站位样品信息!$B$3:INDEX(站位样品信息!$B:$B,COUNTA(站位样品信息!$B:$B)+1),MATCH($F705,站位样品信息!$A$3:INDEX(站位样品信息!$A:$A,COUNTA(站位样品信息!$A:$A)+1),),))</f>
        <v/>
      </c>
      <c r="H705" s="55" t="str">
        <f>IF(OR(A705&lt;&gt;"",B705&lt;&gt;"",C705&lt;&gt;""),IF($C705&lt;&gt;0,INDEX(生物种群!$A$3:INDEX(生物种群!$A:$A,COUNTA(生物种群!$A:$A)),MATCH($C705,生物种群!$F$3:INDEX(生物种群!$F:$F,COUNTA(生物种群!$F:$F)),),),IF($A705&lt;&gt;0,INDEX(生物种群!$A$3:INDEX(生物种群!$A:$A,COUNTA(生物种群!$A:$A)),MATCH($A705,生物种群!$C$3:INDEX(生物种群!$C:$C,COUNTA(生物种群!$C:$C)),),),INDEX(生物种群!$A$3:INDEX(生物种群!$A:$A,COUNTA(生物种群!$A:$A)),MATCH($B705,生物种群!$D$3:INDEX(生物种群!$D:$D,COUNTA(生物种群!$D:$D)),),))),"")</f>
        <v/>
      </c>
      <c r="I705" s="56" t="str">
        <f>IF(H705="","",INDEX(生物种群!$B$3:INDEX(生物种群!$B:$B,COUNTA(生物种群!$B:$B)),MATCH($H705,生物种群!$A$3:INDEX(生物种群!$A:$A,COUNTA(生物种群!$A:$A)),),))</f>
        <v/>
      </c>
      <c r="J705" s="55" t="str">
        <f>IF(H705="","",INDEX(生物种群!$I$3:INDEX(生物种群!$I:$I,COUNTA(生物种群!$I:$I)),MATCH($H705,生物种群!$A$3:INDEX(生物种群!$A:$A,COUNTA(生物种群!$A:$A)),),))</f>
        <v/>
      </c>
      <c r="K705" s="55" t="str">
        <f>IF(H705="","",INDEX(生物种群!$E$3:INDEX(生物种群!$E:$E,COUNTA(生物种群!$E:$E)),MATCH($H705,生物种群!$A$3:INDEX(生物种群!$A:$A,COUNTA(生物种群!$A:$A)),),))</f>
        <v/>
      </c>
      <c r="L705" s="46" t="str">
        <f t="shared" si="36"/>
        <v/>
      </c>
      <c r="M705" s="47" t="str">
        <f>IF(L705="","",ROUND((L705)/VLOOKUP($F705,IF({1,0},站位样品信息!$A$3:INDEX(站位样品信息!$A:$A,COUNTA(站位样品信息!$A:$A)+1),站位样品信息!$H$3:INDEX(站位样品信息!$H:$H,COUNTA(站位样品信息!$H:$H)+1)),2,0),2))</f>
        <v/>
      </c>
      <c r="O705" s="49"/>
      <c r="P705" s="53" t="str">
        <f t="shared" si="34"/>
        <v/>
      </c>
      <c r="Q705" s="53" t="str">
        <f t="shared" si="35"/>
        <v/>
      </c>
    </row>
    <row r="706" spans="1:17" ht="19.5" customHeight="1">
      <c r="A706" s="38"/>
      <c r="B706" s="38"/>
      <c r="C706" s="38"/>
      <c r="D706" s="37"/>
      <c r="E706" s="37"/>
      <c r="F706" s="37"/>
      <c r="G706" s="37" t="str">
        <f>IF(F706="","",INDEX(站位样品信息!$B$3:INDEX(站位样品信息!$B:$B,COUNTA(站位样品信息!$B:$B)+1),MATCH($F706,站位样品信息!$A$3:INDEX(站位样品信息!$A:$A,COUNTA(站位样品信息!$A:$A)+1),),))</f>
        <v/>
      </c>
      <c r="H706" s="55" t="str">
        <f>IF(OR(A706&lt;&gt;"",B706&lt;&gt;"",C706&lt;&gt;""),IF($C706&lt;&gt;0,INDEX(生物种群!$A$3:INDEX(生物种群!$A:$A,COUNTA(生物种群!$A:$A)),MATCH($C706,生物种群!$F$3:INDEX(生物种群!$F:$F,COUNTA(生物种群!$F:$F)),),),IF($A706&lt;&gt;0,INDEX(生物种群!$A$3:INDEX(生物种群!$A:$A,COUNTA(生物种群!$A:$A)),MATCH($A706,生物种群!$C$3:INDEX(生物种群!$C:$C,COUNTA(生物种群!$C:$C)),),),INDEX(生物种群!$A$3:INDEX(生物种群!$A:$A,COUNTA(生物种群!$A:$A)),MATCH($B706,生物种群!$D$3:INDEX(生物种群!$D:$D,COUNTA(生物种群!$D:$D)),),))),"")</f>
        <v/>
      </c>
      <c r="I706" s="56" t="str">
        <f>IF(H706="","",INDEX(生物种群!$B$3:INDEX(生物种群!$B:$B,COUNTA(生物种群!$B:$B)),MATCH($H706,生物种群!$A$3:INDEX(生物种群!$A:$A,COUNTA(生物种群!$A:$A)),),))</f>
        <v/>
      </c>
      <c r="J706" s="55" t="str">
        <f>IF(H706="","",INDEX(生物种群!$I$3:INDEX(生物种群!$I:$I,COUNTA(生物种群!$I:$I)),MATCH($H706,生物种群!$A$3:INDEX(生物种群!$A:$A,COUNTA(生物种群!$A:$A)),),))</f>
        <v/>
      </c>
      <c r="K706" s="55" t="str">
        <f>IF(H706="","",INDEX(生物种群!$E$3:INDEX(生物种群!$E:$E,COUNTA(生物种群!$E:$E)),MATCH($H706,生物种群!$A$3:INDEX(生物种群!$A:$A,COUNTA(生物种群!$A:$A)),),))</f>
        <v/>
      </c>
      <c r="L706" s="46" t="str">
        <f t="shared" si="36"/>
        <v/>
      </c>
      <c r="M706" s="47" t="str">
        <f>IF(L706="","",ROUND((L706)/VLOOKUP($F706,IF({1,0},站位样品信息!$A$3:INDEX(站位样品信息!$A:$A,COUNTA(站位样品信息!$A:$A)+1),站位样品信息!$H$3:INDEX(站位样品信息!$H:$H,COUNTA(站位样品信息!$H:$H)+1)),2,0),2))</f>
        <v/>
      </c>
      <c r="O706" s="49"/>
      <c r="P706" s="53" t="str">
        <f t="shared" si="34"/>
        <v/>
      </c>
      <c r="Q706" s="53" t="str">
        <f t="shared" si="35"/>
        <v/>
      </c>
    </row>
    <row r="707" spans="1:17" ht="19.5" customHeight="1">
      <c r="A707" s="38"/>
      <c r="B707" s="38"/>
      <c r="C707" s="38"/>
      <c r="D707" s="37"/>
      <c r="E707" s="37"/>
      <c r="F707" s="37"/>
      <c r="G707" s="37" t="str">
        <f>IF(F707="","",INDEX(站位样品信息!$B$3:INDEX(站位样品信息!$B:$B,COUNTA(站位样品信息!$B:$B)+1),MATCH($F707,站位样品信息!$A$3:INDEX(站位样品信息!$A:$A,COUNTA(站位样品信息!$A:$A)+1),),))</f>
        <v/>
      </c>
      <c r="H707" s="55" t="str">
        <f>IF(OR(A707&lt;&gt;"",B707&lt;&gt;"",C707&lt;&gt;""),IF($C707&lt;&gt;0,INDEX(生物种群!$A$3:INDEX(生物种群!$A:$A,COUNTA(生物种群!$A:$A)),MATCH($C707,生物种群!$F$3:INDEX(生物种群!$F:$F,COUNTA(生物种群!$F:$F)),),),IF($A707&lt;&gt;0,INDEX(生物种群!$A$3:INDEX(生物种群!$A:$A,COUNTA(生物种群!$A:$A)),MATCH($A707,生物种群!$C$3:INDEX(生物种群!$C:$C,COUNTA(生物种群!$C:$C)),),),INDEX(生物种群!$A$3:INDEX(生物种群!$A:$A,COUNTA(生物种群!$A:$A)),MATCH($B707,生物种群!$D$3:INDEX(生物种群!$D:$D,COUNTA(生物种群!$D:$D)),),))),"")</f>
        <v/>
      </c>
      <c r="I707" s="56" t="str">
        <f>IF(H707="","",INDEX(生物种群!$B$3:INDEX(生物种群!$B:$B,COUNTA(生物种群!$B:$B)),MATCH($H707,生物种群!$A$3:INDEX(生物种群!$A:$A,COUNTA(生物种群!$A:$A)),),))</f>
        <v/>
      </c>
      <c r="J707" s="55" t="str">
        <f>IF(H707="","",INDEX(生物种群!$I$3:INDEX(生物种群!$I:$I,COUNTA(生物种群!$I:$I)),MATCH($H707,生物种群!$A$3:INDEX(生物种群!$A:$A,COUNTA(生物种群!$A:$A)),),))</f>
        <v/>
      </c>
      <c r="K707" s="55" t="str">
        <f>IF(H707="","",INDEX(生物种群!$E$3:INDEX(生物种群!$E:$E,COUNTA(生物种群!$E:$E)),MATCH($H707,生物种群!$A$3:INDEX(生物种群!$A:$A,COUNTA(生物种群!$A:$A)),),))</f>
        <v/>
      </c>
      <c r="L707" s="46" t="str">
        <f t="shared" si="36"/>
        <v/>
      </c>
      <c r="M707" s="47" t="str">
        <f>IF(L707="","",ROUND((L707)/VLOOKUP($F707,IF({1,0},站位样品信息!$A$3:INDEX(站位样品信息!$A:$A,COUNTA(站位样品信息!$A:$A)+1),站位样品信息!$H$3:INDEX(站位样品信息!$H:$H,COUNTA(站位样品信息!$H:$H)+1)),2,0),2))</f>
        <v/>
      </c>
      <c r="O707" s="49"/>
      <c r="P707" s="53" t="str">
        <f t="shared" si="37" ref="P707:P770">IF(F707&gt;0,F707&amp;I707,"")</f>
        <v/>
      </c>
      <c r="Q707" s="53" t="str">
        <f t="shared" si="38" ref="Q707:Q770">IF(COUNTIF($P:$P,P707)=1,"",IF(A707&amp;B707&amp;C707="","","重复"))</f>
        <v/>
      </c>
    </row>
    <row r="708" spans="1:17" ht="19.5" customHeight="1">
      <c r="A708" s="38"/>
      <c r="B708" s="38"/>
      <c r="C708" s="38"/>
      <c r="D708" s="37"/>
      <c r="E708" s="37"/>
      <c r="F708" s="37"/>
      <c r="G708" s="37" t="str">
        <f>IF(F708="","",INDEX(站位样品信息!$B$3:INDEX(站位样品信息!$B:$B,COUNTA(站位样品信息!$B:$B)+1),MATCH($F708,站位样品信息!$A$3:INDEX(站位样品信息!$A:$A,COUNTA(站位样品信息!$A:$A)+1),),))</f>
        <v/>
      </c>
      <c r="H708" s="55" t="str">
        <f>IF(OR(A708&lt;&gt;"",B708&lt;&gt;"",C708&lt;&gt;""),IF($C708&lt;&gt;0,INDEX(生物种群!$A$3:INDEX(生物种群!$A:$A,COUNTA(生物种群!$A:$A)),MATCH($C708,生物种群!$F$3:INDEX(生物种群!$F:$F,COUNTA(生物种群!$F:$F)),),),IF($A708&lt;&gt;0,INDEX(生物种群!$A$3:INDEX(生物种群!$A:$A,COUNTA(生物种群!$A:$A)),MATCH($A708,生物种群!$C$3:INDEX(生物种群!$C:$C,COUNTA(生物种群!$C:$C)),),),INDEX(生物种群!$A$3:INDEX(生物种群!$A:$A,COUNTA(生物种群!$A:$A)),MATCH($B708,生物种群!$D$3:INDEX(生物种群!$D:$D,COUNTA(生物种群!$D:$D)),),))),"")</f>
        <v/>
      </c>
      <c r="I708" s="56" t="str">
        <f>IF(H708="","",INDEX(生物种群!$B$3:INDEX(生物种群!$B:$B,COUNTA(生物种群!$B:$B)),MATCH($H708,生物种群!$A$3:INDEX(生物种群!$A:$A,COUNTA(生物种群!$A:$A)),),))</f>
        <v/>
      </c>
      <c r="J708" s="55" t="str">
        <f>IF(H708="","",INDEX(生物种群!$I$3:INDEX(生物种群!$I:$I,COUNTA(生物种群!$I:$I)),MATCH($H708,生物种群!$A$3:INDEX(生物种群!$A:$A,COUNTA(生物种群!$A:$A)),),))</f>
        <v/>
      </c>
      <c r="K708" s="55" t="str">
        <f>IF(H708="","",INDEX(生物种群!$E$3:INDEX(生物种群!$E:$E,COUNTA(生物种群!$E:$E)),MATCH($H708,生物种群!$A$3:INDEX(生物种群!$A:$A,COUNTA(生物种群!$A:$A)),),))</f>
        <v/>
      </c>
      <c r="L708" s="46" t="str">
        <f t="shared" si="36"/>
        <v/>
      </c>
      <c r="M708" s="47" t="str">
        <f>IF(L708="","",ROUND((L708)/VLOOKUP($F708,IF({1,0},站位样品信息!$A$3:INDEX(站位样品信息!$A:$A,COUNTA(站位样品信息!$A:$A)+1),站位样品信息!$H$3:INDEX(站位样品信息!$H:$H,COUNTA(站位样品信息!$H:$H)+1)),2,0),2))</f>
        <v/>
      </c>
      <c r="O708" s="49"/>
      <c r="P708" s="53" t="str">
        <f t="shared" si="37"/>
        <v/>
      </c>
      <c r="Q708" s="53" t="str">
        <f t="shared" si="38"/>
        <v/>
      </c>
    </row>
    <row r="709" spans="1:17" ht="19.5" customHeight="1">
      <c r="A709" s="38"/>
      <c r="B709" s="38"/>
      <c r="C709" s="38"/>
      <c r="D709" s="37"/>
      <c r="E709" s="37"/>
      <c r="F709" s="37"/>
      <c r="G709" s="37" t="str">
        <f>IF(F709="","",INDEX(站位样品信息!$B$3:INDEX(站位样品信息!$B:$B,COUNTA(站位样品信息!$B:$B)+1),MATCH($F709,站位样品信息!$A$3:INDEX(站位样品信息!$A:$A,COUNTA(站位样品信息!$A:$A)+1),),))</f>
        <v/>
      </c>
      <c r="H709" s="55" t="str">
        <f>IF(OR(A709&lt;&gt;"",B709&lt;&gt;"",C709&lt;&gt;""),IF($C709&lt;&gt;0,INDEX(生物种群!$A$3:INDEX(生物种群!$A:$A,COUNTA(生物种群!$A:$A)),MATCH($C709,生物种群!$F$3:INDEX(生物种群!$F:$F,COUNTA(生物种群!$F:$F)),),),IF($A709&lt;&gt;0,INDEX(生物种群!$A$3:INDEX(生物种群!$A:$A,COUNTA(生物种群!$A:$A)),MATCH($A709,生物种群!$C$3:INDEX(生物种群!$C:$C,COUNTA(生物种群!$C:$C)),),),INDEX(生物种群!$A$3:INDEX(生物种群!$A:$A,COUNTA(生物种群!$A:$A)),MATCH($B709,生物种群!$D$3:INDEX(生物种群!$D:$D,COUNTA(生物种群!$D:$D)),),))),"")</f>
        <v/>
      </c>
      <c r="I709" s="56" t="str">
        <f>IF(H709="","",INDEX(生物种群!$B$3:INDEX(生物种群!$B:$B,COUNTA(生物种群!$B:$B)),MATCH($H709,生物种群!$A$3:INDEX(生物种群!$A:$A,COUNTA(生物种群!$A:$A)),),))</f>
        <v/>
      </c>
      <c r="J709" s="55" t="str">
        <f>IF(H709="","",INDEX(生物种群!$I$3:INDEX(生物种群!$I:$I,COUNTA(生物种群!$I:$I)),MATCH($H709,生物种群!$A$3:INDEX(生物种群!$A:$A,COUNTA(生物种群!$A:$A)),),))</f>
        <v/>
      </c>
      <c r="K709" s="55" t="str">
        <f>IF(H709="","",INDEX(生物种群!$E$3:INDEX(生物种群!$E:$E,COUNTA(生物种群!$E:$E)),MATCH($H709,生物种群!$A$3:INDEX(生物种群!$A:$A,COUNTA(生物种群!$A:$A)),),))</f>
        <v/>
      </c>
      <c r="L709" s="46" t="str">
        <f t="shared" si="36"/>
        <v/>
      </c>
      <c r="M709" s="47" t="str">
        <f>IF(L709="","",ROUND((L709)/VLOOKUP($F709,IF({1,0},站位样品信息!$A$3:INDEX(站位样品信息!$A:$A,COUNTA(站位样品信息!$A:$A)+1),站位样品信息!$H$3:INDEX(站位样品信息!$H:$H,COUNTA(站位样品信息!$H:$H)+1)),2,0),2))</f>
        <v/>
      </c>
      <c r="O709" s="49"/>
      <c r="P709" s="53" t="str">
        <f t="shared" si="37"/>
        <v/>
      </c>
      <c r="Q709" s="53" t="str">
        <f t="shared" si="38"/>
        <v/>
      </c>
    </row>
    <row r="710" spans="1:17" ht="19.5" customHeight="1">
      <c r="A710" s="38"/>
      <c r="B710" s="38"/>
      <c r="C710" s="38"/>
      <c r="D710" s="37"/>
      <c r="E710" s="37"/>
      <c r="F710" s="37"/>
      <c r="G710" s="37" t="str">
        <f>IF(F710="","",INDEX(站位样品信息!$B$3:INDEX(站位样品信息!$B:$B,COUNTA(站位样品信息!$B:$B)+1),MATCH($F710,站位样品信息!$A$3:INDEX(站位样品信息!$A:$A,COUNTA(站位样品信息!$A:$A)+1),),))</f>
        <v/>
      </c>
      <c r="H710" s="55" t="str">
        <f>IF(OR(A710&lt;&gt;"",B710&lt;&gt;"",C710&lt;&gt;""),IF($C710&lt;&gt;0,INDEX(生物种群!$A$3:INDEX(生物种群!$A:$A,COUNTA(生物种群!$A:$A)),MATCH($C710,生物种群!$F$3:INDEX(生物种群!$F:$F,COUNTA(生物种群!$F:$F)),),),IF($A710&lt;&gt;0,INDEX(生物种群!$A$3:INDEX(生物种群!$A:$A,COUNTA(生物种群!$A:$A)),MATCH($A710,生物种群!$C$3:INDEX(生物种群!$C:$C,COUNTA(生物种群!$C:$C)),),),INDEX(生物种群!$A$3:INDEX(生物种群!$A:$A,COUNTA(生物种群!$A:$A)),MATCH($B710,生物种群!$D$3:INDEX(生物种群!$D:$D,COUNTA(生物种群!$D:$D)),),))),"")</f>
        <v/>
      </c>
      <c r="I710" s="56" t="str">
        <f>IF(H710="","",INDEX(生物种群!$B$3:INDEX(生物种群!$B:$B,COUNTA(生物种群!$B:$B)),MATCH($H710,生物种群!$A$3:INDEX(生物种群!$A:$A,COUNTA(生物种群!$A:$A)),),))</f>
        <v/>
      </c>
      <c r="J710" s="55" t="str">
        <f>IF(H710="","",INDEX(生物种群!$I$3:INDEX(生物种群!$I:$I,COUNTA(生物种群!$I:$I)),MATCH($H710,生物种群!$A$3:INDEX(生物种群!$A:$A,COUNTA(生物种群!$A:$A)),),))</f>
        <v/>
      </c>
      <c r="K710" s="55" t="str">
        <f>IF(H710="","",INDEX(生物种群!$E$3:INDEX(生物种群!$E:$E,COUNTA(生物种群!$E:$E)),MATCH($H710,生物种群!$A$3:INDEX(生物种群!$A:$A,COUNTA(生物种群!$A:$A)),),))</f>
        <v/>
      </c>
      <c r="L710" s="46" t="str">
        <f t="shared" si="36"/>
        <v/>
      </c>
      <c r="M710" s="47" t="str">
        <f>IF(L710="","",ROUND((L710)/VLOOKUP($F710,IF({1,0},站位样品信息!$A$3:INDEX(站位样品信息!$A:$A,COUNTA(站位样品信息!$A:$A)+1),站位样品信息!$H$3:INDEX(站位样品信息!$H:$H,COUNTA(站位样品信息!$H:$H)+1)),2,0),2))</f>
        <v/>
      </c>
      <c r="O710" s="49"/>
      <c r="P710" s="53" t="str">
        <f t="shared" si="37"/>
        <v/>
      </c>
      <c r="Q710" s="53" t="str">
        <f t="shared" si="38"/>
        <v/>
      </c>
    </row>
    <row r="711" spans="1:17" ht="19.5" customHeight="1">
      <c r="A711" s="38"/>
      <c r="B711" s="38"/>
      <c r="C711" s="38"/>
      <c r="D711" s="37"/>
      <c r="E711" s="37"/>
      <c r="F711" s="37"/>
      <c r="G711" s="37" t="str">
        <f>IF(F711="","",INDEX(站位样品信息!$B$3:INDEX(站位样品信息!$B:$B,COUNTA(站位样品信息!$B:$B)+1),MATCH($F711,站位样品信息!$A$3:INDEX(站位样品信息!$A:$A,COUNTA(站位样品信息!$A:$A)+1),),))</f>
        <v/>
      </c>
      <c r="H711" s="55" t="str">
        <f>IF(OR(A711&lt;&gt;"",B711&lt;&gt;"",C711&lt;&gt;""),IF($C711&lt;&gt;0,INDEX(生物种群!$A$3:INDEX(生物种群!$A:$A,COUNTA(生物种群!$A:$A)),MATCH($C711,生物种群!$F$3:INDEX(生物种群!$F:$F,COUNTA(生物种群!$F:$F)),),),IF($A711&lt;&gt;0,INDEX(生物种群!$A$3:INDEX(生物种群!$A:$A,COUNTA(生物种群!$A:$A)),MATCH($A711,生物种群!$C$3:INDEX(生物种群!$C:$C,COUNTA(生物种群!$C:$C)),),),INDEX(生物种群!$A$3:INDEX(生物种群!$A:$A,COUNTA(生物种群!$A:$A)),MATCH($B711,生物种群!$D$3:INDEX(生物种群!$D:$D,COUNTA(生物种群!$D:$D)),),))),"")</f>
        <v/>
      </c>
      <c r="I711" s="56" t="str">
        <f>IF(H711="","",INDEX(生物种群!$B$3:INDEX(生物种群!$B:$B,COUNTA(生物种群!$B:$B)),MATCH($H711,生物种群!$A$3:INDEX(生物种群!$A:$A,COUNTA(生物种群!$A:$A)),),))</f>
        <v/>
      </c>
      <c r="J711" s="55" t="str">
        <f>IF(H711="","",INDEX(生物种群!$I$3:INDEX(生物种群!$I:$I,COUNTA(生物种群!$I:$I)),MATCH($H711,生物种群!$A$3:INDEX(生物种群!$A:$A,COUNTA(生物种群!$A:$A)),),))</f>
        <v/>
      </c>
      <c r="K711" s="55" t="str">
        <f>IF(H711="","",INDEX(生物种群!$E$3:INDEX(生物种群!$E:$E,COUNTA(生物种群!$E:$E)),MATCH($H711,生物种群!$A$3:INDEX(生物种群!$A:$A,COUNTA(生物种群!$A:$A)),),))</f>
        <v/>
      </c>
      <c r="L711" s="46" t="str">
        <f t="shared" si="36"/>
        <v/>
      </c>
      <c r="M711" s="47" t="str">
        <f>IF(L711="","",ROUND((L711)/VLOOKUP($F711,IF({1,0},站位样品信息!$A$3:INDEX(站位样品信息!$A:$A,COUNTA(站位样品信息!$A:$A)+1),站位样品信息!$H$3:INDEX(站位样品信息!$H:$H,COUNTA(站位样品信息!$H:$H)+1)),2,0),2))</f>
        <v/>
      </c>
      <c r="O711" s="49"/>
      <c r="P711" s="53" t="str">
        <f t="shared" si="37"/>
        <v/>
      </c>
      <c r="Q711" s="53" t="str">
        <f t="shared" si="38"/>
        <v/>
      </c>
    </row>
    <row r="712" spans="1:17" ht="19.5" customHeight="1">
      <c r="A712" s="38"/>
      <c r="B712" s="38"/>
      <c r="C712" s="38"/>
      <c r="D712" s="37"/>
      <c r="E712" s="37"/>
      <c r="F712" s="37"/>
      <c r="G712" s="37" t="str">
        <f>IF(F712="","",INDEX(站位样品信息!$B$3:INDEX(站位样品信息!$B:$B,COUNTA(站位样品信息!$B:$B)+1),MATCH($F712,站位样品信息!$A$3:INDEX(站位样品信息!$A:$A,COUNTA(站位样品信息!$A:$A)+1),),))</f>
        <v/>
      </c>
      <c r="H712" s="55" t="str">
        <f>IF(OR(A712&lt;&gt;"",B712&lt;&gt;"",C712&lt;&gt;""),IF($C712&lt;&gt;0,INDEX(生物种群!$A$3:INDEX(生物种群!$A:$A,COUNTA(生物种群!$A:$A)),MATCH($C712,生物种群!$F$3:INDEX(生物种群!$F:$F,COUNTA(生物种群!$F:$F)),),),IF($A712&lt;&gt;0,INDEX(生物种群!$A$3:INDEX(生物种群!$A:$A,COUNTA(生物种群!$A:$A)),MATCH($A712,生物种群!$C$3:INDEX(生物种群!$C:$C,COUNTA(生物种群!$C:$C)),),),INDEX(生物种群!$A$3:INDEX(生物种群!$A:$A,COUNTA(生物种群!$A:$A)),MATCH($B712,生物种群!$D$3:INDEX(生物种群!$D:$D,COUNTA(生物种群!$D:$D)),),))),"")</f>
        <v/>
      </c>
      <c r="I712" s="56" t="str">
        <f>IF(H712="","",INDEX(生物种群!$B$3:INDEX(生物种群!$B:$B,COUNTA(生物种群!$B:$B)),MATCH($H712,生物种群!$A$3:INDEX(生物种群!$A:$A,COUNTA(生物种群!$A:$A)),),))</f>
        <v/>
      </c>
      <c r="J712" s="55" t="str">
        <f>IF(H712="","",INDEX(生物种群!$I$3:INDEX(生物种群!$I:$I,COUNTA(生物种群!$I:$I)),MATCH($H712,生物种群!$A$3:INDEX(生物种群!$A:$A,COUNTA(生物种群!$A:$A)),),))</f>
        <v/>
      </c>
      <c r="K712" s="55" t="str">
        <f>IF(H712="","",INDEX(生物种群!$E$3:INDEX(生物种群!$E:$E,COUNTA(生物种群!$E:$E)),MATCH($H712,生物种群!$A$3:INDEX(生物种群!$A:$A,COUNTA(生物种群!$A:$A)),),))</f>
        <v/>
      </c>
      <c r="L712" s="46" t="str">
        <f t="shared" si="36"/>
        <v/>
      </c>
      <c r="M712" s="47" t="str">
        <f>IF(L712="","",ROUND((L712)/VLOOKUP($F712,IF({1,0},站位样品信息!$A$3:INDEX(站位样品信息!$A:$A,COUNTA(站位样品信息!$A:$A)+1),站位样品信息!$H$3:INDEX(站位样品信息!$H:$H,COUNTA(站位样品信息!$H:$H)+1)),2,0),2))</f>
        <v/>
      </c>
      <c r="O712" s="49"/>
      <c r="P712" s="53" t="str">
        <f t="shared" si="37"/>
        <v/>
      </c>
      <c r="Q712" s="53" t="str">
        <f t="shared" si="38"/>
        <v/>
      </c>
    </row>
    <row r="713" spans="1:17" ht="19.5" customHeight="1">
      <c r="A713" s="38"/>
      <c r="B713" s="38"/>
      <c r="C713" s="38"/>
      <c r="D713" s="37"/>
      <c r="E713" s="37"/>
      <c r="F713" s="37"/>
      <c r="G713" s="37" t="str">
        <f>IF(F713="","",INDEX(站位样品信息!$B$3:INDEX(站位样品信息!$B:$B,COUNTA(站位样品信息!$B:$B)+1),MATCH($F713,站位样品信息!$A$3:INDEX(站位样品信息!$A:$A,COUNTA(站位样品信息!$A:$A)+1),),))</f>
        <v/>
      </c>
      <c r="H713" s="55" t="str">
        <f>IF(OR(A713&lt;&gt;"",B713&lt;&gt;"",C713&lt;&gt;""),IF($C713&lt;&gt;0,INDEX(生物种群!$A$3:INDEX(生物种群!$A:$A,COUNTA(生物种群!$A:$A)),MATCH($C713,生物种群!$F$3:INDEX(生物种群!$F:$F,COUNTA(生物种群!$F:$F)),),),IF($A713&lt;&gt;0,INDEX(生物种群!$A$3:INDEX(生物种群!$A:$A,COUNTA(生物种群!$A:$A)),MATCH($A713,生物种群!$C$3:INDEX(生物种群!$C:$C,COUNTA(生物种群!$C:$C)),),),INDEX(生物种群!$A$3:INDEX(生物种群!$A:$A,COUNTA(生物种群!$A:$A)),MATCH($B713,生物种群!$D$3:INDEX(生物种群!$D:$D,COUNTA(生物种群!$D:$D)),),))),"")</f>
        <v/>
      </c>
      <c r="I713" s="56" t="str">
        <f>IF(H713="","",INDEX(生物种群!$B$3:INDEX(生物种群!$B:$B,COUNTA(生物种群!$B:$B)),MATCH($H713,生物种群!$A$3:INDEX(生物种群!$A:$A,COUNTA(生物种群!$A:$A)),),))</f>
        <v/>
      </c>
      <c r="J713" s="55" t="str">
        <f>IF(H713="","",INDEX(生物种群!$I$3:INDEX(生物种群!$I:$I,COUNTA(生物种群!$I:$I)),MATCH($H713,生物种群!$A$3:INDEX(生物种群!$A:$A,COUNTA(生物种群!$A:$A)),),))</f>
        <v/>
      </c>
      <c r="K713" s="55" t="str">
        <f>IF(H713="","",INDEX(生物种群!$E$3:INDEX(生物种群!$E:$E,COUNTA(生物种群!$E:$E)),MATCH($H713,生物种群!$A$3:INDEX(生物种群!$A:$A,COUNTA(生物种群!$A:$A)),),))</f>
        <v/>
      </c>
      <c r="L713" s="46" t="str">
        <f t="shared" si="36"/>
        <v/>
      </c>
      <c r="M713" s="47" t="str">
        <f>IF(L713="","",ROUND((L713)/VLOOKUP($F713,IF({1,0},站位样品信息!$A$3:INDEX(站位样品信息!$A:$A,COUNTA(站位样品信息!$A:$A)+1),站位样品信息!$H$3:INDEX(站位样品信息!$H:$H,COUNTA(站位样品信息!$H:$H)+1)),2,0),2))</f>
        <v/>
      </c>
      <c r="O713" s="49"/>
      <c r="P713" s="53" t="str">
        <f t="shared" si="37"/>
        <v/>
      </c>
      <c r="Q713" s="53" t="str">
        <f t="shared" si="38"/>
        <v/>
      </c>
    </row>
    <row r="714" spans="1:17" ht="19.5" customHeight="1">
      <c r="A714" s="38"/>
      <c r="B714" s="38"/>
      <c r="C714" s="38"/>
      <c r="D714" s="37"/>
      <c r="E714" s="37"/>
      <c r="F714" s="37"/>
      <c r="G714" s="37" t="str">
        <f>IF(F714="","",INDEX(站位样品信息!$B$3:INDEX(站位样品信息!$B:$B,COUNTA(站位样品信息!$B:$B)+1),MATCH($F714,站位样品信息!$A$3:INDEX(站位样品信息!$A:$A,COUNTA(站位样品信息!$A:$A)+1),),))</f>
        <v/>
      </c>
      <c r="H714" s="55" t="str">
        <f>IF(OR(A714&lt;&gt;"",B714&lt;&gt;"",C714&lt;&gt;""),IF($C714&lt;&gt;0,INDEX(生物种群!$A$3:INDEX(生物种群!$A:$A,COUNTA(生物种群!$A:$A)),MATCH($C714,生物种群!$F$3:INDEX(生物种群!$F:$F,COUNTA(生物种群!$F:$F)),),),IF($A714&lt;&gt;0,INDEX(生物种群!$A$3:INDEX(生物种群!$A:$A,COUNTA(生物种群!$A:$A)),MATCH($A714,生物种群!$C$3:INDEX(生物种群!$C:$C,COUNTA(生物种群!$C:$C)),),),INDEX(生物种群!$A$3:INDEX(生物种群!$A:$A,COUNTA(生物种群!$A:$A)),MATCH($B714,生物种群!$D$3:INDEX(生物种群!$D:$D,COUNTA(生物种群!$D:$D)),),))),"")</f>
        <v/>
      </c>
      <c r="I714" s="56" t="str">
        <f>IF(H714="","",INDEX(生物种群!$B$3:INDEX(生物种群!$B:$B,COUNTA(生物种群!$B:$B)),MATCH($H714,生物种群!$A$3:INDEX(生物种群!$A:$A,COUNTA(生物种群!$A:$A)),),))</f>
        <v/>
      </c>
      <c r="J714" s="55" t="str">
        <f>IF(H714="","",INDEX(生物种群!$I$3:INDEX(生物种群!$I:$I,COUNTA(生物种群!$I:$I)),MATCH($H714,生物种群!$A$3:INDEX(生物种群!$A:$A,COUNTA(生物种群!$A:$A)),),))</f>
        <v/>
      </c>
      <c r="K714" s="55" t="str">
        <f>IF(H714="","",INDEX(生物种群!$E$3:INDEX(生物种群!$E:$E,COUNTA(生物种群!$E:$E)),MATCH($H714,生物种群!$A$3:INDEX(生物种群!$A:$A,COUNTA(生物种群!$A:$A)),),))</f>
        <v/>
      </c>
      <c r="L714" s="46" t="str">
        <f t="shared" si="36"/>
        <v/>
      </c>
      <c r="M714" s="47" t="str">
        <f>IF(L714="","",ROUND((L714)/VLOOKUP($F714,IF({1,0},站位样品信息!$A$3:INDEX(站位样品信息!$A:$A,COUNTA(站位样品信息!$A:$A)+1),站位样品信息!$H$3:INDEX(站位样品信息!$H:$H,COUNTA(站位样品信息!$H:$H)+1)),2,0),2))</f>
        <v/>
      </c>
      <c r="O714" s="49"/>
      <c r="P714" s="53" t="str">
        <f t="shared" si="37"/>
        <v/>
      </c>
      <c r="Q714" s="53" t="str">
        <f t="shared" si="38"/>
        <v/>
      </c>
    </row>
    <row r="715" spans="1:17" ht="19.5" customHeight="1">
      <c r="A715" s="38"/>
      <c r="B715" s="38"/>
      <c r="C715" s="38"/>
      <c r="D715" s="37"/>
      <c r="E715" s="37"/>
      <c r="F715" s="37"/>
      <c r="G715" s="37" t="str">
        <f>IF(F715="","",INDEX(站位样品信息!$B$3:INDEX(站位样品信息!$B:$B,COUNTA(站位样品信息!$B:$B)+1),MATCH($F715,站位样品信息!$A$3:INDEX(站位样品信息!$A:$A,COUNTA(站位样品信息!$A:$A)+1),),))</f>
        <v/>
      </c>
      <c r="H715" s="55" t="str">
        <f>IF(OR(A715&lt;&gt;"",B715&lt;&gt;"",C715&lt;&gt;""),IF($C715&lt;&gt;0,INDEX(生物种群!$A$3:INDEX(生物种群!$A:$A,COUNTA(生物种群!$A:$A)),MATCH($C715,生物种群!$F$3:INDEX(生物种群!$F:$F,COUNTA(生物种群!$F:$F)),),),IF($A715&lt;&gt;0,INDEX(生物种群!$A$3:INDEX(生物种群!$A:$A,COUNTA(生物种群!$A:$A)),MATCH($A715,生物种群!$C$3:INDEX(生物种群!$C:$C,COUNTA(生物种群!$C:$C)),),),INDEX(生物种群!$A$3:INDEX(生物种群!$A:$A,COUNTA(生物种群!$A:$A)),MATCH($B715,生物种群!$D$3:INDEX(生物种群!$D:$D,COUNTA(生物种群!$D:$D)),),))),"")</f>
        <v/>
      </c>
      <c r="I715" s="56" t="str">
        <f>IF(H715="","",INDEX(生物种群!$B$3:INDEX(生物种群!$B:$B,COUNTA(生物种群!$B:$B)),MATCH($H715,生物种群!$A$3:INDEX(生物种群!$A:$A,COUNTA(生物种群!$A:$A)),),))</f>
        <v/>
      </c>
      <c r="J715" s="55" t="str">
        <f>IF(H715="","",INDEX(生物种群!$I$3:INDEX(生物种群!$I:$I,COUNTA(生物种群!$I:$I)),MATCH($H715,生物种群!$A$3:INDEX(生物种群!$A:$A,COUNTA(生物种群!$A:$A)),),))</f>
        <v/>
      </c>
      <c r="K715" s="55" t="str">
        <f>IF(H715="","",INDEX(生物种群!$E$3:INDEX(生物种群!$E:$E,COUNTA(生物种群!$E:$E)),MATCH($H715,生物种群!$A$3:INDEX(生物种群!$A:$A,COUNTA(生物种群!$A:$A)),),))</f>
        <v/>
      </c>
      <c r="L715" s="46" t="str">
        <f t="shared" si="36"/>
        <v/>
      </c>
      <c r="M715" s="47" t="str">
        <f>IF(L715="","",ROUND((L715)/VLOOKUP($F715,IF({1,0},站位样品信息!$A$3:INDEX(站位样品信息!$A:$A,COUNTA(站位样品信息!$A:$A)+1),站位样品信息!$H$3:INDEX(站位样品信息!$H:$H,COUNTA(站位样品信息!$H:$H)+1)),2,0),2))</f>
        <v/>
      </c>
      <c r="O715" s="49"/>
      <c r="P715" s="53" t="str">
        <f t="shared" si="37"/>
        <v/>
      </c>
      <c r="Q715" s="53" t="str">
        <f t="shared" si="38"/>
        <v/>
      </c>
    </row>
    <row r="716" spans="1:17" ht="19.5" customHeight="1">
      <c r="A716" s="38"/>
      <c r="B716" s="38"/>
      <c r="C716" s="38"/>
      <c r="D716" s="37"/>
      <c r="E716" s="37"/>
      <c r="F716" s="37"/>
      <c r="G716" s="37" t="str">
        <f>IF(F716="","",INDEX(站位样品信息!$B$3:INDEX(站位样品信息!$B:$B,COUNTA(站位样品信息!$B:$B)+1),MATCH($F716,站位样品信息!$A$3:INDEX(站位样品信息!$A:$A,COUNTA(站位样品信息!$A:$A)+1),),))</f>
        <v/>
      </c>
      <c r="H716" s="55" t="str">
        <f>IF(OR(A716&lt;&gt;"",B716&lt;&gt;"",C716&lt;&gt;""),IF($C716&lt;&gt;0,INDEX(生物种群!$A$3:INDEX(生物种群!$A:$A,COUNTA(生物种群!$A:$A)),MATCH($C716,生物种群!$F$3:INDEX(生物种群!$F:$F,COUNTA(生物种群!$F:$F)),),),IF($A716&lt;&gt;0,INDEX(生物种群!$A$3:INDEX(生物种群!$A:$A,COUNTA(生物种群!$A:$A)),MATCH($A716,生物种群!$C$3:INDEX(生物种群!$C:$C,COUNTA(生物种群!$C:$C)),),),INDEX(生物种群!$A$3:INDEX(生物种群!$A:$A,COUNTA(生物种群!$A:$A)),MATCH($B716,生物种群!$D$3:INDEX(生物种群!$D:$D,COUNTA(生物种群!$D:$D)),),))),"")</f>
        <v/>
      </c>
      <c r="I716" s="56" t="str">
        <f>IF(H716="","",INDEX(生物种群!$B$3:INDEX(生物种群!$B:$B,COUNTA(生物种群!$B:$B)),MATCH($H716,生物种群!$A$3:INDEX(生物种群!$A:$A,COUNTA(生物种群!$A:$A)),),))</f>
        <v/>
      </c>
      <c r="J716" s="55" t="str">
        <f>IF(H716="","",INDEX(生物种群!$I$3:INDEX(生物种群!$I:$I,COUNTA(生物种群!$I:$I)),MATCH($H716,生物种群!$A$3:INDEX(生物种群!$A:$A,COUNTA(生物种群!$A:$A)),),))</f>
        <v/>
      </c>
      <c r="K716" s="55" t="str">
        <f>IF(H716="","",INDEX(生物种群!$E$3:INDEX(生物种群!$E:$E,COUNTA(生物种群!$E:$E)),MATCH($H716,生物种群!$A$3:INDEX(生物种群!$A:$A,COUNTA(生物种群!$A:$A)),),))</f>
        <v/>
      </c>
      <c r="L716" s="46" t="str">
        <f t="shared" si="36"/>
        <v/>
      </c>
      <c r="M716" s="47" t="str">
        <f>IF(L716="","",ROUND((L716)/VLOOKUP($F716,IF({1,0},站位样品信息!$A$3:INDEX(站位样品信息!$A:$A,COUNTA(站位样品信息!$A:$A)+1),站位样品信息!$H$3:INDEX(站位样品信息!$H:$H,COUNTA(站位样品信息!$H:$H)+1)),2,0),2))</f>
        <v/>
      </c>
      <c r="O716" s="49"/>
      <c r="P716" s="53" t="str">
        <f t="shared" si="37"/>
        <v/>
      </c>
      <c r="Q716" s="53" t="str">
        <f t="shared" si="38"/>
        <v/>
      </c>
    </row>
    <row r="717" spans="1:17" ht="19.5" customHeight="1">
      <c r="A717" s="38"/>
      <c r="B717" s="38"/>
      <c r="C717" s="38"/>
      <c r="D717" s="37"/>
      <c r="E717" s="37"/>
      <c r="F717" s="37"/>
      <c r="G717" s="37" t="str">
        <f>IF(F717="","",INDEX(站位样品信息!$B$3:INDEX(站位样品信息!$B:$B,COUNTA(站位样品信息!$B:$B)+1),MATCH($F717,站位样品信息!$A$3:INDEX(站位样品信息!$A:$A,COUNTA(站位样品信息!$A:$A)+1),),))</f>
        <v/>
      </c>
      <c r="H717" s="55" t="str">
        <f>IF(OR(A717&lt;&gt;"",B717&lt;&gt;"",C717&lt;&gt;""),IF($C717&lt;&gt;0,INDEX(生物种群!$A$3:INDEX(生物种群!$A:$A,COUNTA(生物种群!$A:$A)),MATCH($C717,生物种群!$F$3:INDEX(生物种群!$F:$F,COUNTA(生物种群!$F:$F)),),),IF($A717&lt;&gt;0,INDEX(生物种群!$A$3:INDEX(生物种群!$A:$A,COUNTA(生物种群!$A:$A)),MATCH($A717,生物种群!$C$3:INDEX(生物种群!$C:$C,COUNTA(生物种群!$C:$C)),),),INDEX(生物种群!$A$3:INDEX(生物种群!$A:$A,COUNTA(生物种群!$A:$A)),MATCH($B717,生物种群!$D$3:INDEX(生物种群!$D:$D,COUNTA(生物种群!$D:$D)),),))),"")</f>
        <v/>
      </c>
      <c r="I717" s="56" t="str">
        <f>IF(H717="","",INDEX(生物种群!$B$3:INDEX(生物种群!$B:$B,COUNTA(生物种群!$B:$B)),MATCH($H717,生物种群!$A$3:INDEX(生物种群!$A:$A,COUNTA(生物种群!$A:$A)),),))</f>
        <v/>
      </c>
      <c r="J717" s="55" t="str">
        <f>IF(H717="","",INDEX(生物种群!$I$3:INDEX(生物种群!$I:$I,COUNTA(生物种群!$I:$I)),MATCH($H717,生物种群!$A$3:INDEX(生物种群!$A:$A,COUNTA(生物种群!$A:$A)),),))</f>
        <v/>
      </c>
      <c r="K717" s="55" t="str">
        <f>IF(H717="","",INDEX(生物种群!$E$3:INDEX(生物种群!$E:$E,COUNTA(生物种群!$E:$E)),MATCH($H717,生物种群!$A$3:INDEX(生物种群!$A:$A,COUNTA(生物种群!$A:$A)),),))</f>
        <v/>
      </c>
      <c r="L717" s="46" t="str">
        <f t="shared" si="39" ref="L717:L780">IFERROR(IF(OR(D717="",E717=""),"",D717/E717*100),"")</f>
        <v/>
      </c>
      <c r="M717" s="47" t="str">
        <f>IF(L717="","",ROUND((L717)/VLOOKUP($F717,IF({1,0},站位样品信息!$A$3:INDEX(站位样品信息!$A:$A,COUNTA(站位样品信息!$A:$A)+1),站位样品信息!$H$3:INDEX(站位样品信息!$H:$H,COUNTA(站位样品信息!$H:$H)+1)),2,0),2))</f>
        <v/>
      </c>
      <c r="O717" s="49"/>
      <c r="P717" s="53" t="str">
        <f t="shared" si="37"/>
        <v/>
      </c>
      <c r="Q717" s="53" t="str">
        <f t="shared" si="38"/>
        <v/>
      </c>
    </row>
    <row r="718" spans="1:17" ht="19.5" customHeight="1">
      <c r="A718" s="38"/>
      <c r="B718" s="38"/>
      <c r="C718" s="38"/>
      <c r="D718" s="37"/>
      <c r="E718" s="37"/>
      <c r="F718" s="37"/>
      <c r="G718" s="37" t="str">
        <f>IF(F718="","",INDEX(站位样品信息!$B$3:INDEX(站位样品信息!$B:$B,COUNTA(站位样品信息!$B:$B)+1),MATCH($F718,站位样品信息!$A$3:INDEX(站位样品信息!$A:$A,COUNTA(站位样品信息!$A:$A)+1),),))</f>
        <v/>
      </c>
      <c r="H718" s="55" t="str">
        <f>IF(OR(A718&lt;&gt;"",B718&lt;&gt;"",C718&lt;&gt;""),IF($C718&lt;&gt;0,INDEX(生物种群!$A$3:INDEX(生物种群!$A:$A,COUNTA(生物种群!$A:$A)),MATCH($C718,生物种群!$F$3:INDEX(生物种群!$F:$F,COUNTA(生物种群!$F:$F)),),),IF($A718&lt;&gt;0,INDEX(生物种群!$A$3:INDEX(生物种群!$A:$A,COUNTA(生物种群!$A:$A)),MATCH($A718,生物种群!$C$3:INDEX(生物种群!$C:$C,COUNTA(生物种群!$C:$C)),),),INDEX(生物种群!$A$3:INDEX(生物种群!$A:$A,COUNTA(生物种群!$A:$A)),MATCH($B718,生物种群!$D$3:INDEX(生物种群!$D:$D,COUNTA(生物种群!$D:$D)),),))),"")</f>
        <v/>
      </c>
      <c r="I718" s="56" t="str">
        <f>IF(H718="","",INDEX(生物种群!$B$3:INDEX(生物种群!$B:$B,COUNTA(生物种群!$B:$B)),MATCH($H718,生物种群!$A$3:INDEX(生物种群!$A:$A,COUNTA(生物种群!$A:$A)),),))</f>
        <v/>
      </c>
      <c r="J718" s="55" t="str">
        <f>IF(H718="","",INDEX(生物种群!$I$3:INDEX(生物种群!$I:$I,COUNTA(生物种群!$I:$I)),MATCH($H718,生物种群!$A$3:INDEX(生物种群!$A:$A,COUNTA(生物种群!$A:$A)),),))</f>
        <v/>
      </c>
      <c r="K718" s="55" t="str">
        <f>IF(H718="","",INDEX(生物种群!$E$3:INDEX(生物种群!$E:$E,COUNTA(生物种群!$E:$E)),MATCH($H718,生物种群!$A$3:INDEX(生物种群!$A:$A,COUNTA(生物种群!$A:$A)),),))</f>
        <v/>
      </c>
      <c r="L718" s="46" t="str">
        <f t="shared" si="39"/>
        <v/>
      </c>
      <c r="M718" s="47" t="str">
        <f>IF(L718="","",ROUND((L718)/VLOOKUP($F718,IF({1,0},站位样品信息!$A$3:INDEX(站位样品信息!$A:$A,COUNTA(站位样品信息!$A:$A)+1),站位样品信息!$H$3:INDEX(站位样品信息!$H:$H,COUNTA(站位样品信息!$H:$H)+1)),2,0),2))</f>
        <v/>
      </c>
      <c r="O718" s="49"/>
      <c r="P718" s="53" t="str">
        <f t="shared" si="37"/>
        <v/>
      </c>
      <c r="Q718" s="53" t="str">
        <f t="shared" si="38"/>
        <v/>
      </c>
    </row>
    <row r="719" spans="1:17" ht="19.5" customHeight="1">
      <c r="A719" s="38"/>
      <c r="B719" s="38"/>
      <c r="C719" s="38"/>
      <c r="D719" s="37"/>
      <c r="E719" s="37"/>
      <c r="F719" s="37"/>
      <c r="G719" s="37" t="str">
        <f>IF(F719="","",INDEX(站位样品信息!$B$3:INDEX(站位样品信息!$B:$B,COUNTA(站位样品信息!$B:$B)+1),MATCH($F719,站位样品信息!$A$3:INDEX(站位样品信息!$A:$A,COUNTA(站位样品信息!$A:$A)+1),),))</f>
        <v/>
      </c>
      <c r="H719" s="55" t="str">
        <f>IF(OR(A719&lt;&gt;"",B719&lt;&gt;"",C719&lt;&gt;""),IF($C719&lt;&gt;0,INDEX(生物种群!$A$3:INDEX(生物种群!$A:$A,COUNTA(生物种群!$A:$A)),MATCH($C719,生物种群!$F$3:INDEX(生物种群!$F:$F,COUNTA(生物种群!$F:$F)),),),IF($A719&lt;&gt;0,INDEX(生物种群!$A$3:INDEX(生物种群!$A:$A,COUNTA(生物种群!$A:$A)),MATCH($A719,生物种群!$C$3:INDEX(生物种群!$C:$C,COUNTA(生物种群!$C:$C)),),),INDEX(生物种群!$A$3:INDEX(生物种群!$A:$A,COUNTA(生物种群!$A:$A)),MATCH($B719,生物种群!$D$3:INDEX(生物种群!$D:$D,COUNTA(生物种群!$D:$D)),),))),"")</f>
        <v/>
      </c>
      <c r="I719" s="56" t="str">
        <f>IF(H719="","",INDEX(生物种群!$B$3:INDEX(生物种群!$B:$B,COUNTA(生物种群!$B:$B)),MATCH($H719,生物种群!$A$3:INDEX(生物种群!$A:$A,COUNTA(生物种群!$A:$A)),),))</f>
        <v/>
      </c>
      <c r="J719" s="55" t="str">
        <f>IF(H719="","",INDEX(生物种群!$I$3:INDEX(生物种群!$I:$I,COUNTA(生物种群!$I:$I)),MATCH($H719,生物种群!$A$3:INDEX(生物种群!$A:$A,COUNTA(生物种群!$A:$A)),),))</f>
        <v/>
      </c>
      <c r="K719" s="55" t="str">
        <f>IF(H719="","",INDEX(生物种群!$E$3:INDEX(生物种群!$E:$E,COUNTA(生物种群!$E:$E)),MATCH($H719,生物种群!$A$3:INDEX(生物种群!$A:$A,COUNTA(生物种群!$A:$A)),),))</f>
        <v/>
      </c>
      <c r="L719" s="46" t="str">
        <f t="shared" si="39"/>
        <v/>
      </c>
      <c r="M719" s="47" t="str">
        <f>IF(L719="","",ROUND((L719)/VLOOKUP($F719,IF({1,0},站位样品信息!$A$3:INDEX(站位样品信息!$A:$A,COUNTA(站位样品信息!$A:$A)+1),站位样品信息!$H$3:INDEX(站位样品信息!$H:$H,COUNTA(站位样品信息!$H:$H)+1)),2,0),2))</f>
        <v/>
      </c>
      <c r="O719" s="49"/>
      <c r="P719" s="53" t="str">
        <f t="shared" si="37"/>
        <v/>
      </c>
      <c r="Q719" s="53" t="str">
        <f t="shared" si="38"/>
        <v/>
      </c>
    </row>
    <row r="720" spans="1:17" ht="19.5" customHeight="1">
      <c r="A720" s="38"/>
      <c r="B720" s="38"/>
      <c r="C720" s="38"/>
      <c r="D720" s="37"/>
      <c r="E720" s="37"/>
      <c r="F720" s="37"/>
      <c r="G720" s="37" t="str">
        <f>IF(F720="","",INDEX(站位样品信息!$B$3:INDEX(站位样品信息!$B:$B,COUNTA(站位样品信息!$B:$B)+1),MATCH($F720,站位样品信息!$A$3:INDEX(站位样品信息!$A:$A,COUNTA(站位样品信息!$A:$A)+1),),))</f>
        <v/>
      </c>
      <c r="H720" s="55" t="str">
        <f>IF(OR(A720&lt;&gt;"",B720&lt;&gt;"",C720&lt;&gt;""),IF($C720&lt;&gt;0,INDEX(生物种群!$A$3:INDEX(生物种群!$A:$A,COUNTA(生物种群!$A:$A)),MATCH($C720,生物种群!$F$3:INDEX(生物种群!$F:$F,COUNTA(生物种群!$F:$F)),),),IF($A720&lt;&gt;0,INDEX(生物种群!$A$3:INDEX(生物种群!$A:$A,COUNTA(生物种群!$A:$A)),MATCH($A720,生物种群!$C$3:INDEX(生物种群!$C:$C,COUNTA(生物种群!$C:$C)),),),INDEX(生物种群!$A$3:INDEX(生物种群!$A:$A,COUNTA(生物种群!$A:$A)),MATCH($B720,生物种群!$D$3:INDEX(生物种群!$D:$D,COUNTA(生物种群!$D:$D)),),))),"")</f>
        <v/>
      </c>
      <c r="I720" s="56" t="str">
        <f>IF(H720="","",INDEX(生物种群!$B$3:INDEX(生物种群!$B:$B,COUNTA(生物种群!$B:$B)),MATCH($H720,生物种群!$A$3:INDEX(生物种群!$A:$A,COUNTA(生物种群!$A:$A)),),))</f>
        <v/>
      </c>
      <c r="J720" s="55" t="str">
        <f>IF(H720="","",INDEX(生物种群!$I$3:INDEX(生物种群!$I:$I,COUNTA(生物种群!$I:$I)),MATCH($H720,生物种群!$A$3:INDEX(生物种群!$A:$A,COUNTA(生物种群!$A:$A)),),))</f>
        <v/>
      </c>
      <c r="K720" s="55" t="str">
        <f>IF(H720="","",INDEX(生物种群!$E$3:INDEX(生物种群!$E:$E,COUNTA(生物种群!$E:$E)),MATCH($H720,生物种群!$A$3:INDEX(生物种群!$A:$A,COUNTA(生物种群!$A:$A)),),))</f>
        <v/>
      </c>
      <c r="L720" s="46" t="str">
        <f t="shared" si="39"/>
        <v/>
      </c>
      <c r="M720" s="47" t="str">
        <f>IF(L720="","",ROUND((L720)/VLOOKUP($F720,IF({1,0},站位样品信息!$A$3:INDEX(站位样品信息!$A:$A,COUNTA(站位样品信息!$A:$A)+1),站位样品信息!$H$3:INDEX(站位样品信息!$H:$H,COUNTA(站位样品信息!$H:$H)+1)),2,0),2))</f>
        <v/>
      </c>
      <c r="O720" s="49"/>
      <c r="P720" s="53" t="str">
        <f t="shared" si="37"/>
        <v/>
      </c>
      <c r="Q720" s="53" t="str">
        <f t="shared" si="38"/>
        <v/>
      </c>
    </row>
    <row r="721" spans="1:17" ht="19.5" customHeight="1">
      <c r="A721" s="38"/>
      <c r="B721" s="38"/>
      <c r="C721" s="38"/>
      <c r="D721" s="37"/>
      <c r="E721" s="37"/>
      <c r="F721" s="37"/>
      <c r="G721" s="37" t="str">
        <f>IF(F721="","",INDEX(站位样品信息!$B$3:INDEX(站位样品信息!$B:$B,COUNTA(站位样品信息!$B:$B)+1),MATCH($F721,站位样品信息!$A$3:INDEX(站位样品信息!$A:$A,COUNTA(站位样品信息!$A:$A)+1),),))</f>
        <v/>
      </c>
      <c r="H721" s="55" t="str">
        <f>IF(OR(A721&lt;&gt;"",B721&lt;&gt;"",C721&lt;&gt;""),IF($C721&lt;&gt;0,INDEX(生物种群!$A$3:INDEX(生物种群!$A:$A,COUNTA(生物种群!$A:$A)),MATCH($C721,生物种群!$F$3:INDEX(生物种群!$F:$F,COUNTA(生物种群!$F:$F)),),),IF($A721&lt;&gt;0,INDEX(生物种群!$A$3:INDEX(生物种群!$A:$A,COUNTA(生物种群!$A:$A)),MATCH($A721,生物种群!$C$3:INDEX(生物种群!$C:$C,COUNTA(生物种群!$C:$C)),),),INDEX(生物种群!$A$3:INDEX(生物种群!$A:$A,COUNTA(生物种群!$A:$A)),MATCH($B721,生物种群!$D$3:INDEX(生物种群!$D:$D,COUNTA(生物种群!$D:$D)),),))),"")</f>
        <v/>
      </c>
      <c r="I721" s="56" t="str">
        <f>IF(H721="","",INDEX(生物种群!$B$3:INDEX(生物种群!$B:$B,COUNTA(生物种群!$B:$B)),MATCH($H721,生物种群!$A$3:INDEX(生物种群!$A:$A,COUNTA(生物种群!$A:$A)),),))</f>
        <v/>
      </c>
      <c r="J721" s="55" t="str">
        <f>IF(H721="","",INDEX(生物种群!$I$3:INDEX(生物种群!$I:$I,COUNTA(生物种群!$I:$I)),MATCH($H721,生物种群!$A$3:INDEX(生物种群!$A:$A,COUNTA(生物种群!$A:$A)),),))</f>
        <v/>
      </c>
      <c r="K721" s="55" t="str">
        <f>IF(H721="","",INDEX(生物种群!$E$3:INDEX(生物种群!$E:$E,COUNTA(生物种群!$E:$E)),MATCH($H721,生物种群!$A$3:INDEX(生物种群!$A:$A,COUNTA(生物种群!$A:$A)),),))</f>
        <v/>
      </c>
      <c r="L721" s="46" t="str">
        <f t="shared" si="39"/>
        <v/>
      </c>
      <c r="M721" s="47" t="str">
        <f>IF(L721="","",ROUND((L721)/VLOOKUP($F721,IF({1,0},站位样品信息!$A$3:INDEX(站位样品信息!$A:$A,COUNTA(站位样品信息!$A:$A)+1),站位样品信息!$H$3:INDEX(站位样品信息!$H:$H,COUNTA(站位样品信息!$H:$H)+1)),2,0),2))</f>
        <v/>
      </c>
      <c r="O721" s="49"/>
      <c r="P721" s="53" t="str">
        <f t="shared" si="37"/>
        <v/>
      </c>
      <c r="Q721" s="53" t="str">
        <f t="shared" si="38"/>
        <v/>
      </c>
    </row>
    <row r="722" spans="1:17" ht="19.5" customHeight="1">
      <c r="A722" s="38"/>
      <c r="B722" s="38"/>
      <c r="C722" s="38"/>
      <c r="D722" s="37"/>
      <c r="E722" s="37"/>
      <c r="F722" s="37"/>
      <c r="G722" s="37" t="str">
        <f>IF(F722="","",INDEX(站位样品信息!$B$3:INDEX(站位样品信息!$B:$B,COUNTA(站位样品信息!$B:$B)+1),MATCH($F722,站位样品信息!$A$3:INDEX(站位样品信息!$A:$A,COUNTA(站位样品信息!$A:$A)+1),),))</f>
        <v/>
      </c>
      <c r="H722" s="55" t="str">
        <f>IF(OR(A722&lt;&gt;"",B722&lt;&gt;"",C722&lt;&gt;""),IF($C722&lt;&gt;0,INDEX(生物种群!$A$3:INDEX(生物种群!$A:$A,COUNTA(生物种群!$A:$A)),MATCH($C722,生物种群!$F$3:INDEX(生物种群!$F:$F,COUNTA(生物种群!$F:$F)),),),IF($A722&lt;&gt;0,INDEX(生物种群!$A$3:INDEX(生物种群!$A:$A,COUNTA(生物种群!$A:$A)),MATCH($A722,生物种群!$C$3:INDEX(生物种群!$C:$C,COUNTA(生物种群!$C:$C)),),),INDEX(生物种群!$A$3:INDEX(生物种群!$A:$A,COUNTA(生物种群!$A:$A)),MATCH($B722,生物种群!$D$3:INDEX(生物种群!$D:$D,COUNTA(生物种群!$D:$D)),),))),"")</f>
        <v/>
      </c>
      <c r="I722" s="56" t="str">
        <f>IF(H722="","",INDEX(生物种群!$B$3:INDEX(生物种群!$B:$B,COUNTA(生物种群!$B:$B)),MATCH($H722,生物种群!$A$3:INDEX(生物种群!$A:$A,COUNTA(生物种群!$A:$A)),),))</f>
        <v/>
      </c>
      <c r="J722" s="55" t="str">
        <f>IF(H722="","",INDEX(生物种群!$I$3:INDEX(生物种群!$I:$I,COUNTA(生物种群!$I:$I)),MATCH($H722,生物种群!$A$3:INDEX(生物种群!$A:$A,COUNTA(生物种群!$A:$A)),),))</f>
        <v/>
      </c>
      <c r="K722" s="55" t="str">
        <f>IF(H722="","",INDEX(生物种群!$E$3:INDEX(生物种群!$E:$E,COUNTA(生物种群!$E:$E)),MATCH($H722,生物种群!$A$3:INDEX(生物种群!$A:$A,COUNTA(生物种群!$A:$A)),),))</f>
        <v/>
      </c>
      <c r="L722" s="46" t="str">
        <f t="shared" si="39"/>
        <v/>
      </c>
      <c r="M722" s="47" t="str">
        <f>IF(L722="","",ROUND((L722)/VLOOKUP($F722,IF({1,0},站位样品信息!$A$3:INDEX(站位样品信息!$A:$A,COUNTA(站位样品信息!$A:$A)+1),站位样品信息!$H$3:INDEX(站位样品信息!$H:$H,COUNTA(站位样品信息!$H:$H)+1)),2,0),2))</f>
        <v/>
      </c>
      <c r="O722" s="49"/>
      <c r="P722" s="53" t="str">
        <f t="shared" si="37"/>
        <v/>
      </c>
      <c r="Q722" s="53" t="str">
        <f t="shared" si="38"/>
        <v/>
      </c>
    </row>
    <row r="723" spans="1:17" ht="19.5" customHeight="1">
      <c r="A723" s="38"/>
      <c r="B723" s="38"/>
      <c r="C723" s="38"/>
      <c r="D723" s="37"/>
      <c r="E723" s="37"/>
      <c r="F723" s="37"/>
      <c r="G723" s="37" t="str">
        <f>IF(F723="","",INDEX(站位样品信息!$B$3:INDEX(站位样品信息!$B:$B,COUNTA(站位样品信息!$B:$B)+1),MATCH($F723,站位样品信息!$A$3:INDEX(站位样品信息!$A:$A,COUNTA(站位样品信息!$A:$A)+1),),))</f>
        <v/>
      </c>
      <c r="H723" s="55" t="str">
        <f>IF(OR(A723&lt;&gt;"",B723&lt;&gt;"",C723&lt;&gt;""),IF($C723&lt;&gt;0,INDEX(生物种群!$A$3:INDEX(生物种群!$A:$A,COUNTA(生物种群!$A:$A)),MATCH($C723,生物种群!$F$3:INDEX(生物种群!$F:$F,COUNTA(生物种群!$F:$F)),),),IF($A723&lt;&gt;0,INDEX(生物种群!$A$3:INDEX(生物种群!$A:$A,COUNTA(生物种群!$A:$A)),MATCH($A723,生物种群!$C$3:INDEX(生物种群!$C:$C,COUNTA(生物种群!$C:$C)),),),INDEX(生物种群!$A$3:INDEX(生物种群!$A:$A,COUNTA(生物种群!$A:$A)),MATCH($B723,生物种群!$D$3:INDEX(生物种群!$D:$D,COUNTA(生物种群!$D:$D)),),))),"")</f>
        <v/>
      </c>
      <c r="I723" s="56" t="str">
        <f>IF(H723="","",INDEX(生物种群!$B$3:INDEX(生物种群!$B:$B,COUNTA(生物种群!$B:$B)),MATCH($H723,生物种群!$A$3:INDEX(生物种群!$A:$A,COUNTA(生物种群!$A:$A)),),))</f>
        <v/>
      </c>
      <c r="J723" s="55" t="str">
        <f>IF(H723="","",INDEX(生物种群!$I$3:INDEX(生物种群!$I:$I,COUNTA(生物种群!$I:$I)),MATCH($H723,生物种群!$A$3:INDEX(生物种群!$A:$A,COUNTA(生物种群!$A:$A)),),))</f>
        <v/>
      </c>
      <c r="K723" s="55" t="str">
        <f>IF(H723="","",INDEX(生物种群!$E$3:INDEX(生物种群!$E:$E,COUNTA(生物种群!$E:$E)),MATCH($H723,生物种群!$A$3:INDEX(生物种群!$A:$A,COUNTA(生物种群!$A:$A)),),))</f>
        <v/>
      </c>
      <c r="L723" s="46" t="str">
        <f t="shared" si="39"/>
        <v/>
      </c>
      <c r="M723" s="47" t="str">
        <f>IF(L723="","",ROUND((L723)/VLOOKUP($F723,IF({1,0},站位样品信息!$A$3:INDEX(站位样品信息!$A:$A,COUNTA(站位样品信息!$A:$A)+1),站位样品信息!$H$3:INDEX(站位样品信息!$H:$H,COUNTA(站位样品信息!$H:$H)+1)),2,0),2))</f>
        <v/>
      </c>
      <c r="O723" s="49"/>
      <c r="P723" s="53" t="str">
        <f t="shared" si="37"/>
        <v/>
      </c>
      <c r="Q723" s="53" t="str">
        <f t="shared" si="38"/>
        <v/>
      </c>
    </row>
    <row r="724" spans="1:17" ht="19.5" customHeight="1">
      <c r="A724" s="38"/>
      <c r="B724" s="38"/>
      <c r="C724" s="38"/>
      <c r="D724" s="37"/>
      <c r="E724" s="37"/>
      <c r="F724" s="37"/>
      <c r="G724" s="37" t="str">
        <f>IF(F724="","",INDEX(站位样品信息!$B$3:INDEX(站位样品信息!$B:$B,COUNTA(站位样品信息!$B:$B)+1),MATCH($F724,站位样品信息!$A$3:INDEX(站位样品信息!$A:$A,COUNTA(站位样品信息!$A:$A)+1),),))</f>
        <v/>
      </c>
      <c r="H724" s="55" t="str">
        <f>IF(OR(A724&lt;&gt;"",B724&lt;&gt;"",C724&lt;&gt;""),IF($C724&lt;&gt;0,INDEX(生物种群!$A$3:INDEX(生物种群!$A:$A,COUNTA(生物种群!$A:$A)),MATCH($C724,生物种群!$F$3:INDEX(生物种群!$F:$F,COUNTA(生物种群!$F:$F)),),),IF($A724&lt;&gt;0,INDEX(生物种群!$A$3:INDEX(生物种群!$A:$A,COUNTA(生物种群!$A:$A)),MATCH($A724,生物种群!$C$3:INDEX(生物种群!$C:$C,COUNTA(生物种群!$C:$C)),),),INDEX(生物种群!$A$3:INDEX(生物种群!$A:$A,COUNTA(生物种群!$A:$A)),MATCH($B724,生物种群!$D$3:INDEX(生物种群!$D:$D,COUNTA(生物种群!$D:$D)),),))),"")</f>
        <v/>
      </c>
      <c r="I724" s="56" t="str">
        <f>IF(H724="","",INDEX(生物种群!$B$3:INDEX(生物种群!$B:$B,COUNTA(生物种群!$B:$B)),MATCH($H724,生物种群!$A$3:INDEX(生物种群!$A:$A,COUNTA(生物种群!$A:$A)),),))</f>
        <v/>
      </c>
      <c r="J724" s="55" t="str">
        <f>IF(H724="","",INDEX(生物种群!$I$3:INDEX(生物种群!$I:$I,COUNTA(生物种群!$I:$I)),MATCH($H724,生物种群!$A$3:INDEX(生物种群!$A:$A,COUNTA(生物种群!$A:$A)),),))</f>
        <v/>
      </c>
      <c r="K724" s="55" t="str">
        <f>IF(H724="","",INDEX(生物种群!$E$3:INDEX(生物种群!$E:$E,COUNTA(生物种群!$E:$E)),MATCH($H724,生物种群!$A$3:INDEX(生物种群!$A:$A,COUNTA(生物种群!$A:$A)),),))</f>
        <v/>
      </c>
      <c r="L724" s="46" t="str">
        <f t="shared" si="39"/>
        <v/>
      </c>
      <c r="M724" s="47" t="str">
        <f>IF(L724="","",ROUND((L724)/VLOOKUP($F724,IF({1,0},站位样品信息!$A$3:INDEX(站位样品信息!$A:$A,COUNTA(站位样品信息!$A:$A)+1),站位样品信息!$H$3:INDEX(站位样品信息!$H:$H,COUNTA(站位样品信息!$H:$H)+1)),2,0),2))</f>
        <v/>
      </c>
      <c r="O724" s="49"/>
      <c r="P724" s="53" t="str">
        <f t="shared" si="37"/>
        <v/>
      </c>
      <c r="Q724" s="53" t="str">
        <f t="shared" si="38"/>
        <v/>
      </c>
    </row>
    <row r="725" spans="1:17" ht="19.5" customHeight="1">
      <c r="A725" s="38"/>
      <c r="B725" s="38"/>
      <c r="C725" s="38"/>
      <c r="D725" s="37"/>
      <c r="E725" s="37"/>
      <c r="F725" s="37"/>
      <c r="G725" s="37" t="str">
        <f>IF(F725="","",INDEX(站位样品信息!$B$3:INDEX(站位样品信息!$B:$B,COUNTA(站位样品信息!$B:$B)+1),MATCH($F725,站位样品信息!$A$3:INDEX(站位样品信息!$A:$A,COUNTA(站位样品信息!$A:$A)+1),),))</f>
        <v/>
      </c>
      <c r="H725" s="55" t="str">
        <f>IF(OR(A725&lt;&gt;"",B725&lt;&gt;"",C725&lt;&gt;""),IF($C725&lt;&gt;0,INDEX(生物种群!$A$3:INDEX(生物种群!$A:$A,COUNTA(生物种群!$A:$A)),MATCH($C725,生物种群!$F$3:INDEX(生物种群!$F:$F,COUNTA(生物种群!$F:$F)),),),IF($A725&lt;&gt;0,INDEX(生物种群!$A$3:INDEX(生物种群!$A:$A,COUNTA(生物种群!$A:$A)),MATCH($A725,生物种群!$C$3:INDEX(生物种群!$C:$C,COUNTA(生物种群!$C:$C)),),),INDEX(生物种群!$A$3:INDEX(生物种群!$A:$A,COUNTA(生物种群!$A:$A)),MATCH($B725,生物种群!$D$3:INDEX(生物种群!$D:$D,COUNTA(生物种群!$D:$D)),),))),"")</f>
        <v/>
      </c>
      <c r="I725" s="56" t="str">
        <f>IF(H725="","",INDEX(生物种群!$B$3:INDEX(生物种群!$B:$B,COUNTA(生物种群!$B:$B)),MATCH($H725,生物种群!$A$3:INDEX(生物种群!$A:$A,COUNTA(生物种群!$A:$A)),),))</f>
        <v/>
      </c>
      <c r="J725" s="55" t="str">
        <f>IF(H725="","",INDEX(生物种群!$I$3:INDEX(生物种群!$I:$I,COUNTA(生物种群!$I:$I)),MATCH($H725,生物种群!$A$3:INDEX(生物种群!$A:$A,COUNTA(生物种群!$A:$A)),),))</f>
        <v/>
      </c>
      <c r="K725" s="55" t="str">
        <f>IF(H725="","",INDEX(生物种群!$E$3:INDEX(生物种群!$E:$E,COUNTA(生物种群!$E:$E)),MATCH($H725,生物种群!$A$3:INDEX(生物种群!$A:$A,COUNTA(生物种群!$A:$A)),),))</f>
        <v/>
      </c>
      <c r="L725" s="46" t="str">
        <f t="shared" si="39"/>
        <v/>
      </c>
      <c r="M725" s="47" t="str">
        <f>IF(L725="","",ROUND((L725)/VLOOKUP($F725,IF({1,0},站位样品信息!$A$3:INDEX(站位样品信息!$A:$A,COUNTA(站位样品信息!$A:$A)+1),站位样品信息!$H$3:INDEX(站位样品信息!$H:$H,COUNTA(站位样品信息!$H:$H)+1)),2,0),2))</f>
        <v/>
      </c>
      <c r="O725" s="49"/>
      <c r="P725" s="53" t="str">
        <f t="shared" si="37"/>
        <v/>
      </c>
      <c r="Q725" s="53" t="str">
        <f t="shared" si="38"/>
        <v/>
      </c>
    </row>
    <row r="726" spans="1:17" ht="19.5" customHeight="1">
      <c r="A726" s="38"/>
      <c r="B726" s="38"/>
      <c r="C726" s="38"/>
      <c r="D726" s="37"/>
      <c r="E726" s="37"/>
      <c r="F726" s="37"/>
      <c r="G726" s="37" t="str">
        <f>IF(F726="","",INDEX(站位样品信息!$B$3:INDEX(站位样品信息!$B:$B,COUNTA(站位样品信息!$B:$B)+1),MATCH($F726,站位样品信息!$A$3:INDEX(站位样品信息!$A:$A,COUNTA(站位样品信息!$A:$A)+1),),))</f>
        <v/>
      </c>
      <c r="H726" s="55" t="str">
        <f>IF(OR(A726&lt;&gt;"",B726&lt;&gt;"",C726&lt;&gt;""),IF($C726&lt;&gt;0,INDEX(生物种群!$A$3:INDEX(生物种群!$A:$A,COUNTA(生物种群!$A:$A)),MATCH($C726,生物种群!$F$3:INDEX(生物种群!$F:$F,COUNTA(生物种群!$F:$F)),),),IF($A726&lt;&gt;0,INDEX(生物种群!$A$3:INDEX(生物种群!$A:$A,COUNTA(生物种群!$A:$A)),MATCH($A726,生物种群!$C$3:INDEX(生物种群!$C:$C,COUNTA(生物种群!$C:$C)),),),INDEX(生物种群!$A$3:INDEX(生物种群!$A:$A,COUNTA(生物种群!$A:$A)),MATCH($B726,生物种群!$D$3:INDEX(生物种群!$D:$D,COUNTA(生物种群!$D:$D)),),))),"")</f>
        <v/>
      </c>
      <c r="I726" s="56" t="str">
        <f>IF(H726="","",INDEX(生物种群!$B$3:INDEX(生物种群!$B:$B,COUNTA(生物种群!$B:$B)),MATCH($H726,生物种群!$A$3:INDEX(生物种群!$A:$A,COUNTA(生物种群!$A:$A)),),))</f>
        <v/>
      </c>
      <c r="J726" s="55" t="str">
        <f>IF(H726="","",INDEX(生物种群!$I$3:INDEX(生物种群!$I:$I,COUNTA(生物种群!$I:$I)),MATCH($H726,生物种群!$A$3:INDEX(生物种群!$A:$A,COUNTA(生物种群!$A:$A)),),))</f>
        <v/>
      </c>
      <c r="K726" s="55" t="str">
        <f>IF(H726="","",INDEX(生物种群!$E$3:INDEX(生物种群!$E:$E,COUNTA(生物种群!$E:$E)),MATCH($H726,生物种群!$A$3:INDEX(生物种群!$A:$A,COUNTA(生物种群!$A:$A)),),))</f>
        <v/>
      </c>
      <c r="L726" s="46" t="str">
        <f t="shared" si="39"/>
        <v/>
      </c>
      <c r="M726" s="47" t="str">
        <f>IF(L726="","",ROUND((L726)/VLOOKUP($F726,IF({1,0},站位样品信息!$A$3:INDEX(站位样品信息!$A:$A,COUNTA(站位样品信息!$A:$A)+1),站位样品信息!$H$3:INDEX(站位样品信息!$H:$H,COUNTA(站位样品信息!$H:$H)+1)),2,0),2))</f>
        <v/>
      </c>
      <c r="O726" s="49"/>
      <c r="P726" s="53" t="str">
        <f t="shared" si="37"/>
        <v/>
      </c>
      <c r="Q726" s="53" t="str">
        <f t="shared" si="38"/>
        <v/>
      </c>
    </row>
    <row r="727" spans="1:17" ht="19.5" customHeight="1">
      <c r="A727" s="38"/>
      <c r="B727" s="38"/>
      <c r="C727" s="38"/>
      <c r="D727" s="37"/>
      <c r="E727" s="37"/>
      <c r="F727" s="37"/>
      <c r="G727" s="37" t="str">
        <f>IF(F727="","",INDEX(站位样品信息!$B$3:INDEX(站位样品信息!$B:$B,COUNTA(站位样品信息!$B:$B)+1),MATCH($F727,站位样品信息!$A$3:INDEX(站位样品信息!$A:$A,COUNTA(站位样品信息!$A:$A)+1),),))</f>
        <v/>
      </c>
      <c r="H727" s="55" t="str">
        <f>IF(OR(A727&lt;&gt;"",B727&lt;&gt;"",C727&lt;&gt;""),IF($C727&lt;&gt;0,INDEX(生物种群!$A$3:INDEX(生物种群!$A:$A,COUNTA(生物种群!$A:$A)),MATCH($C727,生物种群!$F$3:INDEX(生物种群!$F:$F,COUNTA(生物种群!$F:$F)),),),IF($A727&lt;&gt;0,INDEX(生物种群!$A$3:INDEX(生物种群!$A:$A,COUNTA(生物种群!$A:$A)),MATCH($A727,生物种群!$C$3:INDEX(生物种群!$C:$C,COUNTA(生物种群!$C:$C)),),),INDEX(生物种群!$A$3:INDEX(生物种群!$A:$A,COUNTA(生物种群!$A:$A)),MATCH($B727,生物种群!$D$3:INDEX(生物种群!$D:$D,COUNTA(生物种群!$D:$D)),),))),"")</f>
        <v/>
      </c>
      <c r="I727" s="56" t="str">
        <f>IF(H727="","",INDEX(生物种群!$B$3:INDEX(生物种群!$B:$B,COUNTA(生物种群!$B:$B)),MATCH($H727,生物种群!$A$3:INDEX(生物种群!$A:$A,COUNTA(生物种群!$A:$A)),),))</f>
        <v/>
      </c>
      <c r="J727" s="55" t="str">
        <f>IF(H727="","",INDEX(生物种群!$I$3:INDEX(生物种群!$I:$I,COUNTA(生物种群!$I:$I)),MATCH($H727,生物种群!$A$3:INDEX(生物种群!$A:$A,COUNTA(生物种群!$A:$A)),),))</f>
        <v/>
      </c>
      <c r="K727" s="55" t="str">
        <f>IF(H727="","",INDEX(生物种群!$E$3:INDEX(生物种群!$E:$E,COUNTA(生物种群!$E:$E)),MATCH($H727,生物种群!$A$3:INDEX(生物种群!$A:$A,COUNTA(生物种群!$A:$A)),),))</f>
        <v/>
      </c>
      <c r="L727" s="46" t="str">
        <f t="shared" si="39"/>
        <v/>
      </c>
      <c r="M727" s="47" t="str">
        <f>IF(L727="","",ROUND((L727)/VLOOKUP($F727,IF({1,0},站位样品信息!$A$3:INDEX(站位样品信息!$A:$A,COUNTA(站位样品信息!$A:$A)+1),站位样品信息!$H$3:INDEX(站位样品信息!$H:$H,COUNTA(站位样品信息!$H:$H)+1)),2,0),2))</f>
        <v/>
      </c>
      <c r="O727" s="49"/>
      <c r="P727" s="53" t="str">
        <f t="shared" si="37"/>
        <v/>
      </c>
      <c r="Q727" s="53" t="str">
        <f t="shared" si="38"/>
        <v/>
      </c>
    </row>
    <row r="728" spans="1:17" ht="19.5" customHeight="1">
      <c r="A728" s="38"/>
      <c r="B728" s="38"/>
      <c r="C728" s="38"/>
      <c r="D728" s="37"/>
      <c r="E728" s="37"/>
      <c r="F728" s="37"/>
      <c r="G728" s="37" t="str">
        <f>IF(F728="","",INDEX(站位样品信息!$B$3:INDEX(站位样品信息!$B:$B,COUNTA(站位样品信息!$B:$B)+1),MATCH($F728,站位样品信息!$A$3:INDEX(站位样品信息!$A:$A,COUNTA(站位样品信息!$A:$A)+1),),))</f>
        <v/>
      </c>
      <c r="H728" s="55" t="str">
        <f>IF(OR(A728&lt;&gt;"",B728&lt;&gt;"",C728&lt;&gt;""),IF($C728&lt;&gt;0,INDEX(生物种群!$A$3:INDEX(生物种群!$A:$A,COUNTA(生物种群!$A:$A)),MATCH($C728,生物种群!$F$3:INDEX(生物种群!$F:$F,COUNTA(生物种群!$F:$F)),),),IF($A728&lt;&gt;0,INDEX(生物种群!$A$3:INDEX(生物种群!$A:$A,COUNTA(生物种群!$A:$A)),MATCH($A728,生物种群!$C$3:INDEX(生物种群!$C:$C,COUNTA(生物种群!$C:$C)),),),INDEX(生物种群!$A$3:INDEX(生物种群!$A:$A,COUNTA(生物种群!$A:$A)),MATCH($B728,生物种群!$D$3:INDEX(生物种群!$D:$D,COUNTA(生物种群!$D:$D)),),))),"")</f>
        <v/>
      </c>
      <c r="I728" s="56" t="str">
        <f>IF(H728="","",INDEX(生物种群!$B$3:INDEX(生物种群!$B:$B,COUNTA(生物种群!$B:$B)),MATCH($H728,生物种群!$A$3:INDEX(生物种群!$A:$A,COUNTA(生物种群!$A:$A)),),))</f>
        <v/>
      </c>
      <c r="J728" s="55" t="str">
        <f>IF(H728="","",INDEX(生物种群!$I$3:INDEX(生物种群!$I:$I,COUNTA(生物种群!$I:$I)),MATCH($H728,生物种群!$A$3:INDEX(生物种群!$A:$A,COUNTA(生物种群!$A:$A)),),))</f>
        <v/>
      </c>
      <c r="K728" s="55" t="str">
        <f>IF(H728="","",INDEX(生物种群!$E$3:INDEX(生物种群!$E:$E,COUNTA(生物种群!$E:$E)),MATCH($H728,生物种群!$A$3:INDEX(生物种群!$A:$A,COUNTA(生物种群!$A:$A)),),))</f>
        <v/>
      </c>
      <c r="L728" s="46" t="str">
        <f t="shared" si="39"/>
        <v/>
      </c>
      <c r="M728" s="47" t="str">
        <f>IF(L728="","",ROUND((L728)/VLOOKUP($F728,IF({1,0},站位样品信息!$A$3:INDEX(站位样品信息!$A:$A,COUNTA(站位样品信息!$A:$A)+1),站位样品信息!$H$3:INDEX(站位样品信息!$H:$H,COUNTA(站位样品信息!$H:$H)+1)),2,0),2))</f>
        <v/>
      </c>
      <c r="O728" s="49"/>
      <c r="P728" s="53" t="str">
        <f t="shared" si="37"/>
        <v/>
      </c>
      <c r="Q728" s="53" t="str">
        <f t="shared" si="38"/>
        <v/>
      </c>
    </row>
    <row r="729" spans="1:17" ht="19.5" customHeight="1">
      <c r="A729" s="38"/>
      <c r="B729" s="38"/>
      <c r="C729" s="38"/>
      <c r="D729" s="37"/>
      <c r="E729" s="37"/>
      <c r="F729" s="37"/>
      <c r="G729" s="37" t="str">
        <f>IF(F729="","",INDEX(站位样品信息!$B$3:INDEX(站位样品信息!$B:$B,COUNTA(站位样品信息!$B:$B)+1),MATCH($F729,站位样品信息!$A$3:INDEX(站位样品信息!$A:$A,COUNTA(站位样品信息!$A:$A)+1),),))</f>
        <v/>
      </c>
      <c r="H729" s="55" t="str">
        <f>IF(OR(A729&lt;&gt;"",B729&lt;&gt;"",C729&lt;&gt;""),IF($C729&lt;&gt;0,INDEX(生物种群!$A$3:INDEX(生物种群!$A:$A,COUNTA(生物种群!$A:$A)),MATCH($C729,生物种群!$F$3:INDEX(生物种群!$F:$F,COUNTA(生物种群!$F:$F)),),),IF($A729&lt;&gt;0,INDEX(生物种群!$A$3:INDEX(生物种群!$A:$A,COUNTA(生物种群!$A:$A)),MATCH($A729,生物种群!$C$3:INDEX(生物种群!$C:$C,COUNTA(生物种群!$C:$C)),),),INDEX(生物种群!$A$3:INDEX(生物种群!$A:$A,COUNTA(生物种群!$A:$A)),MATCH($B729,生物种群!$D$3:INDEX(生物种群!$D:$D,COUNTA(生物种群!$D:$D)),),))),"")</f>
        <v/>
      </c>
      <c r="I729" s="56" t="str">
        <f>IF(H729="","",INDEX(生物种群!$B$3:INDEX(生物种群!$B:$B,COUNTA(生物种群!$B:$B)),MATCH($H729,生物种群!$A$3:INDEX(生物种群!$A:$A,COUNTA(生物种群!$A:$A)),),))</f>
        <v/>
      </c>
      <c r="J729" s="55" t="str">
        <f>IF(H729="","",INDEX(生物种群!$I$3:INDEX(生物种群!$I:$I,COUNTA(生物种群!$I:$I)),MATCH($H729,生物种群!$A$3:INDEX(生物种群!$A:$A,COUNTA(生物种群!$A:$A)),),))</f>
        <v/>
      </c>
      <c r="K729" s="55" t="str">
        <f>IF(H729="","",INDEX(生物种群!$E$3:INDEX(生物种群!$E:$E,COUNTA(生物种群!$E:$E)),MATCH($H729,生物种群!$A$3:INDEX(生物种群!$A:$A,COUNTA(生物种群!$A:$A)),),))</f>
        <v/>
      </c>
      <c r="L729" s="46" t="str">
        <f t="shared" si="39"/>
        <v/>
      </c>
      <c r="M729" s="47" t="str">
        <f>IF(L729="","",ROUND((L729)/VLOOKUP($F729,IF({1,0},站位样品信息!$A$3:INDEX(站位样品信息!$A:$A,COUNTA(站位样品信息!$A:$A)+1),站位样品信息!$H$3:INDEX(站位样品信息!$H:$H,COUNTA(站位样品信息!$H:$H)+1)),2,0),2))</f>
        <v/>
      </c>
      <c r="O729" s="49"/>
      <c r="P729" s="53" t="str">
        <f t="shared" si="37"/>
        <v/>
      </c>
      <c r="Q729" s="53" t="str">
        <f t="shared" si="38"/>
        <v/>
      </c>
    </row>
    <row r="730" spans="1:17" ht="19.5" customHeight="1">
      <c r="A730" s="38"/>
      <c r="B730" s="38"/>
      <c r="C730" s="38"/>
      <c r="D730" s="37"/>
      <c r="E730" s="37"/>
      <c r="F730" s="37"/>
      <c r="G730" s="37" t="str">
        <f>IF(F730="","",INDEX(站位样品信息!$B$3:INDEX(站位样品信息!$B:$B,COUNTA(站位样品信息!$B:$B)+1),MATCH($F730,站位样品信息!$A$3:INDEX(站位样品信息!$A:$A,COUNTA(站位样品信息!$A:$A)+1),),))</f>
        <v/>
      </c>
      <c r="H730" s="55" t="str">
        <f>IF(OR(A730&lt;&gt;"",B730&lt;&gt;"",C730&lt;&gt;""),IF($C730&lt;&gt;0,INDEX(生物种群!$A$3:INDEX(生物种群!$A:$A,COUNTA(生物种群!$A:$A)),MATCH($C730,生物种群!$F$3:INDEX(生物种群!$F:$F,COUNTA(生物种群!$F:$F)),),),IF($A730&lt;&gt;0,INDEX(生物种群!$A$3:INDEX(生物种群!$A:$A,COUNTA(生物种群!$A:$A)),MATCH($A730,生物种群!$C$3:INDEX(生物种群!$C:$C,COUNTA(生物种群!$C:$C)),),),INDEX(生物种群!$A$3:INDEX(生物种群!$A:$A,COUNTA(生物种群!$A:$A)),MATCH($B730,生物种群!$D$3:INDEX(生物种群!$D:$D,COUNTA(生物种群!$D:$D)),),))),"")</f>
        <v/>
      </c>
      <c r="I730" s="56" t="str">
        <f>IF(H730="","",INDEX(生物种群!$B$3:INDEX(生物种群!$B:$B,COUNTA(生物种群!$B:$B)),MATCH($H730,生物种群!$A$3:INDEX(生物种群!$A:$A,COUNTA(生物种群!$A:$A)),),))</f>
        <v/>
      </c>
      <c r="J730" s="55" t="str">
        <f>IF(H730="","",INDEX(生物种群!$I$3:INDEX(生物种群!$I:$I,COUNTA(生物种群!$I:$I)),MATCH($H730,生物种群!$A$3:INDEX(生物种群!$A:$A,COUNTA(生物种群!$A:$A)),),))</f>
        <v/>
      </c>
      <c r="K730" s="55" t="str">
        <f>IF(H730="","",INDEX(生物种群!$E$3:INDEX(生物种群!$E:$E,COUNTA(生物种群!$E:$E)),MATCH($H730,生物种群!$A$3:INDEX(生物种群!$A:$A,COUNTA(生物种群!$A:$A)),),))</f>
        <v/>
      </c>
      <c r="L730" s="46" t="str">
        <f t="shared" si="39"/>
        <v/>
      </c>
      <c r="M730" s="47" t="str">
        <f>IF(L730="","",ROUND((L730)/VLOOKUP($F730,IF({1,0},站位样品信息!$A$3:INDEX(站位样品信息!$A:$A,COUNTA(站位样品信息!$A:$A)+1),站位样品信息!$H$3:INDEX(站位样品信息!$H:$H,COUNTA(站位样品信息!$H:$H)+1)),2,0),2))</f>
        <v/>
      </c>
      <c r="O730" s="49"/>
      <c r="P730" s="53" t="str">
        <f t="shared" si="37"/>
        <v/>
      </c>
      <c r="Q730" s="53" t="str">
        <f t="shared" si="38"/>
        <v/>
      </c>
    </row>
    <row r="731" spans="1:17" ht="19.5" customHeight="1">
      <c r="A731" s="38"/>
      <c r="B731" s="38"/>
      <c r="C731" s="38"/>
      <c r="D731" s="37"/>
      <c r="E731" s="37"/>
      <c r="F731" s="37"/>
      <c r="G731" s="37" t="str">
        <f>IF(F731="","",INDEX(站位样品信息!$B$3:INDEX(站位样品信息!$B:$B,COUNTA(站位样品信息!$B:$B)+1),MATCH($F731,站位样品信息!$A$3:INDEX(站位样品信息!$A:$A,COUNTA(站位样品信息!$A:$A)+1),),))</f>
        <v/>
      </c>
      <c r="H731" s="55" t="str">
        <f>IF(OR(A731&lt;&gt;"",B731&lt;&gt;"",C731&lt;&gt;""),IF($C731&lt;&gt;0,INDEX(生物种群!$A$3:INDEX(生物种群!$A:$A,COUNTA(生物种群!$A:$A)),MATCH($C731,生物种群!$F$3:INDEX(生物种群!$F:$F,COUNTA(生物种群!$F:$F)),),),IF($A731&lt;&gt;0,INDEX(生物种群!$A$3:INDEX(生物种群!$A:$A,COUNTA(生物种群!$A:$A)),MATCH($A731,生物种群!$C$3:INDEX(生物种群!$C:$C,COUNTA(生物种群!$C:$C)),),),INDEX(生物种群!$A$3:INDEX(生物种群!$A:$A,COUNTA(生物种群!$A:$A)),MATCH($B731,生物种群!$D$3:INDEX(生物种群!$D:$D,COUNTA(生物种群!$D:$D)),),))),"")</f>
        <v/>
      </c>
      <c r="I731" s="56" t="str">
        <f>IF(H731="","",INDEX(生物种群!$B$3:INDEX(生物种群!$B:$B,COUNTA(生物种群!$B:$B)),MATCH($H731,生物种群!$A$3:INDEX(生物种群!$A:$A,COUNTA(生物种群!$A:$A)),),))</f>
        <v/>
      </c>
      <c r="J731" s="55" t="str">
        <f>IF(H731="","",INDEX(生物种群!$I$3:INDEX(生物种群!$I:$I,COUNTA(生物种群!$I:$I)),MATCH($H731,生物种群!$A$3:INDEX(生物种群!$A:$A,COUNTA(生物种群!$A:$A)),),))</f>
        <v/>
      </c>
      <c r="K731" s="55" t="str">
        <f>IF(H731="","",INDEX(生物种群!$E$3:INDEX(生物种群!$E:$E,COUNTA(生物种群!$E:$E)),MATCH($H731,生物种群!$A$3:INDEX(生物种群!$A:$A,COUNTA(生物种群!$A:$A)),),))</f>
        <v/>
      </c>
      <c r="L731" s="46" t="str">
        <f t="shared" si="39"/>
        <v/>
      </c>
      <c r="M731" s="47" t="str">
        <f>IF(L731="","",ROUND((L731)/VLOOKUP($F731,IF({1,0},站位样品信息!$A$3:INDEX(站位样品信息!$A:$A,COUNTA(站位样品信息!$A:$A)+1),站位样品信息!$H$3:INDEX(站位样品信息!$H:$H,COUNTA(站位样品信息!$H:$H)+1)),2,0),2))</f>
        <v/>
      </c>
      <c r="O731" s="49"/>
      <c r="P731" s="53" t="str">
        <f t="shared" si="37"/>
        <v/>
      </c>
      <c r="Q731" s="53" t="str">
        <f t="shared" si="38"/>
        <v/>
      </c>
    </row>
    <row r="732" spans="1:17" ht="19.5" customHeight="1">
      <c r="A732" s="38"/>
      <c r="B732" s="38"/>
      <c r="C732" s="38"/>
      <c r="D732" s="37"/>
      <c r="E732" s="37"/>
      <c r="F732" s="37"/>
      <c r="G732" s="37" t="str">
        <f>IF(F732="","",INDEX(站位样品信息!$B$3:INDEX(站位样品信息!$B:$B,COUNTA(站位样品信息!$B:$B)+1),MATCH($F732,站位样品信息!$A$3:INDEX(站位样品信息!$A:$A,COUNTA(站位样品信息!$A:$A)+1),),))</f>
        <v/>
      </c>
      <c r="H732" s="55" t="str">
        <f>IF(OR(A732&lt;&gt;"",B732&lt;&gt;"",C732&lt;&gt;""),IF($C732&lt;&gt;0,INDEX(生物种群!$A$3:INDEX(生物种群!$A:$A,COUNTA(生物种群!$A:$A)),MATCH($C732,生物种群!$F$3:INDEX(生物种群!$F:$F,COUNTA(生物种群!$F:$F)),),),IF($A732&lt;&gt;0,INDEX(生物种群!$A$3:INDEX(生物种群!$A:$A,COUNTA(生物种群!$A:$A)),MATCH($A732,生物种群!$C$3:INDEX(生物种群!$C:$C,COUNTA(生物种群!$C:$C)),),),INDEX(生物种群!$A$3:INDEX(生物种群!$A:$A,COUNTA(生物种群!$A:$A)),MATCH($B732,生物种群!$D$3:INDEX(生物种群!$D:$D,COUNTA(生物种群!$D:$D)),),))),"")</f>
        <v/>
      </c>
      <c r="I732" s="56" t="str">
        <f>IF(H732="","",INDEX(生物种群!$B$3:INDEX(生物种群!$B:$B,COUNTA(生物种群!$B:$B)),MATCH($H732,生物种群!$A$3:INDEX(生物种群!$A:$A,COUNTA(生物种群!$A:$A)),),))</f>
        <v/>
      </c>
      <c r="J732" s="55" t="str">
        <f>IF(H732="","",INDEX(生物种群!$I$3:INDEX(生物种群!$I:$I,COUNTA(生物种群!$I:$I)),MATCH($H732,生物种群!$A$3:INDEX(生物种群!$A:$A,COUNTA(生物种群!$A:$A)),),))</f>
        <v/>
      </c>
      <c r="K732" s="55" t="str">
        <f>IF(H732="","",INDEX(生物种群!$E$3:INDEX(生物种群!$E:$E,COUNTA(生物种群!$E:$E)),MATCH($H732,生物种群!$A$3:INDEX(生物种群!$A:$A,COUNTA(生物种群!$A:$A)),),))</f>
        <v/>
      </c>
      <c r="L732" s="46" t="str">
        <f t="shared" si="39"/>
        <v/>
      </c>
      <c r="M732" s="47" t="str">
        <f>IF(L732="","",ROUND((L732)/VLOOKUP($F732,IF({1,0},站位样品信息!$A$3:INDEX(站位样品信息!$A:$A,COUNTA(站位样品信息!$A:$A)+1),站位样品信息!$H$3:INDEX(站位样品信息!$H:$H,COUNTA(站位样品信息!$H:$H)+1)),2,0),2))</f>
        <v/>
      </c>
      <c r="O732" s="49"/>
      <c r="P732" s="53" t="str">
        <f t="shared" si="37"/>
        <v/>
      </c>
      <c r="Q732" s="53" t="str">
        <f t="shared" si="38"/>
        <v/>
      </c>
    </row>
    <row r="733" spans="1:17" ht="19.5" customHeight="1">
      <c r="A733" s="38"/>
      <c r="B733" s="38"/>
      <c r="C733" s="38"/>
      <c r="D733" s="37"/>
      <c r="E733" s="37"/>
      <c r="F733" s="37"/>
      <c r="G733" s="37" t="str">
        <f>IF(F733="","",INDEX(站位样品信息!$B$3:INDEX(站位样品信息!$B:$B,COUNTA(站位样品信息!$B:$B)+1),MATCH($F733,站位样品信息!$A$3:INDEX(站位样品信息!$A:$A,COUNTA(站位样品信息!$A:$A)+1),),))</f>
        <v/>
      </c>
      <c r="H733" s="55" t="str">
        <f>IF(OR(A733&lt;&gt;"",B733&lt;&gt;"",C733&lt;&gt;""),IF($C733&lt;&gt;0,INDEX(生物种群!$A$3:INDEX(生物种群!$A:$A,COUNTA(生物种群!$A:$A)),MATCH($C733,生物种群!$F$3:INDEX(生物种群!$F:$F,COUNTA(生物种群!$F:$F)),),),IF($A733&lt;&gt;0,INDEX(生物种群!$A$3:INDEX(生物种群!$A:$A,COUNTA(生物种群!$A:$A)),MATCH($A733,生物种群!$C$3:INDEX(生物种群!$C:$C,COUNTA(生物种群!$C:$C)),),),INDEX(生物种群!$A$3:INDEX(生物种群!$A:$A,COUNTA(生物种群!$A:$A)),MATCH($B733,生物种群!$D$3:INDEX(生物种群!$D:$D,COUNTA(生物种群!$D:$D)),),))),"")</f>
        <v/>
      </c>
      <c r="I733" s="56" t="str">
        <f>IF(H733="","",INDEX(生物种群!$B$3:INDEX(生物种群!$B:$B,COUNTA(生物种群!$B:$B)),MATCH($H733,生物种群!$A$3:INDEX(生物种群!$A:$A,COUNTA(生物种群!$A:$A)),),))</f>
        <v/>
      </c>
      <c r="J733" s="55" t="str">
        <f>IF(H733="","",INDEX(生物种群!$I$3:INDEX(生物种群!$I:$I,COUNTA(生物种群!$I:$I)),MATCH($H733,生物种群!$A$3:INDEX(生物种群!$A:$A,COUNTA(生物种群!$A:$A)),),))</f>
        <v/>
      </c>
      <c r="K733" s="55" t="str">
        <f>IF(H733="","",INDEX(生物种群!$E$3:INDEX(生物种群!$E:$E,COUNTA(生物种群!$E:$E)),MATCH($H733,生物种群!$A$3:INDEX(生物种群!$A:$A,COUNTA(生物种群!$A:$A)),),))</f>
        <v/>
      </c>
      <c r="L733" s="46" t="str">
        <f t="shared" si="39"/>
        <v/>
      </c>
      <c r="M733" s="47" t="str">
        <f>IF(L733="","",ROUND((L733)/VLOOKUP($F733,IF({1,0},站位样品信息!$A$3:INDEX(站位样品信息!$A:$A,COUNTA(站位样品信息!$A:$A)+1),站位样品信息!$H$3:INDEX(站位样品信息!$H:$H,COUNTA(站位样品信息!$H:$H)+1)),2,0),2))</f>
        <v/>
      </c>
      <c r="O733" s="49"/>
      <c r="P733" s="53" t="str">
        <f t="shared" si="37"/>
        <v/>
      </c>
      <c r="Q733" s="53" t="str">
        <f t="shared" si="38"/>
        <v/>
      </c>
    </row>
    <row r="734" spans="1:17" ht="19.5" customHeight="1">
      <c r="A734" s="38"/>
      <c r="B734" s="38"/>
      <c r="C734" s="38"/>
      <c r="D734" s="37"/>
      <c r="E734" s="37"/>
      <c r="F734" s="37"/>
      <c r="G734" s="37" t="str">
        <f>IF(F734="","",INDEX(站位样品信息!$B$3:INDEX(站位样品信息!$B:$B,COUNTA(站位样品信息!$B:$B)+1),MATCH($F734,站位样品信息!$A$3:INDEX(站位样品信息!$A:$A,COUNTA(站位样品信息!$A:$A)+1),),))</f>
        <v/>
      </c>
      <c r="H734" s="55" t="str">
        <f>IF(OR(A734&lt;&gt;"",B734&lt;&gt;"",C734&lt;&gt;""),IF($C734&lt;&gt;0,INDEX(生物种群!$A$3:INDEX(生物种群!$A:$A,COUNTA(生物种群!$A:$A)),MATCH($C734,生物种群!$F$3:INDEX(生物种群!$F:$F,COUNTA(生物种群!$F:$F)),),),IF($A734&lt;&gt;0,INDEX(生物种群!$A$3:INDEX(生物种群!$A:$A,COUNTA(生物种群!$A:$A)),MATCH($A734,生物种群!$C$3:INDEX(生物种群!$C:$C,COUNTA(生物种群!$C:$C)),),),INDEX(生物种群!$A$3:INDEX(生物种群!$A:$A,COUNTA(生物种群!$A:$A)),MATCH($B734,生物种群!$D$3:INDEX(生物种群!$D:$D,COUNTA(生物种群!$D:$D)),),))),"")</f>
        <v/>
      </c>
      <c r="I734" s="56" t="str">
        <f>IF(H734="","",INDEX(生物种群!$B$3:INDEX(生物种群!$B:$B,COUNTA(生物种群!$B:$B)),MATCH($H734,生物种群!$A$3:INDEX(生物种群!$A:$A,COUNTA(生物种群!$A:$A)),),))</f>
        <v/>
      </c>
      <c r="J734" s="55" t="str">
        <f>IF(H734="","",INDEX(生物种群!$I$3:INDEX(生物种群!$I:$I,COUNTA(生物种群!$I:$I)),MATCH($H734,生物种群!$A$3:INDEX(生物种群!$A:$A,COUNTA(生物种群!$A:$A)),),))</f>
        <v/>
      </c>
      <c r="K734" s="55" t="str">
        <f>IF(H734="","",INDEX(生物种群!$E$3:INDEX(生物种群!$E:$E,COUNTA(生物种群!$E:$E)),MATCH($H734,生物种群!$A$3:INDEX(生物种群!$A:$A,COUNTA(生物种群!$A:$A)),),))</f>
        <v/>
      </c>
      <c r="L734" s="46" t="str">
        <f t="shared" si="39"/>
        <v/>
      </c>
      <c r="M734" s="47" t="str">
        <f>IF(L734="","",ROUND((L734)/VLOOKUP($F734,IF({1,0},站位样品信息!$A$3:INDEX(站位样品信息!$A:$A,COUNTA(站位样品信息!$A:$A)+1),站位样品信息!$H$3:INDEX(站位样品信息!$H:$H,COUNTA(站位样品信息!$H:$H)+1)),2,0),2))</f>
        <v/>
      </c>
      <c r="O734" s="49"/>
      <c r="P734" s="53" t="str">
        <f t="shared" si="37"/>
        <v/>
      </c>
      <c r="Q734" s="53" t="str">
        <f t="shared" si="38"/>
        <v/>
      </c>
    </row>
    <row r="735" spans="1:17" ht="19.5" customHeight="1">
      <c r="A735" s="38"/>
      <c r="B735" s="38"/>
      <c r="C735" s="38"/>
      <c r="D735" s="37"/>
      <c r="E735" s="37"/>
      <c r="F735" s="37"/>
      <c r="G735" s="37" t="str">
        <f>IF(F735="","",INDEX(站位样品信息!$B$3:INDEX(站位样品信息!$B:$B,COUNTA(站位样品信息!$B:$B)+1),MATCH($F735,站位样品信息!$A$3:INDEX(站位样品信息!$A:$A,COUNTA(站位样品信息!$A:$A)+1),),))</f>
        <v/>
      </c>
      <c r="H735" s="55" t="str">
        <f>IF(OR(A735&lt;&gt;"",B735&lt;&gt;"",C735&lt;&gt;""),IF($C735&lt;&gt;0,INDEX(生物种群!$A$3:INDEX(生物种群!$A:$A,COUNTA(生物种群!$A:$A)),MATCH($C735,生物种群!$F$3:INDEX(生物种群!$F:$F,COUNTA(生物种群!$F:$F)),),),IF($A735&lt;&gt;0,INDEX(生物种群!$A$3:INDEX(生物种群!$A:$A,COUNTA(生物种群!$A:$A)),MATCH($A735,生物种群!$C$3:INDEX(生物种群!$C:$C,COUNTA(生物种群!$C:$C)),),),INDEX(生物种群!$A$3:INDEX(生物种群!$A:$A,COUNTA(生物种群!$A:$A)),MATCH($B735,生物种群!$D$3:INDEX(生物种群!$D:$D,COUNTA(生物种群!$D:$D)),),))),"")</f>
        <v/>
      </c>
      <c r="I735" s="56" t="str">
        <f>IF(H735="","",INDEX(生物种群!$B$3:INDEX(生物种群!$B:$B,COUNTA(生物种群!$B:$B)),MATCH($H735,生物种群!$A$3:INDEX(生物种群!$A:$A,COUNTA(生物种群!$A:$A)),),))</f>
        <v/>
      </c>
      <c r="J735" s="55" t="str">
        <f>IF(H735="","",INDEX(生物种群!$I$3:INDEX(生物种群!$I:$I,COUNTA(生物种群!$I:$I)),MATCH($H735,生物种群!$A$3:INDEX(生物种群!$A:$A,COUNTA(生物种群!$A:$A)),),))</f>
        <v/>
      </c>
      <c r="K735" s="55" t="str">
        <f>IF(H735="","",INDEX(生物种群!$E$3:INDEX(生物种群!$E:$E,COUNTA(生物种群!$E:$E)),MATCH($H735,生物种群!$A$3:INDEX(生物种群!$A:$A,COUNTA(生物种群!$A:$A)),),))</f>
        <v/>
      </c>
      <c r="L735" s="46" t="str">
        <f t="shared" si="39"/>
        <v/>
      </c>
      <c r="M735" s="47" t="str">
        <f>IF(L735="","",ROUND((L735)/VLOOKUP($F735,IF({1,0},站位样品信息!$A$3:INDEX(站位样品信息!$A:$A,COUNTA(站位样品信息!$A:$A)+1),站位样品信息!$H$3:INDEX(站位样品信息!$H:$H,COUNTA(站位样品信息!$H:$H)+1)),2,0),2))</f>
        <v/>
      </c>
      <c r="O735" s="49"/>
      <c r="P735" s="53" t="str">
        <f t="shared" si="37"/>
        <v/>
      </c>
      <c r="Q735" s="53" t="str">
        <f t="shared" si="38"/>
        <v/>
      </c>
    </row>
    <row r="736" spans="1:17" ht="19.5" customHeight="1">
      <c r="A736" s="38"/>
      <c r="B736" s="38"/>
      <c r="C736" s="38"/>
      <c r="D736" s="37"/>
      <c r="E736" s="37"/>
      <c r="F736" s="37"/>
      <c r="G736" s="37" t="str">
        <f>IF(F736="","",INDEX(站位样品信息!$B$3:INDEX(站位样品信息!$B:$B,COUNTA(站位样品信息!$B:$B)+1),MATCH($F736,站位样品信息!$A$3:INDEX(站位样品信息!$A:$A,COUNTA(站位样品信息!$A:$A)+1),),))</f>
        <v/>
      </c>
      <c r="H736" s="55" t="str">
        <f>IF(OR(A736&lt;&gt;"",B736&lt;&gt;"",C736&lt;&gt;""),IF($C736&lt;&gt;0,INDEX(生物种群!$A$3:INDEX(生物种群!$A:$A,COUNTA(生物种群!$A:$A)),MATCH($C736,生物种群!$F$3:INDEX(生物种群!$F:$F,COUNTA(生物种群!$F:$F)),),),IF($A736&lt;&gt;0,INDEX(生物种群!$A$3:INDEX(生物种群!$A:$A,COUNTA(生物种群!$A:$A)),MATCH($A736,生物种群!$C$3:INDEX(生物种群!$C:$C,COUNTA(生物种群!$C:$C)),),),INDEX(生物种群!$A$3:INDEX(生物种群!$A:$A,COUNTA(生物种群!$A:$A)),MATCH($B736,生物种群!$D$3:INDEX(生物种群!$D:$D,COUNTA(生物种群!$D:$D)),),))),"")</f>
        <v/>
      </c>
      <c r="I736" s="56" t="str">
        <f>IF(H736="","",INDEX(生物种群!$B$3:INDEX(生物种群!$B:$B,COUNTA(生物种群!$B:$B)),MATCH($H736,生物种群!$A$3:INDEX(生物种群!$A:$A,COUNTA(生物种群!$A:$A)),),))</f>
        <v/>
      </c>
      <c r="J736" s="55" t="str">
        <f>IF(H736="","",INDEX(生物种群!$I$3:INDEX(生物种群!$I:$I,COUNTA(生物种群!$I:$I)),MATCH($H736,生物种群!$A$3:INDEX(生物种群!$A:$A,COUNTA(生物种群!$A:$A)),),))</f>
        <v/>
      </c>
      <c r="K736" s="55" t="str">
        <f>IF(H736="","",INDEX(生物种群!$E$3:INDEX(生物种群!$E:$E,COUNTA(生物种群!$E:$E)),MATCH($H736,生物种群!$A$3:INDEX(生物种群!$A:$A,COUNTA(生物种群!$A:$A)),),))</f>
        <v/>
      </c>
      <c r="L736" s="46" t="str">
        <f t="shared" si="39"/>
        <v/>
      </c>
      <c r="M736" s="47" t="str">
        <f>IF(L736="","",ROUND((L736)/VLOOKUP($F736,IF({1,0},站位样品信息!$A$3:INDEX(站位样品信息!$A:$A,COUNTA(站位样品信息!$A:$A)+1),站位样品信息!$H$3:INDEX(站位样品信息!$H:$H,COUNTA(站位样品信息!$H:$H)+1)),2,0),2))</f>
        <v/>
      </c>
      <c r="O736" s="49"/>
      <c r="P736" s="53" t="str">
        <f t="shared" si="37"/>
        <v/>
      </c>
      <c r="Q736" s="53" t="str">
        <f t="shared" si="38"/>
        <v/>
      </c>
    </row>
    <row r="737" spans="1:17" ht="19.5" customHeight="1">
      <c r="A737" s="38"/>
      <c r="B737" s="38"/>
      <c r="C737" s="38"/>
      <c r="D737" s="37"/>
      <c r="E737" s="37"/>
      <c r="F737" s="37"/>
      <c r="G737" s="37" t="str">
        <f>IF(F737="","",INDEX(站位样品信息!$B$3:INDEX(站位样品信息!$B:$B,COUNTA(站位样品信息!$B:$B)+1),MATCH($F737,站位样品信息!$A$3:INDEX(站位样品信息!$A:$A,COUNTA(站位样品信息!$A:$A)+1),),))</f>
        <v/>
      </c>
      <c r="H737" s="55" t="str">
        <f>IF(OR(A737&lt;&gt;"",B737&lt;&gt;"",C737&lt;&gt;""),IF($C737&lt;&gt;0,INDEX(生物种群!$A$3:INDEX(生物种群!$A:$A,COUNTA(生物种群!$A:$A)),MATCH($C737,生物种群!$F$3:INDEX(生物种群!$F:$F,COUNTA(生物种群!$F:$F)),),),IF($A737&lt;&gt;0,INDEX(生物种群!$A$3:INDEX(生物种群!$A:$A,COUNTA(生物种群!$A:$A)),MATCH($A737,生物种群!$C$3:INDEX(生物种群!$C:$C,COUNTA(生物种群!$C:$C)),),),INDEX(生物种群!$A$3:INDEX(生物种群!$A:$A,COUNTA(生物种群!$A:$A)),MATCH($B737,生物种群!$D$3:INDEX(生物种群!$D:$D,COUNTA(生物种群!$D:$D)),),))),"")</f>
        <v/>
      </c>
      <c r="I737" s="56" t="str">
        <f>IF(H737="","",INDEX(生物种群!$B$3:INDEX(生物种群!$B:$B,COUNTA(生物种群!$B:$B)),MATCH($H737,生物种群!$A$3:INDEX(生物种群!$A:$A,COUNTA(生物种群!$A:$A)),),))</f>
        <v/>
      </c>
      <c r="J737" s="55" t="str">
        <f>IF(H737="","",INDEX(生物种群!$I$3:INDEX(生物种群!$I:$I,COUNTA(生物种群!$I:$I)),MATCH($H737,生物种群!$A$3:INDEX(生物种群!$A:$A,COUNTA(生物种群!$A:$A)),),))</f>
        <v/>
      </c>
      <c r="K737" s="55" t="str">
        <f>IF(H737="","",INDEX(生物种群!$E$3:INDEX(生物种群!$E:$E,COUNTA(生物种群!$E:$E)),MATCH($H737,生物种群!$A$3:INDEX(生物种群!$A:$A,COUNTA(生物种群!$A:$A)),),))</f>
        <v/>
      </c>
      <c r="L737" s="46" t="str">
        <f t="shared" si="39"/>
        <v/>
      </c>
      <c r="M737" s="47" t="str">
        <f>IF(L737="","",ROUND((L737)/VLOOKUP($F737,IF({1,0},站位样品信息!$A$3:INDEX(站位样品信息!$A:$A,COUNTA(站位样品信息!$A:$A)+1),站位样品信息!$H$3:INDEX(站位样品信息!$H:$H,COUNTA(站位样品信息!$H:$H)+1)),2,0),2))</f>
        <v/>
      </c>
      <c r="O737" s="49"/>
      <c r="P737" s="53" t="str">
        <f t="shared" si="37"/>
        <v/>
      </c>
      <c r="Q737" s="53" t="str">
        <f t="shared" si="38"/>
        <v/>
      </c>
    </row>
    <row r="738" spans="1:17" ht="19.5" customHeight="1">
      <c r="A738" s="38"/>
      <c r="B738" s="38"/>
      <c r="C738" s="38"/>
      <c r="D738" s="37"/>
      <c r="E738" s="37"/>
      <c r="F738" s="37"/>
      <c r="G738" s="37" t="str">
        <f>IF(F738="","",INDEX(站位样品信息!$B$3:INDEX(站位样品信息!$B:$B,COUNTA(站位样品信息!$B:$B)+1),MATCH($F738,站位样品信息!$A$3:INDEX(站位样品信息!$A:$A,COUNTA(站位样品信息!$A:$A)+1),),))</f>
        <v/>
      </c>
      <c r="H738" s="55" t="str">
        <f>IF(OR(A738&lt;&gt;"",B738&lt;&gt;"",C738&lt;&gt;""),IF($C738&lt;&gt;0,INDEX(生物种群!$A$3:INDEX(生物种群!$A:$A,COUNTA(生物种群!$A:$A)),MATCH($C738,生物种群!$F$3:INDEX(生物种群!$F:$F,COUNTA(生物种群!$F:$F)),),),IF($A738&lt;&gt;0,INDEX(生物种群!$A$3:INDEX(生物种群!$A:$A,COUNTA(生物种群!$A:$A)),MATCH($A738,生物种群!$C$3:INDEX(生物种群!$C:$C,COUNTA(生物种群!$C:$C)),),),INDEX(生物种群!$A$3:INDEX(生物种群!$A:$A,COUNTA(生物种群!$A:$A)),MATCH($B738,生物种群!$D$3:INDEX(生物种群!$D:$D,COUNTA(生物种群!$D:$D)),),))),"")</f>
        <v/>
      </c>
      <c r="I738" s="56" t="str">
        <f>IF(H738="","",INDEX(生物种群!$B$3:INDEX(生物种群!$B:$B,COUNTA(生物种群!$B:$B)),MATCH($H738,生物种群!$A$3:INDEX(生物种群!$A:$A,COUNTA(生物种群!$A:$A)),),))</f>
        <v/>
      </c>
      <c r="J738" s="55" t="str">
        <f>IF(H738="","",INDEX(生物种群!$I$3:INDEX(生物种群!$I:$I,COUNTA(生物种群!$I:$I)),MATCH($H738,生物种群!$A$3:INDEX(生物种群!$A:$A,COUNTA(生物种群!$A:$A)),),))</f>
        <v/>
      </c>
      <c r="K738" s="55" t="str">
        <f>IF(H738="","",INDEX(生物种群!$E$3:INDEX(生物种群!$E:$E,COUNTA(生物种群!$E:$E)),MATCH($H738,生物种群!$A$3:INDEX(生物种群!$A:$A,COUNTA(生物种群!$A:$A)),),))</f>
        <v/>
      </c>
      <c r="L738" s="46" t="str">
        <f t="shared" si="39"/>
        <v/>
      </c>
      <c r="M738" s="47" t="str">
        <f>IF(L738="","",ROUND((L738)/VLOOKUP($F738,IF({1,0},站位样品信息!$A$3:INDEX(站位样品信息!$A:$A,COUNTA(站位样品信息!$A:$A)+1),站位样品信息!$H$3:INDEX(站位样品信息!$H:$H,COUNTA(站位样品信息!$H:$H)+1)),2,0),2))</f>
        <v/>
      </c>
      <c r="O738" s="49"/>
      <c r="P738" s="53" t="str">
        <f t="shared" si="37"/>
        <v/>
      </c>
      <c r="Q738" s="53" t="str">
        <f t="shared" si="38"/>
        <v/>
      </c>
    </row>
    <row r="739" spans="1:17" ht="19.5" customHeight="1">
      <c r="A739" s="38"/>
      <c r="B739" s="38"/>
      <c r="C739" s="38"/>
      <c r="D739" s="37"/>
      <c r="E739" s="37"/>
      <c r="F739" s="37"/>
      <c r="G739" s="37" t="str">
        <f>IF(F739="","",INDEX(站位样品信息!$B$3:INDEX(站位样品信息!$B:$B,COUNTA(站位样品信息!$B:$B)+1),MATCH($F739,站位样品信息!$A$3:INDEX(站位样品信息!$A:$A,COUNTA(站位样品信息!$A:$A)+1),),))</f>
        <v/>
      </c>
      <c r="H739" s="55" t="str">
        <f>IF(OR(A739&lt;&gt;"",B739&lt;&gt;"",C739&lt;&gt;""),IF($C739&lt;&gt;0,INDEX(生物种群!$A$3:INDEX(生物种群!$A:$A,COUNTA(生物种群!$A:$A)),MATCH($C739,生物种群!$F$3:INDEX(生物种群!$F:$F,COUNTA(生物种群!$F:$F)),),),IF($A739&lt;&gt;0,INDEX(生物种群!$A$3:INDEX(生物种群!$A:$A,COUNTA(生物种群!$A:$A)),MATCH($A739,生物种群!$C$3:INDEX(生物种群!$C:$C,COUNTA(生物种群!$C:$C)),),),INDEX(生物种群!$A$3:INDEX(生物种群!$A:$A,COUNTA(生物种群!$A:$A)),MATCH($B739,生物种群!$D$3:INDEX(生物种群!$D:$D,COUNTA(生物种群!$D:$D)),),))),"")</f>
        <v/>
      </c>
      <c r="I739" s="56" t="str">
        <f>IF(H739="","",INDEX(生物种群!$B$3:INDEX(生物种群!$B:$B,COUNTA(生物种群!$B:$B)),MATCH($H739,生物种群!$A$3:INDEX(生物种群!$A:$A,COUNTA(生物种群!$A:$A)),),))</f>
        <v/>
      </c>
      <c r="J739" s="55" t="str">
        <f>IF(H739="","",INDEX(生物种群!$I$3:INDEX(生物种群!$I:$I,COUNTA(生物种群!$I:$I)),MATCH($H739,生物种群!$A$3:INDEX(生物种群!$A:$A,COUNTA(生物种群!$A:$A)),),))</f>
        <v/>
      </c>
      <c r="K739" s="55" t="str">
        <f>IF(H739="","",INDEX(生物种群!$E$3:INDEX(生物种群!$E:$E,COUNTA(生物种群!$E:$E)),MATCH($H739,生物种群!$A$3:INDEX(生物种群!$A:$A,COUNTA(生物种群!$A:$A)),),))</f>
        <v/>
      </c>
      <c r="L739" s="46" t="str">
        <f t="shared" si="39"/>
        <v/>
      </c>
      <c r="M739" s="47" t="str">
        <f>IF(L739="","",ROUND((L739)/VLOOKUP($F739,IF({1,0},站位样品信息!$A$3:INDEX(站位样品信息!$A:$A,COUNTA(站位样品信息!$A:$A)+1),站位样品信息!$H$3:INDEX(站位样品信息!$H:$H,COUNTA(站位样品信息!$H:$H)+1)),2,0),2))</f>
        <v/>
      </c>
      <c r="O739" s="49"/>
      <c r="P739" s="53" t="str">
        <f t="shared" si="37"/>
        <v/>
      </c>
      <c r="Q739" s="53" t="str">
        <f t="shared" si="38"/>
        <v/>
      </c>
    </row>
    <row r="740" spans="1:17" ht="19.5" customHeight="1">
      <c r="A740" s="38"/>
      <c r="B740" s="38"/>
      <c r="C740" s="38"/>
      <c r="D740" s="37"/>
      <c r="E740" s="37"/>
      <c r="F740" s="37"/>
      <c r="G740" s="37" t="str">
        <f>IF(F740="","",INDEX(站位样品信息!$B$3:INDEX(站位样品信息!$B:$B,COUNTA(站位样品信息!$B:$B)+1),MATCH($F740,站位样品信息!$A$3:INDEX(站位样品信息!$A:$A,COUNTA(站位样品信息!$A:$A)+1),),))</f>
        <v/>
      </c>
      <c r="H740" s="55" t="str">
        <f>IF(OR(A740&lt;&gt;"",B740&lt;&gt;"",C740&lt;&gt;""),IF($C740&lt;&gt;0,INDEX(生物种群!$A$3:INDEX(生物种群!$A:$A,COUNTA(生物种群!$A:$A)),MATCH($C740,生物种群!$F$3:INDEX(生物种群!$F:$F,COUNTA(生物种群!$F:$F)),),),IF($A740&lt;&gt;0,INDEX(生物种群!$A$3:INDEX(生物种群!$A:$A,COUNTA(生物种群!$A:$A)),MATCH($A740,生物种群!$C$3:INDEX(生物种群!$C:$C,COUNTA(生物种群!$C:$C)),),),INDEX(生物种群!$A$3:INDEX(生物种群!$A:$A,COUNTA(生物种群!$A:$A)),MATCH($B740,生物种群!$D$3:INDEX(生物种群!$D:$D,COUNTA(生物种群!$D:$D)),),))),"")</f>
        <v/>
      </c>
      <c r="I740" s="56" t="str">
        <f>IF(H740="","",INDEX(生物种群!$B$3:INDEX(生物种群!$B:$B,COUNTA(生物种群!$B:$B)),MATCH($H740,生物种群!$A$3:INDEX(生物种群!$A:$A,COUNTA(生物种群!$A:$A)),),))</f>
        <v/>
      </c>
      <c r="J740" s="55" t="str">
        <f>IF(H740="","",INDEX(生物种群!$I$3:INDEX(生物种群!$I:$I,COUNTA(生物种群!$I:$I)),MATCH($H740,生物种群!$A$3:INDEX(生物种群!$A:$A,COUNTA(生物种群!$A:$A)),),))</f>
        <v/>
      </c>
      <c r="K740" s="55" t="str">
        <f>IF(H740="","",INDEX(生物种群!$E$3:INDEX(生物种群!$E:$E,COUNTA(生物种群!$E:$E)),MATCH($H740,生物种群!$A$3:INDEX(生物种群!$A:$A,COUNTA(生物种群!$A:$A)),),))</f>
        <v/>
      </c>
      <c r="L740" s="46" t="str">
        <f t="shared" si="39"/>
        <v/>
      </c>
      <c r="M740" s="47" t="str">
        <f>IF(L740="","",ROUND((L740)/VLOOKUP($F740,IF({1,0},站位样品信息!$A$3:INDEX(站位样品信息!$A:$A,COUNTA(站位样品信息!$A:$A)+1),站位样品信息!$H$3:INDEX(站位样品信息!$H:$H,COUNTA(站位样品信息!$H:$H)+1)),2,0),2))</f>
        <v/>
      </c>
      <c r="O740" s="49"/>
      <c r="P740" s="53" t="str">
        <f t="shared" si="37"/>
        <v/>
      </c>
      <c r="Q740" s="53" t="str">
        <f t="shared" si="38"/>
        <v/>
      </c>
    </row>
    <row r="741" spans="1:17" ht="19.5" customHeight="1">
      <c r="A741" s="38"/>
      <c r="B741" s="38"/>
      <c r="C741" s="38"/>
      <c r="D741" s="37"/>
      <c r="E741" s="37"/>
      <c r="F741" s="37"/>
      <c r="G741" s="37" t="str">
        <f>IF(F741="","",INDEX(站位样品信息!$B$3:INDEX(站位样品信息!$B:$B,COUNTA(站位样品信息!$B:$B)+1),MATCH($F741,站位样品信息!$A$3:INDEX(站位样品信息!$A:$A,COUNTA(站位样品信息!$A:$A)+1),),))</f>
        <v/>
      </c>
      <c r="H741" s="55" t="str">
        <f>IF(OR(A741&lt;&gt;"",B741&lt;&gt;"",C741&lt;&gt;""),IF($C741&lt;&gt;0,INDEX(生物种群!$A$3:INDEX(生物种群!$A:$A,COUNTA(生物种群!$A:$A)),MATCH($C741,生物种群!$F$3:INDEX(生物种群!$F:$F,COUNTA(生物种群!$F:$F)),),),IF($A741&lt;&gt;0,INDEX(生物种群!$A$3:INDEX(生物种群!$A:$A,COUNTA(生物种群!$A:$A)),MATCH($A741,生物种群!$C$3:INDEX(生物种群!$C:$C,COUNTA(生物种群!$C:$C)),),),INDEX(生物种群!$A$3:INDEX(生物种群!$A:$A,COUNTA(生物种群!$A:$A)),MATCH($B741,生物种群!$D$3:INDEX(生物种群!$D:$D,COUNTA(生物种群!$D:$D)),),))),"")</f>
        <v/>
      </c>
      <c r="I741" s="56" t="str">
        <f>IF(H741="","",INDEX(生物种群!$B$3:INDEX(生物种群!$B:$B,COUNTA(生物种群!$B:$B)),MATCH($H741,生物种群!$A$3:INDEX(生物种群!$A:$A,COUNTA(生物种群!$A:$A)),),))</f>
        <v/>
      </c>
      <c r="J741" s="55" t="str">
        <f>IF(H741="","",INDEX(生物种群!$I$3:INDEX(生物种群!$I:$I,COUNTA(生物种群!$I:$I)),MATCH($H741,生物种群!$A$3:INDEX(生物种群!$A:$A,COUNTA(生物种群!$A:$A)),),))</f>
        <v/>
      </c>
      <c r="K741" s="55" t="str">
        <f>IF(H741="","",INDEX(生物种群!$E$3:INDEX(生物种群!$E:$E,COUNTA(生物种群!$E:$E)),MATCH($H741,生物种群!$A$3:INDEX(生物种群!$A:$A,COUNTA(生物种群!$A:$A)),),))</f>
        <v/>
      </c>
      <c r="L741" s="46" t="str">
        <f t="shared" si="39"/>
        <v/>
      </c>
      <c r="M741" s="47" t="str">
        <f>IF(L741="","",ROUND((L741)/VLOOKUP($F741,IF({1,0},站位样品信息!$A$3:INDEX(站位样品信息!$A:$A,COUNTA(站位样品信息!$A:$A)+1),站位样品信息!$H$3:INDEX(站位样品信息!$H:$H,COUNTA(站位样品信息!$H:$H)+1)),2,0),2))</f>
        <v/>
      </c>
      <c r="O741" s="49"/>
      <c r="P741" s="53" t="str">
        <f t="shared" si="37"/>
        <v/>
      </c>
      <c r="Q741" s="53" t="str">
        <f t="shared" si="38"/>
        <v/>
      </c>
    </row>
    <row r="742" spans="1:17" ht="19.5" customHeight="1">
      <c r="A742" s="38"/>
      <c r="B742" s="38"/>
      <c r="C742" s="38"/>
      <c r="D742" s="37"/>
      <c r="E742" s="37"/>
      <c r="F742" s="37"/>
      <c r="G742" s="37" t="str">
        <f>IF(F742="","",INDEX(站位样品信息!$B$3:INDEX(站位样品信息!$B:$B,COUNTA(站位样品信息!$B:$B)+1),MATCH($F742,站位样品信息!$A$3:INDEX(站位样品信息!$A:$A,COUNTA(站位样品信息!$A:$A)+1),),))</f>
        <v/>
      </c>
      <c r="H742" s="55" t="str">
        <f>IF(OR(A742&lt;&gt;"",B742&lt;&gt;"",C742&lt;&gt;""),IF($C742&lt;&gt;0,INDEX(生物种群!$A$3:INDEX(生物种群!$A:$A,COUNTA(生物种群!$A:$A)),MATCH($C742,生物种群!$F$3:INDEX(生物种群!$F:$F,COUNTA(生物种群!$F:$F)),),),IF($A742&lt;&gt;0,INDEX(生物种群!$A$3:INDEX(生物种群!$A:$A,COUNTA(生物种群!$A:$A)),MATCH($A742,生物种群!$C$3:INDEX(生物种群!$C:$C,COUNTA(生物种群!$C:$C)),),),INDEX(生物种群!$A$3:INDEX(生物种群!$A:$A,COUNTA(生物种群!$A:$A)),MATCH($B742,生物种群!$D$3:INDEX(生物种群!$D:$D,COUNTA(生物种群!$D:$D)),),))),"")</f>
        <v/>
      </c>
      <c r="I742" s="56" t="str">
        <f>IF(H742="","",INDEX(生物种群!$B$3:INDEX(生物种群!$B:$B,COUNTA(生物种群!$B:$B)),MATCH($H742,生物种群!$A$3:INDEX(生物种群!$A:$A,COUNTA(生物种群!$A:$A)),),))</f>
        <v/>
      </c>
      <c r="J742" s="55" t="str">
        <f>IF(H742="","",INDEX(生物种群!$I$3:INDEX(生物种群!$I:$I,COUNTA(生物种群!$I:$I)),MATCH($H742,生物种群!$A$3:INDEX(生物种群!$A:$A,COUNTA(生物种群!$A:$A)),),))</f>
        <v/>
      </c>
      <c r="K742" s="55" t="str">
        <f>IF(H742="","",INDEX(生物种群!$E$3:INDEX(生物种群!$E:$E,COUNTA(生物种群!$E:$E)),MATCH($H742,生物种群!$A$3:INDEX(生物种群!$A:$A,COUNTA(生物种群!$A:$A)),),))</f>
        <v/>
      </c>
      <c r="L742" s="46" t="str">
        <f t="shared" si="39"/>
        <v/>
      </c>
      <c r="M742" s="47" t="str">
        <f>IF(L742="","",ROUND((L742)/VLOOKUP($F742,IF({1,0},站位样品信息!$A$3:INDEX(站位样品信息!$A:$A,COUNTA(站位样品信息!$A:$A)+1),站位样品信息!$H$3:INDEX(站位样品信息!$H:$H,COUNTA(站位样品信息!$H:$H)+1)),2,0),2))</f>
        <v/>
      </c>
      <c r="O742" s="49"/>
      <c r="P742" s="53" t="str">
        <f t="shared" si="37"/>
        <v/>
      </c>
      <c r="Q742" s="53" t="str">
        <f t="shared" si="38"/>
        <v/>
      </c>
    </row>
    <row r="743" spans="1:17" ht="19.5" customHeight="1">
      <c r="A743" s="38"/>
      <c r="B743" s="38"/>
      <c r="C743" s="38"/>
      <c r="D743" s="37"/>
      <c r="E743" s="37"/>
      <c r="F743" s="37"/>
      <c r="G743" s="37" t="str">
        <f>IF(F743="","",INDEX(站位样品信息!$B$3:INDEX(站位样品信息!$B:$B,COUNTA(站位样品信息!$B:$B)+1),MATCH($F743,站位样品信息!$A$3:INDEX(站位样品信息!$A:$A,COUNTA(站位样品信息!$A:$A)+1),),))</f>
        <v/>
      </c>
      <c r="H743" s="55" t="str">
        <f>IF(OR(A743&lt;&gt;"",B743&lt;&gt;"",C743&lt;&gt;""),IF($C743&lt;&gt;0,INDEX(生物种群!$A$3:INDEX(生物种群!$A:$A,COUNTA(生物种群!$A:$A)),MATCH($C743,生物种群!$F$3:INDEX(生物种群!$F:$F,COUNTA(生物种群!$F:$F)),),),IF($A743&lt;&gt;0,INDEX(生物种群!$A$3:INDEX(生物种群!$A:$A,COUNTA(生物种群!$A:$A)),MATCH($A743,生物种群!$C$3:INDEX(生物种群!$C:$C,COUNTA(生物种群!$C:$C)),),),INDEX(生物种群!$A$3:INDEX(生物种群!$A:$A,COUNTA(生物种群!$A:$A)),MATCH($B743,生物种群!$D$3:INDEX(生物种群!$D:$D,COUNTA(生物种群!$D:$D)),),))),"")</f>
        <v/>
      </c>
      <c r="I743" s="56" t="str">
        <f>IF(H743="","",INDEX(生物种群!$B$3:INDEX(生物种群!$B:$B,COUNTA(生物种群!$B:$B)),MATCH($H743,生物种群!$A$3:INDEX(生物种群!$A:$A,COUNTA(生物种群!$A:$A)),),))</f>
        <v/>
      </c>
      <c r="J743" s="55" t="str">
        <f>IF(H743="","",INDEX(生物种群!$I$3:INDEX(生物种群!$I:$I,COUNTA(生物种群!$I:$I)),MATCH($H743,生物种群!$A$3:INDEX(生物种群!$A:$A,COUNTA(生物种群!$A:$A)),),))</f>
        <v/>
      </c>
      <c r="K743" s="55" t="str">
        <f>IF(H743="","",INDEX(生物种群!$E$3:INDEX(生物种群!$E:$E,COUNTA(生物种群!$E:$E)),MATCH($H743,生物种群!$A$3:INDEX(生物种群!$A:$A,COUNTA(生物种群!$A:$A)),),))</f>
        <v/>
      </c>
      <c r="L743" s="46" t="str">
        <f t="shared" si="39"/>
        <v/>
      </c>
      <c r="M743" s="47" t="str">
        <f>IF(L743="","",ROUND((L743)/VLOOKUP($F743,IF({1,0},站位样品信息!$A$3:INDEX(站位样品信息!$A:$A,COUNTA(站位样品信息!$A:$A)+1),站位样品信息!$H$3:INDEX(站位样品信息!$H:$H,COUNTA(站位样品信息!$H:$H)+1)),2,0),2))</f>
        <v/>
      </c>
      <c r="O743" s="49"/>
      <c r="P743" s="53" t="str">
        <f t="shared" si="37"/>
        <v/>
      </c>
      <c r="Q743" s="53" t="str">
        <f t="shared" si="38"/>
        <v/>
      </c>
    </row>
    <row r="744" spans="1:17" ht="19.5" customHeight="1">
      <c r="A744" s="38"/>
      <c r="B744" s="38"/>
      <c r="C744" s="38"/>
      <c r="D744" s="37"/>
      <c r="E744" s="37"/>
      <c r="F744" s="37"/>
      <c r="G744" s="37" t="str">
        <f>IF(F744="","",INDEX(站位样品信息!$B$3:INDEX(站位样品信息!$B:$B,COUNTA(站位样品信息!$B:$B)+1),MATCH($F744,站位样品信息!$A$3:INDEX(站位样品信息!$A:$A,COUNTA(站位样品信息!$A:$A)+1),),))</f>
        <v/>
      </c>
      <c r="H744" s="55" t="str">
        <f>IF(OR(A744&lt;&gt;"",B744&lt;&gt;"",C744&lt;&gt;""),IF($C744&lt;&gt;0,INDEX(生物种群!$A$3:INDEX(生物种群!$A:$A,COUNTA(生物种群!$A:$A)),MATCH($C744,生物种群!$F$3:INDEX(生物种群!$F:$F,COUNTA(生物种群!$F:$F)),),),IF($A744&lt;&gt;0,INDEX(生物种群!$A$3:INDEX(生物种群!$A:$A,COUNTA(生物种群!$A:$A)),MATCH($A744,生物种群!$C$3:INDEX(生物种群!$C:$C,COUNTA(生物种群!$C:$C)),),),INDEX(生物种群!$A$3:INDEX(生物种群!$A:$A,COUNTA(生物种群!$A:$A)),MATCH($B744,生物种群!$D$3:INDEX(生物种群!$D:$D,COUNTA(生物种群!$D:$D)),),))),"")</f>
        <v/>
      </c>
      <c r="I744" s="56" t="str">
        <f>IF(H744="","",INDEX(生物种群!$B$3:INDEX(生物种群!$B:$B,COUNTA(生物种群!$B:$B)),MATCH($H744,生物种群!$A$3:INDEX(生物种群!$A:$A,COUNTA(生物种群!$A:$A)),),))</f>
        <v/>
      </c>
      <c r="J744" s="55" t="str">
        <f>IF(H744="","",INDEX(生物种群!$I$3:INDEX(生物种群!$I:$I,COUNTA(生物种群!$I:$I)),MATCH($H744,生物种群!$A$3:INDEX(生物种群!$A:$A,COUNTA(生物种群!$A:$A)),),))</f>
        <v/>
      </c>
      <c r="K744" s="55" t="str">
        <f>IF(H744="","",INDEX(生物种群!$E$3:INDEX(生物种群!$E:$E,COUNTA(生物种群!$E:$E)),MATCH($H744,生物种群!$A$3:INDEX(生物种群!$A:$A,COUNTA(生物种群!$A:$A)),),))</f>
        <v/>
      </c>
      <c r="L744" s="46" t="str">
        <f t="shared" si="39"/>
        <v/>
      </c>
      <c r="M744" s="47" t="str">
        <f>IF(L744="","",ROUND((L744)/VLOOKUP($F744,IF({1,0},站位样品信息!$A$3:INDEX(站位样品信息!$A:$A,COUNTA(站位样品信息!$A:$A)+1),站位样品信息!$H$3:INDEX(站位样品信息!$H:$H,COUNTA(站位样品信息!$H:$H)+1)),2,0),2))</f>
        <v/>
      </c>
      <c r="O744" s="49"/>
      <c r="P744" s="53" t="str">
        <f t="shared" si="37"/>
        <v/>
      </c>
      <c r="Q744" s="53" t="str">
        <f t="shared" si="38"/>
        <v/>
      </c>
    </row>
    <row r="745" spans="1:17" ht="19.5" customHeight="1">
      <c r="A745" s="38"/>
      <c r="B745" s="38"/>
      <c r="C745" s="38"/>
      <c r="D745" s="37"/>
      <c r="E745" s="37"/>
      <c r="F745" s="37"/>
      <c r="G745" s="37" t="str">
        <f>IF(F745="","",INDEX(站位样品信息!$B$3:INDEX(站位样品信息!$B:$B,COUNTA(站位样品信息!$B:$B)+1),MATCH($F745,站位样品信息!$A$3:INDEX(站位样品信息!$A:$A,COUNTA(站位样品信息!$A:$A)+1),),))</f>
        <v/>
      </c>
      <c r="H745" s="55" t="str">
        <f>IF(OR(A745&lt;&gt;"",B745&lt;&gt;"",C745&lt;&gt;""),IF($C745&lt;&gt;0,INDEX(生物种群!$A$3:INDEX(生物种群!$A:$A,COUNTA(生物种群!$A:$A)),MATCH($C745,生物种群!$F$3:INDEX(生物种群!$F:$F,COUNTA(生物种群!$F:$F)),),),IF($A745&lt;&gt;0,INDEX(生物种群!$A$3:INDEX(生物种群!$A:$A,COUNTA(生物种群!$A:$A)),MATCH($A745,生物种群!$C$3:INDEX(生物种群!$C:$C,COUNTA(生物种群!$C:$C)),),),INDEX(生物种群!$A$3:INDEX(生物种群!$A:$A,COUNTA(生物种群!$A:$A)),MATCH($B745,生物种群!$D$3:INDEX(生物种群!$D:$D,COUNTA(生物种群!$D:$D)),),))),"")</f>
        <v/>
      </c>
      <c r="I745" s="56" t="str">
        <f>IF(H745="","",INDEX(生物种群!$B$3:INDEX(生物种群!$B:$B,COUNTA(生物种群!$B:$B)),MATCH($H745,生物种群!$A$3:INDEX(生物种群!$A:$A,COUNTA(生物种群!$A:$A)),),))</f>
        <v/>
      </c>
      <c r="J745" s="55" t="str">
        <f>IF(H745="","",INDEX(生物种群!$I$3:INDEX(生物种群!$I:$I,COUNTA(生物种群!$I:$I)),MATCH($H745,生物种群!$A$3:INDEX(生物种群!$A:$A,COUNTA(生物种群!$A:$A)),),))</f>
        <v/>
      </c>
      <c r="K745" s="55" t="str">
        <f>IF(H745="","",INDEX(生物种群!$E$3:INDEX(生物种群!$E:$E,COUNTA(生物种群!$E:$E)),MATCH($H745,生物种群!$A$3:INDEX(生物种群!$A:$A,COUNTA(生物种群!$A:$A)),),))</f>
        <v/>
      </c>
      <c r="L745" s="46" t="str">
        <f t="shared" si="39"/>
        <v/>
      </c>
      <c r="M745" s="47" t="str">
        <f>IF(L745="","",ROUND((L745)/VLOOKUP($F745,IF({1,0},站位样品信息!$A$3:INDEX(站位样品信息!$A:$A,COUNTA(站位样品信息!$A:$A)+1),站位样品信息!$H$3:INDEX(站位样品信息!$H:$H,COUNTA(站位样品信息!$H:$H)+1)),2,0),2))</f>
        <v/>
      </c>
      <c r="O745" s="49"/>
      <c r="P745" s="53" t="str">
        <f t="shared" si="37"/>
        <v/>
      </c>
      <c r="Q745" s="53" t="str">
        <f t="shared" si="38"/>
        <v/>
      </c>
    </row>
    <row r="746" spans="1:17" ht="19.5" customHeight="1">
      <c r="A746" s="38"/>
      <c r="B746" s="38"/>
      <c r="C746" s="38"/>
      <c r="D746" s="37"/>
      <c r="E746" s="37"/>
      <c r="F746" s="37"/>
      <c r="G746" s="37" t="str">
        <f>IF(F746="","",INDEX(站位样品信息!$B$3:INDEX(站位样品信息!$B:$B,COUNTA(站位样品信息!$B:$B)+1),MATCH($F746,站位样品信息!$A$3:INDEX(站位样品信息!$A:$A,COUNTA(站位样品信息!$A:$A)+1),),))</f>
        <v/>
      </c>
      <c r="H746" s="55" t="str">
        <f>IF(OR(A746&lt;&gt;"",B746&lt;&gt;"",C746&lt;&gt;""),IF($C746&lt;&gt;0,INDEX(生物种群!$A$3:INDEX(生物种群!$A:$A,COUNTA(生物种群!$A:$A)),MATCH($C746,生物种群!$F$3:INDEX(生物种群!$F:$F,COUNTA(生物种群!$F:$F)),),),IF($A746&lt;&gt;0,INDEX(生物种群!$A$3:INDEX(生物种群!$A:$A,COUNTA(生物种群!$A:$A)),MATCH($A746,生物种群!$C$3:INDEX(生物种群!$C:$C,COUNTA(生物种群!$C:$C)),),),INDEX(生物种群!$A$3:INDEX(生物种群!$A:$A,COUNTA(生物种群!$A:$A)),MATCH($B746,生物种群!$D$3:INDEX(生物种群!$D:$D,COUNTA(生物种群!$D:$D)),),))),"")</f>
        <v/>
      </c>
      <c r="I746" s="56" t="str">
        <f>IF(H746="","",INDEX(生物种群!$B$3:INDEX(生物种群!$B:$B,COUNTA(生物种群!$B:$B)),MATCH($H746,生物种群!$A$3:INDEX(生物种群!$A:$A,COUNTA(生物种群!$A:$A)),),))</f>
        <v/>
      </c>
      <c r="J746" s="55" t="str">
        <f>IF(H746="","",INDEX(生物种群!$I$3:INDEX(生物种群!$I:$I,COUNTA(生物种群!$I:$I)),MATCH($H746,生物种群!$A$3:INDEX(生物种群!$A:$A,COUNTA(生物种群!$A:$A)),),))</f>
        <v/>
      </c>
      <c r="K746" s="55" t="str">
        <f>IF(H746="","",INDEX(生物种群!$E$3:INDEX(生物种群!$E:$E,COUNTA(生物种群!$E:$E)),MATCH($H746,生物种群!$A$3:INDEX(生物种群!$A:$A,COUNTA(生物种群!$A:$A)),),))</f>
        <v/>
      </c>
      <c r="L746" s="46" t="str">
        <f t="shared" si="39"/>
        <v/>
      </c>
      <c r="M746" s="47" t="str">
        <f>IF(L746="","",ROUND((L746)/VLOOKUP($F746,IF({1,0},站位样品信息!$A$3:INDEX(站位样品信息!$A:$A,COUNTA(站位样品信息!$A:$A)+1),站位样品信息!$H$3:INDEX(站位样品信息!$H:$H,COUNTA(站位样品信息!$H:$H)+1)),2,0),2))</f>
        <v/>
      </c>
      <c r="O746" s="49"/>
      <c r="P746" s="53" t="str">
        <f t="shared" si="37"/>
        <v/>
      </c>
      <c r="Q746" s="53" t="str">
        <f t="shared" si="38"/>
        <v/>
      </c>
    </row>
    <row r="747" spans="1:17" ht="19.5" customHeight="1">
      <c r="A747" s="38"/>
      <c r="B747" s="38"/>
      <c r="C747" s="38"/>
      <c r="D747" s="37"/>
      <c r="E747" s="37"/>
      <c r="F747" s="37"/>
      <c r="G747" s="37" t="str">
        <f>IF(F747="","",INDEX(站位样品信息!$B$3:INDEX(站位样品信息!$B:$B,COUNTA(站位样品信息!$B:$B)+1),MATCH($F747,站位样品信息!$A$3:INDEX(站位样品信息!$A:$A,COUNTA(站位样品信息!$A:$A)+1),),))</f>
        <v/>
      </c>
      <c r="H747" s="55" t="str">
        <f>IF(OR(A747&lt;&gt;"",B747&lt;&gt;"",C747&lt;&gt;""),IF($C747&lt;&gt;0,INDEX(生物种群!$A$3:INDEX(生物种群!$A:$A,COUNTA(生物种群!$A:$A)),MATCH($C747,生物种群!$F$3:INDEX(生物种群!$F:$F,COUNTA(生物种群!$F:$F)),),),IF($A747&lt;&gt;0,INDEX(生物种群!$A$3:INDEX(生物种群!$A:$A,COUNTA(生物种群!$A:$A)),MATCH($A747,生物种群!$C$3:INDEX(生物种群!$C:$C,COUNTA(生物种群!$C:$C)),),),INDEX(生物种群!$A$3:INDEX(生物种群!$A:$A,COUNTA(生物种群!$A:$A)),MATCH($B747,生物种群!$D$3:INDEX(生物种群!$D:$D,COUNTA(生物种群!$D:$D)),),))),"")</f>
        <v/>
      </c>
      <c r="I747" s="56" t="str">
        <f>IF(H747="","",INDEX(生物种群!$B$3:INDEX(生物种群!$B:$B,COUNTA(生物种群!$B:$B)),MATCH($H747,生物种群!$A$3:INDEX(生物种群!$A:$A,COUNTA(生物种群!$A:$A)),),))</f>
        <v/>
      </c>
      <c r="J747" s="55" t="str">
        <f>IF(H747="","",INDEX(生物种群!$I$3:INDEX(生物种群!$I:$I,COUNTA(生物种群!$I:$I)),MATCH($H747,生物种群!$A$3:INDEX(生物种群!$A:$A,COUNTA(生物种群!$A:$A)),),))</f>
        <v/>
      </c>
      <c r="K747" s="55" t="str">
        <f>IF(H747="","",INDEX(生物种群!$E$3:INDEX(生物种群!$E:$E,COUNTA(生物种群!$E:$E)),MATCH($H747,生物种群!$A$3:INDEX(生物种群!$A:$A,COUNTA(生物种群!$A:$A)),),))</f>
        <v/>
      </c>
      <c r="L747" s="46" t="str">
        <f t="shared" si="39"/>
        <v/>
      </c>
      <c r="M747" s="47" t="str">
        <f>IF(L747="","",ROUND((L747)/VLOOKUP($F747,IF({1,0},站位样品信息!$A$3:INDEX(站位样品信息!$A:$A,COUNTA(站位样品信息!$A:$A)+1),站位样品信息!$H$3:INDEX(站位样品信息!$H:$H,COUNTA(站位样品信息!$H:$H)+1)),2,0),2))</f>
        <v/>
      </c>
      <c r="O747" s="49"/>
      <c r="P747" s="53" t="str">
        <f t="shared" si="37"/>
        <v/>
      </c>
      <c r="Q747" s="53" t="str">
        <f t="shared" si="38"/>
        <v/>
      </c>
    </row>
    <row r="748" spans="1:17" ht="19.5" customHeight="1">
      <c r="A748" s="38"/>
      <c r="B748" s="38"/>
      <c r="C748" s="38"/>
      <c r="D748" s="37"/>
      <c r="E748" s="37"/>
      <c r="F748" s="37"/>
      <c r="G748" s="37" t="str">
        <f>IF(F748="","",INDEX(站位样品信息!$B$3:INDEX(站位样品信息!$B:$B,COUNTA(站位样品信息!$B:$B)+1),MATCH($F748,站位样品信息!$A$3:INDEX(站位样品信息!$A:$A,COUNTA(站位样品信息!$A:$A)+1),),))</f>
        <v/>
      </c>
      <c r="H748" s="55" t="str">
        <f>IF(OR(A748&lt;&gt;"",B748&lt;&gt;"",C748&lt;&gt;""),IF($C748&lt;&gt;0,INDEX(生物种群!$A$3:INDEX(生物种群!$A:$A,COUNTA(生物种群!$A:$A)),MATCH($C748,生物种群!$F$3:INDEX(生物种群!$F:$F,COUNTA(生物种群!$F:$F)),),),IF($A748&lt;&gt;0,INDEX(生物种群!$A$3:INDEX(生物种群!$A:$A,COUNTA(生物种群!$A:$A)),MATCH($A748,生物种群!$C$3:INDEX(生物种群!$C:$C,COUNTA(生物种群!$C:$C)),),),INDEX(生物种群!$A$3:INDEX(生物种群!$A:$A,COUNTA(生物种群!$A:$A)),MATCH($B748,生物种群!$D$3:INDEX(生物种群!$D:$D,COUNTA(生物种群!$D:$D)),),))),"")</f>
        <v/>
      </c>
      <c r="I748" s="56" t="str">
        <f>IF(H748="","",INDEX(生物种群!$B$3:INDEX(生物种群!$B:$B,COUNTA(生物种群!$B:$B)),MATCH($H748,生物种群!$A$3:INDEX(生物种群!$A:$A,COUNTA(生物种群!$A:$A)),),))</f>
        <v/>
      </c>
      <c r="J748" s="55" t="str">
        <f>IF(H748="","",INDEX(生物种群!$I$3:INDEX(生物种群!$I:$I,COUNTA(生物种群!$I:$I)),MATCH($H748,生物种群!$A$3:INDEX(生物种群!$A:$A,COUNTA(生物种群!$A:$A)),),))</f>
        <v/>
      </c>
      <c r="K748" s="55" t="str">
        <f>IF(H748="","",INDEX(生物种群!$E$3:INDEX(生物种群!$E:$E,COUNTA(生物种群!$E:$E)),MATCH($H748,生物种群!$A$3:INDEX(生物种群!$A:$A,COUNTA(生物种群!$A:$A)),),))</f>
        <v/>
      </c>
      <c r="L748" s="46" t="str">
        <f t="shared" si="39"/>
        <v/>
      </c>
      <c r="M748" s="47" t="str">
        <f>IF(L748="","",ROUND((L748)/VLOOKUP($F748,IF({1,0},站位样品信息!$A$3:INDEX(站位样品信息!$A:$A,COUNTA(站位样品信息!$A:$A)+1),站位样品信息!$H$3:INDEX(站位样品信息!$H:$H,COUNTA(站位样品信息!$H:$H)+1)),2,0),2))</f>
        <v/>
      </c>
      <c r="O748" s="49"/>
      <c r="P748" s="53" t="str">
        <f t="shared" si="37"/>
        <v/>
      </c>
      <c r="Q748" s="53" t="str">
        <f t="shared" si="38"/>
        <v/>
      </c>
    </row>
    <row r="749" spans="1:17" ht="19.5" customHeight="1">
      <c r="A749" s="38"/>
      <c r="B749" s="38"/>
      <c r="C749" s="38"/>
      <c r="D749" s="37"/>
      <c r="E749" s="37"/>
      <c r="F749" s="37"/>
      <c r="G749" s="37" t="str">
        <f>IF(F749="","",INDEX(站位样品信息!$B$3:INDEX(站位样品信息!$B:$B,COUNTA(站位样品信息!$B:$B)+1),MATCH($F749,站位样品信息!$A$3:INDEX(站位样品信息!$A:$A,COUNTA(站位样品信息!$A:$A)+1),),))</f>
        <v/>
      </c>
      <c r="H749" s="55" t="str">
        <f>IF(OR(A749&lt;&gt;"",B749&lt;&gt;"",C749&lt;&gt;""),IF($C749&lt;&gt;0,INDEX(生物种群!$A$3:INDEX(生物种群!$A:$A,COUNTA(生物种群!$A:$A)),MATCH($C749,生物种群!$F$3:INDEX(生物种群!$F:$F,COUNTA(生物种群!$F:$F)),),),IF($A749&lt;&gt;0,INDEX(生物种群!$A$3:INDEX(生物种群!$A:$A,COUNTA(生物种群!$A:$A)),MATCH($A749,生物种群!$C$3:INDEX(生物种群!$C:$C,COUNTA(生物种群!$C:$C)),),),INDEX(生物种群!$A$3:INDEX(生物种群!$A:$A,COUNTA(生物种群!$A:$A)),MATCH($B749,生物种群!$D$3:INDEX(生物种群!$D:$D,COUNTA(生物种群!$D:$D)),),))),"")</f>
        <v/>
      </c>
      <c r="I749" s="56" t="str">
        <f>IF(H749="","",INDEX(生物种群!$B$3:INDEX(生物种群!$B:$B,COUNTA(生物种群!$B:$B)),MATCH($H749,生物种群!$A$3:INDEX(生物种群!$A:$A,COUNTA(生物种群!$A:$A)),),))</f>
        <v/>
      </c>
      <c r="J749" s="55" t="str">
        <f>IF(H749="","",INDEX(生物种群!$I$3:INDEX(生物种群!$I:$I,COUNTA(生物种群!$I:$I)),MATCH($H749,生物种群!$A$3:INDEX(生物种群!$A:$A,COUNTA(生物种群!$A:$A)),),))</f>
        <v/>
      </c>
      <c r="K749" s="55" t="str">
        <f>IF(H749="","",INDEX(生物种群!$E$3:INDEX(生物种群!$E:$E,COUNTA(生物种群!$E:$E)),MATCH($H749,生物种群!$A$3:INDEX(生物种群!$A:$A,COUNTA(生物种群!$A:$A)),),))</f>
        <v/>
      </c>
      <c r="L749" s="46" t="str">
        <f t="shared" si="39"/>
        <v/>
      </c>
      <c r="M749" s="47" t="str">
        <f>IF(L749="","",ROUND((L749)/VLOOKUP($F749,IF({1,0},站位样品信息!$A$3:INDEX(站位样品信息!$A:$A,COUNTA(站位样品信息!$A:$A)+1),站位样品信息!$H$3:INDEX(站位样品信息!$H:$H,COUNTA(站位样品信息!$H:$H)+1)),2,0),2))</f>
        <v/>
      </c>
      <c r="O749" s="49"/>
      <c r="P749" s="53" t="str">
        <f t="shared" si="37"/>
        <v/>
      </c>
      <c r="Q749" s="53" t="str">
        <f t="shared" si="38"/>
        <v/>
      </c>
    </row>
    <row r="750" spans="1:17" ht="19.5" customHeight="1">
      <c r="A750" s="38"/>
      <c r="B750" s="38"/>
      <c r="C750" s="38"/>
      <c r="D750" s="37"/>
      <c r="E750" s="37"/>
      <c r="F750" s="37"/>
      <c r="G750" s="37" t="str">
        <f>IF(F750="","",INDEX(站位样品信息!$B$3:INDEX(站位样品信息!$B:$B,COUNTA(站位样品信息!$B:$B)+1),MATCH($F750,站位样品信息!$A$3:INDEX(站位样品信息!$A:$A,COUNTA(站位样品信息!$A:$A)+1),),))</f>
        <v/>
      </c>
      <c r="H750" s="55" t="str">
        <f>IF(OR(A750&lt;&gt;"",B750&lt;&gt;"",C750&lt;&gt;""),IF($C750&lt;&gt;0,INDEX(生物种群!$A$3:INDEX(生物种群!$A:$A,COUNTA(生物种群!$A:$A)),MATCH($C750,生物种群!$F$3:INDEX(生物种群!$F:$F,COUNTA(生物种群!$F:$F)),),),IF($A750&lt;&gt;0,INDEX(生物种群!$A$3:INDEX(生物种群!$A:$A,COUNTA(生物种群!$A:$A)),MATCH($A750,生物种群!$C$3:INDEX(生物种群!$C:$C,COUNTA(生物种群!$C:$C)),),),INDEX(生物种群!$A$3:INDEX(生物种群!$A:$A,COUNTA(生物种群!$A:$A)),MATCH($B750,生物种群!$D$3:INDEX(生物种群!$D:$D,COUNTA(生物种群!$D:$D)),),))),"")</f>
        <v/>
      </c>
      <c r="I750" s="56" t="str">
        <f>IF(H750="","",INDEX(生物种群!$B$3:INDEX(生物种群!$B:$B,COUNTA(生物种群!$B:$B)),MATCH($H750,生物种群!$A$3:INDEX(生物种群!$A:$A,COUNTA(生物种群!$A:$A)),),))</f>
        <v/>
      </c>
      <c r="J750" s="55" t="str">
        <f>IF(H750="","",INDEX(生物种群!$I$3:INDEX(生物种群!$I:$I,COUNTA(生物种群!$I:$I)),MATCH($H750,生物种群!$A$3:INDEX(生物种群!$A:$A,COUNTA(生物种群!$A:$A)),),))</f>
        <v/>
      </c>
      <c r="K750" s="55" t="str">
        <f>IF(H750="","",INDEX(生物种群!$E$3:INDEX(生物种群!$E:$E,COUNTA(生物种群!$E:$E)),MATCH($H750,生物种群!$A$3:INDEX(生物种群!$A:$A,COUNTA(生物种群!$A:$A)),),))</f>
        <v/>
      </c>
      <c r="L750" s="46" t="str">
        <f t="shared" si="39"/>
        <v/>
      </c>
      <c r="M750" s="47" t="str">
        <f>IF(L750="","",ROUND((L750)/VLOOKUP($F750,IF({1,0},站位样品信息!$A$3:INDEX(站位样品信息!$A:$A,COUNTA(站位样品信息!$A:$A)+1),站位样品信息!$H$3:INDEX(站位样品信息!$H:$H,COUNTA(站位样品信息!$H:$H)+1)),2,0),2))</f>
        <v/>
      </c>
      <c r="O750" s="49"/>
      <c r="P750" s="53" t="str">
        <f t="shared" si="37"/>
        <v/>
      </c>
      <c r="Q750" s="53" t="str">
        <f t="shared" si="38"/>
        <v/>
      </c>
    </row>
    <row r="751" spans="1:17" ht="19.5" customHeight="1">
      <c r="A751" s="38"/>
      <c r="B751" s="38"/>
      <c r="C751" s="38"/>
      <c r="D751" s="37"/>
      <c r="E751" s="37"/>
      <c r="F751" s="37"/>
      <c r="G751" s="37" t="str">
        <f>IF(F751="","",INDEX(站位样品信息!$B$3:INDEX(站位样品信息!$B:$B,COUNTA(站位样品信息!$B:$B)+1),MATCH($F751,站位样品信息!$A$3:INDEX(站位样品信息!$A:$A,COUNTA(站位样品信息!$A:$A)+1),),))</f>
        <v/>
      </c>
      <c r="H751" s="55" t="str">
        <f>IF(OR(A751&lt;&gt;"",B751&lt;&gt;"",C751&lt;&gt;""),IF($C751&lt;&gt;0,INDEX(生物种群!$A$3:INDEX(生物种群!$A:$A,COUNTA(生物种群!$A:$A)),MATCH($C751,生物种群!$F$3:INDEX(生物种群!$F:$F,COUNTA(生物种群!$F:$F)),),),IF($A751&lt;&gt;0,INDEX(生物种群!$A$3:INDEX(生物种群!$A:$A,COUNTA(生物种群!$A:$A)),MATCH($A751,生物种群!$C$3:INDEX(生物种群!$C:$C,COUNTA(生物种群!$C:$C)),),),INDEX(生物种群!$A$3:INDEX(生物种群!$A:$A,COUNTA(生物种群!$A:$A)),MATCH($B751,生物种群!$D$3:INDEX(生物种群!$D:$D,COUNTA(生物种群!$D:$D)),),))),"")</f>
        <v/>
      </c>
      <c r="I751" s="56" t="str">
        <f>IF(H751="","",INDEX(生物种群!$B$3:INDEX(生物种群!$B:$B,COUNTA(生物种群!$B:$B)),MATCH($H751,生物种群!$A$3:INDEX(生物种群!$A:$A,COUNTA(生物种群!$A:$A)),),))</f>
        <v/>
      </c>
      <c r="J751" s="55" t="str">
        <f>IF(H751="","",INDEX(生物种群!$I$3:INDEX(生物种群!$I:$I,COUNTA(生物种群!$I:$I)),MATCH($H751,生物种群!$A$3:INDEX(生物种群!$A:$A,COUNTA(生物种群!$A:$A)),),))</f>
        <v/>
      </c>
      <c r="K751" s="55" t="str">
        <f>IF(H751="","",INDEX(生物种群!$E$3:INDEX(生物种群!$E:$E,COUNTA(生物种群!$E:$E)),MATCH($H751,生物种群!$A$3:INDEX(生物种群!$A:$A,COUNTA(生物种群!$A:$A)),),))</f>
        <v/>
      </c>
      <c r="L751" s="46" t="str">
        <f t="shared" si="39"/>
        <v/>
      </c>
      <c r="M751" s="47" t="str">
        <f>IF(L751="","",ROUND((L751)/VLOOKUP($F751,IF({1,0},站位样品信息!$A$3:INDEX(站位样品信息!$A:$A,COUNTA(站位样品信息!$A:$A)+1),站位样品信息!$H$3:INDEX(站位样品信息!$H:$H,COUNTA(站位样品信息!$H:$H)+1)),2,0),2))</f>
        <v/>
      </c>
      <c r="O751" s="49"/>
      <c r="P751" s="53" t="str">
        <f t="shared" si="37"/>
        <v/>
      </c>
      <c r="Q751" s="53" t="str">
        <f t="shared" si="38"/>
        <v/>
      </c>
    </row>
    <row r="752" spans="1:17" ht="19.5" customHeight="1">
      <c r="A752" s="38"/>
      <c r="B752" s="38"/>
      <c r="C752" s="38"/>
      <c r="D752" s="37"/>
      <c r="E752" s="37"/>
      <c r="F752" s="37"/>
      <c r="G752" s="37" t="str">
        <f>IF(F752="","",INDEX(站位样品信息!$B$3:INDEX(站位样品信息!$B:$B,COUNTA(站位样品信息!$B:$B)+1),MATCH($F752,站位样品信息!$A$3:INDEX(站位样品信息!$A:$A,COUNTA(站位样品信息!$A:$A)+1),),))</f>
        <v/>
      </c>
      <c r="H752" s="55" t="str">
        <f>IF(OR(A752&lt;&gt;"",B752&lt;&gt;"",C752&lt;&gt;""),IF($C752&lt;&gt;0,INDEX(生物种群!$A$3:INDEX(生物种群!$A:$A,COUNTA(生物种群!$A:$A)),MATCH($C752,生物种群!$F$3:INDEX(生物种群!$F:$F,COUNTA(生物种群!$F:$F)),),),IF($A752&lt;&gt;0,INDEX(生物种群!$A$3:INDEX(生物种群!$A:$A,COUNTA(生物种群!$A:$A)),MATCH($A752,生物种群!$C$3:INDEX(生物种群!$C:$C,COUNTA(生物种群!$C:$C)),),),INDEX(生物种群!$A$3:INDEX(生物种群!$A:$A,COUNTA(生物种群!$A:$A)),MATCH($B752,生物种群!$D$3:INDEX(生物种群!$D:$D,COUNTA(生物种群!$D:$D)),),))),"")</f>
        <v/>
      </c>
      <c r="I752" s="56" t="str">
        <f>IF(H752="","",INDEX(生物种群!$B$3:INDEX(生物种群!$B:$B,COUNTA(生物种群!$B:$B)),MATCH($H752,生物种群!$A$3:INDEX(生物种群!$A:$A,COUNTA(生物种群!$A:$A)),),))</f>
        <v/>
      </c>
      <c r="J752" s="55" t="str">
        <f>IF(H752="","",INDEX(生物种群!$I$3:INDEX(生物种群!$I:$I,COUNTA(生物种群!$I:$I)),MATCH($H752,生物种群!$A$3:INDEX(生物种群!$A:$A,COUNTA(生物种群!$A:$A)),),))</f>
        <v/>
      </c>
      <c r="K752" s="55" t="str">
        <f>IF(H752="","",INDEX(生物种群!$E$3:INDEX(生物种群!$E:$E,COUNTA(生物种群!$E:$E)),MATCH($H752,生物种群!$A$3:INDEX(生物种群!$A:$A,COUNTA(生物种群!$A:$A)),),))</f>
        <v/>
      </c>
      <c r="L752" s="46" t="str">
        <f t="shared" si="39"/>
        <v/>
      </c>
      <c r="M752" s="47" t="str">
        <f>IF(L752="","",ROUND((L752)/VLOOKUP($F752,IF({1,0},站位样品信息!$A$3:INDEX(站位样品信息!$A:$A,COUNTA(站位样品信息!$A:$A)+1),站位样品信息!$H$3:INDEX(站位样品信息!$H:$H,COUNTA(站位样品信息!$H:$H)+1)),2,0),2))</f>
        <v/>
      </c>
      <c r="O752" s="49"/>
      <c r="P752" s="53" t="str">
        <f t="shared" si="37"/>
        <v/>
      </c>
      <c r="Q752" s="53" t="str">
        <f t="shared" si="38"/>
        <v/>
      </c>
    </row>
    <row r="753" spans="1:17" ht="19.5" customHeight="1">
      <c r="A753" s="38"/>
      <c r="B753" s="38"/>
      <c r="C753" s="38"/>
      <c r="D753" s="37"/>
      <c r="E753" s="37"/>
      <c r="F753" s="37"/>
      <c r="G753" s="37" t="str">
        <f>IF(F753="","",INDEX(站位样品信息!$B$3:INDEX(站位样品信息!$B:$B,COUNTA(站位样品信息!$B:$B)+1),MATCH($F753,站位样品信息!$A$3:INDEX(站位样品信息!$A:$A,COUNTA(站位样品信息!$A:$A)+1),),))</f>
        <v/>
      </c>
      <c r="H753" s="55" t="str">
        <f>IF(OR(A753&lt;&gt;"",B753&lt;&gt;"",C753&lt;&gt;""),IF($C753&lt;&gt;0,INDEX(生物种群!$A$3:INDEX(生物种群!$A:$A,COUNTA(生物种群!$A:$A)),MATCH($C753,生物种群!$F$3:INDEX(生物种群!$F:$F,COUNTA(生物种群!$F:$F)),),),IF($A753&lt;&gt;0,INDEX(生物种群!$A$3:INDEX(生物种群!$A:$A,COUNTA(生物种群!$A:$A)),MATCH($A753,生物种群!$C$3:INDEX(生物种群!$C:$C,COUNTA(生物种群!$C:$C)),),),INDEX(生物种群!$A$3:INDEX(生物种群!$A:$A,COUNTA(生物种群!$A:$A)),MATCH($B753,生物种群!$D$3:INDEX(生物种群!$D:$D,COUNTA(生物种群!$D:$D)),),))),"")</f>
        <v/>
      </c>
      <c r="I753" s="56" t="str">
        <f>IF(H753="","",INDEX(生物种群!$B$3:INDEX(生物种群!$B:$B,COUNTA(生物种群!$B:$B)),MATCH($H753,生物种群!$A$3:INDEX(生物种群!$A:$A,COUNTA(生物种群!$A:$A)),),))</f>
        <v/>
      </c>
      <c r="J753" s="55" t="str">
        <f>IF(H753="","",INDEX(生物种群!$I$3:INDEX(生物种群!$I:$I,COUNTA(生物种群!$I:$I)),MATCH($H753,生物种群!$A$3:INDEX(生物种群!$A:$A,COUNTA(生物种群!$A:$A)),),))</f>
        <v/>
      </c>
      <c r="K753" s="55" t="str">
        <f>IF(H753="","",INDEX(生物种群!$E$3:INDEX(生物种群!$E:$E,COUNTA(生物种群!$E:$E)),MATCH($H753,生物种群!$A$3:INDEX(生物种群!$A:$A,COUNTA(生物种群!$A:$A)),),))</f>
        <v/>
      </c>
      <c r="L753" s="46" t="str">
        <f t="shared" si="39"/>
        <v/>
      </c>
      <c r="M753" s="47" t="str">
        <f>IF(L753="","",ROUND((L753)/VLOOKUP($F753,IF({1,0},站位样品信息!$A$3:INDEX(站位样品信息!$A:$A,COUNTA(站位样品信息!$A:$A)+1),站位样品信息!$H$3:INDEX(站位样品信息!$H:$H,COUNTA(站位样品信息!$H:$H)+1)),2,0),2))</f>
        <v/>
      </c>
      <c r="O753" s="49"/>
      <c r="P753" s="53" t="str">
        <f t="shared" si="37"/>
        <v/>
      </c>
      <c r="Q753" s="53" t="str">
        <f t="shared" si="38"/>
        <v/>
      </c>
    </row>
    <row r="754" spans="1:17" ht="19.5" customHeight="1">
      <c r="A754" s="38"/>
      <c r="B754" s="38"/>
      <c r="C754" s="38"/>
      <c r="D754" s="37"/>
      <c r="E754" s="37"/>
      <c r="F754" s="37"/>
      <c r="G754" s="37" t="str">
        <f>IF(F754="","",INDEX(站位样品信息!$B$3:INDEX(站位样品信息!$B:$B,COUNTA(站位样品信息!$B:$B)+1),MATCH($F754,站位样品信息!$A$3:INDEX(站位样品信息!$A:$A,COUNTA(站位样品信息!$A:$A)+1),),))</f>
        <v/>
      </c>
      <c r="H754" s="55" t="str">
        <f>IF(OR(A754&lt;&gt;"",B754&lt;&gt;"",C754&lt;&gt;""),IF($C754&lt;&gt;0,INDEX(生物种群!$A$3:INDEX(生物种群!$A:$A,COUNTA(生物种群!$A:$A)),MATCH($C754,生物种群!$F$3:INDEX(生物种群!$F:$F,COUNTA(生物种群!$F:$F)),),),IF($A754&lt;&gt;0,INDEX(生物种群!$A$3:INDEX(生物种群!$A:$A,COUNTA(生物种群!$A:$A)),MATCH($A754,生物种群!$C$3:INDEX(生物种群!$C:$C,COUNTA(生物种群!$C:$C)),),),INDEX(生物种群!$A$3:INDEX(生物种群!$A:$A,COUNTA(生物种群!$A:$A)),MATCH($B754,生物种群!$D$3:INDEX(生物种群!$D:$D,COUNTA(生物种群!$D:$D)),),))),"")</f>
        <v/>
      </c>
      <c r="I754" s="56" t="str">
        <f>IF(H754="","",INDEX(生物种群!$B$3:INDEX(生物种群!$B:$B,COUNTA(生物种群!$B:$B)),MATCH($H754,生物种群!$A$3:INDEX(生物种群!$A:$A,COUNTA(生物种群!$A:$A)),),))</f>
        <v/>
      </c>
      <c r="J754" s="55" t="str">
        <f>IF(H754="","",INDEX(生物种群!$I$3:INDEX(生物种群!$I:$I,COUNTA(生物种群!$I:$I)),MATCH($H754,生物种群!$A$3:INDEX(生物种群!$A:$A,COUNTA(生物种群!$A:$A)),),))</f>
        <v/>
      </c>
      <c r="K754" s="55" t="str">
        <f>IF(H754="","",INDEX(生物种群!$E$3:INDEX(生物种群!$E:$E,COUNTA(生物种群!$E:$E)),MATCH($H754,生物种群!$A$3:INDEX(生物种群!$A:$A,COUNTA(生物种群!$A:$A)),),))</f>
        <v/>
      </c>
      <c r="L754" s="46" t="str">
        <f t="shared" si="39"/>
        <v/>
      </c>
      <c r="M754" s="47" t="str">
        <f>IF(L754="","",ROUND((L754)/VLOOKUP($F754,IF({1,0},站位样品信息!$A$3:INDEX(站位样品信息!$A:$A,COUNTA(站位样品信息!$A:$A)+1),站位样品信息!$H$3:INDEX(站位样品信息!$H:$H,COUNTA(站位样品信息!$H:$H)+1)),2,0),2))</f>
        <v/>
      </c>
      <c r="O754" s="49"/>
      <c r="P754" s="53" t="str">
        <f t="shared" si="37"/>
        <v/>
      </c>
      <c r="Q754" s="53" t="str">
        <f t="shared" si="38"/>
        <v/>
      </c>
    </row>
    <row r="755" spans="1:17" ht="19.5" customHeight="1">
      <c r="A755" s="38"/>
      <c r="B755" s="38"/>
      <c r="C755" s="38"/>
      <c r="D755" s="37"/>
      <c r="E755" s="37"/>
      <c r="F755" s="37"/>
      <c r="G755" s="37" t="str">
        <f>IF(F755="","",INDEX(站位样品信息!$B$3:INDEX(站位样品信息!$B:$B,COUNTA(站位样品信息!$B:$B)+1),MATCH($F755,站位样品信息!$A$3:INDEX(站位样品信息!$A:$A,COUNTA(站位样品信息!$A:$A)+1),),))</f>
        <v/>
      </c>
      <c r="H755" s="55" t="str">
        <f>IF(OR(A755&lt;&gt;"",B755&lt;&gt;"",C755&lt;&gt;""),IF($C755&lt;&gt;0,INDEX(生物种群!$A$3:INDEX(生物种群!$A:$A,COUNTA(生物种群!$A:$A)),MATCH($C755,生物种群!$F$3:INDEX(生物种群!$F:$F,COUNTA(生物种群!$F:$F)),),),IF($A755&lt;&gt;0,INDEX(生物种群!$A$3:INDEX(生物种群!$A:$A,COUNTA(生物种群!$A:$A)),MATCH($A755,生物种群!$C$3:INDEX(生物种群!$C:$C,COUNTA(生物种群!$C:$C)),),),INDEX(生物种群!$A$3:INDEX(生物种群!$A:$A,COUNTA(生物种群!$A:$A)),MATCH($B755,生物种群!$D$3:INDEX(生物种群!$D:$D,COUNTA(生物种群!$D:$D)),),))),"")</f>
        <v/>
      </c>
      <c r="I755" s="56" t="str">
        <f>IF(H755="","",INDEX(生物种群!$B$3:INDEX(生物种群!$B:$B,COUNTA(生物种群!$B:$B)),MATCH($H755,生物种群!$A$3:INDEX(生物种群!$A:$A,COUNTA(生物种群!$A:$A)),),))</f>
        <v/>
      </c>
      <c r="J755" s="55" t="str">
        <f>IF(H755="","",INDEX(生物种群!$I$3:INDEX(生物种群!$I:$I,COUNTA(生物种群!$I:$I)),MATCH($H755,生物种群!$A$3:INDEX(生物种群!$A:$A,COUNTA(生物种群!$A:$A)),),))</f>
        <v/>
      </c>
      <c r="K755" s="55" t="str">
        <f>IF(H755="","",INDEX(生物种群!$E$3:INDEX(生物种群!$E:$E,COUNTA(生物种群!$E:$E)),MATCH($H755,生物种群!$A$3:INDEX(生物种群!$A:$A,COUNTA(生物种群!$A:$A)),),))</f>
        <v/>
      </c>
      <c r="L755" s="46" t="str">
        <f t="shared" si="39"/>
        <v/>
      </c>
      <c r="M755" s="47" t="str">
        <f>IF(L755="","",ROUND((L755)/VLOOKUP($F755,IF({1,0},站位样品信息!$A$3:INDEX(站位样品信息!$A:$A,COUNTA(站位样品信息!$A:$A)+1),站位样品信息!$H$3:INDEX(站位样品信息!$H:$H,COUNTA(站位样品信息!$H:$H)+1)),2,0),2))</f>
        <v/>
      </c>
      <c r="O755" s="49"/>
      <c r="P755" s="53" t="str">
        <f t="shared" si="37"/>
        <v/>
      </c>
      <c r="Q755" s="53" t="str">
        <f t="shared" si="38"/>
        <v/>
      </c>
    </row>
    <row r="756" spans="1:17" ht="19.5" customHeight="1">
      <c r="A756" s="38"/>
      <c r="B756" s="38"/>
      <c r="C756" s="38"/>
      <c r="D756" s="37"/>
      <c r="E756" s="37"/>
      <c r="F756" s="37"/>
      <c r="G756" s="37" t="str">
        <f>IF(F756="","",INDEX(站位样品信息!$B$3:INDEX(站位样品信息!$B:$B,COUNTA(站位样品信息!$B:$B)+1),MATCH($F756,站位样品信息!$A$3:INDEX(站位样品信息!$A:$A,COUNTA(站位样品信息!$A:$A)+1),),))</f>
        <v/>
      </c>
      <c r="H756" s="55" t="str">
        <f>IF(OR(A756&lt;&gt;"",B756&lt;&gt;"",C756&lt;&gt;""),IF($C756&lt;&gt;0,INDEX(生物种群!$A$3:INDEX(生物种群!$A:$A,COUNTA(生物种群!$A:$A)),MATCH($C756,生物种群!$F$3:INDEX(生物种群!$F:$F,COUNTA(生物种群!$F:$F)),),),IF($A756&lt;&gt;0,INDEX(生物种群!$A$3:INDEX(生物种群!$A:$A,COUNTA(生物种群!$A:$A)),MATCH($A756,生物种群!$C$3:INDEX(生物种群!$C:$C,COUNTA(生物种群!$C:$C)),),),INDEX(生物种群!$A$3:INDEX(生物种群!$A:$A,COUNTA(生物种群!$A:$A)),MATCH($B756,生物种群!$D$3:INDEX(生物种群!$D:$D,COUNTA(生物种群!$D:$D)),),))),"")</f>
        <v/>
      </c>
      <c r="I756" s="56" t="str">
        <f>IF(H756="","",INDEX(生物种群!$B$3:INDEX(生物种群!$B:$B,COUNTA(生物种群!$B:$B)),MATCH($H756,生物种群!$A$3:INDEX(生物种群!$A:$A,COUNTA(生物种群!$A:$A)),),))</f>
        <v/>
      </c>
      <c r="J756" s="55" t="str">
        <f>IF(H756="","",INDEX(生物种群!$I$3:INDEX(生物种群!$I:$I,COUNTA(生物种群!$I:$I)),MATCH($H756,生物种群!$A$3:INDEX(生物种群!$A:$A,COUNTA(生物种群!$A:$A)),),))</f>
        <v/>
      </c>
      <c r="K756" s="55" t="str">
        <f>IF(H756="","",INDEX(生物种群!$E$3:INDEX(生物种群!$E:$E,COUNTA(生物种群!$E:$E)),MATCH($H756,生物种群!$A$3:INDEX(生物种群!$A:$A,COUNTA(生物种群!$A:$A)),),))</f>
        <v/>
      </c>
      <c r="L756" s="46" t="str">
        <f t="shared" si="39"/>
        <v/>
      </c>
      <c r="M756" s="47" t="str">
        <f>IF(L756="","",ROUND((L756)/VLOOKUP($F756,IF({1,0},站位样品信息!$A$3:INDEX(站位样品信息!$A:$A,COUNTA(站位样品信息!$A:$A)+1),站位样品信息!$H$3:INDEX(站位样品信息!$H:$H,COUNTA(站位样品信息!$H:$H)+1)),2,0),2))</f>
        <v/>
      </c>
      <c r="O756" s="49"/>
      <c r="P756" s="53" t="str">
        <f t="shared" si="37"/>
        <v/>
      </c>
      <c r="Q756" s="53" t="str">
        <f t="shared" si="38"/>
        <v/>
      </c>
    </row>
    <row r="757" spans="1:17" ht="19.5" customHeight="1">
      <c r="A757" s="38"/>
      <c r="B757" s="38"/>
      <c r="C757" s="38"/>
      <c r="D757" s="37"/>
      <c r="E757" s="37"/>
      <c r="F757" s="37"/>
      <c r="G757" s="37" t="str">
        <f>IF(F757="","",INDEX(站位样品信息!$B$3:INDEX(站位样品信息!$B:$B,COUNTA(站位样品信息!$B:$B)+1),MATCH($F757,站位样品信息!$A$3:INDEX(站位样品信息!$A:$A,COUNTA(站位样品信息!$A:$A)+1),),))</f>
        <v/>
      </c>
      <c r="H757" s="55" t="str">
        <f>IF(OR(A757&lt;&gt;"",B757&lt;&gt;"",C757&lt;&gt;""),IF($C757&lt;&gt;0,INDEX(生物种群!$A$3:INDEX(生物种群!$A:$A,COUNTA(生物种群!$A:$A)),MATCH($C757,生物种群!$F$3:INDEX(生物种群!$F:$F,COUNTA(生物种群!$F:$F)),),),IF($A757&lt;&gt;0,INDEX(生物种群!$A$3:INDEX(生物种群!$A:$A,COUNTA(生物种群!$A:$A)),MATCH($A757,生物种群!$C$3:INDEX(生物种群!$C:$C,COUNTA(生物种群!$C:$C)),),),INDEX(生物种群!$A$3:INDEX(生物种群!$A:$A,COUNTA(生物种群!$A:$A)),MATCH($B757,生物种群!$D$3:INDEX(生物种群!$D:$D,COUNTA(生物种群!$D:$D)),),))),"")</f>
        <v/>
      </c>
      <c r="I757" s="56" t="str">
        <f>IF(H757="","",INDEX(生物种群!$B$3:INDEX(生物种群!$B:$B,COUNTA(生物种群!$B:$B)),MATCH($H757,生物种群!$A$3:INDEX(生物种群!$A:$A,COUNTA(生物种群!$A:$A)),),))</f>
        <v/>
      </c>
      <c r="J757" s="55" t="str">
        <f>IF(H757="","",INDEX(生物种群!$I$3:INDEX(生物种群!$I:$I,COUNTA(生物种群!$I:$I)),MATCH($H757,生物种群!$A$3:INDEX(生物种群!$A:$A,COUNTA(生物种群!$A:$A)),),))</f>
        <v/>
      </c>
      <c r="K757" s="55" t="str">
        <f>IF(H757="","",INDEX(生物种群!$E$3:INDEX(生物种群!$E:$E,COUNTA(生物种群!$E:$E)),MATCH($H757,生物种群!$A$3:INDEX(生物种群!$A:$A,COUNTA(生物种群!$A:$A)),),))</f>
        <v/>
      </c>
      <c r="L757" s="46" t="str">
        <f t="shared" si="39"/>
        <v/>
      </c>
      <c r="M757" s="47" t="str">
        <f>IF(L757="","",ROUND((L757)/VLOOKUP($F757,IF({1,0},站位样品信息!$A$3:INDEX(站位样品信息!$A:$A,COUNTA(站位样品信息!$A:$A)+1),站位样品信息!$H$3:INDEX(站位样品信息!$H:$H,COUNTA(站位样品信息!$H:$H)+1)),2,0),2))</f>
        <v/>
      </c>
      <c r="O757" s="49"/>
      <c r="P757" s="53" t="str">
        <f t="shared" si="37"/>
        <v/>
      </c>
      <c r="Q757" s="53" t="str">
        <f t="shared" si="38"/>
        <v/>
      </c>
    </row>
    <row r="758" spans="1:17" ht="19.5" customHeight="1">
      <c r="A758" s="38"/>
      <c r="B758" s="38"/>
      <c r="C758" s="38"/>
      <c r="D758" s="37"/>
      <c r="E758" s="37"/>
      <c r="F758" s="37"/>
      <c r="G758" s="37" t="str">
        <f>IF(F758="","",INDEX(站位样品信息!$B$3:INDEX(站位样品信息!$B:$B,COUNTA(站位样品信息!$B:$B)+1),MATCH($F758,站位样品信息!$A$3:INDEX(站位样品信息!$A:$A,COUNTA(站位样品信息!$A:$A)+1),),))</f>
        <v/>
      </c>
      <c r="H758" s="55" t="str">
        <f>IF(OR(A758&lt;&gt;"",B758&lt;&gt;"",C758&lt;&gt;""),IF($C758&lt;&gt;0,INDEX(生物种群!$A$3:INDEX(生物种群!$A:$A,COUNTA(生物种群!$A:$A)),MATCH($C758,生物种群!$F$3:INDEX(生物种群!$F:$F,COUNTA(生物种群!$F:$F)),),),IF($A758&lt;&gt;0,INDEX(生物种群!$A$3:INDEX(生物种群!$A:$A,COUNTA(生物种群!$A:$A)),MATCH($A758,生物种群!$C$3:INDEX(生物种群!$C:$C,COUNTA(生物种群!$C:$C)),),),INDEX(生物种群!$A$3:INDEX(生物种群!$A:$A,COUNTA(生物种群!$A:$A)),MATCH($B758,生物种群!$D$3:INDEX(生物种群!$D:$D,COUNTA(生物种群!$D:$D)),),))),"")</f>
        <v/>
      </c>
      <c r="I758" s="56" t="str">
        <f>IF(H758="","",INDEX(生物种群!$B$3:INDEX(生物种群!$B:$B,COUNTA(生物种群!$B:$B)),MATCH($H758,生物种群!$A$3:INDEX(生物种群!$A:$A,COUNTA(生物种群!$A:$A)),),))</f>
        <v/>
      </c>
      <c r="J758" s="55" t="str">
        <f>IF(H758="","",INDEX(生物种群!$I$3:INDEX(生物种群!$I:$I,COUNTA(生物种群!$I:$I)),MATCH($H758,生物种群!$A$3:INDEX(生物种群!$A:$A,COUNTA(生物种群!$A:$A)),),))</f>
        <v/>
      </c>
      <c r="K758" s="55" t="str">
        <f>IF(H758="","",INDEX(生物种群!$E$3:INDEX(生物种群!$E:$E,COUNTA(生物种群!$E:$E)),MATCH($H758,生物种群!$A$3:INDEX(生物种群!$A:$A,COUNTA(生物种群!$A:$A)),),))</f>
        <v/>
      </c>
      <c r="L758" s="46" t="str">
        <f t="shared" si="39"/>
        <v/>
      </c>
      <c r="M758" s="47" t="str">
        <f>IF(L758="","",ROUND((L758)/VLOOKUP($F758,IF({1,0},站位样品信息!$A$3:INDEX(站位样品信息!$A:$A,COUNTA(站位样品信息!$A:$A)+1),站位样品信息!$H$3:INDEX(站位样品信息!$H:$H,COUNTA(站位样品信息!$H:$H)+1)),2,0),2))</f>
        <v/>
      </c>
      <c r="O758" s="49"/>
      <c r="P758" s="53" t="str">
        <f t="shared" si="37"/>
        <v/>
      </c>
      <c r="Q758" s="53" t="str">
        <f t="shared" si="38"/>
        <v/>
      </c>
    </row>
    <row r="759" spans="1:17" ht="19.5" customHeight="1">
      <c r="A759" s="38"/>
      <c r="B759" s="38"/>
      <c r="C759" s="38"/>
      <c r="D759" s="37"/>
      <c r="E759" s="37"/>
      <c r="F759" s="37"/>
      <c r="G759" s="37" t="str">
        <f>IF(F759="","",INDEX(站位样品信息!$B$3:INDEX(站位样品信息!$B:$B,COUNTA(站位样品信息!$B:$B)+1),MATCH($F759,站位样品信息!$A$3:INDEX(站位样品信息!$A:$A,COUNTA(站位样品信息!$A:$A)+1),),))</f>
        <v/>
      </c>
      <c r="H759" s="55" t="str">
        <f>IF(OR(A759&lt;&gt;"",B759&lt;&gt;"",C759&lt;&gt;""),IF($C759&lt;&gt;0,INDEX(生物种群!$A$3:INDEX(生物种群!$A:$A,COUNTA(生物种群!$A:$A)),MATCH($C759,生物种群!$F$3:INDEX(生物种群!$F:$F,COUNTA(生物种群!$F:$F)),),),IF($A759&lt;&gt;0,INDEX(生物种群!$A$3:INDEX(生物种群!$A:$A,COUNTA(生物种群!$A:$A)),MATCH($A759,生物种群!$C$3:INDEX(生物种群!$C:$C,COUNTA(生物种群!$C:$C)),),),INDEX(生物种群!$A$3:INDEX(生物种群!$A:$A,COUNTA(生物种群!$A:$A)),MATCH($B759,生物种群!$D$3:INDEX(生物种群!$D:$D,COUNTA(生物种群!$D:$D)),),))),"")</f>
        <v/>
      </c>
      <c r="I759" s="56" t="str">
        <f>IF(H759="","",INDEX(生物种群!$B$3:INDEX(生物种群!$B:$B,COUNTA(生物种群!$B:$B)),MATCH($H759,生物种群!$A$3:INDEX(生物种群!$A:$A,COUNTA(生物种群!$A:$A)),),))</f>
        <v/>
      </c>
      <c r="J759" s="55" t="str">
        <f>IF(H759="","",INDEX(生物种群!$I$3:INDEX(生物种群!$I:$I,COUNTA(生物种群!$I:$I)),MATCH($H759,生物种群!$A$3:INDEX(生物种群!$A:$A,COUNTA(生物种群!$A:$A)),),))</f>
        <v/>
      </c>
      <c r="K759" s="55" t="str">
        <f>IF(H759="","",INDEX(生物种群!$E$3:INDEX(生物种群!$E:$E,COUNTA(生物种群!$E:$E)),MATCH($H759,生物种群!$A$3:INDEX(生物种群!$A:$A,COUNTA(生物种群!$A:$A)),),))</f>
        <v/>
      </c>
      <c r="L759" s="46" t="str">
        <f t="shared" si="39"/>
        <v/>
      </c>
      <c r="M759" s="47" t="str">
        <f>IF(L759="","",ROUND((L759)/VLOOKUP($F759,IF({1,0},站位样品信息!$A$3:INDEX(站位样品信息!$A:$A,COUNTA(站位样品信息!$A:$A)+1),站位样品信息!$H$3:INDEX(站位样品信息!$H:$H,COUNTA(站位样品信息!$H:$H)+1)),2,0),2))</f>
        <v/>
      </c>
      <c r="O759" s="49"/>
      <c r="P759" s="53" t="str">
        <f t="shared" si="37"/>
        <v/>
      </c>
      <c r="Q759" s="53" t="str">
        <f t="shared" si="38"/>
        <v/>
      </c>
    </row>
    <row r="760" spans="1:17" ht="19.5" customHeight="1">
      <c r="A760" s="38"/>
      <c r="B760" s="38"/>
      <c r="C760" s="38"/>
      <c r="D760" s="37"/>
      <c r="E760" s="37"/>
      <c r="F760" s="37"/>
      <c r="G760" s="37" t="str">
        <f>IF(F760="","",INDEX(站位样品信息!$B$3:INDEX(站位样品信息!$B:$B,COUNTA(站位样品信息!$B:$B)+1),MATCH($F760,站位样品信息!$A$3:INDEX(站位样品信息!$A:$A,COUNTA(站位样品信息!$A:$A)+1),),))</f>
        <v/>
      </c>
      <c r="H760" s="55" t="str">
        <f>IF(OR(A760&lt;&gt;"",B760&lt;&gt;"",C760&lt;&gt;""),IF($C760&lt;&gt;0,INDEX(生物种群!$A$3:INDEX(生物种群!$A:$A,COUNTA(生物种群!$A:$A)),MATCH($C760,生物种群!$F$3:INDEX(生物种群!$F:$F,COUNTA(生物种群!$F:$F)),),),IF($A760&lt;&gt;0,INDEX(生物种群!$A$3:INDEX(生物种群!$A:$A,COUNTA(生物种群!$A:$A)),MATCH($A760,生物种群!$C$3:INDEX(生物种群!$C:$C,COUNTA(生物种群!$C:$C)),),),INDEX(生物种群!$A$3:INDEX(生物种群!$A:$A,COUNTA(生物种群!$A:$A)),MATCH($B760,生物种群!$D$3:INDEX(生物种群!$D:$D,COUNTA(生物种群!$D:$D)),),))),"")</f>
        <v/>
      </c>
      <c r="I760" s="56" t="str">
        <f>IF(H760="","",INDEX(生物种群!$B$3:INDEX(生物种群!$B:$B,COUNTA(生物种群!$B:$B)),MATCH($H760,生物种群!$A$3:INDEX(生物种群!$A:$A,COUNTA(生物种群!$A:$A)),),))</f>
        <v/>
      </c>
      <c r="J760" s="55" t="str">
        <f>IF(H760="","",INDEX(生物种群!$I$3:INDEX(生物种群!$I:$I,COUNTA(生物种群!$I:$I)),MATCH($H760,生物种群!$A$3:INDEX(生物种群!$A:$A,COUNTA(生物种群!$A:$A)),),))</f>
        <v/>
      </c>
      <c r="K760" s="55" t="str">
        <f>IF(H760="","",INDEX(生物种群!$E$3:INDEX(生物种群!$E:$E,COUNTA(生物种群!$E:$E)),MATCH($H760,生物种群!$A$3:INDEX(生物种群!$A:$A,COUNTA(生物种群!$A:$A)),),))</f>
        <v/>
      </c>
      <c r="L760" s="46" t="str">
        <f t="shared" si="39"/>
        <v/>
      </c>
      <c r="M760" s="47" t="str">
        <f>IF(L760="","",ROUND((L760)/VLOOKUP($F760,IF({1,0},站位样品信息!$A$3:INDEX(站位样品信息!$A:$A,COUNTA(站位样品信息!$A:$A)+1),站位样品信息!$H$3:INDEX(站位样品信息!$H:$H,COUNTA(站位样品信息!$H:$H)+1)),2,0),2))</f>
        <v/>
      </c>
      <c r="O760" s="49"/>
      <c r="P760" s="53" t="str">
        <f t="shared" si="37"/>
        <v/>
      </c>
      <c r="Q760" s="53" t="str">
        <f t="shared" si="38"/>
        <v/>
      </c>
    </row>
    <row r="761" spans="1:17" ht="19.5" customHeight="1">
      <c r="A761" s="38"/>
      <c r="B761" s="38"/>
      <c r="C761" s="38"/>
      <c r="D761" s="37"/>
      <c r="E761" s="37"/>
      <c r="F761" s="37"/>
      <c r="G761" s="37" t="str">
        <f>IF(F761="","",INDEX(站位样品信息!$B$3:INDEX(站位样品信息!$B:$B,COUNTA(站位样品信息!$B:$B)+1),MATCH($F761,站位样品信息!$A$3:INDEX(站位样品信息!$A:$A,COUNTA(站位样品信息!$A:$A)+1),),))</f>
        <v/>
      </c>
      <c r="H761" s="55" t="str">
        <f>IF(OR(A761&lt;&gt;"",B761&lt;&gt;"",C761&lt;&gt;""),IF($C761&lt;&gt;0,INDEX(生物种群!$A$3:INDEX(生物种群!$A:$A,COUNTA(生物种群!$A:$A)),MATCH($C761,生物种群!$F$3:INDEX(生物种群!$F:$F,COUNTA(生物种群!$F:$F)),),),IF($A761&lt;&gt;0,INDEX(生物种群!$A$3:INDEX(生物种群!$A:$A,COUNTA(生物种群!$A:$A)),MATCH($A761,生物种群!$C$3:INDEX(生物种群!$C:$C,COUNTA(生物种群!$C:$C)),),),INDEX(生物种群!$A$3:INDEX(生物种群!$A:$A,COUNTA(生物种群!$A:$A)),MATCH($B761,生物种群!$D$3:INDEX(生物种群!$D:$D,COUNTA(生物种群!$D:$D)),),))),"")</f>
        <v/>
      </c>
      <c r="I761" s="56" t="str">
        <f>IF(H761="","",INDEX(生物种群!$B$3:INDEX(生物种群!$B:$B,COUNTA(生物种群!$B:$B)),MATCH($H761,生物种群!$A$3:INDEX(生物种群!$A:$A,COUNTA(生物种群!$A:$A)),),))</f>
        <v/>
      </c>
      <c r="J761" s="55" t="str">
        <f>IF(H761="","",INDEX(生物种群!$I$3:INDEX(生物种群!$I:$I,COUNTA(生物种群!$I:$I)),MATCH($H761,生物种群!$A$3:INDEX(生物种群!$A:$A,COUNTA(生物种群!$A:$A)),),))</f>
        <v/>
      </c>
      <c r="K761" s="55" t="str">
        <f>IF(H761="","",INDEX(生物种群!$E$3:INDEX(生物种群!$E:$E,COUNTA(生物种群!$E:$E)),MATCH($H761,生物种群!$A$3:INDEX(生物种群!$A:$A,COUNTA(生物种群!$A:$A)),),))</f>
        <v/>
      </c>
      <c r="L761" s="46" t="str">
        <f t="shared" si="39"/>
        <v/>
      </c>
      <c r="M761" s="47" t="str">
        <f>IF(L761="","",ROUND((L761)/VLOOKUP($F761,IF({1,0},站位样品信息!$A$3:INDEX(站位样品信息!$A:$A,COUNTA(站位样品信息!$A:$A)+1),站位样品信息!$H$3:INDEX(站位样品信息!$H:$H,COUNTA(站位样品信息!$H:$H)+1)),2,0),2))</f>
        <v/>
      </c>
      <c r="O761" s="49"/>
      <c r="P761" s="53" t="str">
        <f t="shared" si="37"/>
        <v/>
      </c>
      <c r="Q761" s="53" t="str">
        <f t="shared" si="38"/>
        <v/>
      </c>
    </row>
    <row r="762" spans="1:17" ht="19.5" customHeight="1">
      <c r="A762" s="38"/>
      <c r="B762" s="38"/>
      <c r="C762" s="38"/>
      <c r="D762" s="37"/>
      <c r="E762" s="37"/>
      <c r="F762" s="37"/>
      <c r="G762" s="37" t="str">
        <f>IF(F762="","",INDEX(站位样品信息!$B$3:INDEX(站位样品信息!$B:$B,COUNTA(站位样品信息!$B:$B)+1),MATCH($F762,站位样品信息!$A$3:INDEX(站位样品信息!$A:$A,COUNTA(站位样品信息!$A:$A)+1),),))</f>
        <v/>
      </c>
      <c r="H762" s="55" t="str">
        <f>IF(OR(A762&lt;&gt;"",B762&lt;&gt;"",C762&lt;&gt;""),IF($C762&lt;&gt;0,INDEX(生物种群!$A$3:INDEX(生物种群!$A:$A,COUNTA(生物种群!$A:$A)),MATCH($C762,生物种群!$F$3:INDEX(生物种群!$F:$F,COUNTA(生物种群!$F:$F)),),),IF($A762&lt;&gt;0,INDEX(生物种群!$A$3:INDEX(生物种群!$A:$A,COUNTA(生物种群!$A:$A)),MATCH($A762,生物种群!$C$3:INDEX(生物种群!$C:$C,COUNTA(生物种群!$C:$C)),),),INDEX(生物种群!$A$3:INDEX(生物种群!$A:$A,COUNTA(生物种群!$A:$A)),MATCH($B762,生物种群!$D$3:INDEX(生物种群!$D:$D,COUNTA(生物种群!$D:$D)),),))),"")</f>
        <v/>
      </c>
      <c r="I762" s="56" t="str">
        <f>IF(H762="","",INDEX(生物种群!$B$3:INDEX(生物种群!$B:$B,COUNTA(生物种群!$B:$B)),MATCH($H762,生物种群!$A$3:INDEX(生物种群!$A:$A,COUNTA(生物种群!$A:$A)),),))</f>
        <v/>
      </c>
      <c r="J762" s="55" t="str">
        <f>IF(H762="","",INDEX(生物种群!$I$3:INDEX(生物种群!$I:$I,COUNTA(生物种群!$I:$I)),MATCH($H762,生物种群!$A$3:INDEX(生物种群!$A:$A,COUNTA(生物种群!$A:$A)),),))</f>
        <v/>
      </c>
      <c r="K762" s="55" t="str">
        <f>IF(H762="","",INDEX(生物种群!$E$3:INDEX(生物种群!$E:$E,COUNTA(生物种群!$E:$E)),MATCH($H762,生物种群!$A$3:INDEX(生物种群!$A:$A,COUNTA(生物种群!$A:$A)),),))</f>
        <v/>
      </c>
      <c r="L762" s="46" t="str">
        <f t="shared" si="39"/>
        <v/>
      </c>
      <c r="M762" s="47" t="str">
        <f>IF(L762="","",ROUND((L762)/VLOOKUP($F762,IF({1,0},站位样品信息!$A$3:INDEX(站位样品信息!$A:$A,COUNTA(站位样品信息!$A:$A)+1),站位样品信息!$H$3:INDEX(站位样品信息!$H:$H,COUNTA(站位样品信息!$H:$H)+1)),2,0),2))</f>
        <v/>
      </c>
      <c r="O762" s="49"/>
      <c r="P762" s="53" t="str">
        <f t="shared" si="37"/>
        <v/>
      </c>
      <c r="Q762" s="53" t="str">
        <f t="shared" si="38"/>
        <v/>
      </c>
    </row>
    <row r="763" spans="1:17" ht="19.5" customHeight="1">
      <c r="A763" s="38"/>
      <c r="B763" s="38"/>
      <c r="C763" s="38"/>
      <c r="D763" s="37"/>
      <c r="E763" s="37"/>
      <c r="F763" s="37"/>
      <c r="G763" s="37" t="str">
        <f>IF(F763="","",INDEX(站位样品信息!$B$3:INDEX(站位样品信息!$B:$B,COUNTA(站位样品信息!$B:$B)+1),MATCH($F763,站位样品信息!$A$3:INDEX(站位样品信息!$A:$A,COUNTA(站位样品信息!$A:$A)+1),),))</f>
        <v/>
      </c>
      <c r="H763" s="55" t="str">
        <f>IF(OR(A763&lt;&gt;"",B763&lt;&gt;"",C763&lt;&gt;""),IF($C763&lt;&gt;0,INDEX(生物种群!$A$3:INDEX(生物种群!$A:$A,COUNTA(生物种群!$A:$A)),MATCH($C763,生物种群!$F$3:INDEX(生物种群!$F:$F,COUNTA(生物种群!$F:$F)),),),IF($A763&lt;&gt;0,INDEX(生物种群!$A$3:INDEX(生物种群!$A:$A,COUNTA(生物种群!$A:$A)),MATCH($A763,生物种群!$C$3:INDEX(生物种群!$C:$C,COUNTA(生物种群!$C:$C)),),),INDEX(生物种群!$A$3:INDEX(生物种群!$A:$A,COUNTA(生物种群!$A:$A)),MATCH($B763,生物种群!$D$3:INDEX(生物种群!$D:$D,COUNTA(生物种群!$D:$D)),),))),"")</f>
        <v/>
      </c>
      <c r="I763" s="56" t="str">
        <f>IF(H763="","",INDEX(生物种群!$B$3:INDEX(生物种群!$B:$B,COUNTA(生物种群!$B:$B)),MATCH($H763,生物种群!$A$3:INDEX(生物种群!$A:$A,COUNTA(生物种群!$A:$A)),),))</f>
        <v/>
      </c>
      <c r="J763" s="55" t="str">
        <f>IF(H763="","",INDEX(生物种群!$I$3:INDEX(生物种群!$I:$I,COUNTA(生物种群!$I:$I)),MATCH($H763,生物种群!$A$3:INDEX(生物种群!$A:$A,COUNTA(生物种群!$A:$A)),),))</f>
        <v/>
      </c>
      <c r="K763" s="55" t="str">
        <f>IF(H763="","",INDEX(生物种群!$E$3:INDEX(生物种群!$E:$E,COUNTA(生物种群!$E:$E)),MATCH($H763,生物种群!$A$3:INDEX(生物种群!$A:$A,COUNTA(生物种群!$A:$A)),),))</f>
        <v/>
      </c>
      <c r="L763" s="46" t="str">
        <f t="shared" si="39"/>
        <v/>
      </c>
      <c r="M763" s="47" t="str">
        <f>IF(L763="","",ROUND((L763)/VLOOKUP($F763,IF({1,0},站位样品信息!$A$3:INDEX(站位样品信息!$A:$A,COUNTA(站位样品信息!$A:$A)+1),站位样品信息!$H$3:INDEX(站位样品信息!$H:$H,COUNTA(站位样品信息!$H:$H)+1)),2,0),2))</f>
        <v/>
      </c>
      <c r="O763" s="49"/>
      <c r="P763" s="53" t="str">
        <f t="shared" si="37"/>
        <v/>
      </c>
      <c r="Q763" s="53" t="str">
        <f t="shared" si="38"/>
        <v/>
      </c>
    </row>
    <row r="764" spans="1:17" ht="19.5" customHeight="1">
      <c r="A764" s="38"/>
      <c r="B764" s="38"/>
      <c r="C764" s="38"/>
      <c r="D764" s="37"/>
      <c r="E764" s="37"/>
      <c r="F764" s="37"/>
      <c r="G764" s="37" t="str">
        <f>IF(F764="","",INDEX(站位样品信息!$B$3:INDEX(站位样品信息!$B:$B,COUNTA(站位样品信息!$B:$B)+1),MATCH($F764,站位样品信息!$A$3:INDEX(站位样品信息!$A:$A,COUNTA(站位样品信息!$A:$A)+1),),))</f>
        <v/>
      </c>
      <c r="H764" s="55" t="str">
        <f>IF(OR(A764&lt;&gt;"",B764&lt;&gt;"",C764&lt;&gt;""),IF($C764&lt;&gt;0,INDEX(生物种群!$A$3:INDEX(生物种群!$A:$A,COUNTA(生物种群!$A:$A)),MATCH($C764,生物种群!$F$3:INDEX(生物种群!$F:$F,COUNTA(生物种群!$F:$F)),),),IF($A764&lt;&gt;0,INDEX(生物种群!$A$3:INDEX(生物种群!$A:$A,COUNTA(生物种群!$A:$A)),MATCH($A764,生物种群!$C$3:INDEX(生物种群!$C:$C,COUNTA(生物种群!$C:$C)),),),INDEX(生物种群!$A$3:INDEX(生物种群!$A:$A,COUNTA(生物种群!$A:$A)),MATCH($B764,生物种群!$D$3:INDEX(生物种群!$D:$D,COUNTA(生物种群!$D:$D)),),))),"")</f>
        <v/>
      </c>
      <c r="I764" s="56" t="str">
        <f>IF(H764="","",INDEX(生物种群!$B$3:INDEX(生物种群!$B:$B,COUNTA(生物种群!$B:$B)),MATCH($H764,生物种群!$A$3:INDEX(生物种群!$A:$A,COUNTA(生物种群!$A:$A)),),))</f>
        <v/>
      </c>
      <c r="J764" s="55" t="str">
        <f>IF(H764="","",INDEX(生物种群!$I$3:INDEX(生物种群!$I:$I,COUNTA(生物种群!$I:$I)),MATCH($H764,生物种群!$A$3:INDEX(生物种群!$A:$A,COUNTA(生物种群!$A:$A)),),))</f>
        <v/>
      </c>
      <c r="K764" s="55" t="str">
        <f>IF(H764="","",INDEX(生物种群!$E$3:INDEX(生物种群!$E:$E,COUNTA(生物种群!$E:$E)),MATCH($H764,生物种群!$A$3:INDEX(生物种群!$A:$A,COUNTA(生物种群!$A:$A)),),))</f>
        <v/>
      </c>
      <c r="L764" s="46" t="str">
        <f t="shared" si="39"/>
        <v/>
      </c>
      <c r="M764" s="47" t="str">
        <f>IF(L764="","",ROUND((L764)/VLOOKUP($F764,IF({1,0},站位样品信息!$A$3:INDEX(站位样品信息!$A:$A,COUNTA(站位样品信息!$A:$A)+1),站位样品信息!$H$3:INDEX(站位样品信息!$H:$H,COUNTA(站位样品信息!$H:$H)+1)),2,0),2))</f>
        <v/>
      </c>
      <c r="O764" s="49"/>
      <c r="P764" s="53" t="str">
        <f t="shared" si="37"/>
        <v/>
      </c>
      <c r="Q764" s="53" t="str">
        <f t="shared" si="38"/>
        <v/>
      </c>
    </row>
    <row r="765" spans="1:17" ht="19.5" customHeight="1">
      <c r="A765" s="38"/>
      <c r="B765" s="38"/>
      <c r="C765" s="38"/>
      <c r="D765" s="37"/>
      <c r="E765" s="37"/>
      <c r="F765" s="37"/>
      <c r="G765" s="37" t="str">
        <f>IF(F765="","",INDEX(站位样品信息!$B$3:INDEX(站位样品信息!$B:$B,COUNTA(站位样品信息!$B:$B)+1),MATCH($F765,站位样品信息!$A$3:INDEX(站位样品信息!$A:$A,COUNTA(站位样品信息!$A:$A)+1),),))</f>
        <v/>
      </c>
      <c r="H765" s="55" t="str">
        <f>IF(OR(A765&lt;&gt;"",B765&lt;&gt;"",C765&lt;&gt;""),IF($C765&lt;&gt;0,INDEX(生物种群!$A$3:INDEX(生物种群!$A:$A,COUNTA(生物种群!$A:$A)),MATCH($C765,生物种群!$F$3:INDEX(生物种群!$F:$F,COUNTA(生物种群!$F:$F)),),),IF($A765&lt;&gt;0,INDEX(生物种群!$A$3:INDEX(生物种群!$A:$A,COUNTA(生物种群!$A:$A)),MATCH($A765,生物种群!$C$3:INDEX(生物种群!$C:$C,COUNTA(生物种群!$C:$C)),),),INDEX(生物种群!$A$3:INDEX(生物种群!$A:$A,COUNTA(生物种群!$A:$A)),MATCH($B765,生物种群!$D$3:INDEX(生物种群!$D:$D,COUNTA(生物种群!$D:$D)),),))),"")</f>
        <v/>
      </c>
      <c r="I765" s="56" t="str">
        <f>IF(H765="","",INDEX(生物种群!$B$3:INDEX(生物种群!$B:$B,COUNTA(生物种群!$B:$B)),MATCH($H765,生物种群!$A$3:INDEX(生物种群!$A:$A,COUNTA(生物种群!$A:$A)),),))</f>
        <v/>
      </c>
      <c r="J765" s="55" t="str">
        <f>IF(H765="","",INDEX(生物种群!$I$3:INDEX(生物种群!$I:$I,COUNTA(生物种群!$I:$I)),MATCH($H765,生物种群!$A$3:INDEX(生物种群!$A:$A,COUNTA(生物种群!$A:$A)),),))</f>
        <v/>
      </c>
      <c r="K765" s="55" t="str">
        <f>IF(H765="","",INDEX(生物种群!$E$3:INDEX(生物种群!$E:$E,COUNTA(生物种群!$E:$E)),MATCH($H765,生物种群!$A$3:INDEX(生物种群!$A:$A,COUNTA(生物种群!$A:$A)),),))</f>
        <v/>
      </c>
      <c r="L765" s="46" t="str">
        <f t="shared" si="39"/>
        <v/>
      </c>
      <c r="M765" s="47" t="str">
        <f>IF(L765="","",ROUND((L765)/VLOOKUP($F765,IF({1,0},站位样品信息!$A$3:INDEX(站位样品信息!$A:$A,COUNTA(站位样品信息!$A:$A)+1),站位样品信息!$H$3:INDEX(站位样品信息!$H:$H,COUNTA(站位样品信息!$H:$H)+1)),2,0),2))</f>
        <v/>
      </c>
      <c r="O765" s="49"/>
      <c r="P765" s="53" t="str">
        <f t="shared" si="37"/>
        <v/>
      </c>
      <c r="Q765" s="53" t="str">
        <f t="shared" si="38"/>
        <v/>
      </c>
    </row>
    <row r="766" spans="1:17" ht="19.5" customHeight="1">
      <c r="A766" s="38"/>
      <c r="B766" s="38"/>
      <c r="C766" s="38"/>
      <c r="D766" s="37"/>
      <c r="E766" s="37"/>
      <c r="F766" s="37"/>
      <c r="G766" s="37" t="str">
        <f>IF(F766="","",INDEX(站位样品信息!$B$3:INDEX(站位样品信息!$B:$B,COUNTA(站位样品信息!$B:$B)+1),MATCH($F766,站位样品信息!$A$3:INDEX(站位样品信息!$A:$A,COUNTA(站位样品信息!$A:$A)+1),),))</f>
        <v/>
      </c>
      <c r="H766" s="55" t="str">
        <f>IF(OR(A766&lt;&gt;"",B766&lt;&gt;"",C766&lt;&gt;""),IF($C766&lt;&gt;0,INDEX(生物种群!$A$3:INDEX(生物种群!$A:$A,COUNTA(生物种群!$A:$A)),MATCH($C766,生物种群!$F$3:INDEX(生物种群!$F:$F,COUNTA(生物种群!$F:$F)),),),IF($A766&lt;&gt;0,INDEX(生物种群!$A$3:INDEX(生物种群!$A:$A,COUNTA(生物种群!$A:$A)),MATCH($A766,生物种群!$C$3:INDEX(生物种群!$C:$C,COUNTA(生物种群!$C:$C)),),),INDEX(生物种群!$A$3:INDEX(生物种群!$A:$A,COUNTA(生物种群!$A:$A)),MATCH($B766,生物种群!$D$3:INDEX(生物种群!$D:$D,COUNTA(生物种群!$D:$D)),),))),"")</f>
        <v/>
      </c>
      <c r="I766" s="56" t="str">
        <f>IF(H766="","",INDEX(生物种群!$B$3:INDEX(生物种群!$B:$B,COUNTA(生物种群!$B:$B)),MATCH($H766,生物种群!$A$3:INDEX(生物种群!$A:$A,COUNTA(生物种群!$A:$A)),),))</f>
        <v/>
      </c>
      <c r="J766" s="55" t="str">
        <f>IF(H766="","",INDEX(生物种群!$I$3:INDEX(生物种群!$I:$I,COUNTA(生物种群!$I:$I)),MATCH($H766,生物种群!$A$3:INDEX(生物种群!$A:$A,COUNTA(生物种群!$A:$A)),),))</f>
        <v/>
      </c>
      <c r="K766" s="55" t="str">
        <f>IF(H766="","",INDEX(生物种群!$E$3:INDEX(生物种群!$E:$E,COUNTA(生物种群!$E:$E)),MATCH($H766,生物种群!$A$3:INDEX(生物种群!$A:$A,COUNTA(生物种群!$A:$A)),),))</f>
        <v/>
      </c>
      <c r="L766" s="46" t="str">
        <f t="shared" si="39"/>
        <v/>
      </c>
      <c r="M766" s="47" t="str">
        <f>IF(L766="","",ROUND((L766)/VLOOKUP($F766,IF({1,0},站位样品信息!$A$3:INDEX(站位样品信息!$A:$A,COUNTA(站位样品信息!$A:$A)+1),站位样品信息!$H$3:INDEX(站位样品信息!$H:$H,COUNTA(站位样品信息!$H:$H)+1)),2,0),2))</f>
        <v/>
      </c>
      <c r="O766" s="49"/>
      <c r="P766" s="53" t="str">
        <f t="shared" si="37"/>
        <v/>
      </c>
      <c r="Q766" s="53" t="str">
        <f t="shared" si="38"/>
        <v/>
      </c>
    </row>
    <row r="767" spans="1:17" ht="19.5" customHeight="1">
      <c r="A767" s="38"/>
      <c r="B767" s="38"/>
      <c r="C767" s="38"/>
      <c r="D767" s="37"/>
      <c r="E767" s="37"/>
      <c r="F767" s="37"/>
      <c r="G767" s="37" t="str">
        <f>IF(F767="","",INDEX(站位样品信息!$B$3:INDEX(站位样品信息!$B:$B,COUNTA(站位样品信息!$B:$B)+1),MATCH($F767,站位样品信息!$A$3:INDEX(站位样品信息!$A:$A,COUNTA(站位样品信息!$A:$A)+1),),))</f>
        <v/>
      </c>
      <c r="H767" s="55" t="str">
        <f>IF(OR(A767&lt;&gt;"",B767&lt;&gt;"",C767&lt;&gt;""),IF($C767&lt;&gt;0,INDEX(生物种群!$A$3:INDEX(生物种群!$A:$A,COUNTA(生物种群!$A:$A)),MATCH($C767,生物种群!$F$3:INDEX(生物种群!$F:$F,COUNTA(生物种群!$F:$F)),),),IF($A767&lt;&gt;0,INDEX(生物种群!$A$3:INDEX(生物种群!$A:$A,COUNTA(生物种群!$A:$A)),MATCH($A767,生物种群!$C$3:INDEX(生物种群!$C:$C,COUNTA(生物种群!$C:$C)),),),INDEX(生物种群!$A$3:INDEX(生物种群!$A:$A,COUNTA(生物种群!$A:$A)),MATCH($B767,生物种群!$D$3:INDEX(生物种群!$D:$D,COUNTA(生物种群!$D:$D)),),))),"")</f>
        <v/>
      </c>
      <c r="I767" s="56" t="str">
        <f>IF(H767="","",INDEX(生物种群!$B$3:INDEX(生物种群!$B:$B,COUNTA(生物种群!$B:$B)),MATCH($H767,生物种群!$A$3:INDEX(生物种群!$A:$A,COUNTA(生物种群!$A:$A)),),))</f>
        <v/>
      </c>
      <c r="J767" s="55" t="str">
        <f>IF(H767="","",INDEX(生物种群!$I$3:INDEX(生物种群!$I:$I,COUNTA(生物种群!$I:$I)),MATCH($H767,生物种群!$A$3:INDEX(生物种群!$A:$A,COUNTA(生物种群!$A:$A)),),))</f>
        <v/>
      </c>
      <c r="K767" s="55" t="str">
        <f>IF(H767="","",INDEX(生物种群!$E$3:INDEX(生物种群!$E:$E,COUNTA(生物种群!$E:$E)),MATCH($H767,生物种群!$A$3:INDEX(生物种群!$A:$A,COUNTA(生物种群!$A:$A)),),))</f>
        <v/>
      </c>
      <c r="L767" s="46" t="str">
        <f t="shared" si="39"/>
        <v/>
      </c>
      <c r="M767" s="47" t="str">
        <f>IF(L767="","",ROUND((L767)/VLOOKUP($F767,IF({1,0},站位样品信息!$A$3:INDEX(站位样品信息!$A:$A,COUNTA(站位样品信息!$A:$A)+1),站位样品信息!$H$3:INDEX(站位样品信息!$H:$H,COUNTA(站位样品信息!$H:$H)+1)),2,0),2))</f>
        <v/>
      </c>
      <c r="O767" s="49"/>
      <c r="P767" s="53" t="str">
        <f t="shared" si="37"/>
        <v/>
      </c>
      <c r="Q767" s="53" t="str">
        <f t="shared" si="38"/>
        <v/>
      </c>
    </row>
    <row r="768" spans="1:17" ht="19.5" customHeight="1">
      <c r="A768" s="38"/>
      <c r="B768" s="38"/>
      <c r="C768" s="38"/>
      <c r="D768" s="37"/>
      <c r="E768" s="37"/>
      <c r="F768" s="37"/>
      <c r="G768" s="37" t="str">
        <f>IF(F768="","",INDEX(站位样品信息!$B$3:INDEX(站位样品信息!$B:$B,COUNTA(站位样品信息!$B:$B)+1),MATCH($F768,站位样品信息!$A$3:INDEX(站位样品信息!$A:$A,COUNTA(站位样品信息!$A:$A)+1),),))</f>
        <v/>
      </c>
      <c r="H768" s="55" t="str">
        <f>IF(OR(A768&lt;&gt;"",B768&lt;&gt;"",C768&lt;&gt;""),IF($C768&lt;&gt;0,INDEX(生物种群!$A$3:INDEX(生物种群!$A:$A,COUNTA(生物种群!$A:$A)),MATCH($C768,生物种群!$F$3:INDEX(生物种群!$F:$F,COUNTA(生物种群!$F:$F)),),),IF($A768&lt;&gt;0,INDEX(生物种群!$A$3:INDEX(生物种群!$A:$A,COUNTA(生物种群!$A:$A)),MATCH($A768,生物种群!$C$3:INDEX(生物种群!$C:$C,COUNTA(生物种群!$C:$C)),),),INDEX(生物种群!$A$3:INDEX(生物种群!$A:$A,COUNTA(生物种群!$A:$A)),MATCH($B768,生物种群!$D$3:INDEX(生物种群!$D:$D,COUNTA(生物种群!$D:$D)),),))),"")</f>
        <v/>
      </c>
      <c r="I768" s="56" t="str">
        <f>IF(H768="","",INDEX(生物种群!$B$3:INDEX(生物种群!$B:$B,COUNTA(生物种群!$B:$B)),MATCH($H768,生物种群!$A$3:INDEX(生物种群!$A:$A,COUNTA(生物种群!$A:$A)),),))</f>
        <v/>
      </c>
      <c r="J768" s="55" t="str">
        <f>IF(H768="","",INDEX(生物种群!$I$3:INDEX(生物种群!$I:$I,COUNTA(生物种群!$I:$I)),MATCH($H768,生物种群!$A$3:INDEX(生物种群!$A:$A,COUNTA(生物种群!$A:$A)),),))</f>
        <v/>
      </c>
      <c r="K768" s="55" t="str">
        <f>IF(H768="","",INDEX(生物种群!$E$3:INDEX(生物种群!$E:$E,COUNTA(生物种群!$E:$E)),MATCH($H768,生物种群!$A$3:INDEX(生物种群!$A:$A,COUNTA(生物种群!$A:$A)),),))</f>
        <v/>
      </c>
      <c r="L768" s="46" t="str">
        <f t="shared" si="39"/>
        <v/>
      </c>
      <c r="M768" s="47" t="str">
        <f>IF(L768="","",ROUND((L768)/VLOOKUP($F768,IF({1,0},站位样品信息!$A$3:INDEX(站位样品信息!$A:$A,COUNTA(站位样品信息!$A:$A)+1),站位样品信息!$H$3:INDEX(站位样品信息!$H:$H,COUNTA(站位样品信息!$H:$H)+1)),2,0),2))</f>
        <v/>
      </c>
      <c r="O768" s="49"/>
      <c r="P768" s="53" t="str">
        <f t="shared" si="37"/>
        <v/>
      </c>
      <c r="Q768" s="53" t="str">
        <f t="shared" si="38"/>
        <v/>
      </c>
    </row>
    <row r="769" spans="1:17" ht="19.5" customHeight="1">
      <c r="A769" s="38"/>
      <c r="B769" s="38"/>
      <c r="C769" s="38"/>
      <c r="D769" s="37"/>
      <c r="E769" s="37"/>
      <c r="F769" s="37"/>
      <c r="G769" s="37" t="str">
        <f>IF(F769="","",INDEX(站位样品信息!$B$3:INDEX(站位样品信息!$B:$B,COUNTA(站位样品信息!$B:$B)+1),MATCH($F769,站位样品信息!$A$3:INDEX(站位样品信息!$A:$A,COUNTA(站位样品信息!$A:$A)+1),),))</f>
        <v/>
      </c>
      <c r="H769" s="55" t="str">
        <f>IF(OR(A769&lt;&gt;"",B769&lt;&gt;"",C769&lt;&gt;""),IF($C769&lt;&gt;0,INDEX(生物种群!$A$3:INDEX(生物种群!$A:$A,COUNTA(生物种群!$A:$A)),MATCH($C769,生物种群!$F$3:INDEX(生物种群!$F:$F,COUNTA(生物种群!$F:$F)),),),IF($A769&lt;&gt;0,INDEX(生物种群!$A$3:INDEX(生物种群!$A:$A,COUNTA(生物种群!$A:$A)),MATCH($A769,生物种群!$C$3:INDEX(生物种群!$C:$C,COUNTA(生物种群!$C:$C)),),),INDEX(生物种群!$A$3:INDEX(生物种群!$A:$A,COUNTA(生物种群!$A:$A)),MATCH($B769,生物种群!$D$3:INDEX(生物种群!$D:$D,COUNTA(生物种群!$D:$D)),),))),"")</f>
        <v/>
      </c>
      <c r="I769" s="56" t="str">
        <f>IF(H769="","",INDEX(生物种群!$B$3:INDEX(生物种群!$B:$B,COUNTA(生物种群!$B:$B)),MATCH($H769,生物种群!$A$3:INDEX(生物种群!$A:$A,COUNTA(生物种群!$A:$A)),),))</f>
        <v/>
      </c>
      <c r="J769" s="55" t="str">
        <f>IF(H769="","",INDEX(生物种群!$I$3:INDEX(生物种群!$I:$I,COUNTA(生物种群!$I:$I)),MATCH($H769,生物种群!$A$3:INDEX(生物种群!$A:$A,COUNTA(生物种群!$A:$A)),),))</f>
        <v/>
      </c>
      <c r="K769" s="55" t="str">
        <f>IF(H769="","",INDEX(生物种群!$E$3:INDEX(生物种群!$E:$E,COUNTA(生物种群!$E:$E)),MATCH($H769,生物种群!$A$3:INDEX(生物种群!$A:$A,COUNTA(生物种群!$A:$A)),),))</f>
        <v/>
      </c>
      <c r="L769" s="46" t="str">
        <f t="shared" si="39"/>
        <v/>
      </c>
      <c r="M769" s="47" t="str">
        <f>IF(L769="","",ROUND((L769)/VLOOKUP($F769,IF({1,0},站位样品信息!$A$3:INDEX(站位样品信息!$A:$A,COUNTA(站位样品信息!$A:$A)+1),站位样品信息!$H$3:INDEX(站位样品信息!$H:$H,COUNTA(站位样品信息!$H:$H)+1)),2,0),2))</f>
        <v/>
      </c>
      <c r="O769" s="49"/>
      <c r="P769" s="53" t="str">
        <f t="shared" si="37"/>
        <v/>
      </c>
      <c r="Q769" s="53" t="str">
        <f t="shared" si="38"/>
        <v/>
      </c>
    </row>
    <row r="770" spans="1:17" ht="19.5" customHeight="1">
      <c r="A770" s="38"/>
      <c r="B770" s="38"/>
      <c r="C770" s="38"/>
      <c r="D770" s="37"/>
      <c r="E770" s="37"/>
      <c r="F770" s="37"/>
      <c r="G770" s="37" t="str">
        <f>IF(F770="","",INDEX(站位样品信息!$B$3:INDEX(站位样品信息!$B:$B,COUNTA(站位样品信息!$B:$B)+1),MATCH($F770,站位样品信息!$A$3:INDEX(站位样品信息!$A:$A,COUNTA(站位样品信息!$A:$A)+1),),))</f>
        <v/>
      </c>
      <c r="H770" s="55" t="str">
        <f>IF(OR(A770&lt;&gt;"",B770&lt;&gt;"",C770&lt;&gt;""),IF($C770&lt;&gt;0,INDEX(生物种群!$A$3:INDEX(生物种群!$A:$A,COUNTA(生物种群!$A:$A)),MATCH($C770,生物种群!$F$3:INDEX(生物种群!$F:$F,COUNTA(生物种群!$F:$F)),),),IF($A770&lt;&gt;0,INDEX(生物种群!$A$3:INDEX(生物种群!$A:$A,COUNTA(生物种群!$A:$A)),MATCH($A770,生物种群!$C$3:INDEX(生物种群!$C:$C,COUNTA(生物种群!$C:$C)),),),INDEX(生物种群!$A$3:INDEX(生物种群!$A:$A,COUNTA(生物种群!$A:$A)),MATCH($B770,生物种群!$D$3:INDEX(生物种群!$D:$D,COUNTA(生物种群!$D:$D)),),))),"")</f>
        <v/>
      </c>
      <c r="I770" s="56" t="str">
        <f>IF(H770="","",INDEX(生物种群!$B$3:INDEX(生物种群!$B:$B,COUNTA(生物种群!$B:$B)),MATCH($H770,生物种群!$A$3:INDEX(生物种群!$A:$A,COUNTA(生物种群!$A:$A)),),))</f>
        <v/>
      </c>
      <c r="J770" s="55" t="str">
        <f>IF(H770="","",INDEX(生物种群!$I$3:INDEX(生物种群!$I:$I,COUNTA(生物种群!$I:$I)),MATCH($H770,生物种群!$A$3:INDEX(生物种群!$A:$A,COUNTA(生物种群!$A:$A)),),))</f>
        <v/>
      </c>
      <c r="K770" s="55" t="str">
        <f>IF(H770="","",INDEX(生物种群!$E$3:INDEX(生物种群!$E:$E,COUNTA(生物种群!$E:$E)),MATCH($H770,生物种群!$A$3:INDEX(生物种群!$A:$A,COUNTA(生物种群!$A:$A)),),))</f>
        <v/>
      </c>
      <c r="L770" s="46" t="str">
        <f t="shared" si="39"/>
        <v/>
      </c>
      <c r="M770" s="47" t="str">
        <f>IF(L770="","",ROUND((L770)/VLOOKUP($F770,IF({1,0},站位样品信息!$A$3:INDEX(站位样品信息!$A:$A,COUNTA(站位样品信息!$A:$A)+1),站位样品信息!$H$3:INDEX(站位样品信息!$H:$H,COUNTA(站位样品信息!$H:$H)+1)),2,0),2))</f>
        <v/>
      </c>
      <c r="O770" s="49"/>
      <c r="P770" s="53" t="str">
        <f t="shared" si="37"/>
        <v/>
      </c>
      <c r="Q770" s="53" t="str">
        <f t="shared" si="38"/>
        <v/>
      </c>
    </row>
    <row r="771" spans="1:17" ht="19.5" customHeight="1">
      <c r="A771" s="38"/>
      <c r="B771" s="38"/>
      <c r="C771" s="38"/>
      <c r="D771" s="37"/>
      <c r="E771" s="37"/>
      <c r="F771" s="37"/>
      <c r="G771" s="37" t="str">
        <f>IF(F771="","",INDEX(站位样品信息!$B$3:INDEX(站位样品信息!$B:$B,COUNTA(站位样品信息!$B:$B)+1),MATCH($F771,站位样品信息!$A$3:INDEX(站位样品信息!$A:$A,COUNTA(站位样品信息!$A:$A)+1),),))</f>
        <v/>
      </c>
      <c r="H771" s="55" t="str">
        <f>IF(OR(A771&lt;&gt;"",B771&lt;&gt;"",C771&lt;&gt;""),IF($C771&lt;&gt;0,INDEX(生物种群!$A$3:INDEX(生物种群!$A:$A,COUNTA(生物种群!$A:$A)),MATCH($C771,生物种群!$F$3:INDEX(生物种群!$F:$F,COUNTA(生物种群!$F:$F)),),),IF($A771&lt;&gt;0,INDEX(生物种群!$A$3:INDEX(生物种群!$A:$A,COUNTA(生物种群!$A:$A)),MATCH($A771,生物种群!$C$3:INDEX(生物种群!$C:$C,COUNTA(生物种群!$C:$C)),),),INDEX(生物种群!$A$3:INDEX(生物种群!$A:$A,COUNTA(生物种群!$A:$A)),MATCH($B771,生物种群!$D$3:INDEX(生物种群!$D:$D,COUNTA(生物种群!$D:$D)),),))),"")</f>
        <v/>
      </c>
      <c r="I771" s="56" t="str">
        <f>IF(H771="","",INDEX(生物种群!$B$3:INDEX(生物种群!$B:$B,COUNTA(生物种群!$B:$B)),MATCH($H771,生物种群!$A$3:INDEX(生物种群!$A:$A,COUNTA(生物种群!$A:$A)),),))</f>
        <v/>
      </c>
      <c r="J771" s="55" t="str">
        <f>IF(H771="","",INDEX(生物种群!$I$3:INDEX(生物种群!$I:$I,COUNTA(生物种群!$I:$I)),MATCH($H771,生物种群!$A$3:INDEX(生物种群!$A:$A,COUNTA(生物种群!$A:$A)),),))</f>
        <v/>
      </c>
      <c r="K771" s="55" t="str">
        <f>IF(H771="","",INDEX(生物种群!$E$3:INDEX(生物种群!$E:$E,COUNTA(生物种群!$E:$E)),MATCH($H771,生物种群!$A$3:INDEX(生物种群!$A:$A,COUNTA(生物种群!$A:$A)),),))</f>
        <v/>
      </c>
      <c r="L771" s="46" t="str">
        <f t="shared" si="39"/>
        <v/>
      </c>
      <c r="M771" s="47" t="str">
        <f>IF(L771="","",ROUND((L771)/VLOOKUP($F771,IF({1,0},站位样品信息!$A$3:INDEX(站位样品信息!$A:$A,COUNTA(站位样品信息!$A:$A)+1),站位样品信息!$H$3:INDEX(站位样品信息!$H:$H,COUNTA(站位样品信息!$H:$H)+1)),2,0),2))</f>
        <v/>
      </c>
      <c r="O771" s="49"/>
      <c r="P771" s="53" t="str">
        <f t="shared" si="40" ref="P771:P834">IF(F771&gt;0,F771&amp;I771,"")</f>
        <v/>
      </c>
      <c r="Q771" s="53" t="str">
        <f t="shared" si="41" ref="Q771:Q834">IF(COUNTIF($P:$P,P771)=1,"",IF(A771&amp;B771&amp;C771="","","重复"))</f>
        <v/>
      </c>
    </row>
    <row r="772" spans="1:17" ht="19.5" customHeight="1">
      <c r="A772" s="38"/>
      <c r="B772" s="38"/>
      <c r="C772" s="38"/>
      <c r="D772" s="37"/>
      <c r="E772" s="37"/>
      <c r="F772" s="37"/>
      <c r="G772" s="37" t="str">
        <f>IF(F772="","",INDEX(站位样品信息!$B$3:INDEX(站位样品信息!$B:$B,COUNTA(站位样品信息!$B:$B)+1),MATCH($F772,站位样品信息!$A$3:INDEX(站位样品信息!$A:$A,COUNTA(站位样品信息!$A:$A)+1),),))</f>
        <v/>
      </c>
      <c r="H772" s="55" t="str">
        <f>IF(OR(A772&lt;&gt;"",B772&lt;&gt;"",C772&lt;&gt;""),IF($C772&lt;&gt;0,INDEX(生物种群!$A$3:INDEX(生物种群!$A:$A,COUNTA(生物种群!$A:$A)),MATCH($C772,生物种群!$F$3:INDEX(生物种群!$F:$F,COUNTA(生物种群!$F:$F)),),),IF($A772&lt;&gt;0,INDEX(生物种群!$A$3:INDEX(生物种群!$A:$A,COUNTA(生物种群!$A:$A)),MATCH($A772,生物种群!$C$3:INDEX(生物种群!$C:$C,COUNTA(生物种群!$C:$C)),),),INDEX(生物种群!$A$3:INDEX(生物种群!$A:$A,COUNTA(生物种群!$A:$A)),MATCH($B772,生物种群!$D$3:INDEX(生物种群!$D:$D,COUNTA(生物种群!$D:$D)),),))),"")</f>
        <v/>
      </c>
      <c r="I772" s="56" t="str">
        <f>IF(H772="","",INDEX(生物种群!$B$3:INDEX(生物种群!$B:$B,COUNTA(生物种群!$B:$B)),MATCH($H772,生物种群!$A$3:INDEX(生物种群!$A:$A,COUNTA(生物种群!$A:$A)),),))</f>
        <v/>
      </c>
      <c r="J772" s="55" t="str">
        <f>IF(H772="","",INDEX(生物种群!$I$3:INDEX(生物种群!$I:$I,COUNTA(生物种群!$I:$I)),MATCH($H772,生物种群!$A$3:INDEX(生物种群!$A:$A,COUNTA(生物种群!$A:$A)),),))</f>
        <v/>
      </c>
      <c r="K772" s="55" t="str">
        <f>IF(H772="","",INDEX(生物种群!$E$3:INDEX(生物种群!$E:$E,COUNTA(生物种群!$E:$E)),MATCH($H772,生物种群!$A$3:INDEX(生物种群!$A:$A,COUNTA(生物种群!$A:$A)),),))</f>
        <v/>
      </c>
      <c r="L772" s="46" t="str">
        <f t="shared" si="39"/>
        <v/>
      </c>
      <c r="M772" s="47" t="str">
        <f>IF(L772="","",ROUND((L772)/VLOOKUP($F772,IF({1,0},站位样品信息!$A$3:INDEX(站位样品信息!$A:$A,COUNTA(站位样品信息!$A:$A)+1),站位样品信息!$H$3:INDEX(站位样品信息!$H:$H,COUNTA(站位样品信息!$H:$H)+1)),2,0),2))</f>
        <v/>
      </c>
      <c r="O772" s="49"/>
      <c r="P772" s="53" t="str">
        <f t="shared" si="40"/>
        <v/>
      </c>
      <c r="Q772" s="53" t="str">
        <f t="shared" si="41"/>
        <v/>
      </c>
    </row>
    <row r="773" spans="1:17" ht="19.5" customHeight="1">
      <c r="A773" s="38"/>
      <c r="B773" s="38"/>
      <c r="C773" s="38"/>
      <c r="D773" s="37"/>
      <c r="E773" s="37"/>
      <c r="F773" s="37"/>
      <c r="G773" s="37" t="str">
        <f>IF(F773="","",INDEX(站位样品信息!$B$3:INDEX(站位样品信息!$B:$B,COUNTA(站位样品信息!$B:$B)+1),MATCH($F773,站位样品信息!$A$3:INDEX(站位样品信息!$A:$A,COUNTA(站位样品信息!$A:$A)+1),),))</f>
        <v/>
      </c>
      <c r="H773" s="55" t="str">
        <f>IF(OR(A773&lt;&gt;"",B773&lt;&gt;"",C773&lt;&gt;""),IF($C773&lt;&gt;0,INDEX(生物种群!$A$3:INDEX(生物种群!$A:$A,COUNTA(生物种群!$A:$A)),MATCH($C773,生物种群!$F$3:INDEX(生物种群!$F:$F,COUNTA(生物种群!$F:$F)),),),IF($A773&lt;&gt;0,INDEX(生物种群!$A$3:INDEX(生物种群!$A:$A,COUNTA(生物种群!$A:$A)),MATCH($A773,生物种群!$C$3:INDEX(生物种群!$C:$C,COUNTA(生物种群!$C:$C)),),),INDEX(生物种群!$A$3:INDEX(生物种群!$A:$A,COUNTA(生物种群!$A:$A)),MATCH($B773,生物种群!$D$3:INDEX(生物种群!$D:$D,COUNTA(生物种群!$D:$D)),),))),"")</f>
        <v/>
      </c>
      <c r="I773" s="56" t="str">
        <f>IF(H773="","",INDEX(生物种群!$B$3:INDEX(生物种群!$B:$B,COUNTA(生物种群!$B:$B)),MATCH($H773,生物种群!$A$3:INDEX(生物种群!$A:$A,COUNTA(生物种群!$A:$A)),),))</f>
        <v/>
      </c>
      <c r="J773" s="55" t="str">
        <f>IF(H773="","",INDEX(生物种群!$I$3:INDEX(生物种群!$I:$I,COUNTA(生物种群!$I:$I)),MATCH($H773,生物种群!$A$3:INDEX(生物种群!$A:$A,COUNTA(生物种群!$A:$A)),),))</f>
        <v/>
      </c>
      <c r="K773" s="55" t="str">
        <f>IF(H773="","",INDEX(生物种群!$E$3:INDEX(生物种群!$E:$E,COUNTA(生物种群!$E:$E)),MATCH($H773,生物种群!$A$3:INDEX(生物种群!$A:$A,COUNTA(生物种群!$A:$A)),),))</f>
        <v/>
      </c>
      <c r="L773" s="46" t="str">
        <f t="shared" si="39"/>
        <v/>
      </c>
      <c r="M773" s="47" t="str">
        <f>IF(L773="","",ROUND((L773)/VLOOKUP($F773,IF({1,0},站位样品信息!$A$3:INDEX(站位样品信息!$A:$A,COUNTA(站位样品信息!$A:$A)+1),站位样品信息!$H$3:INDEX(站位样品信息!$H:$H,COUNTA(站位样品信息!$H:$H)+1)),2,0),2))</f>
        <v/>
      </c>
      <c r="O773" s="49"/>
      <c r="P773" s="53" t="str">
        <f t="shared" si="40"/>
        <v/>
      </c>
      <c r="Q773" s="53" t="str">
        <f t="shared" si="41"/>
        <v/>
      </c>
    </row>
    <row r="774" spans="1:17" ht="19.5" customHeight="1">
      <c r="A774" s="38"/>
      <c r="B774" s="38"/>
      <c r="C774" s="38"/>
      <c r="D774" s="37"/>
      <c r="E774" s="37"/>
      <c r="F774" s="37"/>
      <c r="G774" s="37" t="str">
        <f>IF(F774="","",INDEX(站位样品信息!$B$3:INDEX(站位样品信息!$B:$B,COUNTA(站位样品信息!$B:$B)+1),MATCH($F774,站位样品信息!$A$3:INDEX(站位样品信息!$A:$A,COUNTA(站位样品信息!$A:$A)+1),),))</f>
        <v/>
      </c>
      <c r="H774" s="55" t="str">
        <f>IF(OR(A774&lt;&gt;"",B774&lt;&gt;"",C774&lt;&gt;""),IF($C774&lt;&gt;0,INDEX(生物种群!$A$3:INDEX(生物种群!$A:$A,COUNTA(生物种群!$A:$A)),MATCH($C774,生物种群!$F$3:INDEX(生物种群!$F:$F,COUNTA(生物种群!$F:$F)),),),IF($A774&lt;&gt;0,INDEX(生物种群!$A$3:INDEX(生物种群!$A:$A,COUNTA(生物种群!$A:$A)),MATCH($A774,生物种群!$C$3:INDEX(生物种群!$C:$C,COUNTA(生物种群!$C:$C)),),),INDEX(生物种群!$A$3:INDEX(生物种群!$A:$A,COUNTA(生物种群!$A:$A)),MATCH($B774,生物种群!$D$3:INDEX(生物种群!$D:$D,COUNTA(生物种群!$D:$D)),),))),"")</f>
        <v/>
      </c>
      <c r="I774" s="56" t="str">
        <f>IF(H774="","",INDEX(生物种群!$B$3:INDEX(生物种群!$B:$B,COUNTA(生物种群!$B:$B)),MATCH($H774,生物种群!$A$3:INDEX(生物种群!$A:$A,COUNTA(生物种群!$A:$A)),),))</f>
        <v/>
      </c>
      <c r="J774" s="55" t="str">
        <f>IF(H774="","",INDEX(生物种群!$I$3:INDEX(生物种群!$I:$I,COUNTA(生物种群!$I:$I)),MATCH($H774,生物种群!$A$3:INDEX(生物种群!$A:$A,COUNTA(生物种群!$A:$A)),),))</f>
        <v/>
      </c>
      <c r="K774" s="55" t="str">
        <f>IF(H774="","",INDEX(生物种群!$E$3:INDEX(生物种群!$E:$E,COUNTA(生物种群!$E:$E)),MATCH($H774,生物种群!$A$3:INDEX(生物种群!$A:$A,COUNTA(生物种群!$A:$A)),),))</f>
        <v/>
      </c>
      <c r="L774" s="46" t="str">
        <f t="shared" si="39"/>
        <v/>
      </c>
      <c r="M774" s="47" t="str">
        <f>IF(L774="","",ROUND((L774)/VLOOKUP($F774,IF({1,0},站位样品信息!$A$3:INDEX(站位样品信息!$A:$A,COUNTA(站位样品信息!$A:$A)+1),站位样品信息!$H$3:INDEX(站位样品信息!$H:$H,COUNTA(站位样品信息!$H:$H)+1)),2,0),2))</f>
        <v/>
      </c>
      <c r="O774" s="49"/>
      <c r="P774" s="53" t="str">
        <f t="shared" si="40"/>
        <v/>
      </c>
      <c r="Q774" s="53" t="str">
        <f t="shared" si="41"/>
        <v/>
      </c>
    </row>
    <row r="775" spans="1:17" ht="19.5" customHeight="1">
      <c r="A775" s="38"/>
      <c r="B775" s="38"/>
      <c r="C775" s="38"/>
      <c r="D775" s="37"/>
      <c r="E775" s="37"/>
      <c r="F775" s="37"/>
      <c r="G775" s="37" t="str">
        <f>IF(F775="","",INDEX(站位样品信息!$B$3:INDEX(站位样品信息!$B:$B,COUNTA(站位样品信息!$B:$B)+1),MATCH($F775,站位样品信息!$A$3:INDEX(站位样品信息!$A:$A,COUNTA(站位样品信息!$A:$A)+1),),))</f>
        <v/>
      </c>
      <c r="H775" s="55" t="str">
        <f>IF(OR(A775&lt;&gt;"",B775&lt;&gt;"",C775&lt;&gt;""),IF($C775&lt;&gt;0,INDEX(生物种群!$A$3:INDEX(生物种群!$A:$A,COUNTA(生物种群!$A:$A)),MATCH($C775,生物种群!$F$3:INDEX(生物种群!$F:$F,COUNTA(生物种群!$F:$F)),),),IF($A775&lt;&gt;0,INDEX(生物种群!$A$3:INDEX(生物种群!$A:$A,COUNTA(生物种群!$A:$A)),MATCH($A775,生物种群!$C$3:INDEX(生物种群!$C:$C,COUNTA(生物种群!$C:$C)),),),INDEX(生物种群!$A$3:INDEX(生物种群!$A:$A,COUNTA(生物种群!$A:$A)),MATCH($B775,生物种群!$D$3:INDEX(生物种群!$D:$D,COUNTA(生物种群!$D:$D)),),))),"")</f>
        <v/>
      </c>
      <c r="I775" s="56" t="str">
        <f>IF(H775="","",INDEX(生物种群!$B$3:INDEX(生物种群!$B:$B,COUNTA(生物种群!$B:$B)),MATCH($H775,生物种群!$A$3:INDEX(生物种群!$A:$A,COUNTA(生物种群!$A:$A)),),))</f>
        <v/>
      </c>
      <c r="J775" s="55" t="str">
        <f>IF(H775="","",INDEX(生物种群!$I$3:INDEX(生物种群!$I:$I,COUNTA(生物种群!$I:$I)),MATCH($H775,生物种群!$A$3:INDEX(生物种群!$A:$A,COUNTA(生物种群!$A:$A)),),))</f>
        <v/>
      </c>
      <c r="K775" s="55" t="str">
        <f>IF(H775="","",INDEX(生物种群!$E$3:INDEX(生物种群!$E:$E,COUNTA(生物种群!$E:$E)),MATCH($H775,生物种群!$A$3:INDEX(生物种群!$A:$A,COUNTA(生物种群!$A:$A)),),))</f>
        <v/>
      </c>
      <c r="L775" s="46" t="str">
        <f t="shared" si="39"/>
        <v/>
      </c>
      <c r="M775" s="47" t="str">
        <f>IF(L775="","",ROUND((L775)/VLOOKUP($F775,IF({1,0},站位样品信息!$A$3:INDEX(站位样品信息!$A:$A,COUNTA(站位样品信息!$A:$A)+1),站位样品信息!$H$3:INDEX(站位样品信息!$H:$H,COUNTA(站位样品信息!$H:$H)+1)),2,0),2))</f>
        <v/>
      </c>
      <c r="O775" s="49"/>
      <c r="P775" s="53" t="str">
        <f t="shared" si="40"/>
        <v/>
      </c>
      <c r="Q775" s="53" t="str">
        <f t="shared" si="41"/>
        <v/>
      </c>
    </row>
    <row r="776" spans="1:17" ht="19.5" customHeight="1">
      <c r="A776" s="38"/>
      <c r="B776" s="38"/>
      <c r="C776" s="38"/>
      <c r="D776" s="37"/>
      <c r="E776" s="37"/>
      <c r="F776" s="37"/>
      <c r="G776" s="37" t="str">
        <f>IF(F776="","",INDEX(站位样品信息!$B$3:INDEX(站位样品信息!$B:$B,COUNTA(站位样品信息!$B:$B)+1),MATCH($F776,站位样品信息!$A$3:INDEX(站位样品信息!$A:$A,COUNTA(站位样品信息!$A:$A)+1),),))</f>
        <v/>
      </c>
      <c r="H776" s="55" t="str">
        <f>IF(OR(A776&lt;&gt;"",B776&lt;&gt;"",C776&lt;&gt;""),IF($C776&lt;&gt;0,INDEX(生物种群!$A$3:INDEX(生物种群!$A:$A,COUNTA(生物种群!$A:$A)),MATCH($C776,生物种群!$F$3:INDEX(生物种群!$F:$F,COUNTA(生物种群!$F:$F)),),),IF($A776&lt;&gt;0,INDEX(生物种群!$A$3:INDEX(生物种群!$A:$A,COUNTA(生物种群!$A:$A)),MATCH($A776,生物种群!$C$3:INDEX(生物种群!$C:$C,COUNTA(生物种群!$C:$C)),),),INDEX(生物种群!$A$3:INDEX(生物种群!$A:$A,COUNTA(生物种群!$A:$A)),MATCH($B776,生物种群!$D$3:INDEX(生物种群!$D:$D,COUNTA(生物种群!$D:$D)),),))),"")</f>
        <v/>
      </c>
      <c r="I776" s="56" t="str">
        <f>IF(H776="","",INDEX(生物种群!$B$3:INDEX(生物种群!$B:$B,COUNTA(生物种群!$B:$B)),MATCH($H776,生物种群!$A$3:INDEX(生物种群!$A:$A,COUNTA(生物种群!$A:$A)),),))</f>
        <v/>
      </c>
      <c r="J776" s="55" t="str">
        <f>IF(H776="","",INDEX(生物种群!$I$3:INDEX(生物种群!$I:$I,COUNTA(生物种群!$I:$I)),MATCH($H776,生物种群!$A$3:INDEX(生物种群!$A:$A,COUNTA(生物种群!$A:$A)),),))</f>
        <v/>
      </c>
      <c r="K776" s="55" t="str">
        <f>IF(H776="","",INDEX(生物种群!$E$3:INDEX(生物种群!$E:$E,COUNTA(生物种群!$E:$E)),MATCH($H776,生物种群!$A$3:INDEX(生物种群!$A:$A,COUNTA(生物种群!$A:$A)),),))</f>
        <v/>
      </c>
      <c r="L776" s="46" t="str">
        <f t="shared" si="39"/>
        <v/>
      </c>
      <c r="M776" s="47" t="str">
        <f>IF(L776="","",ROUND((L776)/VLOOKUP($F776,IF({1,0},站位样品信息!$A$3:INDEX(站位样品信息!$A:$A,COUNTA(站位样品信息!$A:$A)+1),站位样品信息!$H$3:INDEX(站位样品信息!$H:$H,COUNTA(站位样品信息!$H:$H)+1)),2,0),2))</f>
        <v/>
      </c>
      <c r="O776" s="49"/>
      <c r="P776" s="53" t="str">
        <f t="shared" si="40"/>
        <v/>
      </c>
      <c r="Q776" s="53" t="str">
        <f t="shared" si="41"/>
        <v/>
      </c>
    </row>
    <row r="777" spans="1:17" ht="19.5" customHeight="1">
      <c r="A777" s="38"/>
      <c r="B777" s="38"/>
      <c r="C777" s="38"/>
      <c r="D777" s="37"/>
      <c r="E777" s="37"/>
      <c r="F777" s="37"/>
      <c r="G777" s="37" t="str">
        <f>IF(F777="","",INDEX(站位样品信息!$B$3:INDEX(站位样品信息!$B:$B,COUNTA(站位样品信息!$B:$B)+1),MATCH($F777,站位样品信息!$A$3:INDEX(站位样品信息!$A:$A,COUNTA(站位样品信息!$A:$A)+1),),))</f>
        <v/>
      </c>
      <c r="H777" s="55" t="str">
        <f>IF(OR(A777&lt;&gt;"",B777&lt;&gt;"",C777&lt;&gt;""),IF($C777&lt;&gt;0,INDEX(生物种群!$A$3:INDEX(生物种群!$A:$A,COUNTA(生物种群!$A:$A)),MATCH($C777,生物种群!$F$3:INDEX(生物种群!$F:$F,COUNTA(生物种群!$F:$F)),),),IF($A777&lt;&gt;0,INDEX(生物种群!$A$3:INDEX(生物种群!$A:$A,COUNTA(生物种群!$A:$A)),MATCH($A777,生物种群!$C$3:INDEX(生物种群!$C:$C,COUNTA(生物种群!$C:$C)),),),INDEX(生物种群!$A$3:INDEX(生物种群!$A:$A,COUNTA(生物种群!$A:$A)),MATCH($B777,生物种群!$D$3:INDEX(生物种群!$D:$D,COUNTA(生物种群!$D:$D)),),))),"")</f>
        <v/>
      </c>
      <c r="I777" s="56" t="str">
        <f>IF(H777="","",INDEX(生物种群!$B$3:INDEX(生物种群!$B:$B,COUNTA(生物种群!$B:$B)),MATCH($H777,生物种群!$A$3:INDEX(生物种群!$A:$A,COUNTA(生物种群!$A:$A)),),))</f>
        <v/>
      </c>
      <c r="J777" s="55" t="str">
        <f>IF(H777="","",INDEX(生物种群!$I$3:INDEX(生物种群!$I:$I,COUNTA(生物种群!$I:$I)),MATCH($H777,生物种群!$A$3:INDEX(生物种群!$A:$A,COUNTA(生物种群!$A:$A)),),))</f>
        <v/>
      </c>
      <c r="K777" s="55" t="str">
        <f>IF(H777="","",INDEX(生物种群!$E$3:INDEX(生物种群!$E:$E,COUNTA(生物种群!$E:$E)),MATCH($H777,生物种群!$A$3:INDEX(生物种群!$A:$A,COUNTA(生物种群!$A:$A)),),))</f>
        <v/>
      </c>
      <c r="L777" s="46" t="str">
        <f t="shared" si="39"/>
        <v/>
      </c>
      <c r="M777" s="47" t="str">
        <f>IF(L777="","",ROUND((L777)/VLOOKUP($F777,IF({1,0},站位样品信息!$A$3:INDEX(站位样品信息!$A:$A,COUNTA(站位样品信息!$A:$A)+1),站位样品信息!$H$3:INDEX(站位样品信息!$H:$H,COUNTA(站位样品信息!$H:$H)+1)),2,0),2))</f>
        <v/>
      </c>
      <c r="O777" s="49"/>
      <c r="P777" s="53" t="str">
        <f t="shared" si="40"/>
        <v/>
      </c>
      <c r="Q777" s="53" t="str">
        <f t="shared" si="41"/>
        <v/>
      </c>
    </row>
    <row r="778" spans="1:17" ht="19.5" customHeight="1">
      <c r="A778" s="38"/>
      <c r="B778" s="38"/>
      <c r="C778" s="38"/>
      <c r="D778" s="37"/>
      <c r="E778" s="37"/>
      <c r="F778" s="37"/>
      <c r="G778" s="37" t="str">
        <f>IF(F778="","",INDEX(站位样品信息!$B$3:INDEX(站位样品信息!$B:$B,COUNTA(站位样品信息!$B:$B)+1),MATCH($F778,站位样品信息!$A$3:INDEX(站位样品信息!$A:$A,COUNTA(站位样品信息!$A:$A)+1),),))</f>
        <v/>
      </c>
      <c r="H778" s="55" t="str">
        <f>IF(OR(A778&lt;&gt;"",B778&lt;&gt;"",C778&lt;&gt;""),IF($C778&lt;&gt;0,INDEX(生物种群!$A$3:INDEX(生物种群!$A:$A,COUNTA(生物种群!$A:$A)),MATCH($C778,生物种群!$F$3:INDEX(生物种群!$F:$F,COUNTA(生物种群!$F:$F)),),),IF($A778&lt;&gt;0,INDEX(生物种群!$A$3:INDEX(生物种群!$A:$A,COUNTA(生物种群!$A:$A)),MATCH($A778,生物种群!$C$3:INDEX(生物种群!$C:$C,COUNTA(生物种群!$C:$C)),),),INDEX(生物种群!$A$3:INDEX(生物种群!$A:$A,COUNTA(生物种群!$A:$A)),MATCH($B778,生物种群!$D$3:INDEX(生物种群!$D:$D,COUNTA(生物种群!$D:$D)),),))),"")</f>
        <v/>
      </c>
      <c r="I778" s="56" t="str">
        <f>IF(H778="","",INDEX(生物种群!$B$3:INDEX(生物种群!$B:$B,COUNTA(生物种群!$B:$B)),MATCH($H778,生物种群!$A$3:INDEX(生物种群!$A:$A,COUNTA(生物种群!$A:$A)),),))</f>
        <v/>
      </c>
      <c r="J778" s="55" t="str">
        <f>IF(H778="","",INDEX(生物种群!$I$3:INDEX(生物种群!$I:$I,COUNTA(生物种群!$I:$I)),MATCH($H778,生物种群!$A$3:INDEX(生物种群!$A:$A,COUNTA(生物种群!$A:$A)),),))</f>
        <v/>
      </c>
      <c r="K778" s="55" t="str">
        <f>IF(H778="","",INDEX(生物种群!$E$3:INDEX(生物种群!$E:$E,COUNTA(生物种群!$E:$E)),MATCH($H778,生物种群!$A$3:INDEX(生物种群!$A:$A,COUNTA(生物种群!$A:$A)),),))</f>
        <v/>
      </c>
      <c r="L778" s="46" t="str">
        <f t="shared" si="39"/>
        <v/>
      </c>
      <c r="M778" s="47" t="str">
        <f>IF(L778="","",ROUND((L778)/VLOOKUP($F778,IF({1,0},站位样品信息!$A$3:INDEX(站位样品信息!$A:$A,COUNTA(站位样品信息!$A:$A)+1),站位样品信息!$H$3:INDEX(站位样品信息!$H:$H,COUNTA(站位样品信息!$H:$H)+1)),2,0),2))</f>
        <v/>
      </c>
      <c r="O778" s="49"/>
      <c r="P778" s="53" t="str">
        <f t="shared" si="40"/>
        <v/>
      </c>
      <c r="Q778" s="53" t="str">
        <f t="shared" si="41"/>
        <v/>
      </c>
    </row>
    <row r="779" spans="1:17" ht="19.5" customHeight="1">
      <c r="A779" s="38"/>
      <c r="B779" s="38"/>
      <c r="C779" s="38"/>
      <c r="D779" s="37"/>
      <c r="E779" s="37"/>
      <c r="F779" s="37"/>
      <c r="G779" s="37" t="str">
        <f>IF(F779="","",INDEX(站位样品信息!$B$3:INDEX(站位样品信息!$B:$B,COUNTA(站位样品信息!$B:$B)+1),MATCH($F779,站位样品信息!$A$3:INDEX(站位样品信息!$A:$A,COUNTA(站位样品信息!$A:$A)+1),),))</f>
        <v/>
      </c>
      <c r="H779" s="55" t="str">
        <f>IF(OR(A779&lt;&gt;"",B779&lt;&gt;"",C779&lt;&gt;""),IF($C779&lt;&gt;0,INDEX(生物种群!$A$3:INDEX(生物种群!$A:$A,COUNTA(生物种群!$A:$A)),MATCH($C779,生物种群!$F$3:INDEX(生物种群!$F:$F,COUNTA(生物种群!$F:$F)),),),IF($A779&lt;&gt;0,INDEX(生物种群!$A$3:INDEX(生物种群!$A:$A,COUNTA(生物种群!$A:$A)),MATCH($A779,生物种群!$C$3:INDEX(生物种群!$C:$C,COUNTA(生物种群!$C:$C)),),),INDEX(生物种群!$A$3:INDEX(生物种群!$A:$A,COUNTA(生物种群!$A:$A)),MATCH($B779,生物种群!$D$3:INDEX(生物种群!$D:$D,COUNTA(生物种群!$D:$D)),),))),"")</f>
        <v/>
      </c>
      <c r="I779" s="56" t="str">
        <f>IF(H779="","",INDEX(生物种群!$B$3:INDEX(生物种群!$B:$B,COUNTA(生物种群!$B:$B)),MATCH($H779,生物种群!$A$3:INDEX(生物种群!$A:$A,COUNTA(生物种群!$A:$A)),),))</f>
        <v/>
      </c>
      <c r="J779" s="55" t="str">
        <f>IF(H779="","",INDEX(生物种群!$I$3:INDEX(生物种群!$I:$I,COUNTA(生物种群!$I:$I)),MATCH($H779,生物种群!$A$3:INDEX(生物种群!$A:$A,COUNTA(生物种群!$A:$A)),),))</f>
        <v/>
      </c>
      <c r="K779" s="55" t="str">
        <f>IF(H779="","",INDEX(生物种群!$E$3:INDEX(生物种群!$E:$E,COUNTA(生物种群!$E:$E)),MATCH($H779,生物种群!$A$3:INDEX(生物种群!$A:$A,COUNTA(生物种群!$A:$A)),),))</f>
        <v/>
      </c>
      <c r="L779" s="46" t="str">
        <f t="shared" si="39"/>
        <v/>
      </c>
      <c r="M779" s="47" t="str">
        <f>IF(L779="","",ROUND((L779)/VLOOKUP($F779,IF({1,0},站位样品信息!$A$3:INDEX(站位样品信息!$A:$A,COUNTA(站位样品信息!$A:$A)+1),站位样品信息!$H$3:INDEX(站位样品信息!$H:$H,COUNTA(站位样品信息!$H:$H)+1)),2,0),2))</f>
        <v/>
      </c>
      <c r="O779" s="49"/>
      <c r="P779" s="53" t="str">
        <f t="shared" si="40"/>
        <v/>
      </c>
      <c r="Q779" s="53" t="str">
        <f t="shared" si="41"/>
        <v/>
      </c>
    </row>
    <row r="780" spans="1:17" ht="19.5" customHeight="1">
      <c r="A780" s="38"/>
      <c r="B780" s="38"/>
      <c r="C780" s="38"/>
      <c r="D780" s="37"/>
      <c r="E780" s="37"/>
      <c r="F780" s="37"/>
      <c r="G780" s="37" t="str">
        <f>IF(F780="","",INDEX(站位样品信息!$B$3:INDEX(站位样品信息!$B:$B,COUNTA(站位样品信息!$B:$B)+1),MATCH($F780,站位样品信息!$A$3:INDEX(站位样品信息!$A:$A,COUNTA(站位样品信息!$A:$A)+1),),))</f>
        <v/>
      </c>
      <c r="H780" s="55" t="str">
        <f>IF(OR(A780&lt;&gt;"",B780&lt;&gt;"",C780&lt;&gt;""),IF($C780&lt;&gt;0,INDEX(生物种群!$A$3:INDEX(生物种群!$A:$A,COUNTA(生物种群!$A:$A)),MATCH($C780,生物种群!$F$3:INDEX(生物种群!$F:$F,COUNTA(生物种群!$F:$F)),),),IF($A780&lt;&gt;0,INDEX(生物种群!$A$3:INDEX(生物种群!$A:$A,COUNTA(生物种群!$A:$A)),MATCH($A780,生物种群!$C$3:INDEX(生物种群!$C:$C,COUNTA(生物种群!$C:$C)),),),INDEX(生物种群!$A$3:INDEX(生物种群!$A:$A,COUNTA(生物种群!$A:$A)),MATCH($B780,生物种群!$D$3:INDEX(生物种群!$D:$D,COUNTA(生物种群!$D:$D)),),))),"")</f>
        <v/>
      </c>
      <c r="I780" s="56" t="str">
        <f>IF(H780="","",INDEX(生物种群!$B$3:INDEX(生物种群!$B:$B,COUNTA(生物种群!$B:$B)),MATCH($H780,生物种群!$A$3:INDEX(生物种群!$A:$A,COUNTA(生物种群!$A:$A)),),))</f>
        <v/>
      </c>
      <c r="J780" s="55" t="str">
        <f>IF(H780="","",INDEX(生物种群!$I$3:INDEX(生物种群!$I:$I,COUNTA(生物种群!$I:$I)),MATCH($H780,生物种群!$A$3:INDEX(生物种群!$A:$A,COUNTA(生物种群!$A:$A)),),))</f>
        <v/>
      </c>
      <c r="K780" s="55" t="str">
        <f>IF(H780="","",INDEX(生物种群!$E$3:INDEX(生物种群!$E:$E,COUNTA(生物种群!$E:$E)),MATCH($H780,生物种群!$A$3:INDEX(生物种群!$A:$A,COUNTA(生物种群!$A:$A)),),))</f>
        <v/>
      </c>
      <c r="L780" s="46" t="str">
        <f t="shared" si="39"/>
        <v/>
      </c>
      <c r="M780" s="47" t="str">
        <f>IF(L780="","",ROUND((L780)/VLOOKUP($F780,IF({1,0},站位样品信息!$A$3:INDEX(站位样品信息!$A:$A,COUNTA(站位样品信息!$A:$A)+1),站位样品信息!$H$3:INDEX(站位样品信息!$H:$H,COUNTA(站位样品信息!$H:$H)+1)),2,0),2))</f>
        <v/>
      </c>
      <c r="O780" s="49"/>
      <c r="P780" s="53" t="str">
        <f t="shared" si="40"/>
        <v/>
      </c>
      <c r="Q780" s="53" t="str">
        <f t="shared" si="41"/>
        <v/>
      </c>
    </row>
    <row r="781" spans="1:17" ht="19.5" customHeight="1">
      <c r="A781" s="38"/>
      <c r="B781" s="38"/>
      <c r="C781" s="38"/>
      <c r="D781" s="37"/>
      <c r="E781" s="37"/>
      <c r="F781" s="37"/>
      <c r="G781" s="37" t="str">
        <f>IF(F781="","",INDEX(站位样品信息!$B$3:INDEX(站位样品信息!$B:$B,COUNTA(站位样品信息!$B:$B)+1),MATCH($F781,站位样品信息!$A$3:INDEX(站位样品信息!$A:$A,COUNTA(站位样品信息!$A:$A)+1),),))</f>
        <v/>
      </c>
      <c r="H781" s="55" t="str">
        <f>IF(OR(A781&lt;&gt;"",B781&lt;&gt;"",C781&lt;&gt;""),IF($C781&lt;&gt;0,INDEX(生物种群!$A$3:INDEX(生物种群!$A:$A,COUNTA(生物种群!$A:$A)),MATCH($C781,生物种群!$F$3:INDEX(生物种群!$F:$F,COUNTA(生物种群!$F:$F)),),),IF($A781&lt;&gt;0,INDEX(生物种群!$A$3:INDEX(生物种群!$A:$A,COUNTA(生物种群!$A:$A)),MATCH($A781,生物种群!$C$3:INDEX(生物种群!$C:$C,COUNTA(生物种群!$C:$C)),),),INDEX(生物种群!$A$3:INDEX(生物种群!$A:$A,COUNTA(生物种群!$A:$A)),MATCH($B781,生物种群!$D$3:INDEX(生物种群!$D:$D,COUNTA(生物种群!$D:$D)),),))),"")</f>
        <v/>
      </c>
      <c r="I781" s="56" t="str">
        <f>IF(H781="","",INDEX(生物种群!$B$3:INDEX(生物种群!$B:$B,COUNTA(生物种群!$B:$B)),MATCH($H781,生物种群!$A$3:INDEX(生物种群!$A:$A,COUNTA(生物种群!$A:$A)),),))</f>
        <v/>
      </c>
      <c r="J781" s="55" t="str">
        <f>IF(H781="","",INDEX(生物种群!$I$3:INDEX(生物种群!$I:$I,COUNTA(生物种群!$I:$I)),MATCH($H781,生物种群!$A$3:INDEX(生物种群!$A:$A,COUNTA(生物种群!$A:$A)),),))</f>
        <v/>
      </c>
      <c r="K781" s="55" t="str">
        <f>IF(H781="","",INDEX(生物种群!$E$3:INDEX(生物种群!$E:$E,COUNTA(生物种群!$E:$E)),MATCH($H781,生物种群!$A$3:INDEX(生物种群!$A:$A,COUNTA(生物种群!$A:$A)),),))</f>
        <v/>
      </c>
      <c r="L781" s="46" t="str">
        <f t="shared" si="42" ref="L781:L844">IFERROR(IF(OR(D781="",E781=""),"",D781/E781*100),"")</f>
        <v/>
      </c>
      <c r="M781" s="47" t="str">
        <f>IF(L781="","",ROUND((L781)/VLOOKUP($F781,IF({1,0},站位样品信息!$A$3:INDEX(站位样品信息!$A:$A,COUNTA(站位样品信息!$A:$A)+1),站位样品信息!$H$3:INDEX(站位样品信息!$H:$H,COUNTA(站位样品信息!$H:$H)+1)),2,0),2))</f>
        <v/>
      </c>
      <c r="O781" s="49"/>
      <c r="P781" s="53" t="str">
        <f t="shared" si="40"/>
        <v/>
      </c>
      <c r="Q781" s="53" t="str">
        <f t="shared" si="41"/>
        <v/>
      </c>
    </row>
    <row r="782" spans="1:17" ht="19.5" customHeight="1">
      <c r="A782" s="38"/>
      <c r="B782" s="38"/>
      <c r="C782" s="38"/>
      <c r="D782" s="37"/>
      <c r="E782" s="37"/>
      <c r="F782" s="37"/>
      <c r="G782" s="37" t="str">
        <f>IF(F782="","",INDEX(站位样品信息!$B$3:INDEX(站位样品信息!$B:$B,COUNTA(站位样品信息!$B:$B)+1),MATCH($F782,站位样品信息!$A$3:INDEX(站位样品信息!$A:$A,COUNTA(站位样品信息!$A:$A)+1),),))</f>
        <v/>
      </c>
      <c r="H782" s="55" t="str">
        <f>IF(OR(A782&lt;&gt;"",B782&lt;&gt;"",C782&lt;&gt;""),IF($C782&lt;&gt;0,INDEX(生物种群!$A$3:INDEX(生物种群!$A:$A,COUNTA(生物种群!$A:$A)),MATCH($C782,生物种群!$F$3:INDEX(生物种群!$F:$F,COUNTA(生物种群!$F:$F)),),),IF($A782&lt;&gt;0,INDEX(生物种群!$A$3:INDEX(生物种群!$A:$A,COUNTA(生物种群!$A:$A)),MATCH($A782,生物种群!$C$3:INDEX(生物种群!$C:$C,COUNTA(生物种群!$C:$C)),),),INDEX(生物种群!$A$3:INDEX(生物种群!$A:$A,COUNTA(生物种群!$A:$A)),MATCH($B782,生物种群!$D$3:INDEX(生物种群!$D:$D,COUNTA(生物种群!$D:$D)),),))),"")</f>
        <v/>
      </c>
      <c r="I782" s="56" t="str">
        <f>IF(H782="","",INDEX(生物种群!$B$3:INDEX(生物种群!$B:$B,COUNTA(生物种群!$B:$B)),MATCH($H782,生物种群!$A$3:INDEX(生物种群!$A:$A,COUNTA(生物种群!$A:$A)),),))</f>
        <v/>
      </c>
      <c r="J782" s="55" t="str">
        <f>IF(H782="","",INDEX(生物种群!$I$3:INDEX(生物种群!$I:$I,COUNTA(生物种群!$I:$I)),MATCH($H782,生物种群!$A$3:INDEX(生物种群!$A:$A,COUNTA(生物种群!$A:$A)),),))</f>
        <v/>
      </c>
      <c r="K782" s="55" t="str">
        <f>IF(H782="","",INDEX(生物种群!$E$3:INDEX(生物种群!$E:$E,COUNTA(生物种群!$E:$E)),MATCH($H782,生物种群!$A$3:INDEX(生物种群!$A:$A,COUNTA(生物种群!$A:$A)),),))</f>
        <v/>
      </c>
      <c r="L782" s="46" t="str">
        <f t="shared" si="42"/>
        <v/>
      </c>
      <c r="M782" s="47" t="str">
        <f>IF(L782="","",ROUND((L782)/VLOOKUP($F782,IF({1,0},站位样品信息!$A$3:INDEX(站位样品信息!$A:$A,COUNTA(站位样品信息!$A:$A)+1),站位样品信息!$H$3:INDEX(站位样品信息!$H:$H,COUNTA(站位样品信息!$H:$H)+1)),2,0),2))</f>
        <v/>
      </c>
      <c r="O782" s="49"/>
      <c r="P782" s="53" t="str">
        <f t="shared" si="40"/>
        <v/>
      </c>
      <c r="Q782" s="53" t="str">
        <f t="shared" si="41"/>
        <v/>
      </c>
    </row>
    <row r="783" spans="1:17" ht="19.5" customHeight="1">
      <c r="A783" s="38"/>
      <c r="B783" s="38"/>
      <c r="C783" s="38"/>
      <c r="D783" s="37"/>
      <c r="E783" s="37"/>
      <c r="F783" s="37"/>
      <c r="G783" s="37" t="str">
        <f>IF(F783="","",INDEX(站位样品信息!$B$3:INDEX(站位样品信息!$B:$B,COUNTA(站位样品信息!$B:$B)+1),MATCH($F783,站位样品信息!$A$3:INDEX(站位样品信息!$A:$A,COUNTA(站位样品信息!$A:$A)+1),),))</f>
        <v/>
      </c>
      <c r="H783" s="55" t="str">
        <f>IF(OR(A783&lt;&gt;"",B783&lt;&gt;"",C783&lt;&gt;""),IF($C783&lt;&gt;0,INDEX(生物种群!$A$3:INDEX(生物种群!$A:$A,COUNTA(生物种群!$A:$A)),MATCH($C783,生物种群!$F$3:INDEX(生物种群!$F:$F,COUNTA(生物种群!$F:$F)),),),IF($A783&lt;&gt;0,INDEX(生物种群!$A$3:INDEX(生物种群!$A:$A,COUNTA(生物种群!$A:$A)),MATCH($A783,生物种群!$C$3:INDEX(生物种群!$C:$C,COUNTA(生物种群!$C:$C)),),),INDEX(生物种群!$A$3:INDEX(生物种群!$A:$A,COUNTA(生物种群!$A:$A)),MATCH($B783,生物种群!$D$3:INDEX(生物种群!$D:$D,COUNTA(生物种群!$D:$D)),),))),"")</f>
        <v/>
      </c>
      <c r="I783" s="56" t="str">
        <f>IF(H783="","",INDEX(生物种群!$B$3:INDEX(生物种群!$B:$B,COUNTA(生物种群!$B:$B)),MATCH($H783,生物种群!$A$3:INDEX(生物种群!$A:$A,COUNTA(生物种群!$A:$A)),),))</f>
        <v/>
      </c>
      <c r="J783" s="55" t="str">
        <f>IF(H783="","",INDEX(生物种群!$I$3:INDEX(生物种群!$I:$I,COUNTA(生物种群!$I:$I)),MATCH($H783,生物种群!$A$3:INDEX(生物种群!$A:$A,COUNTA(生物种群!$A:$A)),),))</f>
        <v/>
      </c>
      <c r="K783" s="55" t="str">
        <f>IF(H783="","",INDEX(生物种群!$E$3:INDEX(生物种群!$E:$E,COUNTA(生物种群!$E:$E)),MATCH($H783,生物种群!$A$3:INDEX(生物种群!$A:$A,COUNTA(生物种群!$A:$A)),),))</f>
        <v/>
      </c>
      <c r="L783" s="46" t="str">
        <f t="shared" si="42"/>
        <v/>
      </c>
      <c r="M783" s="47" t="str">
        <f>IF(L783="","",ROUND((L783)/VLOOKUP($F783,IF({1,0},站位样品信息!$A$3:INDEX(站位样品信息!$A:$A,COUNTA(站位样品信息!$A:$A)+1),站位样品信息!$H$3:INDEX(站位样品信息!$H:$H,COUNTA(站位样品信息!$H:$H)+1)),2,0),2))</f>
        <v/>
      </c>
      <c r="O783" s="49"/>
      <c r="P783" s="53" t="str">
        <f t="shared" si="40"/>
        <v/>
      </c>
      <c r="Q783" s="53" t="str">
        <f t="shared" si="41"/>
        <v/>
      </c>
    </row>
    <row r="784" spans="1:17" ht="19.5" customHeight="1">
      <c r="A784" s="38"/>
      <c r="B784" s="38"/>
      <c r="C784" s="38"/>
      <c r="D784" s="37"/>
      <c r="E784" s="37"/>
      <c r="F784" s="37"/>
      <c r="G784" s="37" t="str">
        <f>IF(F784="","",INDEX(站位样品信息!$B$3:INDEX(站位样品信息!$B:$B,COUNTA(站位样品信息!$B:$B)+1),MATCH($F784,站位样品信息!$A$3:INDEX(站位样品信息!$A:$A,COUNTA(站位样品信息!$A:$A)+1),),))</f>
        <v/>
      </c>
      <c r="H784" s="55" t="str">
        <f>IF(OR(A784&lt;&gt;"",B784&lt;&gt;"",C784&lt;&gt;""),IF($C784&lt;&gt;0,INDEX(生物种群!$A$3:INDEX(生物种群!$A:$A,COUNTA(生物种群!$A:$A)),MATCH($C784,生物种群!$F$3:INDEX(生物种群!$F:$F,COUNTA(生物种群!$F:$F)),),),IF($A784&lt;&gt;0,INDEX(生物种群!$A$3:INDEX(生物种群!$A:$A,COUNTA(生物种群!$A:$A)),MATCH($A784,生物种群!$C$3:INDEX(生物种群!$C:$C,COUNTA(生物种群!$C:$C)),),),INDEX(生物种群!$A$3:INDEX(生物种群!$A:$A,COUNTA(生物种群!$A:$A)),MATCH($B784,生物种群!$D$3:INDEX(生物种群!$D:$D,COUNTA(生物种群!$D:$D)),),))),"")</f>
        <v/>
      </c>
      <c r="I784" s="56" t="str">
        <f>IF(H784="","",INDEX(生物种群!$B$3:INDEX(生物种群!$B:$B,COUNTA(生物种群!$B:$B)),MATCH($H784,生物种群!$A$3:INDEX(生物种群!$A:$A,COUNTA(生物种群!$A:$A)),),))</f>
        <v/>
      </c>
      <c r="J784" s="55" t="str">
        <f>IF(H784="","",INDEX(生物种群!$I$3:INDEX(生物种群!$I:$I,COUNTA(生物种群!$I:$I)),MATCH($H784,生物种群!$A$3:INDEX(生物种群!$A:$A,COUNTA(生物种群!$A:$A)),),))</f>
        <v/>
      </c>
      <c r="K784" s="55" t="str">
        <f>IF(H784="","",INDEX(生物种群!$E$3:INDEX(生物种群!$E:$E,COUNTA(生物种群!$E:$E)),MATCH($H784,生物种群!$A$3:INDEX(生物种群!$A:$A,COUNTA(生物种群!$A:$A)),),))</f>
        <v/>
      </c>
      <c r="L784" s="46" t="str">
        <f t="shared" si="42"/>
        <v/>
      </c>
      <c r="M784" s="47" t="str">
        <f>IF(L784="","",ROUND((L784)/VLOOKUP($F784,IF({1,0},站位样品信息!$A$3:INDEX(站位样品信息!$A:$A,COUNTA(站位样品信息!$A:$A)+1),站位样品信息!$H$3:INDEX(站位样品信息!$H:$H,COUNTA(站位样品信息!$H:$H)+1)),2,0),2))</f>
        <v/>
      </c>
      <c r="O784" s="49"/>
      <c r="P784" s="53" t="str">
        <f t="shared" si="40"/>
        <v/>
      </c>
      <c r="Q784" s="53" t="str">
        <f t="shared" si="41"/>
        <v/>
      </c>
    </row>
    <row r="785" spans="1:17" ht="19.5" customHeight="1">
      <c r="A785" s="38"/>
      <c r="B785" s="38"/>
      <c r="C785" s="38"/>
      <c r="D785" s="37"/>
      <c r="E785" s="37"/>
      <c r="F785" s="37"/>
      <c r="G785" s="37" t="str">
        <f>IF(F785="","",INDEX(站位样品信息!$B$3:INDEX(站位样品信息!$B:$B,COUNTA(站位样品信息!$B:$B)+1),MATCH($F785,站位样品信息!$A$3:INDEX(站位样品信息!$A:$A,COUNTA(站位样品信息!$A:$A)+1),),))</f>
        <v/>
      </c>
      <c r="H785" s="55" t="str">
        <f>IF(OR(A785&lt;&gt;"",B785&lt;&gt;"",C785&lt;&gt;""),IF($C785&lt;&gt;0,INDEX(生物种群!$A$3:INDEX(生物种群!$A:$A,COUNTA(生物种群!$A:$A)),MATCH($C785,生物种群!$F$3:INDEX(生物种群!$F:$F,COUNTA(生物种群!$F:$F)),),),IF($A785&lt;&gt;0,INDEX(生物种群!$A$3:INDEX(生物种群!$A:$A,COUNTA(生物种群!$A:$A)),MATCH($A785,生物种群!$C$3:INDEX(生物种群!$C:$C,COUNTA(生物种群!$C:$C)),),),INDEX(生物种群!$A$3:INDEX(生物种群!$A:$A,COUNTA(生物种群!$A:$A)),MATCH($B785,生物种群!$D$3:INDEX(生物种群!$D:$D,COUNTA(生物种群!$D:$D)),),))),"")</f>
        <v/>
      </c>
      <c r="I785" s="56" t="str">
        <f>IF(H785="","",INDEX(生物种群!$B$3:INDEX(生物种群!$B:$B,COUNTA(生物种群!$B:$B)),MATCH($H785,生物种群!$A$3:INDEX(生物种群!$A:$A,COUNTA(生物种群!$A:$A)),),))</f>
        <v/>
      </c>
      <c r="J785" s="55" t="str">
        <f>IF(H785="","",INDEX(生物种群!$I$3:INDEX(生物种群!$I:$I,COUNTA(生物种群!$I:$I)),MATCH($H785,生物种群!$A$3:INDEX(生物种群!$A:$A,COUNTA(生物种群!$A:$A)),),))</f>
        <v/>
      </c>
      <c r="K785" s="55" t="str">
        <f>IF(H785="","",INDEX(生物种群!$E$3:INDEX(生物种群!$E:$E,COUNTA(生物种群!$E:$E)),MATCH($H785,生物种群!$A$3:INDEX(生物种群!$A:$A,COUNTA(生物种群!$A:$A)),),))</f>
        <v/>
      </c>
      <c r="L785" s="46" t="str">
        <f t="shared" si="42"/>
        <v/>
      </c>
      <c r="M785" s="47" t="str">
        <f>IF(L785="","",ROUND((L785)/VLOOKUP($F785,IF({1,0},站位样品信息!$A$3:INDEX(站位样品信息!$A:$A,COUNTA(站位样品信息!$A:$A)+1),站位样品信息!$H$3:INDEX(站位样品信息!$H:$H,COUNTA(站位样品信息!$H:$H)+1)),2,0),2))</f>
        <v/>
      </c>
      <c r="O785" s="49"/>
      <c r="P785" s="53" t="str">
        <f t="shared" si="40"/>
        <v/>
      </c>
      <c r="Q785" s="53" t="str">
        <f t="shared" si="41"/>
        <v/>
      </c>
    </row>
    <row r="786" spans="1:17" ht="19.5" customHeight="1">
      <c r="A786" s="38"/>
      <c r="B786" s="38"/>
      <c r="C786" s="38"/>
      <c r="D786" s="37"/>
      <c r="E786" s="37"/>
      <c r="F786" s="37"/>
      <c r="G786" s="37" t="str">
        <f>IF(F786="","",INDEX(站位样品信息!$B$3:INDEX(站位样品信息!$B:$B,COUNTA(站位样品信息!$B:$B)+1),MATCH($F786,站位样品信息!$A$3:INDEX(站位样品信息!$A:$A,COUNTA(站位样品信息!$A:$A)+1),),))</f>
        <v/>
      </c>
      <c r="H786" s="55" t="str">
        <f>IF(OR(A786&lt;&gt;"",B786&lt;&gt;"",C786&lt;&gt;""),IF($C786&lt;&gt;0,INDEX(生物种群!$A$3:INDEX(生物种群!$A:$A,COUNTA(生物种群!$A:$A)),MATCH($C786,生物种群!$F$3:INDEX(生物种群!$F:$F,COUNTA(生物种群!$F:$F)),),),IF($A786&lt;&gt;0,INDEX(生物种群!$A$3:INDEX(生物种群!$A:$A,COUNTA(生物种群!$A:$A)),MATCH($A786,生物种群!$C$3:INDEX(生物种群!$C:$C,COUNTA(生物种群!$C:$C)),),),INDEX(生物种群!$A$3:INDEX(生物种群!$A:$A,COUNTA(生物种群!$A:$A)),MATCH($B786,生物种群!$D$3:INDEX(生物种群!$D:$D,COUNTA(生物种群!$D:$D)),),))),"")</f>
        <v/>
      </c>
      <c r="I786" s="56" t="str">
        <f>IF(H786="","",INDEX(生物种群!$B$3:INDEX(生物种群!$B:$B,COUNTA(生物种群!$B:$B)),MATCH($H786,生物种群!$A$3:INDEX(生物种群!$A:$A,COUNTA(生物种群!$A:$A)),),))</f>
        <v/>
      </c>
      <c r="J786" s="55" t="str">
        <f>IF(H786="","",INDEX(生物种群!$I$3:INDEX(生物种群!$I:$I,COUNTA(生物种群!$I:$I)),MATCH($H786,生物种群!$A$3:INDEX(生物种群!$A:$A,COUNTA(生物种群!$A:$A)),),))</f>
        <v/>
      </c>
      <c r="K786" s="55" t="str">
        <f>IF(H786="","",INDEX(生物种群!$E$3:INDEX(生物种群!$E:$E,COUNTA(生物种群!$E:$E)),MATCH($H786,生物种群!$A$3:INDEX(生物种群!$A:$A,COUNTA(生物种群!$A:$A)),),))</f>
        <v/>
      </c>
      <c r="L786" s="46" t="str">
        <f t="shared" si="42"/>
        <v/>
      </c>
      <c r="M786" s="47" t="str">
        <f>IF(L786="","",ROUND((L786)/VLOOKUP($F786,IF({1,0},站位样品信息!$A$3:INDEX(站位样品信息!$A:$A,COUNTA(站位样品信息!$A:$A)+1),站位样品信息!$H$3:INDEX(站位样品信息!$H:$H,COUNTA(站位样品信息!$H:$H)+1)),2,0),2))</f>
        <v/>
      </c>
      <c r="O786" s="49"/>
      <c r="P786" s="53" t="str">
        <f t="shared" si="40"/>
        <v/>
      </c>
      <c r="Q786" s="53" t="str">
        <f t="shared" si="41"/>
        <v/>
      </c>
    </row>
    <row r="787" spans="1:17" ht="19.5" customHeight="1">
      <c r="A787" s="38"/>
      <c r="B787" s="38"/>
      <c r="C787" s="38"/>
      <c r="D787" s="37"/>
      <c r="E787" s="37"/>
      <c r="F787" s="37"/>
      <c r="G787" s="37" t="str">
        <f>IF(F787="","",INDEX(站位样品信息!$B$3:INDEX(站位样品信息!$B:$B,COUNTA(站位样品信息!$B:$B)+1),MATCH($F787,站位样品信息!$A$3:INDEX(站位样品信息!$A:$A,COUNTA(站位样品信息!$A:$A)+1),),))</f>
        <v/>
      </c>
      <c r="H787" s="55" t="str">
        <f>IF(OR(A787&lt;&gt;"",B787&lt;&gt;"",C787&lt;&gt;""),IF($C787&lt;&gt;0,INDEX(生物种群!$A$3:INDEX(生物种群!$A:$A,COUNTA(生物种群!$A:$A)),MATCH($C787,生物种群!$F$3:INDEX(生物种群!$F:$F,COUNTA(生物种群!$F:$F)),),),IF($A787&lt;&gt;0,INDEX(生物种群!$A$3:INDEX(生物种群!$A:$A,COUNTA(生物种群!$A:$A)),MATCH($A787,生物种群!$C$3:INDEX(生物种群!$C:$C,COUNTA(生物种群!$C:$C)),),),INDEX(生物种群!$A$3:INDEX(生物种群!$A:$A,COUNTA(生物种群!$A:$A)),MATCH($B787,生物种群!$D$3:INDEX(生物种群!$D:$D,COUNTA(生物种群!$D:$D)),),))),"")</f>
        <v/>
      </c>
      <c r="I787" s="56" t="str">
        <f>IF(H787="","",INDEX(生物种群!$B$3:INDEX(生物种群!$B:$B,COUNTA(生物种群!$B:$B)),MATCH($H787,生物种群!$A$3:INDEX(生物种群!$A:$A,COUNTA(生物种群!$A:$A)),),))</f>
        <v/>
      </c>
      <c r="J787" s="55" t="str">
        <f>IF(H787="","",INDEX(生物种群!$I$3:INDEX(生物种群!$I:$I,COUNTA(生物种群!$I:$I)),MATCH($H787,生物种群!$A$3:INDEX(生物种群!$A:$A,COUNTA(生物种群!$A:$A)),),))</f>
        <v/>
      </c>
      <c r="K787" s="55" t="str">
        <f>IF(H787="","",INDEX(生物种群!$E$3:INDEX(生物种群!$E:$E,COUNTA(生物种群!$E:$E)),MATCH($H787,生物种群!$A$3:INDEX(生物种群!$A:$A,COUNTA(生物种群!$A:$A)),),))</f>
        <v/>
      </c>
      <c r="L787" s="46" t="str">
        <f t="shared" si="42"/>
        <v/>
      </c>
      <c r="M787" s="47" t="str">
        <f>IF(L787="","",ROUND((L787)/VLOOKUP($F787,IF({1,0},站位样品信息!$A$3:INDEX(站位样品信息!$A:$A,COUNTA(站位样品信息!$A:$A)+1),站位样品信息!$H$3:INDEX(站位样品信息!$H:$H,COUNTA(站位样品信息!$H:$H)+1)),2,0),2))</f>
        <v/>
      </c>
      <c r="O787" s="49"/>
      <c r="P787" s="53" t="str">
        <f t="shared" si="40"/>
        <v/>
      </c>
      <c r="Q787" s="53" t="str">
        <f t="shared" si="41"/>
        <v/>
      </c>
    </row>
    <row r="788" spans="1:17" ht="19.5" customHeight="1">
      <c r="A788" s="38"/>
      <c r="B788" s="38"/>
      <c r="C788" s="38"/>
      <c r="D788" s="37"/>
      <c r="E788" s="37"/>
      <c r="F788" s="37"/>
      <c r="G788" s="37" t="str">
        <f>IF(F788="","",INDEX(站位样品信息!$B$3:INDEX(站位样品信息!$B:$B,COUNTA(站位样品信息!$B:$B)+1),MATCH($F788,站位样品信息!$A$3:INDEX(站位样品信息!$A:$A,COUNTA(站位样品信息!$A:$A)+1),),))</f>
        <v/>
      </c>
      <c r="H788" s="55" t="str">
        <f>IF(OR(A788&lt;&gt;"",B788&lt;&gt;"",C788&lt;&gt;""),IF($C788&lt;&gt;0,INDEX(生物种群!$A$3:INDEX(生物种群!$A:$A,COUNTA(生物种群!$A:$A)),MATCH($C788,生物种群!$F$3:INDEX(生物种群!$F:$F,COUNTA(生物种群!$F:$F)),),),IF($A788&lt;&gt;0,INDEX(生物种群!$A$3:INDEX(生物种群!$A:$A,COUNTA(生物种群!$A:$A)),MATCH($A788,生物种群!$C$3:INDEX(生物种群!$C:$C,COUNTA(生物种群!$C:$C)),),),INDEX(生物种群!$A$3:INDEX(生物种群!$A:$A,COUNTA(生物种群!$A:$A)),MATCH($B788,生物种群!$D$3:INDEX(生物种群!$D:$D,COUNTA(生物种群!$D:$D)),),))),"")</f>
        <v/>
      </c>
      <c r="I788" s="56" t="str">
        <f>IF(H788="","",INDEX(生物种群!$B$3:INDEX(生物种群!$B:$B,COUNTA(生物种群!$B:$B)),MATCH($H788,生物种群!$A$3:INDEX(生物种群!$A:$A,COUNTA(生物种群!$A:$A)),),))</f>
        <v/>
      </c>
      <c r="J788" s="55" t="str">
        <f>IF(H788="","",INDEX(生物种群!$I$3:INDEX(生物种群!$I:$I,COUNTA(生物种群!$I:$I)),MATCH($H788,生物种群!$A$3:INDEX(生物种群!$A:$A,COUNTA(生物种群!$A:$A)),),))</f>
        <v/>
      </c>
      <c r="K788" s="55" t="str">
        <f>IF(H788="","",INDEX(生物种群!$E$3:INDEX(生物种群!$E:$E,COUNTA(生物种群!$E:$E)),MATCH($H788,生物种群!$A$3:INDEX(生物种群!$A:$A,COUNTA(生物种群!$A:$A)),),))</f>
        <v/>
      </c>
      <c r="L788" s="46" t="str">
        <f t="shared" si="42"/>
        <v/>
      </c>
      <c r="M788" s="47" t="str">
        <f>IF(L788="","",ROUND((L788)/VLOOKUP($F788,IF({1,0},站位样品信息!$A$3:INDEX(站位样品信息!$A:$A,COUNTA(站位样品信息!$A:$A)+1),站位样品信息!$H$3:INDEX(站位样品信息!$H:$H,COUNTA(站位样品信息!$H:$H)+1)),2,0),2))</f>
        <v/>
      </c>
      <c r="O788" s="49"/>
      <c r="P788" s="53" t="str">
        <f t="shared" si="40"/>
        <v/>
      </c>
      <c r="Q788" s="53" t="str">
        <f t="shared" si="41"/>
        <v/>
      </c>
    </row>
    <row r="789" spans="1:17" ht="19.5" customHeight="1">
      <c r="A789" s="38"/>
      <c r="B789" s="38"/>
      <c r="C789" s="38"/>
      <c r="D789" s="37"/>
      <c r="E789" s="37"/>
      <c r="F789" s="37"/>
      <c r="G789" s="37" t="str">
        <f>IF(F789="","",INDEX(站位样品信息!$B$3:INDEX(站位样品信息!$B:$B,COUNTA(站位样品信息!$B:$B)+1),MATCH($F789,站位样品信息!$A$3:INDEX(站位样品信息!$A:$A,COUNTA(站位样品信息!$A:$A)+1),),))</f>
        <v/>
      </c>
      <c r="H789" s="55" t="str">
        <f>IF(OR(A789&lt;&gt;"",B789&lt;&gt;"",C789&lt;&gt;""),IF($C789&lt;&gt;0,INDEX(生物种群!$A$3:INDEX(生物种群!$A:$A,COUNTA(生物种群!$A:$A)),MATCH($C789,生物种群!$F$3:INDEX(生物种群!$F:$F,COUNTA(生物种群!$F:$F)),),),IF($A789&lt;&gt;0,INDEX(生物种群!$A$3:INDEX(生物种群!$A:$A,COUNTA(生物种群!$A:$A)),MATCH($A789,生物种群!$C$3:INDEX(生物种群!$C:$C,COUNTA(生物种群!$C:$C)),),),INDEX(生物种群!$A$3:INDEX(生物种群!$A:$A,COUNTA(生物种群!$A:$A)),MATCH($B789,生物种群!$D$3:INDEX(生物种群!$D:$D,COUNTA(生物种群!$D:$D)),),))),"")</f>
        <v/>
      </c>
      <c r="I789" s="56" t="str">
        <f>IF(H789="","",INDEX(生物种群!$B$3:INDEX(生物种群!$B:$B,COUNTA(生物种群!$B:$B)),MATCH($H789,生物种群!$A$3:INDEX(生物种群!$A:$A,COUNTA(生物种群!$A:$A)),),))</f>
        <v/>
      </c>
      <c r="J789" s="55" t="str">
        <f>IF(H789="","",INDEX(生物种群!$I$3:INDEX(生物种群!$I:$I,COUNTA(生物种群!$I:$I)),MATCH($H789,生物种群!$A$3:INDEX(生物种群!$A:$A,COUNTA(生物种群!$A:$A)),),))</f>
        <v/>
      </c>
      <c r="K789" s="55" t="str">
        <f>IF(H789="","",INDEX(生物种群!$E$3:INDEX(生物种群!$E:$E,COUNTA(生物种群!$E:$E)),MATCH($H789,生物种群!$A$3:INDEX(生物种群!$A:$A,COUNTA(生物种群!$A:$A)),),))</f>
        <v/>
      </c>
      <c r="L789" s="46" t="str">
        <f t="shared" si="42"/>
        <v/>
      </c>
      <c r="M789" s="47" t="str">
        <f>IF(L789="","",ROUND((L789)/VLOOKUP($F789,IF({1,0},站位样品信息!$A$3:INDEX(站位样品信息!$A:$A,COUNTA(站位样品信息!$A:$A)+1),站位样品信息!$H$3:INDEX(站位样品信息!$H:$H,COUNTA(站位样品信息!$H:$H)+1)),2,0),2))</f>
        <v/>
      </c>
      <c r="O789" s="49"/>
      <c r="P789" s="53" t="str">
        <f t="shared" si="40"/>
        <v/>
      </c>
      <c r="Q789" s="53" t="str">
        <f t="shared" si="41"/>
        <v/>
      </c>
    </row>
    <row r="790" spans="1:17" ht="19.5" customHeight="1">
      <c r="A790" s="38"/>
      <c r="B790" s="38"/>
      <c r="C790" s="38"/>
      <c r="D790" s="37"/>
      <c r="E790" s="37"/>
      <c r="F790" s="37"/>
      <c r="G790" s="37" t="str">
        <f>IF(F790="","",INDEX(站位样品信息!$B$3:INDEX(站位样品信息!$B:$B,COUNTA(站位样品信息!$B:$B)+1),MATCH($F790,站位样品信息!$A$3:INDEX(站位样品信息!$A:$A,COUNTA(站位样品信息!$A:$A)+1),),))</f>
        <v/>
      </c>
      <c r="H790" s="55" t="str">
        <f>IF(OR(A790&lt;&gt;"",B790&lt;&gt;"",C790&lt;&gt;""),IF($C790&lt;&gt;0,INDEX(生物种群!$A$3:INDEX(生物种群!$A:$A,COUNTA(生物种群!$A:$A)),MATCH($C790,生物种群!$F$3:INDEX(生物种群!$F:$F,COUNTA(生物种群!$F:$F)),),),IF($A790&lt;&gt;0,INDEX(生物种群!$A$3:INDEX(生物种群!$A:$A,COUNTA(生物种群!$A:$A)),MATCH($A790,生物种群!$C$3:INDEX(生物种群!$C:$C,COUNTA(生物种群!$C:$C)),),),INDEX(生物种群!$A$3:INDEX(生物种群!$A:$A,COUNTA(生物种群!$A:$A)),MATCH($B790,生物种群!$D$3:INDEX(生物种群!$D:$D,COUNTA(生物种群!$D:$D)),),))),"")</f>
        <v/>
      </c>
      <c r="I790" s="56" t="str">
        <f>IF(H790="","",INDEX(生物种群!$B$3:INDEX(生物种群!$B:$B,COUNTA(生物种群!$B:$B)),MATCH($H790,生物种群!$A$3:INDEX(生物种群!$A:$A,COUNTA(生物种群!$A:$A)),),))</f>
        <v/>
      </c>
      <c r="J790" s="55" t="str">
        <f>IF(H790="","",INDEX(生物种群!$I$3:INDEX(生物种群!$I:$I,COUNTA(生物种群!$I:$I)),MATCH($H790,生物种群!$A$3:INDEX(生物种群!$A:$A,COUNTA(生物种群!$A:$A)),),))</f>
        <v/>
      </c>
      <c r="K790" s="55" t="str">
        <f>IF(H790="","",INDEX(生物种群!$E$3:INDEX(生物种群!$E:$E,COUNTA(生物种群!$E:$E)),MATCH($H790,生物种群!$A$3:INDEX(生物种群!$A:$A,COUNTA(生物种群!$A:$A)),),))</f>
        <v/>
      </c>
      <c r="L790" s="46" t="str">
        <f t="shared" si="42"/>
        <v/>
      </c>
      <c r="M790" s="47" t="str">
        <f>IF(L790="","",ROUND((L790)/VLOOKUP($F790,IF({1,0},站位样品信息!$A$3:INDEX(站位样品信息!$A:$A,COUNTA(站位样品信息!$A:$A)+1),站位样品信息!$H$3:INDEX(站位样品信息!$H:$H,COUNTA(站位样品信息!$H:$H)+1)),2,0),2))</f>
        <v/>
      </c>
      <c r="O790" s="49"/>
      <c r="P790" s="53" t="str">
        <f t="shared" si="40"/>
        <v/>
      </c>
      <c r="Q790" s="53" t="str">
        <f t="shared" si="41"/>
        <v/>
      </c>
    </row>
    <row r="791" spans="1:17" ht="19.5" customHeight="1">
      <c r="A791" s="38"/>
      <c r="B791" s="38"/>
      <c r="C791" s="38"/>
      <c r="D791" s="37"/>
      <c r="E791" s="37"/>
      <c r="F791" s="37"/>
      <c r="G791" s="37" t="str">
        <f>IF(F791="","",INDEX(站位样品信息!$B$3:INDEX(站位样品信息!$B:$B,COUNTA(站位样品信息!$B:$B)+1),MATCH($F791,站位样品信息!$A$3:INDEX(站位样品信息!$A:$A,COUNTA(站位样品信息!$A:$A)+1),),))</f>
        <v/>
      </c>
      <c r="H791" s="55" t="str">
        <f>IF(OR(A791&lt;&gt;"",B791&lt;&gt;"",C791&lt;&gt;""),IF($C791&lt;&gt;0,INDEX(生物种群!$A$3:INDEX(生物种群!$A:$A,COUNTA(生物种群!$A:$A)),MATCH($C791,生物种群!$F$3:INDEX(生物种群!$F:$F,COUNTA(生物种群!$F:$F)),),),IF($A791&lt;&gt;0,INDEX(生物种群!$A$3:INDEX(生物种群!$A:$A,COUNTA(生物种群!$A:$A)),MATCH($A791,生物种群!$C$3:INDEX(生物种群!$C:$C,COUNTA(生物种群!$C:$C)),),),INDEX(生物种群!$A$3:INDEX(生物种群!$A:$A,COUNTA(生物种群!$A:$A)),MATCH($B791,生物种群!$D$3:INDEX(生物种群!$D:$D,COUNTA(生物种群!$D:$D)),),))),"")</f>
        <v/>
      </c>
      <c r="I791" s="56" t="str">
        <f>IF(H791="","",INDEX(生物种群!$B$3:INDEX(生物种群!$B:$B,COUNTA(生物种群!$B:$B)),MATCH($H791,生物种群!$A$3:INDEX(生物种群!$A:$A,COUNTA(生物种群!$A:$A)),),))</f>
        <v/>
      </c>
      <c r="J791" s="55" t="str">
        <f>IF(H791="","",INDEX(生物种群!$I$3:INDEX(生物种群!$I:$I,COUNTA(生物种群!$I:$I)),MATCH($H791,生物种群!$A$3:INDEX(生物种群!$A:$A,COUNTA(生物种群!$A:$A)),),))</f>
        <v/>
      </c>
      <c r="K791" s="55" t="str">
        <f>IF(H791="","",INDEX(生物种群!$E$3:INDEX(生物种群!$E:$E,COUNTA(生物种群!$E:$E)),MATCH($H791,生物种群!$A$3:INDEX(生物种群!$A:$A,COUNTA(生物种群!$A:$A)),),))</f>
        <v/>
      </c>
      <c r="L791" s="46" t="str">
        <f t="shared" si="42"/>
        <v/>
      </c>
      <c r="M791" s="47" t="str">
        <f>IF(L791="","",ROUND((L791)/VLOOKUP($F791,IF({1,0},站位样品信息!$A$3:INDEX(站位样品信息!$A:$A,COUNTA(站位样品信息!$A:$A)+1),站位样品信息!$H$3:INDEX(站位样品信息!$H:$H,COUNTA(站位样品信息!$H:$H)+1)),2,0),2))</f>
        <v/>
      </c>
      <c r="O791" s="49"/>
      <c r="P791" s="53" t="str">
        <f t="shared" si="40"/>
        <v/>
      </c>
      <c r="Q791" s="53" t="str">
        <f t="shared" si="41"/>
        <v/>
      </c>
    </row>
    <row r="792" spans="1:17" ht="19.5" customHeight="1">
      <c r="A792" s="38"/>
      <c r="B792" s="38"/>
      <c r="C792" s="38"/>
      <c r="D792" s="37"/>
      <c r="E792" s="37"/>
      <c r="F792" s="37"/>
      <c r="G792" s="37" t="str">
        <f>IF(F792="","",INDEX(站位样品信息!$B$3:INDEX(站位样品信息!$B:$B,COUNTA(站位样品信息!$B:$B)+1),MATCH($F792,站位样品信息!$A$3:INDEX(站位样品信息!$A:$A,COUNTA(站位样品信息!$A:$A)+1),),))</f>
        <v/>
      </c>
      <c r="H792" s="55" t="str">
        <f>IF(OR(A792&lt;&gt;"",B792&lt;&gt;"",C792&lt;&gt;""),IF($C792&lt;&gt;0,INDEX(生物种群!$A$3:INDEX(生物种群!$A:$A,COUNTA(生物种群!$A:$A)),MATCH($C792,生物种群!$F$3:INDEX(生物种群!$F:$F,COUNTA(生物种群!$F:$F)),),),IF($A792&lt;&gt;0,INDEX(生物种群!$A$3:INDEX(生物种群!$A:$A,COUNTA(生物种群!$A:$A)),MATCH($A792,生物种群!$C$3:INDEX(生物种群!$C:$C,COUNTA(生物种群!$C:$C)),),),INDEX(生物种群!$A$3:INDEX(生物种群!$A:$A,COUNTA(生物种群!$A:$A)),MATCH($B792,生物种群!$D$3:INDEX(生物种群!$D:$D,COUNTA(生物种群!$D:$D)),),))),"")</f>
        <v/>
      </c>
      <c r="I792" s="56" t="str">
        <f>IF(H792="","",INDEX(生物种群!$B$3:INDEX(生物种群!$B:$B,COUNTA(生物种群!$B:$B)),MATCH($H792,生物种群!$A$3:INDEX(生物种群!$A:$A,COUNTA(生物种群!$A:$A)),),))</f>
        <v/>
      </c>
      <c r="J792" s="55" t="str">
        <f>IF(H792="","",INDEX(生物种群!$I$3:INDEX(生物种群!$I:$I,COUNTA(生物种群!$I:$I)),MATCH($H792,生物种群!$A$3:INDEX(生物种群!$A:$A,COUNTA(生物种群!$A:$A)),),))</f>
        <v/>
      </c>
      <c r="K792" s="55" t="str">
        <f>IF(H792="","",INDEX(生物种群!$E$3:INDEX(生物种群!$E:$E,COUNTA(生物种群!$E:$E)),MATCH($H792,生物种群!$A$3:INDEX(生物种群!$A:$A,COUNTA(生物种群!$A:$A)),),))</f>
        <v/>
      </c>
      <c r="L792" s="46" t="str">
        <f t="shared" si="42"/>
        <v/>
      </c>
      <c r="M792" s="47" t="str">
        <f>IF(L792="","",ROUND((L792)/VLOOKUP($F792,IF({1,0},站位样品信息!$A$3:INDEX(站位样品信息!$A:$A,COUNTA(站位样品信息!$A:$A)+1),站位样品信息!$H$3:INDEX(站位样品信息!$H:$H,COUNTA(站位样品信息!$H:$H)+1)),2,0),2))</f>
        <v/>
      </c>
      <c r="O792" s="49"/>
      <c r="P792" s="53" t="str">
        <f t="shared" si="40"/>
        <v/>
      </c>
      <c r="Q792" s="53" t="str">
        <f t="shared" si="41"/>
        <v/>
      </c>
    </row>
    <row r="793" spans="1:17" ht="19.5" customHeight="1">
      <c r="A793" s="38"/>
      <c r="B793" s="38"/>
      <c r="C793" s="38"/>
      <c r="D793" s="37"/>
      <c r="E793" s="37"/>
      <c r="F793" s="37"/>
      <c r="G793" s="37" t="str">
        <f>IF(F793="","",INDEX(站位样品信息!$B$3:INDEX(站位样品信息!$B:$B,COUNTA(站位样品信息!$B:$B)+1),MATCH($F793,站位样品信息!$A$3:INDEX(站位样品信息!$A:$A,COUNTA(站位样品信息!$A:$A)+1),),))</f>
        <v/>
      </c>
      <c r="H793" s="55" t="str">
        <f>IF(OR(A793&lt;&gt;"",B793&lt;&gt;"",C793&lt;&gt;""),IF($C793&lt;&gt;0,INDEX(生物种群!$A$3:INDEX(生物种群!$A:$A,COUNTA(生物种群!$A:$A)),MATCH($C793,生物种群!$F$3:INDEX(生物种群!$F:$F,COUNTA(生物种群!$F:$F)),),),IF($A793&lt;&gt;0,INDEX(生物种群!$A$3:INDEX(生物种群!$A:$A,COUNTA(生物种群!$A:$A)),MATCH($A793,生物种群!$C$3:INDEX(生物种群!$C:$C,COUNTA(生物种群!$C:$C)),),),INDEX(生物种群!$A$3:INDEX(生物种群!$A:$A,COUNTA(生物种群!$A:$A)),MATCH($B793,生物种群!$D$3:INDEX(生物种群!$D:$D,COUNTA(生物种群!$D:$D)),),))),"")</f>
        <v/>
      </c>
      <c r="I793" s="56" t="str">
        <f>IF(H793="","",INDEX(生物种群!$B$3:INDEX(生物种群!$B:$B,COUNTA(生物种群!$B:$B)),MATCH($H793,生物种群!$A$3:INDEX(生物种群!$A:$A,COUNTA(生物种群!$A:$A)),),))</f>
        <v/>
      </c>
      <c r="J793" s="55" t="str">
        <f>IF(H793="","",INDEX(生物种群!$I$3:INDEX(生物种群!$I:$I,COUNTA(生物种群!$I:$I)),MATCH($H793,生物种群!$A$3:INDEX(生物种群!$A:$A,COUNTA(生物种群!$A:$A)),),))</f>
        <v/>
      </c>
      <c r="K793" s="55" t="str">
        <f>IF(H793="","",INDEX(生物种群!$E$3:INDEX(生物种群!$E:$E,COUNTA(生物种群!$E:$E)),MATCH($H793,生物种群!$A$3:INDEX(生物种群!$A:$A,COUNTA(生物种群!$A:$A)),),))</f>
        <v/>
      </c>
      <c r="L793" s="46" t="str">
        <f t="shared" si="42"/>
        <v/>
      </c>
      <c r="M793" s="47" t="str">
        <f>IF(L793="","",ROUND((L793)/VLOOKUP($F793,IF({1,0},站位样品信息!$A$3:INDEX(站位样品信息!$A:$A,COUNTA(站位样品信息!$A:$A)+1),站位样品信息!$H$3:INDEX(站位样品信息!$H:$H,COUNTA(站位样品信息!$H:$H)+1)),2,0),2))</f>
        <v/>
      </c>
      <c r="O793" s="49"/>
      <c r="P793" s="53" t="str">
        <f t="shared" si="40"/>
        <v/>
      </c>
      <c r="Q793" s="53" t="str">
        <f t="shared" si="41"/>
        <v/>
      </c>
    </row>
    <row r="794" spans="1:17" ht="19.5" customHeight="1">
      <c r="A794" s="38"/>
      <c r="B794" s="38"/>
      <c r="C794" s="38"/>
      <c r="D794" s="37"/>
      <c r="E794" s="37"/>
      <c r="F794" s="37"/>
      <c r="G794" s="37" t="str">
        <f>IF(F794="","",INDEX(站位样品信息!$B$3:INDEX(站位样品信息!$B:$B,COUNTA(站位样品信息!$B:$B)+1),MATCH($F794,站位样品信息!$A$3:INDEX(站位样品信息!$A:$A,COUNTA(站位样品信息!$A:$A)+1),),))</f>
        <v/>
      </c>
      <c r="H794" s="55" t="str">
        <f>IF(OR(A794&lt;&gt;"",B794&lt;&gt;"",C794&lt;&gt;""),IF($C794&lt;&gt;0,INDEX(生物种群!$A$3:INDEX(生物种群!$A:$A,COUNTA(生物种群!$A:$A)),MATCH($C794,生物种群!$F$3:INDEX(生物种群!$F:$F,COUNTA(生物种群!$F:$F)),),),IF($A794&lt;&gt;0,INDEX(生物种群!$A$3:INDEX(生物种群!$A:$A,COUNTA(生物种群!$A:$A)),MATCH($A794,生物种群!$C$3:INDEX(生物种群!$C:$C,COUNTA(生物种群!$C:$C)),),),INDEX(生物种群!$A$3:INDEX(生物种群!$A:$A,COUNTA(生物种群!$A:$A)),MATCH($B794,生物种群!$D$3:INDEX(生物种群!$D:$D,COUNTA(生物种群!$D:$D)),),))),"")</f>
        <v/>
      </c>
      <c r="I794" s="56" t="str">
        <f>IF(H794="","",INDEX(生物种群!$B$3:INDEX(生物种群!$B:$B,COUNTA(生物种群!$B:$B)),MATCH($H794,生物种群!$A$3:INDEX(生物种群!$A:$A,COUNTA(生物种群!$A:$A)),),))</f>
        <v/>
      </c>
      <c r="J794" s="55" t="str">
        <f>IF(H794="","",INDEX(生物种群!$I$3:INDEX(生物种群!$I:$I,COUNTA(生物种群!$I:$I)),MATCH($H794,生物种群!$A$3:INDEX(生物种群!$A:$A,COUNTA(生物种群!$A:$A)),),))</f>
        <v/>
      </c>
      <c r="K794" s="55" t="str">
        <f>IF(H794="","",INDEX(生物种群!$E$3:INDEX(生物种群!$E:$E,COUNTA(生物种群!$E:$E)),MATCH($H794,生物种群!$A$3:INDEX(生物种群!$A:$A,COUNTA(生物种群!$A:$A)),),))</f>
        <v/>
      </c>
      <c r="L794" s="46" t="str">
        <f t="shared" si="42"/>
        <v/>
      </c>
      <c r="M794" s="47" t="str">
        <f>IF(L794="","",ROUND((L794)/VLOOKUP($F794,IF({1,0},站位样品信息!$A$3:INDEX(站位样品信息!$A:$A,COUNTA(站位样品信息!$A:$A)+1),站位样品信息!$H$3:INDEX(站位样品信息!$H:$H,COUNTA(站位样品信息!$H:$H)+1)),2,0),2))</f>
        <v/>
      </c>
      <c r="O794" s="49"/>
      <c r="P794" s="53" t="str">
        <f t="shared" si="40"/>
        <v/>
      </c>
      <c r="Q794" s="53" t="str">
        <f t="shared" si="41"/>
        <v/>
      </c>
    </row>
    <row r="795" spans="1:17" ht="19.5" customHeight="1">
      <c r="A795" s="38"/>
      <c r="B795" s="38"/>
      <c r="C795" s="38"/>
      <c r="D795" s="37"/>
      <c r="E795" s="37"/>
      <c r="F795" s="37"/>
      <c r="G795" s="37" t="str">
        <f>IF(F795="","",INDEX(站位样品信息!$B$3:INDEX(站位样品信息!$B:$B,COUNTA(站位样品信息!$B:$B)+1),MATCH($F795,站位样品信息!$A$3:INDEX(站位样品信息!$A:$A,COUNTA(站位样品信息!$A:$A)+1),),))</f>
        <v/>
      </c>
      <c r="H795" s="55" t="str">
        <f>IF(OR(A795&lt;&gt;"",B795&lt;&gt;"",C795&lt;&gt;""),IF($C795&lt;&gt;0,INDEX(生物种群!$A$3:INDEX(生物种群!$A:$A,COUNTA(生物种群!$A:$A)),MATCH($C795,生物种群!$F$3:INDEX(生物种群!$F:$F,COUNTA(生物种群!$F:$F)),),),IF($A795&lt;&gt;0,INDEX(生物种群!$A$3:INDEX(生物种群!$A:$A,COUNTA(生物种群!$A:$A)),MATCH($A795,生物种群!$C$3:INDEX(生物种群!$C:$C,COUNTA(生物种群!$C:$C)),),),INDEX(生物种群!$A$3:INDEX(生物种群!$A:$A,COUNTA(生物种群!$A:$A)),MATCH($B795,生物种群!$D$3:INDEX(生物种群!$D:$D,COUNTA(生物种群!$D:$D)),),))),"")</f>
        <v/>
      </c>
      <c r="I795" s="56" t="str">
        <f>IF(H795="","",INDEX(生物种群!$B$3:INDEX(生物种群!$B:$B,COUNTA(生物种群!$B:$B)),MATCH($H795,生物种群!$A$3:INDEX(生物种群!$A:$A,COUNTA(生物种群!$A:$A)),),))</f>
        <v/>
      </c>
      <c r="J795" s="55" t="str">
        <f>IF(H795="","",INDEX(生物种群!$I$3:INDEX(生物种群!$I:$I,COUNTA(生物种群!$I:$I)),MATCH($H795,生物种群!$A$3:INDEX(生物种群!$A:$A,COUNTA(生物种群!$A:$A)),),))</f>
        <v/>
      </c>
      <c r="K795" s="55" t="str">
        <f>IF(H795="","",INDEX(生物种群!$E$3:INDEX(生物种群!$E:$E,COUNTA(生物种群!$E:$E)),MATCH($H795,生物种群!$A$3:INDEX(生物种群!$A:$A,COUNTA(生物种群!$A:$A)),),))</f>
        <v/>
      </c>
      <c r="L795" s="46" t="str">
        <f t="shared" si="42"/>
        <v/>
      </c>
      <c r="M795" s="47" t="str">
        <f>IF(L795="","",ROUND((L795)/VLOOKUP($F795,IF({1,0},站位样品信息!$A$3:INDEX(站位样品信息!$A:$A,COUNTA(站位样品信息!$A:$A)+1),站位样品信息!$H$3:INDEX(站位样品信息!$H:$H,COUNTA(站位样品信息!$H:$H)+1)),2,0),2))</f>
        <v/>
      </c>
      <c r="O795" s="49"/>
      <c r="P795" s="53" t="str">
        <f t="shared" si="40"/>
        <v/>
      </c>
      <c r="Q795" s="53" t="str">
        <f t="shared" si="41"/>
        <v/>
      </c>
    </row>
    <row r="796" spans="1:17" ht="19.5" customHeight="1">
      <c r="A796" s="38"/>
      <c r="B796" s="38"/>
      <c r="C796" s="38"/>
      <c r="D796" s="37"/>
      <c r="E796" s="37"/>
      <c r="F796" s="37"/>
      <c r="G796" s="37" t="str">
        <f>IF(F796="","",INDEX(站位样品信息!$B$3:INDEX(站位样品信息!$B:$B,COUNTA(站位样品信息!$B:$B)+1),MATCH($F796,站位样品信息!$A$3:INDEX(站位样品信息!$A:$A,COUNTA(站位样品信息!$A:$A)+1),),))</f>
        <v/>
      </c>
      <c r="H796" s="55" t="str">
        <f>IF(OR(A796&lt;&gt;"",B796&lt;&gt;"",C796&lt;&gt;""),IF($C796&lt;&gt;0,INDEX(生物种群!$A$3:INDEX(生物种群!$A:$A,COUNTA(生物种群!$A:$A)),MATCH($C796,生物种群!$F$3:INDEX(生物种群!$F:$F,COUNTA(生物种群!$F:$F)),),),IF($A796&lt;&gt;0,INDEX(生物种群!$A$3:INDEX(生物种群!$A:$A,COUNTA(生物种群!$A:$A)),MATCH($A796,生物种群!$C$3:INDEX(生物种群!$C:$C,COUNTA(生物种群!$C:$C)),),),INDEX(生物种群!$A$3:INDEX(生物种群!$A:$A,COUNTA(生物种群!$A:$A)),MATCH($B796,生物种群!$D$3:INDEX(生物种群!$D:$D,COUNTA(生物种群!$D:$D)),),))),"")</f>
        <v/>
      </c>
      <c r="I796" s="56" t="str">
        <f>IF(H796="","",INDEX(生物种群!$B$3:INDEX(生物种群!$B:$B,COUNTA(生物种群!$B:$B)),MATCH($H796,生物种群!$A$3:INDEX(生物种群!$A:$A,COUNTA(生物种群!$A:$A)),),))</f>
        <v/>
      </c>
      <c r="J796" s="55" t="str">
        <f>IF(H796="","",INDEX(生物种群!$I$3:INDEX(生物种群!$I:$I,COUNTA(生物种群!$I:$I)),MATCH($H796,生物种群!$A$3:INDEX(生物种群!$A:$A,COUNTA(生物种群!$A:$A)),),))</f>
        <v/>
      </c>
      <c r="K796" s="55" t="str">
        <f>IF(H796="","",INDEX(生物种群!$E$3:INDEX(生物种群!$E:$E,COUNTA(生物种群!$E:$E)),MATCH($H796,生物种群!$A$3:INDEX(生物种群!$A:$A,COUNTA(生物种群!$A:$A)),),))</f>
        <v/>
      </c>
      <c r="L796" s="46" t="str">
        <f t="shared" si="42"/>
        <v/>
      </c>
      <c r="M796" s="47" t="str">
        <f>IF(L796="","",ROUND((L796)/VLOOKUP($F796,IF({1,0},站位样品信息!$A$3:INDEX(站位样品信息!$A:$A,COUNTA(站位样品信息!$A:$A)+1),站位样品信息!$H$3:INDEX(站位样品信息!$H:$H,COUNTA(站位样品信息!$H:$H)+1)),2,0),2))</f>
        <v/>
      </c>
      <c r="O796" s="49"/>
      <c r="P796" s="53" t="str">
        <f t="shared" si="40"/>
        <v/>
      </c>
      <c r="Q796" s="53" t="str">
        <f t="shared" si="41"/>
        <v/>
      </c>
    </row>
    <row r="797" spans="1:17" ht="19.5" customHeight="1">
      <c r="A797" s="38"/>
      <c r="B797" s="38"/>
      <c r="C797" s="38"/>
      <c r="D797" s="37"/>
      <c r="E797" s="37"/>
      <c r="F797" s="37"/>
      <c r="G797" s="37" t="str">
        <f>IF(F797="","",INDEX(站位样品信息!$B$3:INDEX(站位样品信息!$B:$B,COUNTA(站位样品信息!$B:$B)+1),MATCH($F797,站位样品信息!$A$3:INDEX(站位样品信息!$A:$A,COUNTA(站位样品信息!$A:$A)+1),),))</f>
        <v/>
      </c>
      <c r="H797" s="55" t="str">
        <f>IF(OR(A797&lt;&gt;"",B797&lt;&gt;"",C797&lt;&gt;""),IF($C797&lt;&gt;0,INDEX(生物种群!$A$3:INDEX(生物种群!$A:$A,COUNTA(生物种群!$A:$A)),MATCH($C797,生物种群!$F$3:INDEX(生物种群!$F:$F,COUNTA(生物种群!$F:$F)),),),IF($A797&lt;&gt;0,INDEX(生物种群!$A$3:INDEX(生物种群!$A:$A,COUNTA(生物种群!$A:$A)),MATCH($A797,生物种群!$C$3:INDEX(生物种群!$C:$C,COUNTA(生物种群!$C:$C)),),),INDEX(生物种群!$A$3:INDEX(生物种群!$A:$A,COUNTA(生物种群!$A:$A)),MATCH($B797,生物种群!$D$3:INDEX(生物种群!$D:$D,COUNTA(生物种群!$D:$D)),),))),"")</f>
        <v/>
      </c>
      <c r="I797" s="56" t="str">
        <f>IF(H797="","",INDEX(生物种群!$B$3:INDEX(生物种群!$B:$B,COUNTA(生物种群!$B:$B)),MATCH($H797,生物种群!$A$3:INDEX(生物种群!$A:$A,COUNTA(生物种群!$A:$A)),),))</f>
        <v/>
      </c>
      <c r="J797" s="55" t="str">
        <f>IF(H797="","",INDEX(生物种群!$I$3:INDEX(生物种群!$I:$I,COUNTA(生物种群!$I:$I)),MATCH($H797,生物种群!$A$3:INDEX(生物种群!$A:$A,COUNTA(生物种群!$A:$A)),),))</f>
        <v/>
      </c>
      <c r="K797" s="55" t="str">
        <f>IF(H797="","",INDEX(生物种群!$E$3:INDEX(生物种群!$E:$E,COUNTA(生物种群!$E:$E)),MATCH($H797,生物种群!$A$3:INDEX(生物种群!$A:$A,COUNTA(生物种群!$A:$A)),),))</f>
        <v/>
      </c>
      <c r="L797" s="46" t="str">
        <f t="shared" si="42"/>
        <v/>
      </c>
      <c r="M797" s="47" t="str">
        <f>IF(L797="","",ROUND((L797)/VLOOKUP($F797,IF({1,0},站位样品信息!$A$3:INDEX(站位样品信息!$A:$A,COUNTA(站位样品信息!$A:$A)+1),站位样品信息!$H$3:INDEX(站位样品信息!$H:$H,COUNTA(站位样品信息!$H:$H)+1)),2,0),2))</f>
        <v/>
      </c>
      <c r="O797" s="49"/>
      <c r="P797" s="53" t="str">
        <f t="shared" si="40"/>
        <v/>
      </c>
      <c r="Q797" s="53" t="str">
        <f t="shared" si="41"/>
        <v/>
      </c>
    </row>
    <row r="798" spans="1:17" ht="19.5" customHeight="1">
      <c r="A798" s="38"/>
      <c r="B798" s="38"/>
      <c r="C798" s="38"/>
      <c r="D798" s="37"/>
      <c r="E798" s="37"/>
      <c r="F798" s="37"/>
      <c r="G798" s="37" t="str">
        <f>IF(F798="","",INDEX(站位样品信息!$B$3:INDEX(站位样品信息!$B:$B,COUNTA(站位样品信息!$B:$B)+1),MATCH($F798,站位样品信息!$A$3:INDEX(站位样品信息!$A:$A,COUNTA(站位样品信息!$A:$A)+1),),))</f>
        <v/>
      </c>
      <c r="H798" s="55" t="str">
        <f>IF(OR(A798&lt;&gt;"",B798&lt;&gt;"",C798&lt;&gt;""),IF($C798&lt;&gt;0,INDEX(生物种群!$A$3:INDEX(生物种群!$A:$A,COUNTA(生物种群!$A:$A)),MATCH($C798,生物种群!$F$3:INDEX(生物种群!$F:$F,COUNTA(生物种群!$F:$F)),),),IF($A798&lt;&gt;0,INDEX(生物种群!$A$3:INDEX(生物种群!$A:$A,COUNTA(生物种群!$A:$A)),MATCH($A798,生物种群!$C$3:INDEX(生物种群!$C:$C,COUNTA(生物种群!$C:$C)),),),INDEX(生物种群!$A$3:INDEX(生物种群!$A:$A,COUNTA(生物种群!$A:$A)),MATCH($B798,生物种群!$D$3:INDEX(生物种群!$D:$D,COUNTA(生物种群!$D:$D)),),))),"")</f>
        <v/>
      </c>
      <c r="I798" s="56" t="str">
        <f>IF(H798="","",INDEX(生物种群!$B$3:INDEX(生物种群!$B:$B,COUNTA(生物种群!$B:$B)),MATCH($H798,生物种群!$A$3:INDEX(生物种群!$A:$A,COUNTA(生物种群!$A:$A)),),))</f>
        <v/>
      </c>
      <c r="J798" s="55" t="str">
        <f>IF(H798="","",INDEX(生物种群!$I$3:INDEX(生物种群!$I:$I,COUNTA(生物种群!$I:$I)),MATCH($H798,生物种群!$A$3:INDEX(生物种群!$A:$A,COUNTA(生物种群!$A:$A)),),))</f>
        <v/>
      </c>
      <c r="K798" s="55" t="str">
        <f>IF(H798="","",INDEX(生物种群!$E$3:INDEX(生物种群!$E:$E,COUNTA(生物种群!$E:$E)),MATCH($H798,生物种群!$A$3:INDEX(生物种群!$A:$A,COUNTA(生物种群!$A:$A)),),))</f>
        <v/>
      </c>
      <c r="L798" s="46" t="str">
        <f t="shared" si="42"/>
        <v/>
      </c>
      <c r="M798" s="47" t="str">
        <f>IF(L798="","",ROUND((L798)/VLOOKUP($F798,IF({1,0},站位样品信息!$A$3:INDEX(站位样品信息!$A:$A,COUNTA(站位样品信息!$A:$A)+1),站位样品信息!$H$3:INDEX(站位样品信息!$H:$H,COUNTA(站位样品信息!$H:$H)+1)),2,0),2))</f>
        <v/>
      </c>
      <c r="O798" s="49"/>
      <c r="P798" s="53" t="str">
        <f t="shared" si="40"/>
        <v/>
      </c>
      <c r="Q798" s="53" t="str">
        <f t="shared" si="41"/>
        <v/>
      </c>
    </row>
    <row r="799" spans="1:17" ht="19.5" customHeight="1">
      <c r="A799" s="38"/>
      <c r="B799" s="38"/>
      <c r="C799" s="38"/>
      <c r="D799" s="37"/>
      <c r="E799" s="37"/>
      <c r="F799" s="37"/>
      <c r="G799" s="37" t="str">
        <f>IF(F799="","",INDEX(站位样品信息!$B$3:INDEX(站位样品信息!$B:$B,COUNTA(站位样品信息!$B:$B)+1),MATCH($F799,站位样品信息!$A$3:INDEX(站位样品信息!$A:$A,COUNTA(站位样品信息!$A:$A)+1),),))</f>
        <v/>
      </c>
      <c r="H799" s="55" t="str">
        <f>IF(OR(A799&lt;&gt;"",B799&lt;&gt;"",C799&lt;&gt;""),IF($C799&lt;&gt;0,INDEX(生物种群!$A$3:INDEX(生物种群!$A:$A,COUNTA(生物种群!$A:$A)),MATCH($C799,生物种群!$F$3:INDEX(生物种群!$F:$F,COUNTA(生物种群!$F:$F)),),),IF($A799&lt;&gt;0,INDEX(生物种群!$A$3:INDEX(生物种群!$A:$A,COUNTA(生物种群!$A:$A)),MATCH($A799,生物种群!$C$3:INDEX(生物种群!$C:$C,COUNTA(生物种群!$C:$C)),),),INDEX(生物种群!$A$3:INDEX(生物种群!$A:$A,COUNTA(生物种群!$A:$A)),MATCH($B799,生物种群!$D$3:INDEX(生物种群!$D:$D,COUNTA(生物种群!$D:$D)),),))),"")</f>
        <v/>
      </c>
      <c r="I799" s="56" t="str">
        <f>IF(H799="","",INDEX(生物种群!$B$3:INDEX(生物种群!$B:$B,COUNTA(生物种群!$B:$B)),MATCH($H799,生物种群!$A$3:INDEX(生物种群!$A:$A,COUNTA(生物种群!$A:$A)),),))</f>
        <v/>
      </c>
      <c r="J799" s="55" t="str">
        <f>IF(H799="","",INDEX(生物种群!$I$3:INDEX(生物种群!$I:$I,COUNTA(生物种群!$I:$I)),MATCH($H799,生物种群!$A$3:INDEX(生物种群!$A:$A,COUNTA(生物种群!$A:$A)),),))</f>
        <v/>
      </c>
      <c r="K799" s="55" t="str">
        <f>IF(H799="","",INDEX(生物种群!$E$3:INDEX(生物种群!$E:$E,COUNTA(生物种群!$E:$E)),MATCH($H799,生物种群!$A$3:INDEX(生物种群!$A:$A,COUNTA(生物种群!$A:$A)),),))</f>
        <v/>
      </c>
      <c r="L799" s="46" t="str">
        <f t="shared" si="42"/>
        <v/>
      </c>
      <c r="M799" s="47" t="str">
        <f>IF(L799="","",ROUND((L799)/VLOOKUP($F799,IF({1,0},站位样品信息!$A$3:INDEX(站位样品信息!$A:$A,COUNTA(站位样品信息!$A:$A)+1),站位样品信息!$H$3:INDEX(站位样品信息!$H:$H,COUNTA(站位样品信息!$H:$H)+1)),2,0),2))</f>
        <v/>
      </c>
      <c r="O799" s="49"/>
      <c r="P799" s="53" t="str">
        <f t="shared" si="40"/>
        <v/>
      </c>
      <c r="Q799" s="53" t="str">
        <f t="shared" si="41"/>
        <v/>
      </c>
    </row>
    <row r="800" spans="1:17" ht="19.5" customHeight="1">
      <c r="A800" s="38"/>
      <c r="B800" s="38"/>
      <c r="C800" s="38"/>
      <c r="D800" s="37"/>
      <c r="E800" s="37"/>
      <c r="F800" s="37"/>
      <c r="G800" s="37" t="str">
        <f>IF(F800="","",INDEX(站位样品信息!$B$3:INDEX(站位样品信息!$B:$B,COUNTA(站位样品信息!$B:$B)+1),MATCH($F800,站位样品信息!$A$3:INDEX(站位样品信息!$A:$A,COUNTA(站位样品信息!$A:$A)+1),),))</f>
        <v/>
      </c>
      <c r="H800" s="55" t="str">
        <f>IF(OR(A800&lt;&gt;"",B800&lt;&gt;"",C800&lt;&gt;""),IF($C800&lt;&gt;0,INDEX(生物种群!$A$3:INDEX(生物种群!$A:$A,COUNTA(生物种群!$A:$A)),MATCH($C800,生物种群!$F$3:INDEX(生物种群!$F:$F,COUNTA(生物种群!$F:$F)),),),IF($A800&lt;&gt;0,INDEX(生物种群!$A$3:INDEX(生物种群!$A:$A,COUNTA(生物种群!$A:$A)),MATCH($A800,生物种群!$C$3:INDEX(生物种群!$C:$C,COUNTA(生物种群!$C:$C)),),),INDEX(生物种群!$A$3:INDEX(生物种群!$A:$A,COUNTA(生物种群!$A:$A)),MATCH($B800,生物种群!$D$3:INDEX(生物种群!$D:$D,COUNTA(生物种群!$D:$D)),),))),"")</f>
        <v/>
      </c>
      <c r="I800" s="56" t="str">
        <f>IF(H800="","",INDEX(生物种群!$B$3:INDEX(生物种群!$B:$B,COUNTA(生物种群!$B:$B)),MATCH($H800,生物种群!$A$3:INDEX(生物种群!$A:$A,COUNTA(生物种群!$A:$A)),),))</f>
        <v/>
      </c>
      <c r="J800" s="55" t="str">
        <f>IF(H800="","",INDEX(生物种群!$I$3:INDEX(生物种群!$I:$I,COUNTA(生物种群!$I:$I)),MATCH($H800,生物种群!$A$3:INDEX(生物种群!$A:$A,COUNTA(生物种群!$A:$A)),),))</f>
        <v/>
      </c>
      <c r="K800" s="55" t="str">
        <f>IF(H800="","",INDEX(生物种群!$E$3:INDEX(生物种群!$E:$E,COUNTA(生物种群!$E:$E)),MATCH($H800,生物种群!$A$3:INDEX(生物种群!$A:$A,COUNTA(生物种群!$A:$A)),),))</f>
        <v/>
      </c>
      <c r="L800" s="46" t="str">
        <f t="shared" si="42"/>
        <v/>
      </c>
      <c r="M800" s="47" t="str">
        <f>IF(L800="","",ROUND((L800)/VLOOKUP($F800,IF({1,0},站位样品信息!$A$3:INDEX(站位样品信息!$A:$A,COUNTA(站位样品信息!$A:$A)+1),站位样品信息!$H$3:INDEX(站位样品信息!$H:$H,COUNTA(站位样品信息!$H:$H)+1)),2,0),2))</f>
        <v/>
      </c>
      <c r="O800" s="49"/>
      <c r="P800" s="53" t="str">
        <f t="shared" si="40"/>
        <v/>
      </c>
      <c r="Q800" s="53" t="str">
        <f t="shared" si="41"/>
        <v/>
      </c>
    </row>
    <row r="801" spans="1:17" ht="19.5" customHeight="1">
      <c r="A801" s="38"/>
      <c r="B801" s="38"/>
      <c r="C801" s="38"/>
      <c r="D801" s="37"/>
      <c r="E801" s="37"/>
      <c r="F801" s="37"/>
      <c r="G801" s="37" t="str">
        <f>IF(F801="","",INDEX(站位样品信息!$B$3:INDEX(站位样品信息!$B:$B,COUNTA(站位样品信息!$B:$B)+1),MATCH($F801,站位样品信息!$A$3:INDEX(站位样品信息!$A:$A,COUNTA(站位样品信息!$A:$A)+1),),))</f>
        <v/>
      </c>
      <c r="H801" s="55" t="str">
        <f>IF(OR(A801&lt;&gt;"",B801&lt;&gt;"",C801&lt;&gt;""),IF($C801&lt;&gt;0,INDEX(生物种群!$A$3:INDEX(生物种群!$A:$A,COUNTA(生物种群!$A:$A)),MATCH($C801,生物种群!$F$3:INDEX(生物种群!$F:$F,COUNTA(生物种群!$F:$F)),),),IF($A801&lt;&gt;0,INDEX(生物种群!$A$3:INDEX(生物种群!$A:$A,COUNTA(生物种群!$A:$A)),MATCH($A801,生物种群!$C$3:INDEX(生物种群!$C:$C,COUNTA(生物种群!$C:$C)),),),INDEX(生物种群!$A$3:INDEX(生物种群!$A:$A,COUNTA(生物种群!$A:$A)),MATCH($B801,生物种群!$D$3:INDEX(生物种群!$D:$D,COUNTA(生物种群!$D:$D)),),))),"")</f>
        <v/>
      </c>
      <c r="I801" s="56" t="str">
        <f>IF(H801="","",INDEX(生物种群!$B$3:INDEX(生物种群!$B:$B,COUNTA(生物种群!$B:$B)),MATCH($H801,生物种群!$A$3:INDEX(生物种群!$A:$A,COUNTA(生物种群!$A:$A)),),))</f>
        <v/>
      </c>
      <c r="J801" s="55" t="str">
        <f>IF(H801="","",INDEX(生物种群!$I$3:INDEX(生物种群!$I:$I,COUNTA(生物种群!$I:$I)),MATCH($H801,生物种群!$A$3:INDEX(生物种群!$A:$A,COUNTA(生物种群!$A:$A)),),))</f>
        <v/>
      </c>
      <c r="K801" s="55" t="str">
        <f>IF(H801="","",INDEX(生物种群!$E$3:INDEX(生物种群!$E:$E,COUNTA(生物种群!$E:$E)),MATCH($H801,生物种群!$A$3:INDEX(生物种群!$A:$A,COUNTA(生物种群!$A:$A)),),))</f>
        <v/>
      </c>
      <c r="L801" s="46" t="str">
        <f t="shared" si="42"/>
        <v/>
      </c>
      <c r="M801" s="47" t="str">
        <f>IF(L801="","",ROUND((L801)/VLOOKUP($F801,IF({1,0},站位样品信息!$A$3:INDEX(站位样品信息!$A:$A,COUNTA(站位样品信息!$A:$A)+1),站位样品信息!$H$3:INDEX(站位样品信息!$H:$H,COUNTA(站位样品信息!$H:$H)+1)),2,0),2))</f>
        <v/>
      </c>
      <c r="O801" s="49"/>
      <c r="P801" s="53" t="str">
        <f t="shared" si="40"/>
        <v/>
      </c>
      <c r="Q801" s="53" t="str">
        <f t="shared" si="41"/>
        <v/>
      </c>
    </row>
    <row r="802" spans="1:17" ht="19.5" customHeight="1">
      <c r="A802" s="38"/>
      <c r="B802" s="38"/>
      <c r="C802" s="38"/>
      <c r="D802" s="37"/>
      <c r="E802" s="37"/>
      <c r="F802" s="37"/>
      <c r="G802" s="37" t="str">
        <f>IF(F802="","",INDEX(站位样品信息!$B$3:INDEX(站位样品信息!$B:$B,COUNTA(站位样品信息!$B:$B)+1),MATCH($F802,站位样品信息!$A$3:INDEX(站位样品信息!$A:$A,COUNTA(站位样品信息!$A:$A)+1),),))</f>
        <v/>
      </c>
      <c r="H802" s="55" t="str">
        <f>IF(OR(A802&lt;&gt;"",B802&lt;&gt;"",C802&lt;&gt;""),IF($C802&lt;&gt;0,INDEX(生物种群!$A$3:INDEX(生物种群!$A:$A,COUNTA(生物种群!$A:$A)),MATCH($C802,生物种群!$F$3:INDEX(生物种群!$F:$F,COUNTA(生物种群!$F:$F)),),),IF($A802&lt;&gt;0,INDEX(生物种群!$A$3:INDEX(生物种群!$A:$A,COUNTA(生物种群!$A:$A)),MATCH($A802,生物种群!$C$3:INDEX(生物种群!$C:$C,COUNTA(生物种群!$C:$C)),),),INDEX(生物种群!$A$3:INDEX(生物种群!$A:$A,COUNTA(生物种群!$A:$A)),MATCH($B802,生物种群!$D$3:INDEX(生物种群!$D:$D,COUNTA(生物种群!$D:$D)),),))),"")</f>
        <v/>
      </c>
      <c r="I802" s="56" t="str">
        <f>IF(H802="","",INDEX(生物种群!$B$3:INDEX(生物种群!$B:$B,COUNTA(生物种群!$B:$B)),MATCH($H802,生物种群!$A$3:INDEX(生物种群!$A:$A,COUNTA(生物种群!$A:$A)),),))</f>
        <v/>
      </c>
      <c r="J802" s="55" t="str">
        <f>IF(H802="","",INDEX(生物种群!$I$3:INDEX(生物种群!$I:$I,COUNTA(生物种群!$I:$I)),MATCH($H802,生物种群!$A$3:INDEX(生物种群!$A:$A,COUNTA(生物种群!$A:$A)),),))</f>
        <v/>
      </c>
      <c r="K802" s="55" t="str">
        <f>IF(H802="","",INDEX(生物种群!$E$3:INDEX(生物种群!$E:$E,COUNTA(生物种群!$E:$E)),MATCH($H802,生物种群!$A$3:INDEX(生物种群!$A:$A,COUNTA(生物种群!$A:$A)),),))</f>
        <v/>
      </c>
      <c r="L802" s="46" t="str">
        <f t="shared" si="42"/>
        <v/>
      </c>
      <c r="M802" s="47" t="str">
        <f>IF(L802="","",ROUND((L802)/VLOOKUP($F802,IF({1,0},站位样品信息!$A$3:INDEX(站位样品信息!$A:$A,COUNTA(站位样品信息!$A:$A)+1),站位样品信息!$H$3:INDEX(站位样品信息!$H:$H,COUNTA(站位样品信息!$H:$H)+1)),2,0),2))</f>
        <v/>
      </c>
      <c r="O802" s="49"/>
      <c r="P802" s="53" t="str">
        <f t="shared" si="40"/>
        <v/>
      </c>
      <c r="Q802" s="53" t="str">
        <f t="shared" si="41"/>
        <v/>
      </c>
    </row>
    <row r="803" spans="1:17" ht="19.5" customHeight="1">
      <c r="A803" s="38"/>
      <c r="B803" s="38"/>
      <c r="C803" s="38"/>
      <c r="D803" s="37"/>
      <c r="E803" s="37"/>
      <c r="F803" s="37"/>
      <c r="G803" s="37" t="str">
        <f>IF(F803="","",INDEX(站位样品信息!$B$3:INDEX(站位样品信息!$B:$B,COUNTA(站位样品信息!$B:$B)+1),MATCH($F803,站位样品信息!$A$3:INDEX(站位样品信息!$A:$A,COUNTA(站位样品信息!$A:$A)+1),),))</f>
        <v/>
      </c>
      <c r="H803" s="55" t="str">
        <f>IF(OR(A803&lt;&gt;"",B803&lt;&gt;"",C803&lt;&gt;""),IF($C803&lt;&gt;0,INDEX(生物种群!$A$3:INDEX(生物种群!$A:$A,COUNTA(生物种群!$A:$A)),MATCH($C803,生物种群!$F$3:INDEX(生物种群!$F:$F,COUNTA(生物种群!$F:$F)),),),IF($A803&lt;&gt;0,INDEX(生物种群!$A$3:INDEX(生物种群!$A:$A,COUNTA(生物种群!$A:$A)),MATCH($A803,生物种群!$C$3:INDEX(生物种群!$C:$C,COUNTA(生物种群!$C:$C)),),),INDEX(生物种群!$A$3:INDEX(生物种群!$A:$A,COUNTA(生物种群!$A:$A)),MATCH($B803,生物种群!$D$3:INDEX(生物种群!$D:$D,COUNTA(生物种群!$D:$D)),),))),"")</f>
        <v/>
      </c>
      <c r="I803" s="56" t="str">
        <f>IF(H803="","",INDEX(生物种群!$B$3:INDEX(生物种群!$B:$B,COUNTA(生物种群!$B:$B)),MATCH($H803,生物种群!$A$3:INDEX(生物种群!$A:$A,COUNTA(生物种群!$A:$A)),),))</f>
        <v/>
      </c>
      <c r="J803" s="55" t="str">
        <f>IF(H803="","",INDEX(生物种群!$I$3:INDEX(生物种群!$I:$I,COUNTA(生物种群!$I:$I)),MATCH($H803,生物种群!$A$3:INDEX(生物种群!$A:$A,COUNTA(生物种群!$A:$A)),),))</f>
        <v/>
      </c>
      <c r="K803" s="55" t="str">
        <f>IF(H803="","",INDEX(生物种群!$E$3:INDEX(生物种群!$E:$E,COUNTA(生物种群!$E:$E)),MATCH($H803,生物种群!$A$3:INDEX(生物种群!$A:$A,COUNTA(生物种群!$A:$A)),),))</f>
        <v/>
      </c>
      <c r="L803" s="46" t="str">
        <f t="shared" si="42"/>
        <v/>
      </c>
      <c r="M803" s="47" t="str">
        <f>IF(L803="","",ROUND((L803)/VLOOKUP($F803,IF({1,0},站位样品信息!$A$3:INDEX(站位样品信息!$A:$A,COUNTA(站位样品信息!$A:$A)+1),站位样品信息!$H$3:INDEX(站位样品信息!$H:$H,COUNTA(站位样品信息!$H:$H)+1)),2,0),2))</f>
        <v/>
      </c>
      <c r="O803" s="49"/>
      <c r="P803" s="53" t="str">
        <f t="shared" si="40"/>
        <v/>
      </c>
      <c r="Q803" s="53" t="str">
        <f t="shared" si="41"/>
        <v/>
      </c>
    </row>
    <row r="804" spans="1:17" ht="19.5" customHeight="1">
      <c r="A804" s="38"/>
      <c r="B804" s="38"/>
      <c r="C804" s="38"/>
      <c r="D804" s="37"/>
      <c r="E804" s="37"/>
      <c r="F804" s="37"/>
      <c r="G804" s="37" t="str">
        <f>IF(F804="","",INDEX(站位样品信息!$B$3:INDEX(站位样品信息!$B:$B,COUNTA(站位样品信息!$B:$B)+1),MATCH($F804,站位样品信息!$A$3:INDEX(站位样品信息!$A:$A,COUNTA(站位样品信息!$A:$A)+1),),))</f>
        <v/>
      </c>
      <c r="H804" s="55" t="str">
        <f>IF(OR(A804&lt;&gt;"",B804&lt;&gt;"",C804&lt;&gt;""),IF($C804&lt;&gt;0,INDEX(生物种群!$A$3:INDEX(生物种群!$A:$A,COUNTA(生物种群!$A:$A)),MATCH($C804,生物种群!$F$3:INDEX(生物种群!$F:$F,COUNTA(生物种群!$F:$F)),),),IF($A804&lt;&gt;0,INDEX(生物种群!$A$3:INDEX(生物种群!$A:$A,COUNTA(生物种群!$A:$A)),MATCH($A804,生物种群!$C$3:INDEX(生物种群!$C:$C,COUNTA(生物种群!$C:$C)),),),INDEX(生物种群!$A$3:INDEX(生物种群!$A:$A,COUNTA(生物种群!$A:$A)),MATCH($B804,生物种群!$D$3:INDEX(生物种群!$D:$D,COUNTA(生物种群!$D:$D)),),))),"")</f>
        <v/>
      </c>
      <c r="I804" s="56" t="str">
        <f>IF(H804="","",INDEX(生物种群!$B$3:INDEX(生物种群!$B:$B,COUNTA(生物种群!$B:$B)),MATCH($H804,生物种群!$A$3:INDEX(生物种群!$A:$A,COUNTA(生物种群!$A:$A)),),))</f>
        <v/>
      </c>
      <c r="J804" s="55" t="str">
        <f>IF(H804="","",INDEX(生物种群!$I$3:INDEX(生物种群!$I:$I,COUNTA(生物种群!$I:$I)),MATCH($H804,生物种群!$A$3:INDEX(生物种群!$A:$A,COUNTA(生物种群!$A:$A)),),))</f>
        <v/>
      </c>
      <c r="K804" s="55" t="str">
        <f>IF(H804="","",INDEX(生物种群!$E$3:INDEX(生物种群!$E:$E,COUNTA(生物种群!$E:$E)),MATCH($H804,生物种群!$A$3:INDEX(生物种群!$A:$A,COUNTA(生物种群!$A:$A)),),))</f>
        <v/>
      </c>
      <c r="L804" s="46" t="str">
        <f t="shared" si="42"/>
        <v/>
      </c>
      <c r="M804" s="47" t="str">
        <f>IF(L804="","",ROUND((L804)/VLOOKUP($F804,IF({1,0},站位样品信息!$A$3:INDEX(站位样品信息!$A:$A,COUNTA(站位样品信息!$A:$A)+1),站位样品信息!$H$3:INDEX(站位样品信息!$H:$H,COUNTA(站位样品信息!$H:$H)+1)),2,0),2))</f>
        <v/>
      </c>
      <c r="O804" s="49"/>
      <c r="P804" s="53" t="str">
        <f t="shared" si="40"/>
        <v/>
      </c>
      <c r="Q804" s="53" t="str">
        <f t="shared" si="41"/>
        <v/>
      </c>
    </row>
    <row r="805" spans="1:17" ht="19.5" customHeight="1">
      <c r="A805" s="38"/>
      <c r="B805" s="38"/>
      <c r="C805" s="38"/>
      <c r="D805" s="37"/>
      <c r="E805" s="37"/>
      <c r="F805" s="37"/>
      <c r="G805" s="37" t="str">
        <f>IF(F805="","",INDEX(站位样品信息!$B$3:INDEX(站位样品信息!$B:$B,COUNTA(站位样品信息!$B:$B)+1),MATCH($F805,站位样品信息!$A$3:INDEX(站位样品信息!$A:$A,COUNTA(站位样品信息!$A:$A)+1),),))</f>
        <v/>
      </c>
      <c r="H805" s="55" t="str">
        <f>IF(OR(A805&lt;&gt;"",B805&lt;&gt;"",C805&lt;&gt;""),IF($C805&lt;&gt;0,INDEX(生物种群!$A$3:INDEX(生物种群!$A:$A,COUNTA(生物种群!$A:$A)),MATCH($C805,生物种群!$F$3:INDEX(生物种群!$F:$F,COUNTA(生物种群!$F:$F)),),),IF($A805&lt;&gt;0,INDEX(生物种群!$A$3:INDEX(生物种群!$A:$A,COUNTA(生物种群!$A:$A)),MATCH($A805,生物种群!$C$3:INDEX(生物种群!$C:$C,COUNTA(生物种群!$C:$C)),),),INDEX(生物种群!$A$3:INDEX(生物种群!$A:$A,COUNTA(生物种群!$A:$A)),MATCH($B805,生物种群!$D$3:INDEX(生物种群!$D:$D,COUNTA(生物种群!$D:$D)),),))),"")</f>
        <v/>
      </c>
      <c r="I805" s="56" t="str">
        <f>IF(H805="","",INDEX(生物种群!$B$3:INDEX(生物种群!$B:$B,COUNTA(生物种群!$B:$B)),MATCH($H805,生物种群!$A$3:INDEX(生物种群!$A:$A,COUNTA(生物种群!$A:$A)),),))</f>
        <v/>
      </c>
      <c r="J805" s="55" t="str">
        <f>IF(H805="","",INDEX(生物种群!$I$3:INDEX(生物种群!$I:$I,COUNTA(生物种群!$I:$I)),MATCH($H805,生物种群!$A$3:INDEX(生物种群!$A:$A,COUNTA(生物种群!$A:$A)),),))</f>
        <v/>
      </c>
      <c r="K805" s="55" t="str">
        <f>IF(H805="","",INDEX(生物种群!$E$3:INDEX(生物种群!$E:$E,COUNTA(生物种群!$E:$E)),MATCH($H805,生物种群!$A$3:INDEX(生物种群!$A:$A,COUNTA(生物种群!$A:$A)),),))</f>
        <v/>
      </c>
      <c r="L805" s="46" t="str">
        <f t="shared" si="42"/>
        <v/>
      </c>
      <c r="M805" s="47" t="str">
        <f>IF(L805="","",ROUND((L805)/VLOOKUP($F805,IF({1,0},站位样品信息!$A$3:INDEX(站位样品信息!$A:$A,COUNTA(站位样品信息!$A:$A)+1),站位样品信息!$H$3:INDEX(站位样品信息!$H:$H,COUNTA(站位样品信息!$H:$H)+1)),2,0),2))</f>
        <v/>
      </c>
      <c r="O805" s="49"/>
      <c r="P805" s="53" t="str">
        <f t="shared" si="40"/>
        <v/>
      </c>
      <c r="Q805" s="53" t="str">
        <f t="shared" si="41"/>
        <v/>
      </c>
    </row>
    <row r="806" spans="1:17" ht="19.5" customHeight="1">
      <c r="A806" s="38"/>
      <c r="B806" s="38"/>
      <c r="C806" s="38"/>
      <c r="D806" s="37"/>
      <c r="E806" s="37"/>
      <c r="F806" s="37"/>
      <c r="G806" s="37" t="str">
        <f>IF(F806="","",INDEX(站位样品信息!$B$3:INDEX(站位样品信息!$B:$B,COUNTA(站位样品信息!$B:$B)+1),MATCH($F806,站位样品信息!$A$3:INDEX(站位样品信息!$A:$A,COUNTA(站位样品信息!$A:$A)+1),),))</f>
        <v/>
      </c>
      <c r="H806" s="55" t="str">
        <f>IF(OR(A806&lt;&gt;"",B806&lt;&gt;"",C806&lt;&gt;""),IF($C806&lt;&gt;0,INDEX(生物种群!$A$3:INDEX(生物种群!$A:$A,COUNTA(生物种群!$A:$A)),MATCH($C806,生物种群!$F$3:INDEX(生物种群!$F:$F,COUNTA(生物种群!$F:$F)),),),IF($A806&lt;&gt;0,INDEX(生物种群!$A$3:INDEX(生物种群!$A:$A,COUNTA(生物种群!$A:$A)),MATCH($A806,生物种群!$C$3:INDEX(生物种群!$C:$C,COUNTA(生物种群!$C:$C)),),),INDEX(生物种群!$A$3:INDEX(生物种群!$A:$A,COUNTA(生物种群!$A:$A)),MATCH($B806,生物种群!$D$3:INDEX(生物种群!$D:$D,COUNTA(生物种群!$D:$D)),),))),"")</f>
        <v/>
      </c>
      <c r="I806" s="56" t="str">
        <f>IF(H806="","",INDEX(生物种群!$B$3:INDEX(生物种群!$B:$B,COUNTA(生物种群!$B:$B)),MATCH($H806,生物种群!$A$3:INDEX(生物种群!$A:$A,COUNTA(生物种群!$A:$A)),),))</f>
        <v/>
      </c>
      <c r="J806" s="55" t="str">
        <f>IF(H806="","",INDEX(生物种群!$I$3:INDEX(生物种群!$I:$I,COUNTA(生物种群!$I:$I)),MATCH($H806,生物种群!$A$3:INDEX(生物种群!$A:$A,COUNTA(生物种群!$A:$A)),),))</f>
        <v/>
      </c>
      <c r="K806" s="55" t="str">
        <f>IF(H806="","",INDEX(生物种群!$E$3:INDEX(生物种群!$E:$E,COUNTA(生物种群!$E:$E)),MATCH($H806,生物种群!$A$3:INDEX(生物种群!$A:$A,COUNTA(生物种群!$A:$A)),),))</f>
        <v/>
      </c>
      <c r="L806" s="46" t="str">
        <f t="shared" si="42"/>
        <v/>
      </c>
      <c r="M806" s="47" t="str">
        <f>IF(L806="","",ROUND((L806)/VLOOKUP($F806,IF({1,0},站位样品信息!$A$3:INDEX(站位样品信息!$A:$A,COUNTA(站位样品信息!$A:$A)+1),站位样品信息!$H$3:INDEX(站位样品信息!$H:$H,COUNTA(站位样品信息!$H:$H)+1)),2,0),2))</f>
        <v/>
      </c>
      <c r="O806" s="49"/>
      <c r="P806" s="53" t="str">
        <f t="shared" si="40"/>
        <v/>
      </c>
      <c r="Q806" s="53" t="str">
        <f t="shared" si="41"/>
        <v/>
      </c>
    </row>
    <row r="807" spans="1:17" ht="19.5" customHeight="1">
      <c r="A807" s="38"/>
      <c r="B807" s="38"/>
      <c r="C807" s="38"/>
      <c r="D807" s="37"/>
      <c r="E807" s="37"/>
      <c r="F807" s="37"/>
      <c r="G807" s="37" t="str">
        <f>IF(F807="","",INDEX(站位样品信息!$B$3:INDEX(站位样品信息!$B:$B,COUNTA(站位样品信息!$B:$B)+1),MATCH($F807,站位样品信息!$A$3:INDEX(站位样品信息!$A:$A,COUNTA(站位样品信息!$A:$A)+1),),))</f>
        <v/>
      </c>
      <c r="H807" s="55" t="str">
        <f>IF(OR(A807&lt;&gt;"",B807&lt;&gt;"",C807&lt;&gt;""),IF($C807&lt;&gt;0,INDEX(生物种群!$A$3:INDEX(生物种群!$A:$A,COUNTA(生物种群!$A:$A)),MATCH($C807,生物种群!$F$3:INDEX(生物种群!$F:$F,COUNTA(生物种群!$F:$F)),),),IF($A807&lt;&gt;0,INDEX(生物种群!$A$3:INDEX(生物种群!$A:$A,COUNTA(生物种群!$A:$A)),MATCH($A807,生物种群!$C$3:INDEX(生物种群!$C:$C,COUNTA(生物种群!$C:$C)),),),INDEX(生物种群!$A$3:INDEX(生物种群!$A:$A,COUNTA(生物种群!$A:$A)),MATCH($B807,生物种群!$D$3:INDEX(生物种群!$D:$D,COUNTA(生物种群!$D:$D)),),))),"")</f>
        <v/>
      </c>
      <c r="I807" s="56" t="str">
        <f>IF(H807="","",INDEX(生物种群!$B$3:INDEX(生物种群!$B:$B,COUNTA(生物种群!$B:$B)),MATCH($H807,生物种群!$A$3:INDEX(生物种群!$A:$A,COUNTA(生物种群!$A:$A)),),))</f>
        <v/>
      </c>
      <c r="J807" s="55" t="str">
        <f>IF(H807="","",INDEX(生物种群!$I$3:INDEX(生物种群!$I:$I,COUNTA(生物种群!$I:$I)),MATCH($H807,生物种群!$A$3:INDEX(生物种群!$A:$A,COUNTA(生物种群!$A:$A)),),))</f>
        <v/>
      </c>
      <c r="K807" s="55" t="str">
        <f>IF(H807="","",INDEX(生物种群!$E$3:INDEX(生物种群!$E:$E,COUNTA(生物种群!$E:$E)),MATCH($H807,生物种群!$A$3:INDEX(生物种群!$A:$A,COUNTA(生物种群!$A:$A)),),))</f>
        <v/>
      </c>
      <c r="L807" s="46" t="str">
        <f t="shared" si="42"/>
        <v/>
      </c>
      <c r="M807" s="47" t="str">
        <f>IF(L807="","",ROUND((L807)/VLOOKUP($F807,IF({1,0},站位样品信息!$A$3:INDEX(站位样品信息!$A:$A,COUNTA(站位样品信息!$A:$A)+1),站位样品信息!$H$3:INDEX(站位样品信息!$H:$H,COUNTA(站位样品信息!$H:$H)+1)),2,0),2))</f>
        <v/>
      </c>
      <c r="O807" s="49"/>
      <c r="P807" s="53" t="str">
        <f t="shared" si="40"/>
        <v/>
      </c>
      <c r="Q807" s="53" t="str">
        <f t="shared" si="41"/>
        <v/>
      </c>
    </row>
    <row r="808" spans="1:17" ht="19.5" customHeight="1">
      <c r="A808" s="38"/>
      <c r="B808" s="38"/>
      <c r="C808" s="38"/>
      <c r="D808" s="37"/>
      <c r="E808" s="37"/>
      <c r="F808" s="37"/>
      <c r="G808" s="37" t="str">
        <f>IF(F808="","",INDEX(站位样品信息!$B$3:INDEX(站位样品信息!$B:$B,COUNTA(站位样品信息!$B:$B)+1),MATCH($F808,站位样品信息!$A$3:INDEX(站位样品信息!$A:$A,COUNTA(站位样品信息!$A:$A)+1),),))</f>
        <v/>
      </c>
      <c r="H808" s="55" t="str">
        <f>IF(OR(A808&lt;&gt;"",B808&lt;&gt;"",C808&lt;&gt;""),IF($C808&lt;&gt;0,INDEX(生物种群!$A$3:INDEX(生物种群!$A:$A,COUNTA(生物种群!$A:$A)),MATCH($C808,生物种群!$F$3:INDEX(生物种群!$F:$F,COUNTA(生物种群!$F:$F)),),),IF($A808&lt;&gt;0,INDEX(生物种群!$A$3:INDEX(生物种群!$A:$A,COUNTA(生物种群!$A:$A)),MATCH($A808,生物种群!$C$3:INDEX(生物种群!$C:$C,COUNTA(生物种群!$C:$C)),),),INDEX(生物种群!$A$3:INDEX(生物种群!$A:$A,COUNTA(生物种群!$A:$A)),MATCH($B808,生物种群!$D$3:INDEX(生物种群!$D:$D,COUNTA(生物种群!$D:$D)),),))),"")</f>
        <v/>
      </c>
      <c r="I808" s="56" t="str">
        <f>IF(H808="","",INDEX(生物种群!$B$3:INDEX(生物种群!$B:$B,COUNTA(生物种群!$B:$B)),MATCH($H808,生物种群!$A$3:INDEX(生物种群!$A:$A,COUNTA(生物种群!$A:$A)),),))</f>
        <v/>
      </c>
      <c r="J808" s="55" t="str">
        <f>IF(H808="","",INDEX(生物种群!$I$3:INDEX(生物种群!$I:$I,COUNTA(生物种群!$I:$I)),MATCH($H808,生物种群!$A$3:INDEX(生物种群!$A:$A,COUNTA(生物种群!$A:$A)),),))</f>
        <v/>
      </c>
      <c r="K808" s="55" t="str">
        <f>IF(H808="","",INDEX(生物种群!$E$3:INDEX(生物种群!$E:$E,COUNTA(生物种群!$E:$E)),MATCH($H808,生物种群!$A$3:INDEX(生物种群!$A:$A,COUNTA(生物种群!$A:$A)),),))</f>
        <v/>
      </c>
      <c r="L808" s="46" t="str">
        <f t="shared" si="42"/>
        <v/>
      </c>
      <c r="M808" s="47" t="str">
        <f>IF(L808="","",ROUND((L808)/VLOOKUP($F808,IF({1,0},站位样品信息!$A$3:INDEX(站位样品信息!$A:$A,COUNTA(站位样品信息!$A:$A)+1),站位样品信息!$H$3:INDEX(站位样品信息!$H:$H,COUNTA(站位样品信息!$H:$H)+1)),2,0),2))</f>
        <v/>
      </c>
      <c r="O808" s="49"/>
      <c r="P808" s="53" t="str">
        <f t="shared" si="40"/>
        <v/>
      </c>
      <c r="Q808" s="53" t="str">
        <f t="shared" si="41"/>
        <v/>
      </c>
    </row>
    <row r="809" spans="1:17" ht="19.5" customHeight="1">
      <c r="A809" s="38"/>
      <c r="B809" s="38"/>
      <c r="C809" s="38"/>
      <c r="D809" s="37"/>
      <c r="E809" s="37"/>
      <c r="F809" s="37"/>
      <c r="G809" s="37" t="str">
        <f>IF(F809="","",INDEX(站位样品信息!$B$3:INDEX(站位样品信息!$B:$B,COUNTA(站位样品信息!$B:$B)+1),MATCH($F809,站位样品信息!$A$3:INDEX(站位样品信息!$A:$A,COUNTA(站位样品信息!$A:$A)+1),),))</f>
        <v/>
      </c>
      <c r="H809" s="55" t="str">
        <f>IF(OR(A809&lt;&gt;"",B809&lt;&gt;"",C809&lt;&gt;""),IF($C809&lt;&gt;0,INDEX(生物种群!$A$3:INDEX(生物种群!$A:$A,COUNTA(生物种群!$A:$A)),MATCH($C809,生物种群!$F$3:INDEX(生物种群!$F:$F,COUNTA(生物种群!$F:$F)),),),IF($A809&lt;&gt;0,INDEX(生物种群!$A$3:INDEX(生物种群!$A:$A,COUNTA(生物种群!$A:$A)),MATCH($A809,生物种群!$C$3:INDEX(生物种群!$C:$C,COUNTA(生物种群!$C:$C)),),),INDEX(生物种群!$A$3:INDEX(生物种群!$A:$A,COUNTA(生物种群!$A:$A)),MATCH($B809,生物种群!$D$3:INDEX(生物种群!$D:$D,COUNTA(生物种群!$D:$D)),),))),"")</f>
        <v/>
      </c>
      <c r="I809" s="56" t="str">
        <f>IF(H809="","",INDEX(生物种群!$B$3:INDEX(生物种群!$B:$B,COUNTA(生物种群!$B:$B)),MATCH($H809,生物种群!$A$3:INDEX(生物种群!$A:$A,COUNTA(生物种群!$A:$A)),),))</f>
        <v/>
      </c>
      <c r="J809" s="55" t="str">
        <f>IF(H809="","",INDEX(生物种群!$I$3:INDEX(生物种群!$I:$I,COUNTA(生物种群!$I:$I)),MATCH($H809,生物种群!$A$3:INDEX(生物种群!$A:$A,COUNTA(生物种群!$A:$A)),),))</f>
        <v/>
      </c>
      <c r="K809" s="55" t="str">
        <f>IF(H809="","",INDEX(生物种群!$E$3:INDEX(生物种群!$E:$E,COUNTA(生物种群!$E:$E)),MATCH($H809,生物种群!$A$3:INDEX(生物种群!$A:$A,COUNTA(生物种群!$A:$A)),),))</f>
        <v/>
      </c>
      <c r="L809" s="46" t="str">
        <f t="shared" si="42"/>
        <v/>
      </c>
      <c r="M809" s="47" t="str">
        <f>IF(L809="","",ROUND((L809)/VLOOKUP($F809,IF({1,0},站位样品信息!$A$3:INDEX(站位样品信息!$A:$A,COUNTA(站位样品信息!$A:$A)+1),站位样品信息!$H$3:INDEX(站位样品信息!$H:$H,COUNTA(站位样品信息!$H:$H)+1)),2,0),2))</f>
        <v/>
      </c>
      <c r="O809" s="49"/>
      <c r="P809" s="53" t="str">
        <f t="shared" si="40"/>
        <v/>
      </c>
      <c r="Q809" s="53" t="str">
        <f t="shared" si="41"/>
        <v/>
      </c>
    </row>
    <row r="810" spans="1:17" ht="19.5" customHeight="1">
      <c r="A810" s="38"/>
      <c r="B810" s="38"/>
      <c r="C810" s="38"/>
      <c r="D810" s="37"/>
      <c r="E810" s="37"/>
      <c r="F810" s="37"/>
      <c r="G810" s="37" t="str">
        <f>IF(F810="","",INDEX(站位样品信息!$B$3:INDEX(站位样品信息!$B:$B,COUNTA(站位样品信息!$B:$B)+1),MATCH($F810,站位样品信息!$A$3:INDEX(站位样品信息!$A:$A,COUNTA(站位样品信息!$A:$A)+1),),))</f>
        <v/>
      </c>
      <c r="H810" s="55" t="str">
        <f>IF(OR(A810&lt;&gt;"",B810&lt;&gt;"",C810&lt;&gt;""),IF($C810&lt;&gt;0,INDEX(生物种群!$A$3:INDEX(生物种群!$A:$A,COUNTA(生物种群!$A:$A)),MATCH($C810,生物种群!$F$3:INDEX(生物种群!$F:$F,COUNTA(生物种群!$F:$F)),),),IF($A810&lt;&gt;0,INDEX(生物种群!$A$3:INDEX(生物种群!$A:$A,COUNTA(生物种群!$A:$A)),MATCH($A810,生物种群!$C$3:INDEX(生物种群!$C:$C,COUNTA(生物种群!$C:$C)),),),INDEX(生物种群!$A$3:INDEX(生物种群!$A:$A,COUNTA(生物种群!$A:$A)),MATCH($B810,生物种群!$D$3:INDEX(生物种群!$D:$D,COUNTA(生物种群!$D:$D)),),))),"")</f>
        <v/>
      </c>
      <c r="I810" s="56" t="str">
        <f>IF(H810="","",INDEX(生物种群!$B$3:INDEX(生物种群!$B:$B,COUNTA(生物种群!$B:$B)),MATCH($H810,生物种群!$A$3:INDEX(生物种群!$A:$A,COUNTA(生物种群!$A:$A)),),))</f>
        <v/>
      </c>
      <c r="J810" s="55" t="str">
        <f>IF(H810="","",INDEX(生物种群!$I$3:INDEX(生物种群!$I:$I,COUNTA(生物种群!$I:$I)),MATCH($H810,生物种群!$A$3:INDEX(生物种群!$A:$A,COUNTA(生物种群!$A:$A)),),))</f>
        <v/>
      </c>
      <c r="K810" s="55" t="str">
        <f>IF(H810="","",INDEX(生物种群!$E$3:INDEX(生物种群!$E:$E,COUNTA(生物种群!$E:$E)),MATCH($H810,生物种群!$A$3:INDEX(生物种群!$A:$A,COUNTA(生物种群!$A:$A)),),))</f>
        <v/>
      </c>
      <c r="L810" s="46" t="str">
        <f t="shared" si="42"/>
        <v/>
      </c>
      <c r="M810" s="47" t="str">
        <f>IF(L810="","",ROUND((L810)/VLOOKUP($F810,IF({1,0},站位样品信息!$A$3:INDEX(站位样品信息!$A:$A,COUNTA(站位样品信息!$A:$A)+1),站位样品信息!$H$3:INDEX(站位样品信息!$H:$H,COUNTA(站位样品信息!$H:$H)+1)),2,0),2))</f>
        <v/>
      </c>
      <c r="O810" s="49"/>
      <c r="P810" s="53" t="str">
        <f t="shared" si="40"/>
        <v/>
      </c>
      <c r="Q810" s="53" t="str">
        <f t="shared" si="41"/>
        <v/>
      </c>
    </row>
    <row r="811" spans="1:17" ht="19.5" customHeight="1">
      <c r="A811" s="38"/>
      <c r="B811" s="38"/>
      <c r="C811" s="38"/>
      <c r="D811" s="37"/>
      <c r="E811" s="37"/>
      <c r="F811" s="37"/>
      <c r="G811" s="37" t="str">
        <f>IF(F811="","",INDEX(站位样品信息!$B$3:INDEX(站位样品信息!$B:$B,COUNTA(站位样品信息!$B:$B)+1),MATCH($F811,站位样品信息!$A$3:INDEX(站位样品信息!$A:$A,COUNTA(站位样品信息!$A:$A)+1),),))</f>
        <v/>
      </c>
      <c r="H811" s="55" t="str">
        <f>IF(OR(A811&lt;&gt;"",B811&lt;&gt;"",C811&lt;&gt;""),IF($C811&lt;&gt;0,INDEX(生物种群!$A$3:INDEX(生物种群!$A:$A,COUNTA(生物种群!$A:$A)),MATCH($C811,生物种群!$F$3:INDEX(生物种群!$F:$F,COUNTA(生物种群!$F:$F)),),),IF($A811&lt;&gt;0,INDEX(生物种群!$A$3:INDEX(生物种群!$A:$A,COUNTA(生物种群!$A:$A)),MATCH($A811,生物种群!$C$3:INDEX(生物种群!$C:$C,COUNTA(生物种群!$C:$C)),),),INDEX(生物种群!$A$3:INDEX(生物种群!$A:$A,COUNTA(生物种群!$A:$A)),MATCH($B811,生物种群!$D$3:INDEX(生物种群!$D:$D,COUNTA(生物种群!$D:$D)),),))),"")</f>
        <v/>
      </c>
      <c r="I811" s="56" t="str">
        <f>IF(H811="","",INDEX(生物种群!$B$3:INDEX(生物种群!$B:$B,COUNTA(生物种群!$B:$B)),MATCH($H811,生物种群!$A$3:INDEX(生物种群!$A:$A,COUNTA(生物种群!$A:$A)),),))</f>
        <v/>
      </c>
      <c r="J811" s="55" t="str">
        <f>IF(H811="","",INDEX(生物种群!$I$3:INDEX(生物种群!$I:$I,COUNTA(生物种群!$I:$I)),MATCH($H811,生物种群!$A$3:INDEX(生物种群!$A:$A,COUNTA(生物种群!$A:$A)),),))</f>
        <v/>
      </c>
      <c r="K811" s="55" t="str">
        <f>IF(H811="","",INDEX(生物种群!$E$3:INDEX(生物种群!$E:$E,COUNTA(生物种群!$E:$E)),MATCH($H811,生物种群!$A$3:INDEX(生物种群!$A:$A,COUNTA(生物种群!$A:$A)),),))</f>
        <v/>
      </c>
      <c r="L811" s="46" t="str">
        <f t="shared" si="42"/>
        <v/>
      </c>
      <c r="M811" s="47" t="str">
        <f>IF(L811="","",ROUND((L811)/VLOOKUP($F811,IF({1,0},站位样品信息!$A$3:INDEX(站位样品信息!$A:$A,COUNTA(站位样品信息!$A:$A)+1),站位样品信息!$H$3:INDEX(站位样品信息!$H:$H,COUNTA(站位样品信息!$H:$H)+1)),2,0),2))</f>
        <v/>
      </c>
      <c r="O811" s="49"/>
      <c r="P811" s="53" t="str">
        <f t="shared" si="40"/>
        <v/>
      </c>
      <c r="Q811" s="53" t="str">
        <f t="shared" si="41"/>
        <v/>
      </c>
    </row>
    <row r="812" spans="1:17" ht="19.5" customHeight="1">
      <c r="A812" s="38"/>
      <c r="B812" s="38"/>
      <c r="C812" s="38"/>
      <c r="D812" s="37"/>
      <c r="E812" s="37"/>
      <c r="F812" s="37"/>
      <c r="G812" s="37" t="str">
        <f>IF(F812="","",INDEX(站位样品信息!$B$3:INDEX(站位样品信息!$B:$B,COUNTA(站位样品信息!$B:$B)+1),MATCH($F812,站位样品信息!$A$3:INDEX(站位样品信息!$A:$A,COUNTA(站位样品信息!$A:$A)+1),),))</f>
        <v/>
      </c>
      <c r="H812" s="55" t="str">
        <f>IF(OR(A812&lt;&gt;"",B812&lt;&gt;"",C812&lt;&gt;""),IF($C812&lt;&gt;0,INDEX(生物种群!$A$3:INDEX(生物种群!$A:$A,COUNTA(生物种群!$A:$A)),MATCH($C812,生物种群!$F$3:INDEX(生物种群!$F:$F,COUNTA(生物种群!$F:$F)),),),IF($A812&lt;&gt;0,INDEX(生物种群!$A$3:INDEX(生物种群!$A:$A,COUNTA(生物种群!$A:$A)),MATCH($A812,生物种群!$C$3:INDEX(生物种群!$C:$C,COUNTA(生物种群!$C:$C)),),),INDEX(生物种群!$A$3:INDEX(生物种群!$A:$A,COUNTA(生物种群!$A:$A)),MATCH($B812,生物种群!$D$3:INDEX(生物种群!$D:$D,COUNTA(生物种群!$D:$D)),),))),"")</f>
        <v/>
      </c>
      <c r="I812" s="56" t="str">
        <f>IF(H812="","",INDEX(生物种群!$B$3:INDEX(生物种群!$B:$B,COUNTA(生物种群!$B:$B)),MATCH($H812,生物种群!$A$3:INDEX(生物种群!$A:$A,COUNTA(生物种群!$A:$A)),),))</f>
        <v/>
      </c>
      <c r="J812" s="55" t="str">
        <f>IF(H812="","",INDEX(生物种群!$I$3:INDEX(生物种群!$I:$I,COUNTA(生物种群!$I:$I)),MATCH($H812,生物种群!$A$3:INDEX(生物种群!$A:$A,COUNTA(生物种群!$A:$A)),),))</f>
        <v/>
      </c>
      <c r="K812" s="55" t="str">
        <f>IF(H812="","",INDEX(生物种群!$E$3:INDEX(生物种群!$E:$E,COUNTA(生物种群!$E:$E)),MATCH($H812,生物种群!$A$3:INDEX(生物种群!$A:$A,COUNTA(生物种群!$A:$A)),),))</f>
        <v/>
      </c>
      <c r="L812" s="46" t="str">
        <f t="shared" si="42"/>
        <v/>
      </c>
      <c r="M812" s="47" t="str">
        <f>IF(L812="","",ROUND((L812)/VLOOKUP($F812,IF({1,0},站位样品信息!$A$3:INDEX(站位样品信息!$A:$A,COUNTA(站位样品信息!$A:$A)+1),站位样品信息!$H$3:INDEX(站位样品信息!$H:$H,COUNTA(站位样品信息!$H:$H)+1)),2,0),2))</f>
        <v/>
      </c>
      <c r="O812" s="49"/>
      <c r="P812" s="53" t="str">
        <f t="shared" si="40"/>
        <v/>
      </c>
      <c r="Q812" s="53" t="str">
        <f t="shared" si="41"/>
        <v/>
      </c>
    </row>
    <row r="813" spans="1:17" ht="19.5" customHeight="1">
      <c r="A813" s="38"/>
      <c r="B813" s="38"/>
      <c r="C813" s="38"/>
      <c r="D813" s="37"/>
      <c r="E813" s="37"/>
      <c r="F813" s="37"/>
      <c r="G813" s="37" t="str">
        <f>IF(F813="","",INDEX(站位样品信息!$B$3:INDEX(站位样品信息!$B:$B,COUNTA(站位样品信息!$B:$B)+1),MATCH($F813,站位样品信息!$A$3:INDEX(站位样品信息!$A:$A,COUNTA(站位样品信息!$A:$A)+1),),))</f>
        <v/>
      </c>
      <c r="H813" s="55" t="str">
        <f>IF(OR(A813&lt;&gt;"",B813&lt;&gt;"",C813&lt;&gt;""),IF($C813&lt;&gt;0,INDEX(生物种群!$A$3:INDEX(生物种群!$A:$A,COUNTA(生物种群!$A:$A)),MATCH($C813,生物种群!$F$3:INDEX(生物种群!$F:$F,COUNTA(生物种群!$F:$F)),),),IF($A813&lt;&gt;0,INDEX(生物种群!$A$3:INDEX(生物种群!$A:$A,COUNTA(生物种群!$A:$A)),MATCH($A813,生物种群!$C$3:INDEX(生物种群!$C:$C,COUNTA(生物种群!$C:$C)),),),INDEX(生物种群!$A$3:INDEX(生物种群!$A:$A,COUNTA(生物种群!$A:$A)),MATCH($B813,生物种群!$D$3:INDEX(生物种群!$D:$D,COUNTA(生物种群!$D:$D)),),))),"")</f>
        <v/>
      </c>
      <c r="I813" s="56" t="str">
        <f>IF(H813="","",INDEX(生物种群!$B$3:INDEX(生物种群!$B:$B,COUNTA(生物种群!$B:$B)),MATCH($H813,生物种群!$A$3:INDEX(生物种群!$A:$A,COUNTA(生物种群!$A:$A)),),))</f>
        <v/>
      </c>
      <c r="J813" s="55" t="str">
        <f>IF(H813="","",INDEX(生物种群!$I$3:INDEX(生物种群!$I:$I,COUNTA(生物种群!$I:$I)),MATCH($H813,生物种群!$A$3:INDEX(生物种群!$A:$A,COUNTA(生物种群!$A:$A)),),))</f>
        <v/>
      </c>
      <c r="K813" s="55" t="str">
        <f>IF(H813="","",INDEX(生物种群!$E$3:INDEX(生物种群!$E:$E,COUNTA(生物种群!$E:$E)),MATCH($H813,生物种群!$A$3:INDEX(生物种群!$A:$A,COUNTA(生物种群!$A:$A)),),))</f>
        <v/>
      </c>
      <c r="L813" s="46" t="str">
        <f t="shared" si="42"/>
        <v/>
      </c>
      <c r="M813" s="47" t="str">
        <f>IF(L813="","",ROUND((L813)/VLOOKUP($F813,IF({1,0},站位样品信息!$A$3:INDEX(站位样品信息!$A:$A,COUNTA(站位样品信息!$A:$A)+1),站位样品信息!$H$3:INDEX(站位样品信息!$H:$H,COUNTA(站位样品信息!$H:$H)+1)),2,0),2))</f>
        <v/>
      </c>
      <c r="O813" s="49"/>
      <c r="P813" s="53" t="str">
        <f t="shared" si="40"/>
        <v/>
      </c>
      <c r="Q813" s="53" t="str">
        <f t="shared" si="41"/>
        <v/>
      </c>
    </row>
    <row r="814" spans="1:17" ht="19.5" customHeight="1">
      <c r="A814" s="38"/>
      <c r="B814" s="38"/>
      <c r="C814" s="38"/>
      <c r="D814" s="37"/>
      <c r="E814" s="37"/>
      <c r="F814" s="37"/>
      <c r="G814" s="37" t="str">
        <f>IF(F814="","",INDEX(站位样品信息!$B$3:INDEX(站位样品信息!$B:$B,COUNTA(站位样品信息!$B:$B)+1),MATCH($F814,站位样品信息!$A$3:INDEX(站位样品信息!$A:$A,COUNTA(站位样品信息!$A:$A)+1),),))</f>
        <v/>
      </c>
      <c r="H814" s="55" t="str">
        <f>IF(OR(A814&lt;&gt;"",B814&lt;&gt;"",C814&lt;&gt;""),IF($C814&lt;&gt;0,INDEX(生物种群!$A$3:INDEX(生物种群!$A:$A,COUNTA(生物种群!$A:$A)),MATCH($C814,生物种群!$F$3:INDEX(生物种群!$F:$F,COUNTA(生物种群!$F:$F)),),),IF($A814&lt;&gt;0,INDEX(生物种群!$A$3:INDEX(生物种群!$A:$A,COUNTA(生物种群!$A:$A)),MATCH($A814,生物种群!$C$3:INDEX(生物种群!$C:$C,COUNTA(生物种群!$C:$C)),),),INDEX(生物种群!$A$3:INDEX(生物种群!$A:$A,COUNTA(生物种群!$A:$A)),MATCH($B814,生物种群!$D$3:INDEX(生物种群!$D:$D,COUNTA(生物种群!$D:$D)),),))),"")</f>
        <v/>
      </c>
      <c r="I814" s="56" t="str">
        <f>IF(H814="","",INDEX(生物种群!$B$3:INDEX(生物种群!$B:$B,COUNTA(生物种群!$B:$B)),MATCH($H814,生物种群!$A$3:INDEX(生物种群!$A:$A,COUNTA(生物种群!$A:$A)),),))</f>
        <v/>
      </c>
      <c r="J814" s="55" t="str">
        <f>IF(H814="","",INDEX(生物种群!$I$3:INDEX(生物种群!$I:$I,COUNTA(生物种群!$I:$I)),MATCH($H814,生物种群!$A$3:INDEX(生物种群!$A:$A,COUNTA(生物种群!$A:$A)),),))</f>
        <v/>
      </c>
      <c r="K814" s="55" t="str">
        <f>IF(H814="","",INDEX(生物种群!$E$3:INDEX(生物种群!$E:$E,COUNTA(生物种群!$E:$E)),MATCH($H814,生物种群!$A$3:INDEX(生物种群!$A:$A,COUNTA(生物种群!$A:$A)),),))</f>
        <v/>
      </c>
      <c r="L814" s="46" t="str">
        <f t="shared" si="42"/>
        <v/>
      </c>
      <c r="M814" s="47" t="str">
        <f>IF(L814="","",ROUND((L814)/VLOOKUP($F814,IF({1,0},站位样品信息!$A$3:INDEX(站位样品信息!$A:$A,COUNTA(站位样品信息!$A:$A)+1),站位样品信息!$H$3:INDEX(站位样品信息!$H:$H,COUNTA(站位样品信息!$H:$H)+1)),2,0),2))</f>
        <v/>
      </c>
      <c r="O814" s="49"/>
      <c r="P814" s="53" t="str">
        <f t="shared" si="40"/>
        <v/>
      </c>
      <c r="Q814" s="53" t="str">
        <f t="shared" si="41"/>
        <v/>
      </c>
    </row>
    <row r="815" spans="1:17" ht="19.5" customHeight="1">
      <c r="A815" s="38"/>
      <c r="B815" s="38"/>
      <c r="C815" s="38"/>
      <c r="D815" s="37"/>
      <c r="E815" s="37"/>
      <c r="F815" s="37"/>
      <c r="G815" s="37" t="str">
        <f>IF(F815="","",INDEX(站位样品信息!$B$3:INDEX(站位样品信息!$B:$B,COUNTA(站位样品信息!$B:$B)+1),MATCH($F815,站位样品信息!$A$3:INDEX(站位样品信息!$A:$A,COUNTA(站位样品信息!$A:$A)+1),),))</f>
        <v/>
      </c>
      <c r="H815" s="55" t="str">
        <f>IF(OR(A815&lt;&gt;"",B815&lt;&gt;"",C815&lt;&gt;""),IF($C815&lt;&gt;0,INDEX(生物种群!$A$3:INDEX(生物种群!$A:$A,COUNTA(生物种群!$A:$A)),MATCH($C815,生物种群!$F$3:INDEX(生物种群!$F:$F,COUNTA(生物种群!$F:$F)),),),IF($A815&lt;&gt;0,INDEX(生物种群!$A$3:INDEX(生物种群!$A:$A,COUNTA(生物种群!$A:$A)),MATCH($A815,生物种群!$C$3:INDEX(生物种群!$C:$C,COUNTA(生物种群!$C:$C)),),),INDEX(生物种群!$A$3:INDEX(生物种群!$A:$A,COUNTA(生物种群!$A:$A)),MATCH($B815,生物种群!$D$3:INDEX(生物种群!$D:$D,COUNTA(生物种群!$D:$D)),),))),"")</f>
        <v/>
      </c>
      <c r="I815" s="56" t="str">
        <f>IF(H815="","",INDEX(生物种群!$B$3:INDEX(生物种群!$B:$B,COUNTA(生物种群!$B:$B)),MATCH($H815,生物种群!$A$3:INDEX(生物种群!$A:$A,COUNTA(生物种群!$A:$A)),),))</f>
        <v/>
      </c>
      <c r="J815" s="55" t="str">
        <f>IF(H815="","",INDEX(生物种群!$I$3:INDEX(生物种群!$I:$I,COUNTA(生物种群!$I:$I)),MATCH($H815,生物种群!$A$3:INDEX(生物种群!$A:$A,COUNTA(生物种群!$A:$A)),),))</f>
        <v/>
      </c>
      <c r="K815" s="55" t="str">
        <f>IF(H815="","",INDEX(生物种群!$E$3:INDEX(生物种群!$E:$E,COUNTA(生物种群!$E:$E)),MATCH($H815,生物种群!$A$3:INDEX(生物种群!$A:$A,COUNTA(生物种群!$A:$A)),),))</f>
        <v/>
      </c>
      <c r="L815" s="46" t="str">
        <f t="shared" si="42"/>
        <v/>
      </c>
      <c r="M815" s="47" t="str">
        <f>IF(L815="","",ROUND((L815)/VLOOKUP($F815,IF({1,0},站位样品信息!$A$3:INDEX(站位样品信息!$A:$A,COUNTA(站位样品信息!$A:$A)+1),站位样品信息!$H$3:INDEX(站位样品信息!$H:$H,COUNTA(站位样品信息!$H:$H)+1)),2,0),2))</f>
        <v/>
      </c>
      <c r="O815" s="49"/>
      <c r="P815" s="53" t="str">
        <f t="shared" si="40"/>
        <v/>
      </c>
      <c r="Q815" s="53" t="str">
        <f t="shared" si="41"/>
        <v/>
      </c>
    </row>
    <row r="816" spans="1:17" ht="19.5" customHeight="1">
      <c r="A816" s="38"/>
      <c r="B816" s="38"/>
      <c r="C816" s="38"/>
      <c r="D816" s="37"/>
      <c r="E816" s="37"/>
      <c r="F816" s="37"/>
      <c r="G816" s="37" t="str">
        <f>IF(F816="","",INDEX(站位样品信息!$B$3:INDEX(站位样品信息!$B:$B,COUNTA(站位样品信息!$B:$B)+1),MATCH($F816,站位样品信息!$A$3:INDEX(站位样品信息!$A:$A,COUNTA(站位样品信息!$A:$A)+1),),))</f>
        <v/>
      </c>
      <c r="H816" s="55" t="str">
        <f>IF(OR(A816&lt;&gt;"",B816&lt;&gt;"",C816&lt;&gt;""),IF($C816&lt;&gt;0,INDEX(生物种群!$A$3:INDEX(生物种群!$A:$A,COUNTA(生物种群!$A:$A)),MATCH($C816,生物种群!$F$3:INDEX(生物种群!$F:$F,COUNTA(生物种群!$F:$F)),),),IF($A816&lt;&gt;0,INDEX(生物种群!$A$3:INDEX(生物种群!$A:$A,COUNTA(生物种群!$A:$A)),MATCH($A816,生物种群!$C$3:INDEX(生物种群!$C:$C,COUNTA(生物种群!$C:$C)),),),INDEX(生物种群!$A$3:INDEX(生物种群!$A:$A,COUNTA(生物种群!$A:$A)),MATCH($B816,生物种群!$D$3:INDEX(生物种群!$D:$D,COUNTA(生物种群!$D:$D)),),))),"")</f>
        <v/>
      </c>
      <c r="I816" s="56" t="str">
        <f>IF(H816="","",INDEX(生物种群!$B$3:INDEX(生物种群!$B:$B,COUNTA(生物种群!$B:$B)),MATCH($H816,生物种群!$A$3:INDEX(生物种群!$A:$A,COUNTA(生物种群!$A:$A)),),))</f>
        <v/>
      </c>
      <c r="J816" s="55" t="str">
        <f>IF(H816="","",INDEX(生物种群!$I$3:INDEX(生物种群!$I:$I,COUNTA(生物种群!$I:$I)),MATCH($H816,生物种群!$A$3:INDEX(生物种群!$A:$A,COUNTA(生物种群!$A:$A)),),))</f>
        <v/>
      </c>
      <c r="K816" s="55" t="str">
        <f>IF(H816="","",INDEX(生物种群!$E$3:INDEX(生物种群!$E:$E,COUNTA(生物种群!$E:$E)),MATCH($H816,生物种群!$A$3:INDEX(生物种群!$A:$A,COUNTA(生物种群!$A:$A)),),))</f>
        <v/>
      </c>
      <c r="L816" s="46" t="str">
        <f t="shared" si="42"/>
        <v/>
      </c>
      <c r="M816" s="47" t="str">
        <f>IF(L816="","",ROUND((L816)/VLOOKUP($F816,IF({1,0},站位样品信息!$A$3:INDEX(站位样品信息!$A:$A,COUNTA(站位样品信息!$A:$A)+1),站位样品信息!$H$3:INDEX(站位样品信息!$H:$H,COUNTA(站位样品信息!$H:$H)+1)),2,0),2))</f>
        <v/>
      </c>
      <c r="O816" s="49"/>
      <c r="P816" s="53" t="str">
        <f t="shared" si="40"/>
        <v/>
      </c>
      <c r="Q816" s="53" t="str">
        <f t="shared" si="41"/>
        <v/>
      </c>
    </row>
    <row r="817" spans="1:17" ht="19.5" customHeight="1">
      <c r="A817" s="38"/>
      <c r="B817" s="38"/>
      <c r="C817" s="38"/>
      <c r="D817" s="37"/>
      <c r="E817" s="37"/>
      <c r="F817" s="37"/>
      <c r="G817" s="37" t="str">
        <f>IF(F817="","",INDEX(站位样品信息!$B$3:INDEX(站位样品信息!$B:$B,COUNTA(站位样品信息!$B:$B)+1),MATCH($F817,站位样品信息!$A$3:INDEX(站位样品信息!$A:$A,COUNTA(站位样品信息!$A:$A)+1),),))</f>
        <v/>
      </c>
      <c r="H817" s="55" t="str">
        <f>IF(OR(A817&lt;&gt;"",B817&lt;&gt;"",C817&lt;&gt;""),IF($C817&lt;&gt;0,INDEX(生物种群!$A$3:INDEX(生物种群!$A:$A,COUNTA(生物种群!$A:$A)),MATCH($C817,生物种群!$F$3:INDEX(生物种群!$F:$F,COUNTA(生物种群!$F:$F)),),),IF($A817&lt;&gt;0,INDEX(生物种群!$A$3:INDEX(生物种群!$A:$A,COUNTA(生物种群!$A:$A)),MATCH($A817,生物种群!$C$3:INDEX(生物种群!$C:$C,COUNTA(生物种群!$C:$C)),),),INDEX(生物种群!$A$3:INDEX(生物种群!$A:$A,COUNTA(生物种群!$A:$A)),MATCH($B817,生物种群!$D$3:INDEX(生物种群!$D:$D,COUNTA(生物种群!$D:$D)),),))),"")</f>
        <v/>
      </c>
      <c r="I817" s="56" t="str">
        <f>IF(H817="","",INDEX(生物种群!$B$3:INDEX(生物种群!$B:$B,COUNTA(生物种群!$B:$B)),MATCH($H817,生物种群!$A$3:INDEX(生物种群!$A:$A,COUNTA(生物种群!$A:$A)),),))</f>
        <v/>
      </c>
      <c r="J817" s="55" t="str">
        <f>IF(H817="","",INDEX(生物种群!$I$3:INDEX(生物种群!$I:$I,COUNTA(生物种群!$I:$I)),MATCH($H817,生物种群!$A$3:INDEX(生物种群!$A:$A,COUNTA(生物种群!$A:$A)),),))</f>
        <v/>
      </c>
      <c r="K817" s="55" t="str">
        <f>IF(H817="","",INDEX(生物种群!$E$3:INDEX(生物种群!$E:$E,COUNTA(生物种群!$E:$E)),MATCH($H817,生物种群!$A$3:INDEX(生物种群!$A:$A,COUNTA(生物种群!$A:$A)),),))</f>
        <v/>
      </c>
      <c r="L817" s="46" t="str">
        <f t="shared" si="42"/>
        <v/>
      </c>
      <c r="M817" s="47" t="str">
        <f>IF(L817="","",ROUND((L817)/VLOOKUP($F817,IF({1,0},站位样品信息!$A$3:INDEX(站位样品信息!$A:$A,COUNTA(站位样品信息!$A:$A)+1),站位样品信息!$H$3:INDEX(站位样品信息!$H:$H,COUNTA(站位样品信息!$H:$H)+1)),2,0),2))</f>
        <v/>
      </c>
      <c r="O817" s="49"/>
      <c r="P817" s="53" t="str">
        <f t="shared" si="40"/>
        <v/>
      </c>
      <c r="Q817" s="53" t="str">
        <f t="shared" si="41"/>
        <v/>
      </c>
    </row>
    <row r="818" spans="1:17" ht="19.5" customHeight="1">
      <c r="A818" s="38"/>
      <c r="B818" s="38"/>
      <c r="C818" s="38"/>
      <c r="D818" s="37"/>
      <c r="E818" s="37"/>
      <c r="F818" s="37"/>
      <c r="G818" s="37" t="str">
        <f>IF(F818="","",INDEX(站位样品信息!$B$3:INDEX(站位样品信息!$B:$B,COUNTA(站位样品信息!$B:$B)+1),MATCH($F818,站位样品信息!$A$3:INDEX(站位样品信息!$A:$A,COUNTA(站位样品信息!$A:$A)+1),),))</f>
        <v/>
      </c>
      <c r="H818" s="55" t="str">
        <f>IF(OR(A818&lt;&gt;"",B818&lt;&gt;"",C818&lt;&gt;""),IF($C818&lt;&gt;0,INDEX(生物种群!$A$3:INDEX(生物种群!$A:$A,COUNTA(生物种群!$A:$A)),MATCH($C818,生物种群!$F$3:INDEX(生物种群!$F:$F,COUNTA(生物种群!$F:$F)),),),IF($A818&lt;&gt;0,INDEX(生物种群!$A$3:INDEX(生物种群!$A:$A,COUNTA(生物种群!$A:$A)),MATCH($A818,生物种群!$C$3:INDEX(生物种群!$C:$C,COUNTA(生物种群!$C:$C)),),),INDEX(生物种群!$A$3:INDEX(生物种群!$A:$A,COUNTA(生物种群!$A:$A)),MATCH($B818,生物种群!$D$3:INDEX(生物种群!$D:$D,COUNTA(生物种群!$D:$D)),),))),"")</f>
        <v/>
      </c>
      <c r="I818" s="56" t="str">
        <f>IF(H818="","",INDEX(生物种群!$B$3:INDEX(生物种群!$B:$B,COUNTA(生物种群!$B:$B)),MATCH($H818,生物种群!$A$3:INDEX(生物种群!$A:$A,COUNTA(生物种群!$A:$A)),),))</f>
        <v/>
      </c>
      <c r="J818" s="55" t="str">
        <f>IF(H818="","",INDEX(生物种群!$I$3:INDEX(生物种群!$I:$I,COUNTA(生物种群!$I:$I)),MATCH($H818,生物种群!$A$3:INDEX(生物种群!$A:$A,COUNTA(生物种群!$A:$A)),),))</f>
        <v/>
      </c>
      <c r="K818" s="55" t="str">
        <f>IF(H818="","",INDEX(生物种群!$E$3:INDEX(生物种群!$E:$E,COUNTA(生物种群!$E:$E)),MATCH($H818,生物种群!$A$3:INDEX(生物种群!$A:$A,COUNTA(生物种群!$A:$A)),),))</f>
        <v/>
      </c>
      <c r="L818" s="46" t="str">
        <f t="shared" si="42"/>
        <v/>
      </c>
      <c r="M818" s="47" t="str">
        <f>IF(L818="","",ROUND((L818)/VLOOKUP($F818,IF({1,0},站位样品信息!$A$3:INDEX(站位样品信息!$A:$A,COUNTA(站位样品信息!$A:$A)+1),站位样品信息!$H$3:INDEX(站位样品信息!$H:$H,COUNTA(站位样品信息!$H:$H)+1)),2,0),2))</f>
        <v/>
      </c>
      <c r="O818" s="49"/>
      <c r="P818" s="53" t="str">
        <f t="shared" si="40"/>
        <v/>
      </c>
      <c r="Q818" s="53" t="str">
        <f t="shared" si="41"/>
        <v/>
      </c>
    </row>
    <row r="819" spans="1:17" ht="19.5" customHeight="1">
      <c r="A819" s="38"/>
      <c r="B819" s="38"/>
      <c r="C819" s="38"/>
      <c r="D819" s="37"/>
      <c r="E819" s="37"/>
      <c r="F819" s="37"/>
      <c r="G819" s="37" t="str">
        <f>IF(F819="","",INDEX(站位样品信息!$B$3:INDEX(站位样品信息!$B:$B,COUNTA(站位样品信息!$B:$B)+1),MATCH($F819,站位样品信息!$A$3:INDEX(站位样品信息!$A:$A,COUNTA(站位样品信息!$A:$A)+1),),))</f>
        <v/>
      </c>
      <c r="H819" s="55" t="str">
        <f>IF(OR(A819&lt;&gt;"",B819&lt;&gt;"",C819&lt;&gt;""),IF($C819&lt;&gt;0,INDEX(生物种群!$A$3:INDEX(生物种群!$A:$A,COUNTA(生物种群!$A:$A)),MATCH($C819,生物种群!$F$3:INDEX(生物种群!$F:$F,COUNTA(生物种群!$F:$F)),),),IF($A819&lt;&gt;0,INDEX(生物种群!$A$3:INDEX(生物种群!$A:$A,COUNTA(生物种群!$A:$A)),MATCH($A819,生物种群!$C$3:INDEX(生物种群!$C:$C,COUNTA(生物种群!$C:$C)),),),INDEX(生物种群!$A$3:INDEX(生物种群!$A:$A,COUNTA(生物种群!$A:$A)),MATCH($B819,生物种群!$D$3:INDEX(生物种群!$D:$D,COUNTA(生物种群!$D:$D)),),))),"")</f>
        <v/>
      </c>
      <c r="I819" s="56" t="str">
        <f>IF(H819="","",INDEX(生物种群!$B$3:INDEX(生物种群!$B:$B,COUNTA(生物种群!$B:$B)),MATCH($H819,生物种群!$A$3:INDEX(生物种群!$A:$A,COUNTA(生物种群!$A:$A)),),))</f>
        <v/>
      </c>
      <c r="J819" s="55" t="str">
        <f>IF(H819="","",INDEX(生物种群!$I$3:INDEX(生物种群!$I:$I,COUNTA(生物种群!$I:$I)),MATCH($H819,生物种群!$A$3:INDEX(生物种群!$A:$A,COUNTA(生物种群!$A:$A)),),))</f>
        <v/>
      </c>
      <c r="K819" s="55" t="str">
        <f>IF(H819="","",INDEX(生物种群!$E$3:INDEX(生物种群!$E:$E,COUNTA(生物种群!$E:$E)),MATCH($H819,生物种群!$A$3:INDEX(生物种群!$A:$A,COUNTA(生物种群!$A:$A)),),))</f>
        <v/>
      </c>
      <c r="L819" s="46" t="str">
        <f t="shared" si="42"/>
        <v/>
      </c>
      <c r="M819" s="47" t="str">
        <f>IF(L819="","",ROUND((L819)/VLOOKUP($F819,IF({1,0},站位样品信息!$A$3:INDEX(站位样品信息!$A:$A,COUNTA(站位样品信息!$A:$A)+1),站位样品信息!$H$3:INDEX(站位样品信息!$H:$H,COUNTA(站位样品信息!$H:$H)+1)),2,0),2))</f>
        <v/>
      </c>
      <c r="O819" s="49"/>
      <c r="P819" s="53" t="str">
        <f t="shared" si="40"/>
        <v/>
      </c>
      <c r="Q819" s="53" t="str">
        <f t="shared" si="41"/>
        <v/>
      </c>
    </row>
    <row r="820" spans="1:17" ht="19.5" customHeight="1">
      <c r="A820" s="38"/>
      <c r="B820" s="38"/>
      <c r="C820" s="38"/>
      <c r="D820" s="37"/>
      <c r="E820" s="37"/>
      <c r="F820" s="37"/>
      <c r="G820" s="37" t="str">
        <f>IF(F820="","",INDEX(站位样品信息!$B$3:INDEX(站位样品信息!$B:$B,COUNTA(站位样品信息!$B:$B)+1),MATCH($F820,站位样品信息!$A$3:INDEX(站位样品信息!$A:$A,COUNTA(站位样品信息!$A:$A)+1),),))</f>
        <v/>
      </c>
      <c r="H820" s="55" t="str">
        <f>IF(OR(A820&lt;&gt;"",B820&lt;&gt;"",C820&lt;&gt;""),IF($C820&lt;&gt;0,INDEX(生物种群!$A$3:INDEX(生物种群!$A:$A,COUNTA(生物种群!$A:$A)),MATCH($C820,生物种群!$F$3:INDEX(生物种群!$F:$F,COUNTA(生物种群!$F:$F)),),),IF($A820&lt;&gt;0,INDEX(生物种群!$A$3:INDEX(生物种群!$A:$A,COUNTA(生物种群!$A:$A)),MATCH($A820,生物种群!$C$3:INDEX(生物种群!$C:$C,COUNTA(生物种群!$C:$C)),),),INDEX(生物种群!$A$3:INDEX(生物种群!$A:$A,COUNTA(生物种群!$A:$A)),MATCH($B820,生物种群!$D$3:INDEX(生物种群!$D:$D,COUNTA(生物种群!$D:$D)),),))),"")</f>
        <v/>
      </c>
      <c r="I820" s="56" t="str">
        <f>IF(H820="","",INDEX(生物种群!$B$3:INDEX(生物种群!$B:$B,COUNTA(生物种群!$B:$B)),MATCH($H820,生物种群!$A$3:INDEX(生物种群!$A:$A,COUNTA(生物种群!$A:$A)),),))</f>
        <v/>
      </c>
      <c r="J820" s="55" t="str">
        <f>IF(H820="","",INDEX(生物种群!$I$3:INDEX(生物种群!$I:$I,COUNTA(生物种群!$I:$I)),MATCH($H820,生物种群!$A$3:INDEX(生物种群!$A:$A,COUNTA(生物种群!$A:$A)),),))</f>
        <v/>
      </c>
      <c r="K820" s="55" t="str">
        <f>IF(H820="","",INDEX(生物种群!$E$3:INDEX(生物种群!$E:$E,COUNTA(生物种群!$E:$E)),MATCH($H820,生物种群!$A$3:INDEX(生物种群!$A:$A,COUNTA(生物种群!$A:$A)),),))</f>
        <v/>
      </c>
      <c r="L820" s="46" t="str">
        <f t="shared" si="42"/>
        <v/>
      </c>
      <c r="M820" s="47" t="str">
        <f>IF(L820="","",ROUND((L820)/VLOOKUP($F820,IF({1,0},站位样品信息!$A$3:INDEX(站位样品信息!$A:$A,COUNTA(站位样品信息!$A:$A)+1),站位样品信息!$H$3:INDEX(站位样品信息!$H:$H,COUNTA(站位样品信息!$H:$H)+1)),2,0),2))</f>
        <v/>
      </c>
      <c r="O820" s="49"/>
      <c r="P820" s="53" t="str">
        <f t="shared" si="40"/>
        <v/>
      </c>
      <c r="Q820" s="53" t="str">
        <f t="shared" si="41"/>
        <v/>
      </c>
    </row>
    <row r="821" spans="1:17" ht="19.5" customHeight="1">
      <c r="A821" s="38"/>
      <c r="B821" s="38"/>
      <c r="C821" s="38"/>
      <c r="D821" s="37"/>
      <c r="E821" s="37"/>
      <c r="F821" s="37"/>
      <c r="G821" s="37" t="str">
        <f>IF(F821="","",INDEX(站位样品信息!$B$3:INDEX(站位样品信息!$B:$B,COUNTA(站位样品信息!$B:$B)+1),MATCH($F821,站位样品信息!$A$3:INDEX(站位样品信息!$A:$A,COUNTA(站位样品信息!$A:$A)+1),),))</f>
        <v/>
      </c>
      <c r="H821" s="55" t="str">
        <f>IF(OR(A821&lt;&gt;"",B821&lt;&gt;"",C821&lt;&gt;""),IF($C821&lt;&gt;0,INDEX(生物种群!$A$3:INDEX(生物种群!$A:$A,COUNTA(生物种群!$A:$A)),MATCH($C821,生物种群!$F$3:INDEX(生物种群!$F:$F,COUNTA(生物种群!$F:$F)),),),IF($A821&lt;&gt;0,INDEX(生物种群!$A$3:INDEX(生物种群!$A:$A,COUNTA(生物种群!$A:$A)),MATCH($A821,生物种群!$C$3:INDEX(生物种群!$C:$C,COUNTA(生物种群!$C:$C)),),),INDEX(生物种群!$A$3:INDEX(生物种群!$A:$A,COUNTA(生物种群!$A:$A)),MATCH($B821,生物种群!$D$3:INDEX(生物种群!$D:$D,COUNTA(生物种群!$D:$D)),),))),"")</f>
        <v/>
      </c>
      <c r="I821" s="56" t="str">
        <f>IF(H821="","",INDEX(生物种群!$B$3:INDEX(生物种群!$B:$B,COUNTA(生物种群!$B:$B)),MATCH($H821,生物种群!$A$3:INDEX(生物种群!$A:$A,COUNTA(生物种群!$A:$A)),),))</f>
        <v/>
      </c>
      <c r="J821" s="55" t="str">
        <f>IF(H821="","",INDEX(生物种群!$I$3:INDEX(生物种群!$I:$I,COUNTA(生物种群!$I:$I)),MATCH($H821,生物种群!$A$3:INDEX(生物种群!$A:$A,COUNTA(生物种群!$A:$A)),),))</f>
        <v/>
      </c>
      <c r="K821" s="55" t="str">
        <f>IF(H821="","",INDEX(生物种群!$E$3:INDEX(生物种群!$E:$E,COUNTA(生物种群!$E:$E)),MATCH($H821,生物种群!$A$3:INDEX(生物种群!$A:$A,COUNTA(生物种群!$A:$A)),),))</f>
        <v/>
      </c>
      <c r="L821" s="46" t="str">
        <f t="shared" si="42"/>
        <v/>
      </c>
      <c r="M821" s="47" t="str">
        <f>IF(L821="","",ROUND((L821)/VLOOKUP($F821,IF({1,0},站位样品信息!$A$3:INDEX(站位样品信息!$A:$A,COUNTA(站位样品信息!$A:$A)+1),站位样品信息!$H$3:INDEX(站位样品信息!$H:$H,COUNTA(站位样品信息!$H:$H)+1)),2,0),2))</f>
        <v/>
      </c>
      <c r="O821" s="49"/>
      <c r="P821" s="53" t="str">
        <f t="shared" si="40"/>
        <v/>
      </c>
      <c r="Q821" s="53" t="str">
        <f t="shared" si="41"/>
        <v/>
      </c>
    </row>
    <row r="822" spans="1:17" ht="19.5" customHeight="1">
      <c r="A822" s="38"/>
      <c r="B822" s="38"/>
      <c r="C822" s="38"/>
      <c r="D822" s="37"/>
      <c r="E822" s="37"/>
      <c r="F822" s="37"/>
      <c r="G822" s="37" t="str">
        <f>IF(F822="","",INDEX(站位样品信息!$B$3:INDEX(站位样品信息!$B:$B,COUNTA(站位样品信息!$B:$B)+1),MATCH($F822,站位样品信息!$A$3:INDEX(站位样品信息!$A:$A,COUNTA(站位样品信息!$A:$A)+1),),))</f>
        <v/>
      </c>
      <c r="H822" s="55" t="str">
        <f>IF(OR(A822&lt;&gt;"",B822&lt;&gt;"",C822&lt;&gt;""),IF($C822&lt;&gt;0,INDEX(生物种群!$A$3:INDEX(生物种群!$A:$A,COUNTA(生物种群!$A:$A)),MATCH($C822,生物种群!$F$3:INDEX(生物种群!$F:$F,COUNTA(生物种群!$F:$F)),),),IF($A822&lt;&gt;0,INDEX(生物种群!$A$3:INDEX(生物种群!$A:$A,COUNTA(生物种群!$A:$A)),MATCH($A822,生物种群!$C$3:INDEX(生物种群!$C:$C,COUNTA(生物种群!$C:$C)),),),INDEX(生物种群!$A$3:INDEX(生物种群!$A:$A,COUNTA(生物种群!$A:$A)),MATCH($B822,生物种群!$D$3:INDEX(生物种群!$D:$D,COUNTA(生物种群!$D:$D)),),))),"")</f>
        <v/>
      </c>
      <c r="I822" s="56" t="str">
        <f>IF(H822="","",INDEX(生物种群!$B$3:INDEX(生物种群!$B:$B,COUNTA(生物种群!$B:$B)),MATCH($H822,生物种群!$A$3:INDEX(生物种群!$A:$A,COUNTA(生物种群!$A:$A)),),))</f>
        <v/>
      </c>
      <c r="J822" s="55" t="str">
        <f>IF(H822="","",INDEX(生物种群!$I$3:INDEX(生物种群!$I:$I,COUNTA(生物种群!$I:$I)),MATCH($H822,生物种群!$A$3:INDEX(生物种群!$A:$A,COUNTA(生物种群!$A:$A)),),))</f>
        <v/>
      </c>
      <c r="K822" s="55" t="str">
        <f>IF(H822="","",INDEX(生物种群!$E$3:INDEX(生物种群!$E:$E,COUNTA(生物种群!$E:$E)),MATCH($H822,生物种群!$A$3:INDEX(生物种群!$A:$A,COUNTA(生物种群!$A:$A)),),))</f>
        <v/>
      </c>
      <c r="L822" s="46" t="str">
        <f t="shared" si="42"/>
        <v/>
      </c>
      <c r="M822" s="47" t="str">
        <f>IF(L822="","",ROUND((L822)/VLOOKUP($F822,IF({1,0},站位样品信息!$A$3:INDEX(站位样品信息!$A:$A,COUNTA(站位样品信息!$A:$A)+1),站位样品信息!$H$3:INDEX(站位样品信息!$H:$H,COUNTA(站位样品信息!$H:$H)+1)),2,0),2))</f>
        <v/>
      </c>
      <c r="O822" s="49"/>
      <c r="P822" s="53" t="str">
        <f t="shared" si="40"/>
        <v/>
      </c>
      <c r="Q822" s="53" t="str">
        <f t="shared" si="41"/>
        <v/>
      </c>
    </row>
    <row r="823" spans="1:17" ht="19.5" customHeight="1">
      <c r="A823" s="38"/>
      <c r="B823" s="38"/>
      <c r="C823" s="38"/>
      <c r="D823" s="37"/>
      <c r="E823" s="37"/>
      <c r="F823" s="37"/>
      <c r="G823" s="37" t="str">
        <f>IF(F823="","",INDEX(站位样品信息!$B$3:INDEX(站位样品信息!$B:$B,COUNTA(站位样品信息!$B:$B)+1),MATCH($F823,站位样品信息!$A$3:INDEX(站位样品信息!$A:$A,COUNTA(站位样品信息!$A:$A)+1),),))</f>
        <v/>
      </c>
      <c r="H823" s="55" t="str">
        <f>IF(OR(A823&lt;&gt;"",B823&lt;&gt;"",C823&lt;&gt;""),IF($C823&lt;&gt;0,INDEX(生物种群!$A$3:INDEX(生物种群!$A:$A,COUNTA(生物种群!$A:$A)),MATCH($C823,生物种群!$F$3:INDEX(生物种群!$F:$F,COUNTA(生物种群!$F:$F)),),),IF($A823&lt;&gt;0,INDEX(生物种群!$A$3:INDEX(生物种群!$A:$A,COUNTA(生物种群!$A:$A)),MATCH($A823,生物种群!$C$3:INDEX(生物种群!$C:$C,COUNTA(生物种群!$C:$C)),),),INDEX(生物种群!$A$3:INDEX(生物种群!$A:$A,COUNTA(生物种群!$A:$A)),MATCH($B823,生物种群!$D$3:INDEX(生物种群!$D:$D,COUNTA(生物种群!$D:$D)),),))),"")</f>
        <v/>
      </c>
      <c r="I823" s="56" t="str">
        <f>IF(H823="","",INDEX(生物种群!$B$3:INDEX(生物种群!$B:$B,COUNTA(生物种群!$B:$B)),MATCH($H823,生物种群!$A$3:INDEX(生物种群!$A:$A,COUNTA(生物种群!$A:$A)),),))</f>
        <v/>
      </c>
      <c r="J823" s="55" t="str">
        <f>IF(H823="","",INDEX(生物种群!$I$3:INDEX(生物种群!$I:$I,COUNTA(生物种群!$I:$I)),MATCH($H823,生物种群!$A$3:INDEX(生物种群!$A:$A,COUNTA(生物种群!$A:$A)),),))</f>
        <v/>
      </c>
      <c r="K823" s="55" t="str">
        <f>IF(H823="","",INDEX(生物种群!$E$3:INDEX(生物种群!$E:$E,COUNTA(生物种群!$E:$E)),MATCH($H823,生物种群!$A$3:INDEX(生物种群!$A:$A,COUNTA(生物种群!$A:$A)),),))</f>
        <v/>
      </c>
      <c r="L823" s="46" t="str">
        <f t="shared" si="42"/>
        <v/>
      </c>
      <c r="M823" s="47" t="str">
        <f>IF(L823="","",ROUND((L823)/VLOOKUP($F823,IF({1,0},站位样品信息!$A$3:INDEX(站位样品信息!$A:$A,COUNTA(站位样品信息!$A:$A)+1),站位样品信息!$H$3:INDEX(站位样品信息!$H:$H,COUNTA(站位样品信息!$H:$H)+1)),2,0),2))</f>
        <v/>
      </c>
      <c r="O823" s="49"/>
      <c r="P823" s="53" t="str">
        <f t="shared" si="40"/>
        <v/>
      </c>
      <c r="Q823" s="53" t="str">
        <f t="shared" si="41"/>
        <v/>
      </c>
    </row>
    <row r="824" spans="1:17" ht="19.5" customHeight="1">
      <c r="A824" s="38"/>
      <c r="B824" s="38"/>
      <c r="C824" s="38"/>
      <c r="D824" s="37"/>
      <c r="E824" s="37"/>
      <c r="F824" s="37"/>
      <c r="G824" s="37" t="str">
        <f>IF(F824="","",INDEX(站位样品信息!$B$3:INDEX(站位样品信息!$B:$B,COUNTA(站位样品信息!$B:$B)+1),MATCH($F824,站位样品信息!$A$3:INDEX(站位样品信息!$A:$A,COUNTA(站位样品信息!$A:$A)+1),),))</f>
        <v/>
      </c>
      <c r="H824" s="55" t="str">
        <f>IF(OR(A824&lt;&gt;"",B824&lt;&gt;"",C824&lt;&gt;""),IF($C824&lt;&gt;0,INDEX(生物种群!$A$3:INDEX(生物种群!$A:$A,COUNTA(生物种群!$A:$A)),MATCH($C824,生物种群!$F$3:INDEX(生物种群!$F:$F,COUNTA(生物种群!$F:$F)),),),IF($A824&lt;&gt;0,INDEX(生物种群!$A$3:INDEX(生物种群!$A:$A,COUNTA(生物种群!$A:$A)),MATCH($A824,生物种群!$C$3:INDEX(生物种群!$C:$C,COUNTA(生物种群!$C:$C)),),),INDEX(生物种群!$A$3:INDEX(生物种群!$A:$A,COUNTA(生物种群!$A:$A)),MATCH($B824,生物种群!$D$3:INDEX(生物种群!$D:$D,COUNTA(生物种群!$D:$D)),),))),"")</f>
        <v/>
      </c>
      <c r="I824" s="56" t="str">
        <f>IF(H824="","",INDEX(生物种群!$B$3:INDEX(生物种群!$B:$B,COUNTA(生物种群!$B:$B)),MATCH($H824,生物种群!$A$3:INDEX(生物种群!$A:$A,COUNTA(生物种群!$A:$A)),),))</f>
        <v/>
      </c>
      <c r="J824" s="55" t="str">
        <f>IF(H824="","",INDEX(生物种群!$I$3:INDEX(生物种群!$I:$I,COUNTA(生物种群!$I:$I)),MATCH($H824,生物种群!$A$3:INDEX(生物种群!$A:$A,COUNTA(生物种群!$A:$A)),),))</f>
        <v/>
      </c>
      <c r="K824" s="55" t="str">
        <f>IF(H824="","",INDEX(生物种群!$E$3:INDEX(生物种群!$E:$E,COUNTA(生物种群!$E:$E)),MATCH($H824,生物种群!$A$3:INDEX(生物种群!$A:$A,COUNTA(生物种群!$A:$A)),),))</f>
        <v/>
      </c>
      <c r="L824" s="46" t="str">
        <f t="shared" si="42"/>
        <v/>
      </c>
      <c r="M824" s="47" t="str">
        <f>IF(L824="","",ROUND((L824)/VLOOKUP($F824,IF({1,0},站位样品信息!$A$3:INDEX(站位样品信息!$A:$A,COUNTA(站位样品信息!$A:$A)+1),站位样品信息!$H$3:INDEX(站位样品信息!$H:$H,COUNTA(站位样品信息!$H:$H)+1)),2,0),2))</f>
        <v/>
      </c>
      <c r="O824" s="49"/>
      <c r="P824" s="53" t="str">
        <f t="shared" si="40"/>
        <v/>
      </c>
      <c r="Q824" s="53" t="str">
        <f t="shared" si="41"/>
        <v/>
      </c>
    </row>
    <row r="825" spans="1:17" ht="19.5" customHeight="1">
      <c r="A825" s="38"/>
      <c r="B825" s="38"/>
      <c r="C825" s="38"/>
      <c r="D825" s="37"/>
      <c r="E825" s="37"/>
      <c r="F825" s="37"/>
      <c r="G825" s="37" t="str">
        <f>IF(F825="","",INDEX(站位样品信息!$B$3:INDEX(站位样品信息!$B:$B,COUNTA(站位样品信息!$B:$B)+1),MATCH($F825,站位样品信息!$A$3:INDEX(站位样品信息!$A:$A,COUNTA(站位样品信息!$A:$A)+1),),))</f>
        <v/>
      </c>
      <c r="H825" s="55" t="str">
        <f>IF(OR(A825&lt;&gt;"",B825&lt;&gt;"",C825&lt;&gt;""),IF($C825&lt;&gt;0,INDEX(生物种群!$A$3:INDEX(生物种群!$A:$A,COUNTA(生物种群!$A:$A)),MATCH($C825,生物种群!$F$3:INDEX(生物种群!$F:$F,COUNTA(生物种群!$F:$F)),),),IF($A825&lt;&gt;0,INDEX(生物种群!$A$3:INDEX(生物种群!$A:$A,COUNTA(生物种群!$A:$A)),MATCH($A825,生物种群!$C$3:INDEX(生物种群!$C:$C,COUNTA(生物种群!$C:$C)),),),INDEX(生物种群!$A$3:INDEX(生物种群!$A:$A,COUNTA(生物种群!$A:$A)),MATCH($B825,生物种群!$D$3:INDEX(生物种群!$D:$D,COUNTA(生物种群!$D:$D)),),))),"")</f>
        <v/>
      </c>
      <c r="I825" s="56" t="str">
        <f>IF(H825="","",INDEX(生物种群!$B$3:INDEX(生物种群!$B:$B,COUNTA(生物种群!$B:$B)),MATCH($H825,生物种群!$A$3:INDEX(生物种群!$A:$A,COUNTA(生物种群!$A:$A)),),))</f>
        <v/>
      </c>
      <c r="J825" s="55" t="str">
        <f>IF(H825="","",INDEX(生物种群!$I$3:INDEX(生物种群!$I:$I,COUNTA(生物种群!$I:$I)),MATCH($H825,生物种群!$A$3:INDEX(生物种群!$A:$A,COUNTA(生物种群!$A:$A)),),))</f>
        <v/>
      </c>
      <c r="K825" s="55" t="str">
        <f>IF(H825="","",INDEX(生物种群!$E$3:INDEX(生物种群!$E:$E,COUNTA(生物种群!$E:$E)),MATCH($H825,生物种群!$A$3:INDEX(生物种群!$A:$A,COUNTA(生物种群!$A:$A)),),))</f>
        <v/>
      </c>
      <c r="L825" s="46" t="str">
        <f t="shared" si="42"/>
        <v/>
      </c>
      <c r="M825" s="47" t="str">
        <f>IF(L825="","",ROUND((L825)/VLOOKUP($F825,IF({1,0},站位样品信息!$A$3:INDEX(站位样品信息!$A:$A,COUNTA(站位样品信息!$A:$A)+1),站位样品信息!$H$3:INDEX(站位样品信息!$H:$H,COUNTA(站位样品信息!$H:$H)+1)),2,0),2))</f>
        <v/>
      </c>
      <c r="O825" s="49"/>
      <c r="P825" s="53" t="str">
        <f t="shared" si="40"/>
        <v/>
      </c>
      <c r="Q825" s="53" t="str">
        <f t="shared" si="41"/>
        <v/>
      </c>
    </row>
    <row r="826" spans="1:17" ht="19.5" customHeight="1">
      <c r="A826" s="38"/>
      <c r="B826" s="38"/>
      <c r="C826" s="38"/>
      <c r="D826" s="37"/>
      <c r="E826" s="37"/>
      <c r="F826" s="37"/>
      <c r="G826" s="37" t="str">
        <f>IF(F826="","",INDEX(站位样品信息!$B$3:INDEX(站位样品信息!$B:$B,COUNTA(站位样品信息!$B:$B)+1),MATCH($F826,站位样品信息!$A$3:INDEX(站位样品信息!$A:$A,COUNTA(站位样品信息!$A:$A)+1),),))</f>
        <v/>
      </c>
      <c r="H826" s="55" t="str">
        <f>IF(OR(A826&lt;&gt;"",B826&lt;&gt;"",C826&lt;&gt;""),IF($C826&lt;&gt;0,INDEX(生物种群!$A$3:INDEX(生物种群!$A:$A,COUNTA(生物种群!$A:$A)),MATCH($C826,生物种群!$F$3:INDEX(生物种群!$F:$F,COUNTA(生物种群!$F:$F)),),),IF($A826&lt;&gt;0,INDEX(生物种群!$A$3:INDEX(生物种群!$A:$A,COUNTA(生物种群!$A:$A)),MATCH($A826,生物种群!$C$3:INDEX(生物种群!$C:$C,COUNTA(生物种群!$C:$C)),),),INDEX(生物种群!$A$3:INDEX(生物种群!$A:$A,COUNTA(生物种群!$A:$A)),MATCH($B826,生物种群!$D$3:INDEX(生物种群!$D:$D,COUNTA(生物种群!$D:$D)),),))),"")</f>
        <v/>
      </c>
      <c r="I826" s="56" t="str">
        <f>IF(H826="","",INDEX(生物种群!$B$3:INDEX(生物种群!$B:$B,COUNTA(生物种群!$B:$B)),MATCH($H826,生物种群!$A$3:INDEX(生物种群!$A:$A,COUNTA(生物种群!$A:$A)),),))</f>
        <v/>
      </c>
      <c r="J826" s="55" t="str">
        <f>IF(H826="","",INDEX(生物种群!$I$3:INDEX(生物种群!$I:$I,COUNTA(生物种群!$I:$I)),MATCH($H826,生物种群!$A$3:INDEX(生物种群!$A:$A,COUNTA(生物种群!$A:$A)),),))</f>
        <v/>
      </c>
      <c r="K826" s="55" t="str">
        <f>IF(H826="","",INDEX(生物种群!$E$3:INDEX(生物种群!$E:$E,COUNTA(生物种群!$E:$E)),MATCH($H826,生物种群!$A$3:INDEX(生物种群!$A:$A,COUNTA(生物种群!$A:$A)),),))</f>
        <v/>
      </c>
      <c r="L826" s="46" t="str">
        <f t="shared" si="42"/>
        <v/>
      </c>
      <c r="M826" s="47" t="str">
        <f>IF(L826="","",ROUND((L826)/VLOOKUP($F826,IF({1,0},站位样品信息!$A$3:INDEX(站位样品信息!$A:$A,COUNTA(站位样品信息!$A:$A)+1),站位样品信息!$H$3:INDEX(站位样品信息!$H:$H,COUNTA(站位样品信息!$H:$H)+1)),2,0),2))</f>
        <v/>
      </c>
      <c r="O826" s="49"/>
      <c r="P826" s="53" t="str">
        <f t="shared" si="40"/>
        <v/>
      </c>
      <c r="Q826" s="53" t="str">
        <f t="shared" si="41"/>
        <v/>
      </c>
    </row>
    <row r="827" spans="1:17" ht="19.5" customHeight="1">
      <c r="A827" s="38"/>
      <c r="B827" s="38"/>
      <c r="C827" s="38"/>
      <c r="D827" s="37"/>
      <c r="E827" s="37"/>
      <c r="F827" s="37"/>
      <c r="G827" s="37" t="str">
        <f>IF(F827="","",INDEX(站位样品信息!$B$3:INDEX(站位样品信息!$B:$B,COUNTA(站位样品信息!$B:$B)+1),MATCH($F827,站位样品信息!$A$3:INDEX(站位样品信息!$A:$A,COUNTA(站位样品信息!$A:$A)+1),),))</f>
        <v/>
      </c>
      <c r="H827" s="55" t="str">
        <f>IF(OR(A827&lt;&gt;"",B827&lt;&gt;"",C827&lt;&gt;""),IF($C827&lt;&gt;0,INDEX(生物种群!$A$3:INDEX(生物种群!$A:$A,COUNTA(生物种群!$A:$A)),MATCH($C827,生物种群!$F$3:INDEX(生物种群!$F:$F,COUNTA(生物种群!$F:$F)),),),IF($A827&lt;&gt;0,INDEX(生物种群!$A$3:INDEX(生物种群!$A:$A,COUNTA(生物种群!$A:$A)),MATCH($A827,生物种群!$C$3:INDEX(生物种群!$C:$C,COUNTA(生物种群!$C:$C)),),),INDEX(生物种群!$A$3:INDEX(生物种群!$A:$A,COUNTA(生物种群!$A:$A)),MATCH($B827,生物种群!$D$3:INDEX(生物种群!$D:$D,COUNTA(生物种群!$D:$D)),),))),"")</f>
        <v/>
      </c>
      <c r="I827" s="56" t="str">
        <f>IF(H827="","",INDEX(生物种群!$B$3:INDEX(生物种群!$B:$B,COUNTA(生物种群!$B:$B)),MATCH($H827,生物种群!$A$3:INDEX(生物种群!$A:$A,COUNTA(生物种群!$A:$A)),),))</f>
        <v/>
      </c>
      <c r="J827" s="55" t="str">
        <f>IF(H827="","",INDEX(生物种群!$I$3:INDEX(生物种群!$I:$I,COUNTA(生物种群!$I:$I)),MATCH($H827,生物种群!$A$3:INDEX(生物种群!$A:$A,COUNTA(生物种群!$A:$A)),),))</f>
        <v/>
      </c>
      <c r="K827" s="55" t="str">
        <f>IF(H827="","",INDEX(生物种群!$E$3:INDEX(生物种群!$E:$E,COUNTA(生物种群!$E:$E)),MATCH($H827,生物种群!$A$3:INDEX(生物种群!$A:$A,COUNTA(生物种群!$A:$A)),),))</f>
        <v/>
      </c>
      <c r="L827" s="46" t="str">
        <f t="shared" si="42"/>
        <v/>
      </c>
      <c r="M827" s="47" t="str">
        <f>IF(L827="","",ROUND((L827)/VLOOKUP($F827,IF({1,0},站位样品信息!$A$3:INDEX(站位样品信息!$A:$A,COUNTA(站位样品信息!$A:$A)+1),站位样品信息!$H$3:INDEX(站位样品信息!$H:$H,COUNTA(站位样品信息!$H:$H)+1)),2,0),2))</f>
        <v/>
      </c>
      <c r="O827" s="49"/>
      <c r="P827" s="53" t="str">
        <f t="shared" si="40"/>
        <v/>
      </c>
      <c r="Q827" s="53" t="str">
        <f t="shared" si="41"/>
        <v/>
      </c>
    </row>
    <row r="828" spans="1:17" ht="19.5" customHeight="1">
      <c r="A828" s="38"/>
      <c r="B828" s="38"/>
      <c r="C828" s="38"/>
      <c r="D828" s="37"/>
      <c r="E828" s="37"/>
      <c r="F828" s="37"/>
      <c r="G828" s="37" t="str">
        <f>IF(F828="","",INDEX(站位样品信息!$B$3:INDEX(站位样品信息!$B:$B,COUNTA(站位样品信息!$B:$B)+1),MATCH($F828,站位样品信息!$A$3:INDEX(站位样品信息!$A:$A,COUNTA(站位样品信息!$A:$A)+1),),))</f>
        <v/>
      </c>
      <c r="H828" s="55" t="str">
        <f>IF(OR(A828&lt;&gt;"",B828&lt;&gt;"",C828&lt;&gt;""),IF($C828&lt;&gt;0,INDEX(生物种群!$A$3:INDEX(生物种群!$A:$A,COUNTA(生物种群!$A:$A)),MATCH($C828,生物种群!$F$3:INDEX(生物种群!$F:$F,COUNTA(生物种群!$F:$F)),),),IF($A828&lt;&gt;0,INDEX(生物种群!$A$3:INDEX(生物种群!$A:$A,COUNTA(生物种群!$A:$A)),MATCH($A828,生物种群!$C$3:INDEX(生物种群!$C:$C,COUNTA(生物种群!$C:$C)),),),INDEX(生物种群!$A$3:INDEX(生物种群!$A:$A,COUNTA(生物种群!$A:$A)),MATCH($B828,生物种群!$D$3:INDEX(生物种群!$D:$D,COUNTA(生物种群!$D:$D)),),))),"")</f>
        <v/>
      </c>
      <c r="I828" s="56" t="str">
        <f>IF(H828="","",INDEX(生物种群!$B$3:INDEX(生物种群!$B:$B,COUNTA(生物种群!$B:$B)),MATCH($H828,生物种群!$A$3:INDEX(生物种群!$A:$A,COUNTA(生物种群!$A:$A)),),))</f>
        <v/>
      </c>
      <c r="J828" s="55" t="str">
        <f>IF(H828="","",INDEX(生物种群!$I$3:INDEX(生物种群!$I:$I,COUNTA(生物种群!$I:$I)),MATCH($H828,生物种群!$A$3:INDEX(生物种群!$A:$A,COUNTA(生物种群!$A:$A)),),))</f>
        <v/>
      </c>
      <c r="K828" s="55" t="str">
        <f>IF(H828="","",INDEX(生物种群!$E$3:INDEX(生物种群!$E:$E,COUNTA(生物种群!$E:$E)),MATCH($H828,生物种群!$A$3:INDEX(生物种群!$A:$A,COUNTA(生物种群!$A:$A)),),))</f>
        <v/>
      </c>
      <c r="L828" s="46" t="str">
        <f t="shared" si="42"/>
        <v/>
      </c>
      <c r="M828" s="47" t="str">
        <f>IF(L828="","",ROUND((L828)/VLOOKUP($F828,IF({1,0},站位样品信息!$A$3:INDEX(站位样品信息!$A:$A,COUNTA(站位样品信息!$A:$A)+1),站位样品信息!$H$3:INDEX(站位样品信息!$H:$H,COUNTA(站位样品信息!$H:$H)+1)),2,0),2))</f>
        <v/>
      </c>
      <c r="O828" s="49"/>
      <c r="P828" s="53" t="str">
        <f t="shared" si="40"/>
        <v/>
      </c>
      <c r="Q828" s="53" t="str">
        <f t="shared" si="41"/>
        <v/>
      </c>
    </row>
    <row r="829" spans="1:17" ht="19.5" customHeight="1">
      <c r="A829" s="38"/>
      <c r="B829" s="38"/>
      <c r="C829" s="38"/>
      <c r="D829" s="37"/>
      <c r="E829" s="37"/>
      <c r="F829" s="37"/>
      <c r="G829" s="37" t="str">
        <f>IF(F829="","",INDEX(站位样品信息!$B$3:INDEX(站位样品信息!$B:$B,COUNTA(站位样品信息!$B:$B)+1),MATCH($F829,站位样品信息!$A$3:INDEX(站位样品信息!$A:$A,COUNTA(站位样品信息!$A:$A)+1),),))</f>
        <v/>
      </c>
      <c r="H829" s="55" t="str">
        <f>IF(OR(A829&lt;&gt;"",B829&lt;&gt;"",C829&lt;&gt;""),IF($C829&lt;&gt;0,INDEX(生物种群!$A$3:INDEX(生物种群!$A:$A,COUNTA(生物种群!$A:$A)),MATCH($C829,生物种群!$F$3:INDEX(生物种群!$F:$F,COUNTA(生物种群!$F:$F)),),),IF($A829&lt;&gt;0,INDEX(生物种群!$A$3:INDEX(生物种群!$A:$A,COUNTA(生物种群!$A:$A)),MATCH($A829,生物种群!$C$3:INDEX(生物种群!$C:$C,COUNTA(生物种群!$C:$C)),),),INDEX(生物种群!$A$3:INDEX(生物种群!$A:$A,COUNTA(生物种群!$A:$A)),MATCH($B829,生物种群!$D$3:INDEX(生物种群!$D:$D,COUNTA(生物种群!$D:$D)),),))),"")</f>
        <v/>
      </c>
      <c r="I829" s="56" t="str">
        <f>IF(H829="","",INDEX(生物种群!$B$3:INDEX(生物种群!$B:$B,COUNTA(生物种群!$B:$B)),MATCH($H829,生物种群!$A$3:INDEX(生物种群!$A:$A,COUNTA(生物种群!$A:$A)),),))</f>
        <v/>
      </c>
      <c r="J829" s="55" t="str">
        <f>IF(H829="","",INDEX(生物种群!$I$3:INDEX(生物种群!$I:$I,COUNTA(生物种群!$I:$I)),MATCH($H829,生物种群!$A$3:INDEX(生物种群!$A:$A,COUNTA(生物种群!$A:$A)),),))</f>
        <v/>
      </c>
      <c r="K829" s="55" t="str">
        <f>IF(H829="","",INDEX(生物种群!$E$3:INDEX(生物种群!$E:$E,COUNTA(生物种群!$E:$E)),MATCH($H829,生物种群!$A$3:INDEX(生物种群!$A:$A,COUNTA(生物种群!$A:$A)),),))</f>
        <v/>
      </c>
      <c r="L829" s="46" t="str">
        <f t="shared" si="42"/>
        <v/>
      </c>
      <c r="M829" s="47" t="str">
        <f>IF(L829="","",ROUND((L829)/VLOOKUP($F829,IF({1,0},站位样品信息!$A$3:INDEX(站位样品信息!$A:$A,COUNTA(站位样品信息!$A:$A)+1),站位样品信息!$H$3:INDEX(站位样品信息!$H:$H,COUNTA(站位样品信息!$H:$H)+1)),2,0),2))</f>
        <v/>
      </c>
      <c r="O829" s="49"/>
      <c r="P829" s="53" t="str">
        <f t="shared" si="40"/>
        <v/>
      </c>
      <c r="Q829" s="53" t="str">
        <f t="shared" si="41"/>
        <v/>
      </c>
    </row>
    <row r="830" spans="1:17" ht="19.5" customHeight="1">
      <c r="A830" s="38"/>
      <c r="B830" s="38"/>
      <c r="C830" s="38"/>
      <c r="D830" s="37"/>
      <c r="E830" s="37"/>
      <c r="F830" s="37"/>
      <c r="G830" s="37" t="str">
        <f>IF(F830="","",INDEX(站位样品信息!$B$3:INDEX(站位样品信息!$B:$B,COUNTA(站位样品信息!$B:$B)+1),MATCH($F830,站位样品信息!$A$3:INDEX(站位样品信息!$A:$A,COUNTA(站位样品信息!$A:$A)+1),),))</f>
        <v/>
      </c>
      <c r="H830" s="55" t="str">
        <f>IF(OR(A830&lt;&gt;"",B830&lt;&gt;"",C830&lt;&gt;""),IF($C830&lt;&gt;0,INDEX(生物种群!$A$3:INDEX(生物种群!$A:$A,COUNTA(生物种群!$A:$A)),MATCH($C830,生物种群!$F$3:INDEX(生物种群!$F:$F,COUNTA(生物种群!$F:$F)),),),IF($A830&lt;&gt;0,INDEX(生物种群!$A$3:INDEX(生物种群!$A:$A,COUNTA(生物种群!$A:$A)),MATCH($A830,生物种群!$C$3:INDEX(生物种群!$C:$C,COUNTA(生物种群!$C:$C)),),),INDEX(生物种群!$A$3:INDEX(生物种群!$A:$A,COUNTA(生物种群!$A:$A)),MATCH($B830,生物种群!$D$3:INDEX(生物种群!$D:$D,COUNTA(生物种群!$D:$D)),),))),"")</f>
        <v/>
      </c>
      <c r="I830" s="56" t="str">
        <f>IF(H830="","",INDEX(生物种群!$B$3:INDEX(生物种群!$B:$B,COUNTA(生物种群!$B:$B)),MATCH($H830,生物种群!$A$3:INDEX(生物种群!$A:$A,COUNTA(生物种群!$A:$A)),),))</f>
        <v/>
      </c>
      <c r="J830" s="55" t="str">
        <f>IF(H830="","",INDEX(生物种群!$I$3:INDEX(生物种群!$I:$I,COUNTA(生物种群!$I:$I)),MATCH($H830,生物种群!$A$3:INDEX(生物种群!$A:$A,COUNTA(生物种群!$A:$A)),),))</f>
        <v/>
      </c>
      <c r="K830" s="55" t="str">
        <f>IF(H830="","",INDEX(生物种群!$E$3:INDEX(生物种群!$E:$E,COUNTA(生物种群!$E:$E)),MATCH($H830,生物种群!$A$3:INDEX(生物种群!$A:$A,COUNTA(生物种群!$A:$A)),),))</f>
        <v/>
      </c>
      <c r="L830" s="46" t="str">
        <f t="shared" si="42"/>
        <v/>
      </c>
      <c r="M830" s="47" t="str">
        <f>IF(L830="","",ROUND((L830)/VLOOKUP($F830,IF({1,0},站位样品信息!$A$3:INDEX(站位样品信息!$A:$A,COUNTA(站位样品信息!$A:$A)+1),站位样品信息!$H$3:INDEX(站位样品信息!$H:$H,COUNTA(站位样品信息!$H:$H)+1)),2,0),2))</f>
        <v/>
      </c>
      <c r="O830" s="49"/>
      <c r="P830" s="53" t="str">
        <f t="shared" si="40"/>
        <v/>
      </c>
      <c r="Q830" s="53" t="str">
        <f t="shared" si="41"/>
        <v/>
      </c>
    </row>
    <row r="831" spans="1:17" ht="19.5" customHeight="1">
      <c r="A831" s="38"/>
      <c r="B831" s="38"/>
      <c r="C831" s="38"/>
      <c r="D831" s="37"/>
      <c r="E831" s="37"/>
      <c r="F831" s="37"/>
      <c r="G831" s="37" t="str">
        <f>IF(F831="","",INDEX(站位样品信息!$B$3:INDEX(站位样品信息!$B:$B,COUNTA(站位样品信息!$B:$B)+1),MATCH($F831,站位样品信息!$A$3:INDEX(站位样品信息!$A:$A,COUNTA(站位样品信息!$A:$A)+1),),))</f>
        <v/>
      </c>
      <c r="H831" s="55" t="str">
        <f>IF(OR(A831&lt;&gt;"",B831&lt;&gt;"",C831&lt;&gt;""),IF($C831&lt;&gt;0,INDEX(生物种群!$A$3:INDEX(生物种群!$A:$A,COUNTA(生物种群!$A:$A)),MATCH($C831,生物种群!$F$3:INDEX(生物种群!$F:$F,COUNTA(生物种群!$F:$F)),),),IF($A831&lt;&gt;0,INDEX(生物种群!$A$3:INDEX(生物种群!$A:$A,COUNTA(生物种群!$A:$A)),MATCH($A831,生物种群!$C$3:INDEX(生物种群!$C:$C,COUNTA(生物种群!$C:$C)),),),INDEX(生物种群!$A$3:INDEX(生物种群!$A:$A,COUNTA(生物种群!$A:$A)),MATCH($B831,生物种群!$D$3:INDEX(生物种群!$D:$D,COUNTA(生物种群!$D:$D)),),))),"")</f>
        <v/>
      </c>
      <c r="I831" s="56" t="str">
        <f>IF(H831="","",INDEX(生物种群!$B$3:INDEX(生物种群!$B:$B,COUNTA(生物种群!$B:$B)),MATCH($H831,生物种群!$A$3:INDEX(生物种群!$A:$A,COUNTA(生物种群!$A:$A)),),))</f>
        <v/>
      </c>
      <c r="J831" s="55" t="str">
        <f>IF(H831="","",INDEX(生物种群!$I$3:INDEX(生物种群!$I:$I,COUNTA(生物种群!$I:$I)),MATCH($H831,生物种群!$A$3:INDEX(生物种群!$A:$A,COUNTA(生物种群!$A:$A)),),))</f>
        <v/>
      </c>
      <c r="K831" s="55" t="str">
        <f>IF(H831="","",INDEX(生物种群!$E$3:INDEX(生物种群!$E:$E,COUNTA(生物种群!$E:$E)),MATCH($H831,生物种群!$A$3:INDEX(生物种群!$A:$A,COUNTA(生物种群!$A:$A)),),))</f>
        <v/>
      </c>
      <c r="L831" s="46" t="str">
        <f t="shared" si="42"/>
        <v/>
      </c>
      <c r="M831" s="47" t="str">
        <f>IF(L831="","",ROUND((L831)/VLOOKUP($F831,IF({1,0},站位样品信息!$A$3:INDEX(站位样品信息!$A:$A,COUNTA(站位样品信息!$A:$A)+1),站位样品信息!$H$3:INDEX(站位样品信息!$H:$H,COUNTA(站位样品信息!$H:$H)+1)),2,0),2))</f>
        <v/>
      </c>
      <c r="O831" s="49"/>
      <c r="P831" s="53" t="str">
        <f t="shared" si="40"/>
        <v/>
      </c>
      <c r="Q831" s="53" t="str">
        <f t="shared" si="41"/>
        <v/>
      </c>
    </row>
    <row r="832" spans="1:17" ht="19.5" customHeight="1">
      <c r="A832" s="38"/>
      <c r="B832" s="38"/>
      <c r="C832" s="38"/>
      <c r="D832" s="37"/>
      <c r="E832" s="37"/>
      <c r="F832" s="37"/>
      <c r="G832" s="37" t="str">
        <f>IF(F832="","",INDEX(站位样品信息!$B$3:INDEX(站位样品信息!$B:$B,COUNTA(站位样品信息!$B:$B)+1),MATCH($F832,站位样品信息!$A$3:INDEX(站位样品信息!$A:$A,COUNTA(站位样品信息!$A:$A)+1),),))</f>
        <v/>
      </c>
      <c r="H832" s="55" t="str">
        <f>IF(OR(A832&lt;&gt;"",B832&lt;&gt;"",C832&lt;&gt;""),IF($C832&lt;&gt;0,INDEX(生物种群!$A$3:INDEX(生物种群!$A:$A,COUNTA(生物种群!$A:$A)),MATCH($C832,生物种群!$F$3:INDEX(生物种群!$F:$F,COUNTA(生物种群!$F:$F)),),),IF($A832&lt;&gt;0,INDEX(生物种群!$A$3:INDEX(生物种群!$A:$A,COUNTA(生物种群!$A:$A)),MATCH($A832,生物种群!$C$3:INDEX(生物种群!$C:$C,COUNTA(生物种群!$C:$C)),),),INDEX(生物种群!$A$3:INDEX(生物种群!$A:$A,COUNTA(生物种群!$A:$A)),MATCH($B832,生物种群!$D$3:INDEX(生物种群!$D:$D,COUNTA(生物种群!$D:$D)),),))),"")</f>
        <v/>
      </c>
      <c r="I832" s="56" t="str">
        <f>IF(H832="","",INDEX(生物种群!$B$3:INDEX(生物种群!$B:$B,COUNTA(生物种群!$B:$B)),MATCH($H832,生物种群!$A$3:INDEX(生物种群!$A:$A,COUNTA(生物种群!$A:$A)),),))</f>
        <v/>
      </c>
      <c r="J832" s="55" t="str">
        <f>IF(H832="","",INDEX(生物种群!$I$3:INDEX(生物种群!$I:$I,COUNTA(生物种群!$I:$I)),MATCH($H832,生物种群!$A$3:INDEX(生物种群!$A:$A,COUNTA(生物种群!$A:$A)),),))</f>
        <v/>
      </c>
      <c r="K832" s="55" t="str">
        <f>IF(H832="","",INDEX(生物种群!$E$3:INDEX(生物种群!$E:$E,COUNTA(生物种群!$E:$E)),MATCH($H832,生物种群!$A$3:INDEX(生物种群!$A:$A,COUNTA(生物种群!$A:$A)),),))</f>
        <v/>
      </c>
      <c r="L832" s="46" t="str">
        <f t="shared" si="42"/>
        <v/>
      </c>
      <c r="M832" s="47" t="str">
        <f>IF(L832="","",ROUND((L832)/VLOOKUP($F832,IF({1,0},站位样品信息!$A$3:INDEX(站位样品信息!$A:$A,COUNTA(站位样品信息!$A:$A)+1),站位样品信息!$H$3:INDEX(站位样品信息!$H:$H,COUNTA(站位样品信息!$H:$H)+1)),2,0),2))</f>
        <v/>
      </c>
      <c r="O832" s="49"/>
      <c r="P832" s="53" t="str">
        <f t="shared" si="40"/>
        <v/>
      </c>
      <c r="Q832" s="53" t="str">
        <f t="shared" si="41"/>
        <v/>
      </c>
    </row>
    <row r="833" spans="1:17" ht="19.5" customHeight="1">
      <c r="A833" s="38"/>
      <c r="B833" s="38"/>
      <c r="C833" s="38"/>
      <c r="D833" s="37"/>
      <c r="E833" s="37"/>
      <c r="F833" s="37"/>
      <c r="G833" s="37" t="str">
        <f>IF(F833="","",INDEX(站位样品信息!$B$3:INDEX(站位样品信息!$B:$B,COUNTA(站位样品信息!$B:$B)+1),MATCH($F833,站位样品信息!$A$3:INDEX(站位样品信息!$A:$A,COUNTA(站位样品信息!$A:$A)+1),),))</f>
        <v/>
      </c>
      <c r="H833" s="55" t="str">
        <f>IF(OR(A833&lt;&gt;"",B833&lt;&gt;"",C833&lt;&gt;""),IF($C833&lt;&gt;0,INDEX(生物种群!$A$3:INDEX(生物种群!$A:$A,COUNTA(生物种群!$A:$A)),MATCH($C833,生物种群!$F$3:INDEX(生物种群!$F:$F,COUNTA(生物种群!$F:$F)),),),IF($A833&lt;&gt;0,INDEX(生物种群!$A$3:INDEX(生物种群!$A:$A,COUNTA(生物种群!$A:$A)),MATCH($A833,生物种群!$C$3:INDEX(生物种群!$C:$C,COUNTA(生物种群!$C:$C)),),),INDEX(生物种群!$A$3:INDEX(生物种群!$A:$A,COUNTA(生物种群!$A:$A)),MATCH($B833,生物种群!$D$3:INDEX(生物种群!$D:$D,COUNTA(生物种群!$D:$D)),),))),"")</f>
        <v/>
      </c>
      <c r="I833" s="56" t="str">
        <f>IF(H833="","",INDEX(生物种群!$B$3:INDEX(生物种群!$B:$B,COUNTA(生物种群!$B:$B)),MATCH($H833,生物种群!$A$3:INDEX(生物种群!$A:$A,COUNTA(生物种群!$A:$A)),),))</f>
        <v/>
      </c>
      <c r="J833" s="55" t="str">
        <f>IF(H833="","",INDEX(生物种群!$I$3:INDEX(生物种群!$I:$I,COUNTA(生物种群!$I:$I)),MATCH($H833,生物种群!$A$3:INDEX(生物种群!$A:$A,COUNTA(生物种群!$A:$A)),),))</f>
        <v/>
      </c>
      <c r="K833" s="55" t="str">
        <f>IF(H833="","",INDEX(生物种群!$E$3:INDEX(生物种群!$E:$E,COUNTA(生物种群!$E:$E)),MATCH($H833,生物种群!$A$3:INDEX(生物种群!$A:$A,COUNTA(生物种群!$A:$A)),),))</f>
        <v/>
      </c>
      <c r="L833" s="46" t="str">
        <f t="shared" si="42"/>
        <v/>
      </c>
      <c r="M833" s="47" t="str">
        <f>IF(L833="","",ROUND((L833)/VLOOKUP($F833,IF({1,0},站位样品信息!$A$3:INDEX(站位样品信息!$A:$A,COUNTA(站位样品信息!$A:$A)+1),站位样品信息!$H$3:INDEX(站位样品信息!$H:$H,COUNTA(站位样品信息!$H:$H)+1)),2,0),2))</f>
        <v/>
      </c>
      <c r="O833" s="49"/>
      <c r="P833" s="53" t="str">
        <f t="shared" si="40"/>
        <v/>
      </c>
      <c r="Q833" s="53" t="str">
        <f t="shared" si="41"/>
        <v/>
      </c>
    </row>
    <row r="834" spans="1:17" ht="19.5" customHeight="1">
      <c r="A834" s="38"/>
      <c r="B834" s="38"/>
      <c r="C834" s="38"/>
      <c r="D834" s="37"/>
      <c r="E834" s="37"/>
      <c r="F834" s="37"/>
      <c r="G834" s="37" t="str">
        <f>IF(F834="","",INDEX(站位样品信息!$B$3:INDEX(站位样品信息!$B:$B,COUNTA(站位样品信息!$B:$B)+1),MATCH($F834,站位样品信息!$A$3:INDEX(站位样品信息!$A:$A,COUNTA(站位样品信息!$A:$A)+1),),))</f>
        <v/>
      </c>
      <c r="H834" s="55" t="str">
        <f>IF(OR(A834&lt;&gt;"",B834&lt;&gt;"",C834&lt;&gt;""),IF($C834&lt;&gt;0,INDEX(生物种群!$A$3:INDEX(生物种群!$A:$A,COUNTA(生物种群!$A:$A)),MATCH($C834,生物种群!$F$3:INDEX(生物种群!$F:$F,COUNTA(生物种群!$F:$F)),),),IF($A834&lt;&gt;0,INDEX(生物种群!$A$3:INDEX(生物种群!$A:$A,COUNTA(生物种群!$A:$A)),MATCH($A834,生物种群!$C$3:INDEX(生物种群!$C:$C,COUNTA(生物种群!$C:$C)),),),INDEX(生物种群!$A$3:INDEX(生物种群!$A:$A,COUNTA(生物种群!$A:$A)),MATCH($B834,生物种群!$D$3:INDEX(生物种群!$D:$D,COUNTA(生物种群!$D:$D)),),))),"")</f>
        <v/>
      </c>
      <c r="I834" s="56" t="str">
        <f>IF(H834="","",INDEX(生物种群!$B$3:INDEX(生物种群!$B:$B,COUNTA(生物种群!$B:$B)),MATCH($H834,生物种群!$A$3:INDEX(生物种群!$A:$A,COUNTA(生物种群!$A:$A)),),))</f>
        <v/>
      </c>
      <c r="J834" s="55" t="str">
        <f>IF(H834="","",INDEX(生物种群!$I$3:INDEX(生物种群!$I:$I,COUNTA(生物种群!$I:$I)),MATCH($H834,生物种群!$A$3:INDEX(生物种群!$A:$A,COUNTA(生物种群!$A:$A)),),))</f>
        <v/>
      </c>
      <c r="K834" s="55" t="str">
        <f>IF(H834="","",INDEX(生物种群!$E$3:INDEX(生物种群!$E:$E,COUNTA(生物种群!$E:$E)),MATCH($H834,生物种群!$A$3:INDEX(生物种群!$A:$A,COUNTA(生物种群!$A:$A)),),))</f>
        <v/>
      </c>
      <c r="L834" s="46" t="str">
        <f t="shared" si="42"/>
        <v/>
      </c>
      <c r="M834" s="47" t="str">
        <f>IF(L834="","",ROUND((L834)/VLOOKUP($F834,IF({1,0},站位样品信息!$A$3:INDEX(站位样品信息!$A:$A,COUNTA(站位样品信息!$A:$A)+1),站位样品信息!$H$3:INDEX(站位样品信息!$H:$H,COUNTA(站位样品信息!$H:$H)+1)),2,0),2))</f>
        <v/>
      </c>
      <c r="O834" s="49"/>
      <c r="P834" s="53" t="str">
        <f t="shared" si="40"/>
        <v/>
      </c>
      <c r="Q834" s="53" t="str">
        <f t="shared" si="41"/>
        <v/>
      </c>
    </row>
    <row r="835" spans="1:17" ht="19.5" customHeight="1">
      <c r="A835" s="38"/>
      <c r="B835" s="38"/>
      <c r="C835" s="38"/>
      <c r="D835" s="37"/>
      <c r="E835" s="37"/>
      <c r="F835" s="37"/>
      <c r="G835" s="37" t="str">
        <f>IF(F835="","",INDEX(站位样品信息!$B$3:INDEX(站位样品信息!$B:$B,COUNTA(站位样品信息!$B:$B)+1),MATCH($F835,站位样品信息!$A$3:INDEX(站位样品信息!$A:$A,COUNTA(站位样品信息!$A:$A)+1),),))</f>
        <v/>
      </c>
      <c r="H835" s="55" t="str">
        <f>IF(OR(A835&lt;&gt;"",B835&lt;&gt;"",C835&lt;&gt;""),IF($C835&lt;&gt;0,INDEX(生物种群!$A$3:INDEX(生物种群!$A:$A,COUNTA(生物种群!$A:$A)),MATCH($C835,生物种群!$F$3:INDEX(生物种群!$F:$F,COUNTA(生物种群!$F:$F)),),),IF($A835&lt;&gt;0,INDEX(生物种群!$A$3:INDEX(生物种群!$A:$A,COUNTA(生物种群!$A:$A)),MATCH($A835,生物种群!$C$3:INDEX(生物种群!$C:$C,COUNTA(生物种群!$C:$C)),),),INDEX(生物种群!$A$3:INDEX(生物种群!$A:$A,COUNTA(生物种群!$A:$A)),MATCH($B835,生物种群!$D$3:INDEX(生物种群!$D:$D,COUNTA(生物种群!$D:$D)),),))),"")</f>
        <v/>
      </c>
      <c r="I835" s="56" t="str">
        <f>IF(H835="","",INDEX(生物种群!$B$3:INDEX(生物种群!$B:$B,COUNTA(生物种群!$B:$B)),MATCH($H835,生物种群!$A$3:INDEX(生物种群!$A:$A,COUNTA(生物种群!$A:$A)),),))</f>
        <v/>
      </c>
      <c r="J835" s="55" t="str">
        <f>IF(H835="","",INDEX(生物种群!$I$3:INDEX(生物种群!$I:$I,COUNTA(生物种群!$I:$I)),MATCH($H835,生物种群!$A$3:INDEX(生物种群!$A:$A,COUNTA(生物种群!$A:$A)),),))</f>
        <v/>
      </c>
      <c r="K835" s="55" t="str">
        <f>IF(H835="","",INDEX(生物种群!$E$3:INDEX(生物种群!$E:$E,COUNTA(生物种群!$E:$E)),MATCH($H835,生物种群!$A$3:INDEX(生物种群!$A:$A,COUNTA(生物种群!$A:$A)),),))</f>
        <v/>
      </c>
      <c r="L835" s="46" t="str">
        <f t="shared" si="42"/>
        <v/>
      </c>
      <c r="M835" s="47" t="str">
        <f>IF(L835="","",ROUND((L835)/VLOOKUP($F835,IF({1,0},站位样品信息!$A$3:INDEX(站位样品信息!$A:$A,COUNTA(站位样品信息!$A:$A)+1),站位样品信息!$H$3:INDEX(站位样品信息!$H:$H,COUNTA(站位样品信息!$H:$H)+1)),2,0),2))</f>
        <v/>
      </c>
      <c r="O835" s="49"/>
      <c r="P835" s="53" t="str">
        <f t="shared" si="43" ref="P835:P898">IF(F835&gt;0,F835&amp;I835,"")</f>
        <v/>
      </c>
      <c r="Q835" s="53" t="str">
        <f t="shared" si="44" ref="Q835:Q898">IF(COUNTIF($P:$P,P835)=1,"",IF(A835&amp;B835&amp;C835="","","重复"))</f>
        <v/>
      </c>
    </row>
    <row r="836" spans="1:17" ht="19.5" customHeight="1">
      <c r="A836" s="38"/>
      <c r="B836" s="38"/>
      <c r="C836" s="38"/>
      <c r="D836" s="37"/>
      <c r="E836" s="37"/>
      <c r="F836" s="37"/>
      <c r="G836" s="37" t="str">
        <f>IF(F836="","",INDEX(站位样品信息!$B$3:INDEX(站位样品信息!$B:$B,COUNTA(站位样品信息!$B:$B)+1),MATCH($F836,站位样品信息!$A$3:INDEX(站位样品信息!$A:$A,COUNTA(站位样品信息!$A:$A)+1),),))</f>
        <v/>
      </c>
      <c r="H836" s="55" t="str">
        <f>IF(OR(A836&lt;&gt;"",B836&lt;&gt;"",C836&lt;&gt;""),IF($C836&lt;&gt;0,INDEX(生物种群!$A$3:INDEX(生物种群!$A:$A,COUNTA(生物种群!$A:$A)),MATCH($C836,生物种群!$F$3:INDEX(生物种群!$F:$F,COUNTA(生物种群!$F:$F)),),),IF($A836&lt;&gt;0,INDEX(生物种群!$A$3:INDEX(生物种群!$A:$A,COUNTA(生物种群!$A:$A)),MATCH($A836,生物种群!$C$3:INDEX(生物种群!$C:$C,COUNTA(生物种群!$C:$C)),),),INDEX(生物种群!$A$3:INDEX(生物种群!$A:$A,COUNTA(生物种群!$A:$A)),MATCH($B836,生物种群!$D$3:INDEX(生物种群!$D:$D,COUNTA(生物种群!$D:$D)),),))),"")</f>
        <v/>
      </c>
      <c r="I836" s="56" t="str">
        <f>IF(H836="","",INDEX(生物种群!$B$3:INDEX(生物种群!$B:$B,COUNTA(生物种群!$B:$B)),MATCH($H836,生物种群!$A$3:INDEX(生物种群!$A:$A,COUNTA(生物种群!$A:$A)),),))</f>
        <v/>
      </c>
      <c r="J836" s="55" t="str">
        <f>IF(H836="","",INDEX(生物种群!$I$3:INDEX(生物种群!$I:$I,COUNTA(生物种群!$I:$I)),MATCH($H836,生物种群!$A$3:INDEX(生物种群!$A:$A,COUNTA(生物种群!$A:$A)),),))</f>
        <v/>
      </c>
      <c r="K836" s="55" t="str">
        <f>IF(H836="","",INDEX(生物种群!$E$3:INDEX(生物种群!$E:$E,COUNTA(生物种群!$E:$E)),MATCH($H836,生物种群!$A$3:INDEX(生物种群!$A:$A,COUNTA(生物种群!$A:$A)),),))</f>
        <v/>
      </c>
      <c r="L836" s="46" t="str">
        <f t="shared" si="42"/>
        <v/>
      </c>
      <c r="M836" s="47" t="str">
        <f>IF(L836="","",ROUND((L836)/VLOOKUP($F836,IF({1,0},站位样品信息!$A$3:INDEX(站位样品信息!$A:$A,COUNTA(站位样品信息!$A:$A)+1),站位样品信息!$H$3:INDEX(站位样品信息!$H:$H,COUNTA(站位样品信息!$H:$H)+1)),2,0),2))</f>
        <v/>
      </c>
      <c r="O836" s="49"/>
      <c r="P836" s="53" t="str">
        <f t="shared" si="43"/>
        <v/>
      </c>
      <c r="Q836" s="53" t="str">
        <f t="shared" si="44"/>
        <v/>
      </c>
    </row>
    <row r="837" spans="1:17" ht="19.5" customHeight="1">
      <c r="A837" s="38"/>
      <c r="B837" s="38"/>
      <c r="C837" s="38"/>
      <c r="D837" s="37"/>
      <c r="E837" s="37"/>
      <c r="F837" s="37"/>
      <c r="G837" s="37" t="str">
        <f>IF(F837="","",INDEX(站位样品信息!$B$3:INDEX(站位样品信息!$B:$B,COUNTA(站位样品信息!$B:$B)+1),MATCH($F837,站位样品信息!$A$3:INDEX(站位样品信息!$A:$A,COUNTA(站位样品信息!$A:$A)+1),),))</f>
        <v/>
      </c>
      <c r="H837" s="55" t="str">
        <f>IF(OR(A837&lt;&gt;"",B837&lt;&gt;"",C837&lt;&gt;""),IF($C837&lt;&gt;0,INDEX(生物种群!$A$3:INDEX(生物种群!$A:$A,COUNTA(生物种群!$A:$A)),MATCH($C837,生物种群!$F$3:INDEX(生物种群!$F:$F,COUNTA(生物种群!$F:$F)),),),IF($A837&lt;&gt;0,INDEX(生物种群!$A$3:INDEX(生物种群!$A:$A,COUNTA(生物种群!$A:$A)),MATCH($A837,生物种群!$C$3:INDEX(生物种群!$C:$C,COUNTA(生物种群!$C:$C)),),),INDEX(生物种群!$A$3:INDEX(生物种群!$A:$A,COUNTA(生物种群!$A:$A)),MATCH($B837,生物种群!$D$3:INDEX(生物种群!$D:$D,COUNTA(生物种群!$D:$D)),),))),"")</f>
        <v/>
      </c>
      <c r="I837" s="56" t="str">
        <f>IF(H837="","",INDEX(生物种群!$B$3:INDEX(生物种群!$B:$B,COUNTA(生物种群!$B:$B)),MATCH($H837,生物种群!$A$3:INDEX(生物种群!$A:$A,COUNTA(生物种群!$A:$A)),),))</f>
        <v/>
      </c>
      <c r="J837" s="55" t="str">
        <f>IF(H837="","",INDEX(生物种群!$I$3:INDEX(生物种群!$I:$I,COUNTA(生物种群!$I:$I)),MATCH($H837,生物种群!$A$3:INDEX(生物种群!$A:$A,COUNTA(生物种群!$A:$A)),),))</f>
        <v/>
      </c>
      <c r="K837" s="55" t="str">
        <f>IF(H837="","",INDEX(生物种群!$E$3:INDEX(生物种群!$E:$E,COUNTA(生物种群!$E:$E)),MATCH($H837,生物种群!$A$3:INDEX(生物种群!$A:$A,COUNTA(生物种群!$A:$A)),),))</f>
        <v/>
      </c>
      <c r="L837" s="46" t="str">
        <f t="shared" si="42"/>
        <v/>
      </c>
      <c r="M837" s="47" t="str">
        <f>IF(L837="","",ROUND((L837)/VLOOKUP($F837,IF({1,0},站位样品信息!$A$3:INDEX(站位样品信息!$A:$A,COUNTA(站位样品信息!$A:$A)+1),站位样品信息!$H$3:INDEX(站位样品信息!$H:$H,COUNTA(站位样品信息!$H:$H)+1)),2,0),2))</f>
        <v/>
      </c>
      <c r="O837" s="49"/>
      <c r="P837" s="53" t="str">
        <f t="shared" si="43"/>
        <v/>
      </c>
      <c r="Q837" s="53" t="str">
        <f t="shared" si="44"/>
        <v/>
      </c>
    </row>
    <row r="838" spans="1:17" ht="19.5" customHeight="1">
      <c r="A838" s="38"/>
      <c r="B838" s="38"/>
      <c r="C838" s="38"/>
      <c r="D838" s="37"/>
      <c r="E838" s="37"/>
      <c r="F838" s="37"/>
      <c r="G838" s="37" t="str">
        <f>IF(F838="","",INDEX(站位样品信息!$B$3:INDEX(站位样品信息!$B:$B,COUNTA(站位样品信息!$B:$B)+1),MATCH($F838,站位样品信息!$A$3:INDEX(站位样品信息!$A:$A,COUNTA(站位样品信息!$A:$A)+1),),))</f>
        <v/>
      </c>
      <c r="H838" s="55" t="str">
        <f>IF(OR(A838&lt;&gt;"",B838&lt;&gt;"",C838&lt;&gt;""),IF($C838&lt;&gt;0,INDEX(生物种群!$A$3:INDEX(生物种群!$A:$A,COUNTA(生物种群!$A:$A)),MATCH($C838,生物种群!$F$3:INDEX(生物种群!$F:$F,COUNTA(生物种群!$F:$F)),),),IF($A838&lt;&gt;0,INDEX(生物种群!$A$3:INDEX(生物种群!$A:$A,COUNTA(生物种群!$A:$A)),MATCH($A838,生物种群!$C$3:INDEX(生物种群!$C:$C,COUNTA(生物种群!$C:$C)),),),INDEX(生物种群!$A$3:INDEX(生物种群!$A:$A,COUNTA(生物种群!$A:$A)),MATCH($B838,生物种群!$D$3:INDEX(生物种群!$D:$D,COUNTA(生物种群!$D:$D)),),))),"")</f>
        <v/>
      </c>
      <c r="I838" s="56" t="str">
        <f>IF(H838="","",INDEX(生物种群!$B$3:INDEX(生物种群!$B:$B,COUNTA(生物种群!$B:$B)),MATCH($H838,生物种群!$A$3:INDEX(生物种群!$A:$A,COUNTA(生物种群!$A:$A)),),))</f>
        <v/>
      </c>
      <c r="J838" s="55" t="str">
        <f>IF(H838="","",INDEX(生物种群!$I$3:INDEX(生物种群!$I:$I,COUNTA(生物种群!$I:$I)),MATCH($H838,生物种群!$A$3:INDEX(生物种群!$A:$A,COUNTA(生物种群!$A:$A)),),))</f>
        <v/>
      </c>
      <c r="K838" s="55" t="str">
        <f>IF(H838="","",INDEX(生物种群!$E$3:INDEX(生物种群!$E:$E,COUNTA(生物种群!$E:$E)),MATCH($H838,生物种群!$A$3:INDEX(生物种群!$A:$A,COUNTA(生物种群!$A:$A)),),))</f>
        <v/>
      </c>
      <c r="L838" s="46" t="str">
        <f t="shared" si="42"/>
        <v/>
      </c>
      <c r="M838" s="47" t="str">
        <f>IF(L838="","",ROUND((L838)/VLOOKUP($F838,IF({1,0},站位样品信息!$A$3:INDEX(站位样品信息!$A:$A,COUNTA(站位样品信息!$A:$A)+1),站位样品信息!$H$3:INDEX(站位样品信息!$H:$H,COUNTA(站位样品信息!$H:$H)+1)),2,0),2))</f>
        <v/>
      </c>
      <c r="O838" s="49"/>
      <c r="P838" s="53" t="str">
        <f t="shared" si="43"/>
        <v/>
      </c>
      <c r="Q838" s="53" t="str">
        <f t="shared" si="44"/>
        <v/>
      </c>
    </row>
    <row r="839" spans="1:17" ht="19.5" customHeight="1">
      <c r="A839" s="38"/>
      <c r="B839" s="38"/>
      <c r="C839" s="38"/>
      <c r="D839" s="37"/>
      <c r="E839" s="37"/>
      <c r="F839" s="37"/>
      <c r="G839" s="37" t="str">
        <f>IF(F839="","",INDEX(站位样品信息!$B$3:INDEX(站位样品信息!$B:$B,COUNTA(站位样品信息!$B:$B)+1),MATCH($F839,站位样品信息!$A$3:INDEX(站位样品信息!$A:$A,COUNTA(站位样品信息!$A:$A)+1),),))</f>
        <v/>
      </c>
      <c r="H839" s="55" t="str">
        <f>IF(OR(A839&lt;&gt;"",B839&lt;&gt;"",C839&lt;&gt;""),IF($C839&lt;&gt;0,INDEX(生物种群!$A$3:INDEX(生物种群!$A:$A,COUNTA(生物种群!$A:$A)),MATCH($C839,生物种群!$F$3:INDEX(生物种群!$F:$F,COUNTA(生物种群!$F:$F)),),),IF($A839&lt;&gt;0,INDEX(生物种群!$A$3:INDEX(生物种群!$A:$A,COUNTA(生物种群!$A:$A)),MATCH($A839,生物种群!$C$3:INDEX(生物种群!$C:$C,COUNTA(生物种群!$C:$C)),),),INDEX(生物种群!$A$3:INDEX(生物种群!$A:$A,COUNTA(生物种群!$A:$A)),MATCH($B839,生物种群!$D$3:INDEX(生物种群!$D:$D,COUNTA(生物种群!$D:$D)),),))),"")</f>
        <v/>
      </c>
      <c r="I839" s="56" t="str">
        <f>IF(H839="","",INDEX(生物种群!$B$3:INDEX(生物种群!$B:$B,COUNTA(生物种群!$B:$B)),MATCH($H839,生物种群!$A$3:INDEX(生物种群!$A:$A,COUNTA(生物种群!$A:$A)),),))</f>
        <v/>
      </c>
      <c r="J839" s="55" t="str">
        <f>IF(H839="","",INDEX(生物种群!$I$3:INDEX(生物种群!$I:$I,COUNTA(生物种群!$I:$I)),MATCH($H839,生物种群!$A$3:INDEX(生物种群!$A:$A,COUNTA(生物种群!$A:$A)),),))</f>
        <v/>
      </c>
      <c r="K839" s="55" t="str">
        <f>IF(H839="","",INDEX(生物种群!$E$3:INDEX(生物种群!$E:$E,COUNTA(生物种群!$E:$E)),MATCH($H839,生物种群!$A$3:INDEX(生物种群!$A:$A,COUNTA(生物种群!$A:$A)),),))</f>
        <v/>
      </c>
      <c r="L839" s="46" t="str">
        <f t="shared" si="42"/>
        <v/>
      </c>
      <c r="M839" s="47" t="str">
        <f>IF(L839="","",ROUND((L839)/VLOOKUP($F839,IF({1,0},站位样品信息!$A$3:INDEX(站位样品信息!$A:$A,COUNTA(站位样品信息!$A:$A)+1),站位样品信息!$H$3:INDEX(站位样品信息!$H:$H,COUNTA(站位样品信息!$H:$H)+1)),2,0),2))</f>
        <v/>
      </c>
      <c r="O839" s="49"/>
      <c r="P839" s="53" t="str">
        <f t="shared" si="43"/>
        <v/>
      </c>
      <c r="Q839" s="53" t="str">
        <f t="shared" si="44"/>
        <v/>
      </c>
    </row>
    <row r="840" spans="1:17" ht="19.5" customHeight="1">
      <c r="A840" s="38"/>
      <c r="B840" s="38"/>
      <c r="C840" s="38"/>
      <c r="D840" s="37"/>
      <c r="E840" s="37"/>
      <c r="F840" s="37"/>
      <c r="G840" s="37" t="str">
        <f>IF(F840="","",INDEX(站位样品信息!$B$3:INDEX(站位样品信息!$B:$B,COUNTA(站位样品信息!$B:$B)+1),MATCH($F840,站位样品信息!$A$3:INDEX(站位样品信息!$A:$A,COUNTA(站位样品信息!$A:$A)+1),),))</f>
        <v/>
      </c>
      <c r="H840" s="55" t="str">
        <f>IF(OR(A840&lt;&gt;"",B840&lt;&gt;"",C840&lt;&gt;""),IF($C840&lt;&gt;0,INDEX(生物种群!$A$3:INDEX(生物种群!$A:$A,COUNTA(生物种群!$A:$A)),MATCH($C840,生物种群!$F$3:INDEX(生物种群!$F:$F,COUNTA(生物种群!$F:$F)),),),IF($A840&lt;&gt;0,INDEX(生物种群!$A$3:INDEX(生物种群!$A:$A,COUNTA(生物种群!$A:$A)),MATCH($A840,生物种群!$C$3:INDEX(生物种群!$C:$C,COUNTA(生物种群!$C:$C)),),),INDEX(生物种群!$A$3:INDEX(生物种群!$A:$A,COUNTA(生物种群!$A:$A)),MATCH($B840,生物种群!$D$3:INDEX(生物种群!$D:$D,COUNTA(生物种群!$D:$D)),),))),"")</f>
        <v/>
      </c>
      <c r="I840" s="56" t="str">
        <f>IF(H840="","",INDEX(生物种群!$B$3:INDEX(生物种群!$B:$B,COUNTA(生物种群!$B:$B)),MATCH($H840,生物种群!$A$3:INDEX(生物种群!$A:$A,COUNTA(生物种群!$A:$A)),),))</f>
        <v/>
      </c>
      <c r="J840" s="55" t="str">
        <f>IF(H840="","",INDEX(生物种群!$I$3:INDEX(生物种群!$I:$I,COUNTA(生物种群!$I:$I)),MATCH($H840,生物种群!$A$3:INDEX(生物种群!$A:$A,COUNTA(生物种群!$A:$A)),),))</f>
        <v/>
      </c>
      <c r="K840" s="55" t="str">
        <f>IF(H840="","",INDEX(生物种群!$E$3:INDEX(生物种群!$E:$E,COUNTA(生物种群!$E:$E)),MATCH($H840,生物种群!$A$3:INDEX(生物种群!$A:$A,COUNTA(生物种群!$A:$A)),),))</f>
        <v/>
      </c>
      <c r="L840" s="46" t="str">
        <f t="shared" si="42"/>
        <v/>
      </c>
      <c r="M840" s="47" t="str">
        <f>IF(L840="","",ROUND((L840)/VLOOKUP($F840,IF({1,0},站位样品信息!$A$3:INDEX(站位样品信息!$A:$A,COUNTA(站位样品信息!$A:$A)+1),站位样品信息!$H$3:INDEX(站位样品信息!$H:$H,COUNTA(站位样品信息!$H:$H)+1)),2,0),2))</f>
        <v/>
      </c>
      <c r="O840" s="49"/>
      <c r="P840" s="53" t="str">
        <f t="shared" si="43"/>
        <v/>
      </c>
      <c r="Q840" s="53" t="str">
        <f t="shared" si="44"/>
        <v/>
      </c>
    </row>
    <row r="841" spans="1:17" ht="19.5" customHeight="1">
      <c r="A841" s="38"/>
      <c r="B841" s="38"/>
      <c r="C841" s="38"/>
      <c r="D841" s="37"/>
      <c r="E841" s="37"/>
      <c r="F841" s="37"/>
      <c r="G841" s="37" t="str">
        <f>IF(F841="","",INDEX(站位样品信息!$B$3:INDEX(站位样品信息!$B:$B,COUNTA(站位样品信息!$B:$B)+1),MATCH($F841,站位样品信息!$A$3:INDEX(站位样品信息!$A:$A,COUNTA(站位样品信息!$A:$A)+1),),))</f>
        <v/>
      </c>
      <c r="H841" s="55" t="str">
        <f>IF(OR(A841&lt;&gt;"",B841&lt;&gt;"",C841&lt;&gt;""),IF($C841&lt;&gt;0,INDEX(生物种群!$A$3:INDEX(生物种群!$A:$A,COUNTA(生物种群!$A:$A)),MATCH($C841,生物种群!$F$3:INDEX(生物种群!$F:$F,COUNTA(生物种群!$F:$F)),),),IF($A841&lt;&gt;0,INDEX(生物种群!$A$3:INDEX(生物种群!$A:$A,COUNTA(生物种群!$A:$A)),MATCH($A841,生物种群!$C$3:INDEX(生物种群!$C:$C,COUNTA(生物种群!$C:$C)),),),INDEX(生物种群!$A$3:INDEX(生物种群!$A:$A,COUNTA(生物种群!$A:$A)),MATCH($B841,生物种群!$D$3:INDEX(生物种群!$D:$D,COUNTA(生物种群!$D:$D)),),))),"")</f>
        <v/>
      </c>
      <c r="I841" s="56" t="str">
        <f>IF(H841="","",INDEX(生物种群!$B$3:INDEX(生物种群!$B:$B,COUNTA(生物种群!$B:$B)),MATCH($H841,生物种群!$A$3:INDEX(生物种群!$A:$A,COUNTA(生物种群!$A:$A)),),))</f>
        <v/>
      </c>
      <c r="J841" s="55" t="str">
        <f>IF(H841="","",INDEX(生物种群!$I$3:INDEX(生物种群!$I:$I,COUNTA(生物种群!$I:$I)),MATCH($H841,生物种群!$A$3:INDEX(生物种群!$A:$A,COUNTA(生物种群!$A:$A)),),))</f>
        <v/>
      </c>
      <c r="K841" s="55" t="str">
        <f>IF(H841="","",INDEX(生物种群!$E$3:INDEX(生物种群!$E:$E,COUNTA(生物种群!$E:$E)),MATCH($H841,生物种群!$A$3:INDEX(生物种群!$A:$A,COUNTA(生物种群!$A:$A)),),))</f>
        <v/>
      </c>
      <c r="L841" s="46" t="str">
        <f t="shared" si="42"/>
        <v/>
      </c>
      <c r="M841" s="47" t="str">
        <f>IF(L841="","",ROUND((L841)/VLOOKUP($F841,IF({1,0},站位样品信息!$A$3:INDEX(站位样品信息!$A:$A,COUNTA(站位样品信息!$A:$A)+1),站位样品信息!$H$3:INDEX(站位样品信息!$H:$H,COUNTA(站位样品信息!$H:$H)+1)),2,0),2))</f>
        <v/>
      </c>
      <c r="O841" s="49"/>
      <c r="P841" s="53" t="str">
        <f t="shared" si="43"/>
        <v/>
      </c>
      <c r="Q841" s="53" t="str">
        <f t="shared" si="44"/>
        <v/>
      </c>
    </row>
    <row r="842" spans="1:17" ht="19.5" customHeight="1">
      <c r="A842" s="38"/>
      <c r="B842" s="38"/>
      <c r="C842" s="38"/>
      <c r="D842" s="37"/>
      <c r="E842" s="37"/>
      <c r="F842" s="37"/>
      <c r="G842" s="37" t="str">
        <f>IF(F842="","",INDEX(站位样品信息!$B$3:INDEX(站位样品信息!$B:$B,COUNTA(站位样品信息!$B:$B)+1),MATCH($F842,站位样品信息!$A$3:INDEX(站位样品信息!$A:$A,COUNTA(站位样品信息!$A:$A)+1),),))</f>
        <v/>
      </c>
      <c r="H842" s="55" t="str">
        <f>IF(OR(A842&lt;&gt;"",B842&lt;&gt;"",C842&lt;&gt;""),IF($C842&lt;&gt;0,INDEX(生物种群!$A$3:INDEX(生物种群!$A:$A,COUNTA(生物种群!$A:$A)),MATCH($C842,生物种群!$F$3:INDEX(生物种群!$F:$F,COUNTA(生物种群!$F:$F)),),),IF($A842&lt;&gt;0,INDEX(生物种群!$A$3:INDEX(生物种群!$A:$A,COUNTA(生物种群!$A:$A)),MATCH($A842,生物种群!$C$3:INDEX(生物种群!$C:$C,COUNTA(生物种群!$C:$C)),),),INDEX(生物种群!$A$3:INDEX(生物种群!$A:$A,COUNTA(生物种群!$A:$A)),MATCH($B842,生物种群!$D$3:INDEX(生物种群!$D:$D,COUNTA(生物种群!$D:$D)),),))),"")</f>
        <v/>
      </c>
      <c r="I842" s="56" t="str">
        <f>IF(H842="","",INDEX(生物种群!$B$3:INDEX(生物种群!$B:$B,COUNTA(生物种群!$B:$B)),MATCH($H842,生物种群!$A$3:INDEX(生物种群!$A:$A,COUNTA(生物种群!$A:$A)),),))</f>
        <v/>
      </c>
      <c r="J842" s="55" t="str">
        <f>IF(H842="","",INDEX(生物种群!$I$3:INDEX(生物种群!$I:$I,COUNTA(生物种群!$I:$I)),MATCH($H842,生物种群!$A$3:INDEX(生物种群!$A:$A,COUNTA(生物种群!$A:$A)),),))</f>
        <v/>
      </c>
      <c r="K842" s="55" t="str">
        <f>IF(H842="","",INDEX(生物种群!$E$3:INDEX(生物种群!$E:$E,COUNTA(生物种群!$E:$E)),MATCH($H842,生物种群!$A$3:INDEX(生物种群!$A:$A,COUNTA(生物种群!$A:$A)),),))</f>
        <v/>
      </c>
      <c r="L842" s="46" t="str">
        <f t="shared" si="42"/>
        <v/>
      </c>
      <c r="M842" s="47" t="str">
        <f>IF(L842="","",ROUND((L842)/VLOOKUP($F842,IF({1,0},站位样品信息!$A$3:INDEX(站位样品信息!$A:$A,COUNTA(站位样品信息!$A:$A)+1),站位样品信息!$H$3:INDEX(站位样品信息!$H:$H,COUNTA(站位样品信息!$H:$H)+1)),2,0),2))</f>
        <v/>
      </c>
      <c r="O842" s="49"/>
      <c r="P842" s="53" t="str">
        <f t="shared" si="43"/>
        <v/>
      </c>
      <c r="Q842" s="53" t="str">
        <f t="shared" si="44"/>
        <v/>
      </c>
    </row>
    <row r="843" spans="1:17" ht="19.5" customHeight="1">
      <c r="A843" s="38"/>
      <c r="B843" s="38"/>
      <c r="C843" s="38"/>
      <c r="D843" s="37"/>
      <c r="E843" s="37"/>
      <c r="F843" s="37"/>
      <c r="G843" s="37" t="str">
        <f>IF(F843="","",INDEX(站位样品信息!$B$3:INDEX(站位样品信息!$B:$B,COUNTA(站位样品信息!$B:$B)+1),MATCH($F843,站位样品信息!$A$3:INDEX(站位样品信息!$A:$A,COUNTA(站位样品信息!$A:$A)+1),),))</f>
        <v/>
      </c>
      <c r="H843" s="55" t="str">
        <f>IF(OR(A843&lt;&gt;"",B843&lt;&gt;"",C843&lt;&gt;""),IF($C843&lt;&gt;0,INDEX(生物种群!$A$3:INDEX(生物种群!$A:$A,COUNTA(生物种群!$A:$A)),MATCH($C843,生物种群!$F$3:INDEX(生物种群!$F:$F,COUNTA(生物种群!$F:$F)),),),IF($A843&lt;&gt;0,INDEX(生物种群!$A$3:INDEX(生物种群!$A:$A,COUNTA(生物种群!$A:$A)),MATCH($A843,生物种群!$C$3:INDEX(生物种群!$C:$C,COUNTA(生物种群!$C:$C)),),),INDEX(生物种群!$A$3:INDEX(生物种群!$A:$A,COUNTA(生物种群!$A:$A)),MATCH($B843,生物种群!$D$3:INDEX(生物种群!$D:$D,COUNTA(生物种群!$D:$D)),),))),"")</f>
        <v/>
      </c>
      <c r="I843" s="56" t="str">
        <f>IF(H843="","",INDEX(生物种群!$B$3:INDEX(生物种群!$B:$B,COUNTA(生物种群!$B:$B)),MATCH($H843,生物种群!$A$3:INDEX(生物种群!$A:$A,COUNTA(生物种群!$A:$A)),),))</f>
        <v/>
      </c>
      <c r="J843" s="55" t="str">
        <f>IF(H843="","",INDEX(生物种群!$I$3:INDEX(生物种群!$I:$I,COUNTA(生物种群!$I:$I)),MATCH($H843,生物种群!$A$3:INDEX(生物种群!$A:$A,COUNTA(生物种群!$A:$A)),),))</f>
        <v/>
      </c>
      <c r="K843" s="55" t="str">
        <f>IF(H843="","",INDEX(生物种群!$E$3:INDEX(生物种群!$E:$E,COUNTA(生物种群!$E:$E)),MATCH($H843,生物种群!$A$3:INDEX(生物种群!$A:$A,COUNTA(生物种群!$A:$A)),),))</f>
        <v/>
      </c>
      <c r="L843" s="46" t="str">
        <f t="shared" si="42"/>
        <v/>
      </c>
      <c r="M843" s="47" t="str">
        <f>IF(L843="","",ROUND((L843)/VLOOKUP($F843,IF({1,0},站位样品信息!$A$3:INDEX(站位样品信息!$A:$A,COUNTA(站位样品信息!$A:$A)+1),站位样品信息!$H$3:INDEX(站位样品信息!$H:$H,COUNTA(站位样品信息!$H:$H)+1)),2,0),2))</f>
        <v/>
      </c>
      <c r="O843" s="49"/>
      <c r="P843" s="53" t="str">
        <f t="shared" si="43"/>
        <v/>
      </c>
      <c r="Q843" s="53" t="str">
        <f t="shared" si="44"/>
        <v/>
      </c>
    </row>
    <row r="844" spans="1:17" ht="19.5" customHeight="1">
      <c r="A844" s="38"/>
      <c r="B844" s="38"/>
      <c r="C844" s="38"/>
      <c r="D844" s="37"/>
      <c r="E844" s="37"/>
      <c r="F844" s="37"/>
      <c r="G844" s="37" t="str">
        <f>IF(F844="","",INDEX(站位样品信息!$B$3:INDEX(站位样品信息!$B:$B,COUNTA(站位样品信息!$B:$B)+1),MATCH($F844,站位样品信息!$A$3:INDEX(站位样品信息!$A:$A,COUNTA(站位样品信息!$A:$A)+1),),))</f>
        <v/>
      </c>
      <c r="H844" s="55" t="str">
        <f>IF(OR(A844&lt;&gt;"",B844&lt;&gt;"",C844&lt;&gt;""),IF($C844&lt;&gt;0,INDEX(生物种群!$A$3:INDEX(生物种群!$A:$A,COUNTA(生物种群!$A:$A)),MATCH($C844,生物种群!$F$3:INDEX(生物种群!$F:$F,COUNTA(生物种群!$F:$F)),),),IF($A844&lt;&gt;0,INDEX(生物种群!$A$3:INDEX(生物种群!$A:$A,COUNTA(生物种群!$A:$A)),MATCH($A844,生物种群!$C$3:INDEX(生物种群!$C:$C,COUNTA(生物种群!$C:$C)),),),INDEX(生物种群!$A$3:INDEX(生物种群!$A:$A,COUNTA(生物种群!$A:$A)),MATCH($B844,生物种群!$D$3:INDEX(生物种群!$D:$D,COUNTA(生物种群!$D:$D)),),))),"")</f>
        <v/>
      </c>
      <c r="I844" s="56" t="str">
        <f>IF(H844="","",INDEX(生物种群!$B$3:INDEX(生物种群!$B:$B,COUNTA(生物种群!$B:$B)),MATCH($H844,生物种群!$A$3:INDEX(生物种群!$A:$A,COUNTA(生物种群!$A:$A)),),))</f>
        <v/>
      </c>
      <c r="J844" s="55" t="str">
        <f>IF(H844="","",INDEX(生物种群!$I$3:INDEX(生物种群!$I:$I,COUNTA(生物种群!$I:$I)),MATCH($H844,生物种群!$A$3:INDEX(生物种群!$A:$A,COUNTA(生物种群!$A:$A)),),))</f>
        <v/>
      </c>
      <c r="K844" s="55" t="str">
        <f>IF(H844="","",INDEX(生物种群!$E$3:INDEX(生物种群!$E:$E,COUNTA(生物种群!$E:$E)),MATCH($H844,生物种群!$A$3:INDEX(生物种群!$A:$A,COUNTA(生物种群!$A:$A)),),))</f>
        <v/>
      </c>
      <c r="L844" s="46" t="str">
        <f t="shared" si="42"/>
        <v/>
      </c>
      <c r="M844" s="47" t="str">
        <f>IF(L844="","",ROUND((L844)/VLOOKUP($F844,IF({1,0},站位样品信息!$A$3:INDEX(站位样品信息!$A:$A,COUNTA(站位样品信息!$A:$A)+1),站位样品信息!$H$3:INDEX(站位样品信息!$H:$H,COUNTA(站位样品信息!$H:$H)+1)),2,0),2))</f>
        <v/>
      </c>
      <c r="O844" s="49"/>
      <c r="P844" s="53" t="str">
        <f t="shared" si="43"/>
        <v/>
      </c>
      <c r="Q844" s="53" t="str">
        <f t="shared" si="44"/>
        <v/>
      </c>
    </row>
    <row r="845" spans="1:17" ht="19.5" customHeight="1">
      <c r="A845" s="38"/>
      <c r="B845" s="38"/>
      <c r="C845" s="38"/>
      <c r="D845" s="37"/>
      <c r="E845" s="37"/>
      <c r="F845" s="37"/>
      <c r="G845" s="37" t="str">
        <f>IF(F845="","",INDEX(站位样品信息!$B$3:INDEX(站位样品信息!$B:$B,COUNTA(站位样品信息!$B:$B)+1),MATCH($F845,站位样品信息!$A$3:INDEX(站位样品信息!$A:$A,COUNTA(站位样品信息!$A:$A)+1),),))</f>
        <v/>
      </c>
      <c r="H845" s="55" t="str">
        <f>IF(OR(A845&lt;&gt;"",B845&lt;&gt;"",C845&lt;&gt;""),IF($C845&lt;&gt;0,INDEX(生物种群!$A$3:INDEX(生物种群!$A:$A,COUNTA(生物种群!$A:$A)),MATCH($C845,生物种群!$F$3:INDEX(生物种群!$F:$F,COUNTA(生物种群!$F:$F)),),),IF($A845&lt;&gt;0,INDEX(生物种群!$A$3:INDEX(生物种群!$A:$A,COUNTA(生物种群!$A:$A)),MATCH($A845,生物种群!$C$3:INDEX(生物种群!$C:$C,COUNTA(生物种群!$C:$C)),),),INDEX(生物种群!$A$3:INDEX(生物种群!$A:$A,COUNTA(生物种群!$A:$A)),MATCH($B845,生物种群!$D$3:INDEX(生物种群!$D:$D,COUNTA(生物种群!$D:$D)),),))),"")</f>
        <v/>
      </c>
      <c r="I845" s="56" t="str">
        <f>IF(H845="","",INDEX(生物种群!$B$3:INDEX(生物种群!$B:$B,COUNTA(生物种群!$B:$B)),MATCH($H845,生物种群!$A$3:INDEX(生物种群!$A:$A,COUNTA(生物种群!$A:$A)),),))</f>
        <v/>
      </c>
      <c r="J845" s="55" t="str">
        <f>IF(H845="","",INDEX(生物种群!$I$3:INDEX(生物种群!$I:$I,COUNTA(生物种群!$I:$I)),MATCH($H845,生物种群!$A$3:INDEX(生物种群!$A:$A,COUNTA(生物种群!$A:$A)),),))</f>
        <v/>
      </c>
      <c r="K845" s="55" t="str">
        <f>IF(H845="","",INDEX(生物种群!$E$3:INDEX(生物种群!$E:$E,COUNTA(生物种群!$E:$E)),MATCH($H845,生物种群!$A$3:INDEX(生物种群!$A:$A,COUNTA(生物种群!$A:$A)),),))</f>
        <v/>
      </c>
      <c r="L845" s="46" t="str">
        <f t="shared" si="45" ref="L845:L908">IFERROR(IF(OR(D845="",E845=""),"",D845/E845*100),"")</f>
        <v/>
      </c>
      <c r="M845" s="47" t="str">
        <f>IF(L845="","",ROUND((L845)/VLOOKUP($F845,IF({1,0},站位样品信息!$A$3:INDEX(站位样品信息!$A:$A,COUNTA(站位样品信息!$A:$A)+1),站位样品信息!$H$3:INDEX(站位样品信息!$H:$H,COUNTA(站位样品信息!$H:$H)+1)),2,0),2))</f>
        <v/>
      </c>
      <c r="O845" s="49"/>
      <c r="P845" s="53" t="str">
        <f t="shared" si="43"/>
        <v/>
      </c>
      <c r="Q845" s="53" t="str">
        <f t="shared" si="44"/>
        <v/>
      </c>
    </row>
    <row r="846" spans="1:17" ht="19.5" customHeight="1">
      <c r="A846" s="38"/>
      <c r="B846" s="38"/>
      <c r="C846" s="38"/>
      <c r="D846" s="37"/>
      <c r="E846" s="37"/>
      <c r="F846" s="37"/>
      <c r="G846" s="37" t="str">
        <f>IF(F846="","",INDEX(站位样品信息!$B$3:INDEX(站位样品信息!$B:$B,COUNTA(站位样品信息!$B:$B)+1),MATCH($F846,站位样品信息!$A$3:INDEX(站位样品信息!$A:$A,COUNTA(站位样品信息!$A:$A)+1),),))</f>
        <v/>
      </c>
      <c r="H846" s="55" t="str">
        <f>IF(OR(A846&lt;&gt;"",B846&lt;&gt;"",C846&lt;&gt;""),IF($C846&lt;&gt;0,INDEX(生物种群!$A$3:INDEX(生物种群!$A:$A,COUNTA(生物种群!$A:$A)),MATCH($C846,生物种群!$F$3:INDEX(生物种群!$F:$F,COUNTA(生物种群!$F:$F)),),),IF($A846&lt;&gt;0,INDEX(生物种群!$A$3:INDEX(生物种群!$A:$A,COUNTA(生物种群!$A:$A)),MATCH($A846,生物种群!$C$3:INDEX(生物种群!$C:$C,COUNTA(生物种群!$C:$C)),),),INDEX(生物种群!$A$3:INDEX(生物种群!$A:$A,COUNTA(生物种群!$A:$A)),MATCH($B846,生物种群!$D$3:INDEX(生物种群!$D:$D,COUNTA(生物种群!$D:$D)),),))),"")</f>
        <v/>
      </c>
      <c r="I846" s="56" t="str">
        <f>IF(H846="","",INDEX(生物种群!$B$3:INDEX(生物种群!$B:$B,COUNTA(生物种群!$B:$B)),MATCH($H846,生物种群!$A$3:INDEX(生物种群!$A:$A,COUNTA(生物种群!$A:$A)),),))</f>
        <v/>
      </c>
      <c r="J846" s="55" t="str">
        <f>IF(H846="","",INDEX(生物种群!$I$3:INDEX(生物种群!$I:$I,COUNTA(生物种群!$I:$I)),MATCH($H846,生物种群!$A$3:INDEX(生物种群!$A:$A,COUNTA(生物种群!$A:$A)),),))</f>
        <v/>
      </c>
      <c r="K846" s="55" t="str">
        <f>IF(H846="","",INDEX(生物种群!$E$3:INDEX(生物种群!$E:$E,COUNTA(生物种群!$E:$E)),MATCH($H846,生物种群!$A$3:INDEX(生物种群!$A:$A,COUNTA(生物种群!$A:$A)),),))</f>
        <v/>
      </c>
      <c r="L846" s="46" t="str">
        <f t="shared" si="45"/>
        <v/>
      </c>
      <c r="M846" s="47" t="str">
        <f>IF(L846="","",ROUND((L846)/VLOOKUP($F846,IF({1,0},站位样品信息!$A$3:INDEX(站位样品信息!$A:$A,COUNTA(站位样品信息!$A:$A)+1),站位样品信息!$H$3:INDEX(站位样品信息!$H:$H,COUNTA(站位样品信息!$H:$H)+1)),2,0),2))</f>
        <v/>
      </c>
      <c r="O846" s="49"/>
      <c r="P846" s="53" t="str">
        <f t="shared" si="43"/>
        <v/>
      </c>
      <c r="Q846" s="53" t="str">
        <f t="shared" si="44"/>
        <v/>
      </c>
    </row>
    <row r="847" spans="1:17" ht="19.5" customHeight="1">
      <c r="A847" s="38"/>
      <c r="B847" s="38"/>
      <c r="C847" s="38"/>
      <c r="D847" s="37"/>
      <c r="E847" s="37"/>
      <c r="F847" s="37"/>
      <c r="G847" s="37" t="str">
        <f>IF(F847="","",INDEX(站位样品信息!$B$3:INDEX(站位样品信息!$B:$B,COUNTA(站位样品信息!$B:$B)+1),MATCH($F847,站位样品信息!$A$3:INDEX(站位样品信息!$A:$A,COUNTA(站位样品信息!$A:$A)+1),),))</f>
        <v/>
      </c>
      <c r="H847" s="55" t="str">
        <f>IF(OR(A847&lt;&gt;"",B847&lt;&gt;"",C847&lt;&gt;""),IF($C847&lt;&gt;0,INDEX(生物种群!$A$3:INDEX(生物种群!$A:$A,COUNTA(生物种群!$A:$A)),MATCH($C847,生物种群!$F$3:INDEX(生物种群!$F:$F,COUNTA(生物种群!$F:$F)),),),IF($A847&lt;&gt;0,INDEX(生物种群!$A$3:INDEX(生物种群!$A:$A,COUNTA(生物种群!$A:$A)),MATCH($A847,生物种群!$C$3:INDEX(生物种群!$C:$C,COUNTA(生物种群!$C:$C)),),),INDEX(生物种群!$A$3:INDEX(生物种群!$A:$A,COUNTA(生物种群!$A:$A)),MATCH($B847,生物种群!$D$3:INDEX(生物种群!$D:$D,COUNTA(生物种群!$D:$D)),),))),"")</f>
        <v/>
      </c>
      <c r="I847" s="56" t="str">
        <f>IF(H847="","",INDEX(生物种群!$B$3:INDEX(生物种群!$B:$B,COUNTA(生物种群!$B:$B)),MATCH($H847,生物种群!$A$3:INDEX(生物种群!$A:$A,COUNTA(生物种群!$A:$A)),),))</f>
        <v/>
      </c>
      <c r="J847" s="55" t="str">
        <f>IF(H847="","",INDEX(生物种群!$I$3:INDEX(生物种群!$I:$I,COUNTA(生物种群!$I:$I)),MATCH($H847,生物种群!$A$3:INDEX(生物种群!$A:$A,COUNTA(生物种群!$A:$A)),),))</f>
        <v/>
      </c>
      <c r="K847" s="55" t="str">
        <f>IF(H847="","",INDEX(生物种群!$E$3:INDEX(生物种群!$E:$E,COUNTA(生物种群!$E:$E)),MATCH($H847,生物种群!$A$3:INDEX(生物种群!$A:$A,COUNTA(生物种群!$A:$A)),),))</f>
        <v/>
      </c>
      <c r="L847" s="46" t="str">
        <f t="shared" si="45"/>
        <v/>
      </c>
      <c r="M847" s="47" t="str">
        <f>IF(L847="","",ROUND((L847)/VLOOKUP($F847,IF({1,0},站位样品信息!$A$3:INDEX(站位样品信息!$A:$A,COUNTA(站位样品信息!$A:$A)+1),站位样品信息!$H$3:INDEX(站位样品信息!$H:$H,COUNTA(站位样品信息!$H:$H)+1)),2,0),2))</f>
        <v/>
      </c>
      <c r="O847" s="49"/>
      <c r="P847" s="53" t="str">
        <f t="shared" si="43"/>
        <v/>
      </c>
      <c r="Q847" s="53" t="str">
        <f t="shared" si="44"/>
        <v/>
      </c>
    </row>
    <row r="848" spans="1:17" ht="19.5" customHeight="1">
      <c r="A848" s="38"/>
      <c r="B848" s="38"/>
      <c r="C848" s="38"/>
      <c r="D848" s="37"/>
      <c r="E848" s="37"/>
      <c r="F848" s="37"/>
      <c r="G848" s="37" t="str">
        <f>IF(F848="","",INDEX(站位样品信息!$B$3:INDEX(站位样品信息!$B:$B,COUNTA(站位样品信息!$B:$B)+1),MATCH($F848,站位样品信息!$A$3:INDEX(站位样品信息!$A:$A,COUNTA(站位样品信息!$A:$A)+1),),))</f>
        <v/>
      </c>
      <c r="H848" s="55" t="str">
        <f>IF(OR(A848&lt;&gt;"",B848&lt;&gt;"",C848&lt;&gt;""),IF($C848&lt;&gt;0,INDEX(生物种群!$A$3:INDEX(生物种群!$A:$A,COUNTA(生物种群!$A:$A)),MATCH($C848,生物种群!$F$3:INDEX(生物种群!$F:$F,COUNTA(生物种群!$F:$F)),),),IF($A848&lt;&gt;0,INDEX(生物种群!$A$3:INDEX(生物种群!$A:$A,COUNTA(生物种群!$A:$A)),MATCH($A848,生物种群!$C$3:INDEX(生物种群!$C:$C,COUNTA(生物种群!$C:$C)),),),INDEX(生物种群!$A$3:INDEX(生物种群!$A:$A,COUNTA(生物种群!$A:$A)),MATCH($B848,生物种群!$D$3:INDEX(生物种群!$D:$D,COUNTA(生物种群!$D:$D)),),))),"")</f>
        <v/>
      </c>
      <c r="I848" s="56" t="str">
        <f>IF(H848="","",INDEX(生物种群!$B$3:INDEX(生物种群!$B:$B,COUNTA(生物种群!$B:$B)),MATCH($H848,生物种群!$A$3:INDEX(生物种群!$A:$A,COUNTA(生物种群!$A:$A)),),))</f>
        <v/>
      </c>
      <c r="J848" s="55" t="str">
        <f>IF(H848="","",INDEX(生物种群!$I$3:INDEX(生物种群!$I:$I,COUNTA(生物种群!$I:$I)),MATCH($H848,生物种群!$A$3:INDEX(生物种群!$A:$A,COUNTA(生物种群!$A:$A)),),))</f>
        <v/>
      </c>
      <c r="K848" s="55" t="str">
        <f>IF(H848="","",INDEX(生物种群!$E$3:INDEX(生物种群!$E:$E,COUNTA(生物种群!$E:$E)),MATCH($H848,生物种群!$A$3:INDEX(生物种群!$A:$A,COUNTA(生物种群!$A:$A)),),))</f>
        <v/>
      </c>
      <c r="L848" s="46" t="str">
        <f t="shared" si="45"/>
        <v/>
      </c>
      <c r="M848" s="47" t="str">
        <f>IF(L848="","",ROUND((L848)/VLOOKUP($F848,IF({1,0},站位样品信息!$A$3:INDEX(站位样品信息!$A:$A,COUNTA(站位样品信息!$A:$A)+1),站位样品信息!$H$3:INDEX(站位样品信息!$H:$H,COUNTA(站位样品信息!$H:$H)+1)),2,0),2))</f>
        <v/>
      </c>
      <c r="O848" s="49"/>
      <c r="P848" s="53" t="str">
        <f t="shared" si="43"/>
        <v/>
      </c>
      <c r="Q848" s="53" t="str">
        <f t="shared" si="44"/>
        <v/>
      </c>
    </row>
    <row r="849" spans="1:17" ht="19.5" customHeight="1">
      <c r="A849" s="38"/>
      <c r="B849" s="38"/>
      <c r="C849" s="38"/>
      <c r="D849" s="37"/>
      <c r="E849" s="37"/>
      <c r="F849" s="37"/>
      <c r="G849" s="37" t="str">
        <f>IF(F849="","",INDEX(站位样品信息!$B$3:INDEX(站位样品信息!$B:$B,COUNTA(站位样品信息!$B:$B)+1),MATCH($F849,站位样品信息!$A$3:INDEX(站位样品信息!$A:$A,COUNTA(站位样品信息!$A:$A)+1),),))</f>
        <v/>
      </c>
      <c r="H849" s="55" t="str">
        <f>IF(OR(A849&lt;&gt;"",B849&lt;&gt;"",C849&lt;&gt;""),IF($C849&lt;&gt;0,INDEX(生物种群!$A$3:INDEX(生物种群!$A:$A,COUNTA(生物种群!$A:$A)),MATCH($C849,生物种群!$F$3:INDEX(生物种群!$F:$F,COUNTA(生物种群!$F:$F)),),),IF($A849&lt;&gt;0,INDEX(生物种群!$A$3:INDEX(生物种群!$A:$A,COUNTA(生物种群!$A:$A)),MATCH($A849,生物种群!$C$3:INDEX(生物种群!$C:$C,COUNTA(生物种群!$C:$C)),),),INDEX(生物种群!$A$3:INDEX(生物种群!$A:$A,COUNTA(生物种群!$A:$A)),MATCH($B849,生物种群!$D$3:INDEX(生物种群!$D:$D,COUNTA(生物种群!$D:$D)),),))),"")</f>
        <v/>
      </c>
      <c r="I849" s="56" t="str">
        <f>IF(H849="","",INDEX(生物种群!$B$3:INDEX(生物种群!$B:$B,COUNTA(生物种群!$B:$B)),MATCH($H849,生物种群!$A$3:INDEX(生物种群!$A:$A,COUNTA(生物种群!$A:$A)),),))</f>
        <v/>
      </c>
      <c r="J849" s="55" t="str">
        <f>IF(H849="","",INDEX(生物种群!$I$3:INDEX(生物种群!$I:$I,COUNTA(生物种群!$I:$I)),MATCH($H849,生物种群!$A$3:INDEX(生物种群!$A:$A,COUNTA(生物种群!$A:$A)),),))</f>
        <v/>
      </c>
      <c r="K849" s="55" t="str">
        <f>IF(H849="","",INDEX(生物种群!$E$3:INDEX(生物种群!$E:$E,COUNTA(生物种群!$E:$E)),MATCH($H849,生物种群!$A$3:INDEX(生物种群!$A:$A,COUNTA(生物种群!$A:$A)),),))</f>
        <v/>
      </c>
      <c r="L849" s="46" t="str">
        <f t="shared" si="45"/>
        <v/>
      </c>
      <c r="M849" s="47" t="str">
        <f>IF(L849="","",ROUND((L849)/VLOOKUP($F849,IF({1,0},站位样品信息!$A$3:INDEX(站位样品信息!$A:$A,COUNTA(站位样品信息!$A:$A)+1),站位样品信息!$H$3:INDEX(站位样品信息!$H:$H,COUNTA(站位样品信息!$H:$H)+1)),2,0),2))</f>
        <v/>
      </c>
      <c r="O849" s="49"/>
      <c r="P849" s="53" t="str">
        <f t="shared" si="43"/>
        <v/>
      </c>
      <c r="Q849" s="53" t="str">
        <f t="shared" si="44"/>
        <v/>
      </c>
    </row>
    <row r="850" spans="1:17" ht="19.5" customHeight="1">
      <c r="A850" s="38"/>
      <c r="B850" s="38"/>
      <c r="C850" s="38"/>
      <c r="D850" s="37"/>
      <c r="E850" s="37"/>
      <c r="F850" s="37"/>
      <c r="G850" s="37" t="str">
        <f>IF(F850="","",INDEX(站位样品信息!$B$3:INDEX(站位样品信息!$B:$B,COUNTA(站位样品信息!$B:$B)+1),MATCH($F850,站位样品信息!$A$3:INDEX(站位样品信息!$A:$A,COUNTA(站位样品信息!$A:$A)+1),),))</f>
        <v/>
      </c>
      <c r="H850" s="55" t="str">
        <f>IF(OR(A850&lt;&gt;"",B850&lt;&gt;"",C850&lt;&gt;""),IF($C850&lt;&gt;0,INDEX(生物种群!$A$3:INDEX(生物种群!$A:$A,COUNTA(生物种群!$A:$A)),MATCH($C850,生物种群!$F$3:INDEX(生物种群!$F:$F,COUNTA(生物种群!$F:$F)),),),IF($A850&lt;&gt;0,INDEX(生物种群!$A$3:INDEX(生物种群!$A:$A,COUNTA(生物种群!$A:$A)),MATCH($A850,生物种群!$C$3:INDEX(生物种群!$C:$C,COUNTA(生物种群!$C:$C)),),),INDEX(生物种群!$A$3:INDEX(生物种群!$A:$A,COUNTA(生物种群!$A:$A)),MATCH($B850,生物种群!$D$3:INDEX(生物种群!$D:$D,COUNTA(生物种群!$D:$D)),),))),"")</f>
        <v/>
      </c>
      <c r="I850" s="56" t="str">
        <f>IF(H850="","",INDEX(生物种群!$B$3:INDEX(生物种群!$B:$B,COUNTA(生物种群!$B:$B)),MATCH($H850,生物种群!$A$3:INDEX(生物种群!$A:$A,COUNTA(生物种群!$A:$A)),),))</f>
        <v/>
      </c>
      <c r="J850" s="55" t="str">
        <f>IF(H850="","",INDEX(生物种群!$I$3:INDEX(生物种群!$I:$I,COUNTA(生物种群!$I:$I)),MATCH($H850,生物种群!$A$3:INDEX(生物种群!$A:$A,COUNTA(生物种群!$A:$A)),),))</f>
        <v/>
      </c>
      <c r="K850" s="55" t="str">
        <f>IF(H850="","",INDEX(生物种群!$E$3:INDEX(生物种群!$E:$E,COUNTA(生物种群!$E:$E)),MATCH($H850,生物种群!$A$3:INDEX(生物种群!$A:$A,COUNTA(生物种群!$A:$A)),),))</f>
        <v/>
      </c>
      <c r="L850" s="46" t="str">
        <f t="shared" si="45"/>
        <v/>
      </c>
      <c r="M850" s="47" t="str">
        <f>IF(L850="","",ROUND((L850)/VLOOKUP($F850,IF({1,0},站位样品信息!$A$3:INDEX(站位样品信息!$A:$A,COUNTA(站位样品信息!$A:$A)+1),站位样品信息!$H$3:INDEX(站位样品信息!$H:$H,COUNTA(站位样品信息!$H:$H)+1)),2,0),2))</f>
        <v/>
      </c>
      <c r="O850" s="49"/>
      <c r="P850" s="53" t="str">
        <f t="shared" si="43"/>
        <v/>
      </c>
      <c r="Q850" s="53" t="str">
        <f t="shared" si="44"/>
        <v/>
      </c>
    </row>
    <row r="851" spans="1:17" ht="19.5" customHeight="1">
      <c r="A851" s="38"/>
      <c r="B851" s="38"/>
      <c r="C851" s="38"/>
      <c r="D851" s="37"/>
      <c r="E851" s="37"/>
      <c r="F851" s="37"/>
      <c r="G851" s="37" t="str">
        <f>IF(F851="","",INDEX(站位样品信息!$B$3:INDEX(站位样品信息!$B:$B,COUNTA(站位样品信息!$B:$B)+1),MATCH($F851,站位样品信息!$A$3:INDEX(站位样品信息!$A:$A,COUNTA(站位样品信息!$A:$A)+1),),))</f>
        <v/>
      </c>
      <c r="H851" s="55" t="str">
        <f>IF(OR(A851&lt;&gt;"",B851&lt;&gt;"",C851&lt;&gt;""),IF($C851&lt;&gt;0,INDEX(生物种群!$A$3:INDEX(生物种群!$A:$A,COUNTA(生物种群!$A:$A)),MATCH($C851,生物种群!$F$3:INDEX(生物种群!$F:$F,COUNTA(生物种群!$F:$F)),),),IF($A851&lt;&gt;0,INDEX(生物种群!$A$3:INDEX(生物种群!$A:$A,COUNTA(生物种群!$A:$A)),MATCH($A851,生物种群!$C$3:INDEX(生物种群!$C:$C,COUNTA(生物种群!$C:$C)),),),INDEX(生物种群!$A$3:INDEX(生物种群!$A:$A,COUNTA(生物种群!$A:$A)),MATCH($B851,生物种群!$D$3:INDEX(生物种群!$D:$D,COUNTA(生物种群!$D:$D)),),))),"")</f>
        <v/>
      </c>
      <c r="I851" s="56" t="str">
        <f>IF(H851="","",INDEX(生物种群!$B$3:INDEX(生物种群!$B:$B,COUNTA(生物种群!$B:$B)),MATCH($H851,生物种群!$A$3:INDEX(生物种群!$A:$A,COUNTA(生物种群!$A:$A)),),))</f>
        <v/>
      </c>
      <c r="J851" s="55" t="str">
        <f>IF(H851="","",INDEX(生物种群!$I$3:INDEX(生物种群!$I:$I,COUNTA(生物种群!$I:$I)),MATCH($H851,生物种群!$A$3:INDEX(生物种群!$A:$A,COUNTA(生物种群!$A:$A)),),))</f>
        <v/>
      </c>
      <c r="K851" s="55" t="str">
        <f>IF(H851="","",INDEX(生物种群!$E$3:INDEX(生物种群!$E:$E,COUNTA(生物种群!$E:$E)),MATCH($H851,生物种群!$A$3:INDEX(生物种群!$A:$A,COUNTA(生物种群!$A:$A)),),))</f>
        <v/>
      </c>
      <c r="L851" s="46" t="str">
        <f t="shared" si="45"/>
        <v/>
      </c>
      <c r="M851" s="47" t="str">
        <f>IF(L851="","",ROUND((L851)/VLOOKUP($F851,IF({1,0},站位样品信息!$A$3:INDEX(站位样品信息!$A:$A,COUNTA(站位样品信息!$A:$A)+1),站位样品信息!$H$3:INDEX(站位样品信息!$H:$H,COUNTA(站位样品信息!$H:$H)+1)),2,0),2))</f>
        <v/>
      </c>
      <c r="O851" s="49"/>
      <c r="P851" s="53" t="str">
        <f t="shared" si="43"/>
        <v/>
      </c>
      <c r="Q851" s="53" t="str">
        <f t="shared" si="44"/>
        <v/>
      </c>
    </row>
    <row r="852" spans="1:17" ht="19.5" customHeight="1">
      <c r="A852" s="38"/>
      <c r="B852" s="38"/>
      <c r="C852" s="38"/>
      <c r="D852" s="37"/>
      <c r="E852" s="37"/>
      <c r="F852" s="37"/>
      <c r="G852" s="37" t="str">
        <f>IF(F852="","",INDEX(站位样品信息!$B$3:INDEX(站位样品信息!$B:$B,COUNTA(站位样品信息!$B:$B)+1),MATCH($F852,站位样品信息!$A$3:INDEX(站位样品信息!$A:$A,COUNTA(站位样品信息!$A:$A)+1),),))</f>
        <v/>
      </c>
      <c r="H852" s="55" t="str">
        <f>IF(OR(A852&lt;&gt;"",B852&lt;&gt;"",C852&lt;&gt;""),IF($C852&lt;&gt;0,INDEX(生物种群!$A$3:INDEX(生物种群!$A:$A,COUNTA(生物种群!$A:$A)),MATCH($C852,生物种群!$F$3:INDEX(生物种群!$F:$F,COUNTA(生物种群!$F:$F)),),),IF($A852&lt;&gt;0,INDEX(生物种群!$A$3:INDEX(生物种群!$A:$A,COUNTA(生物种群!$A:$A)),MATCH($A852,生物种群!$C$3:INDEX(生物种群!$C:$C,COUNTA(生物种群!$C:$C)),),),INDEX(生物种群!$A$3:INDEX(生物种群!$A:$A,COUNTA(生物种群!$A:$A)),MATCH($B852,生物种群!$D$3:INDEX(生物种群!$D:$D,COUNTA(生物种群!$D:$D)),),))),"")</f>
        <v/>
      </c>
      <c r="I852" s="56" t="str">
        <f>IF(H852="","",INDEX(生物种群!$B$3:INDEX(生物种群!$B:$B,COUNTA(生物种群!$B:$B)),MATCH($H852,生物种群!$A$3:INDEX(生物种群!$A:$A,COUNTA(生物种群!$A:$A)),),))</f>
        <v/>
      </c>
      <c r="J852" s="55" t="str">
        <f>IF(H852="","",INDEX(生物种群!$I$3:INDEX(生物种群!$I:$I,COUNTA(生物种群!$I:$I)),MATCH($H852,生物种群!$A$3:INDEX(生物种群!$A:$A,COUNTA(生物种群!$A:$A)),),))</f>
        <v/>
      </c>
      <c r="K852" s="55" t="str">
        <f>IF(H852="","",INDEX(生物种群!$E$3:INDEX(生物种群!$E:$E,COUNTA(生物种群!$E:$E)),MATCH($H852,生物种群!$A$3:INDEX(生物种群!$A:$A,COUNTA(生物种群!$A:$A)),),))</f>
        <v/>
      </c>
      <c r="L852" s="46" t="str">
        <f t="shared" si="45"/>
        <v/>
      </c>
      <c r="M852" s="47" t="str">
        <f>IF(L852="","",ROUND((L852)/VLOOKUP($F852,IF({1,0},站位样品信息!$A$3:INDEX(站位样品信息!$A:$A,COUNTA(站位样品信息!$A:$A)+1),站位样品信息!$H$3:INDEX(站位样品信息!$H:$H,COUNTA(站位样品信息!$H:$H)+1)),2,0),2))</f>
        <v/>
      </c>
      <c r="O852" s="49"/>
      <c r="P852" s="53" t="str">
        <f t="shared" si="43"/>
        <v/>
      </c>
      <c r="Q852" s="53" t="str">
        <f t="shared" si="44"/>
        <v/>
      </c>
    </row>
    <row r="853" spans="1:17" ht="19.5" customHeight="1">
      <c r="A853" s="38"/>
      <c r="B853" s="38"/>
      <c r="C853" s="38"/>
      <c r="D853" s="37"/>
      <c r="E853" s="37"/>
      <c r="F853" s="37"/>
      <c r="G853" s="37" t="str">
        <f>IF(F853="","",INDEX(站位样品信息!$B$3:INDEX(站位样品信息!$B:$B,COUNTA(站位样品信息!$B:$B)+1),MATCH($F853,站位样品信息!$A$3:INDEX(站位样品信息!$A:$A,COUNTA(站位样品信息!$A:$A)+1),),))</f>
        <v/>
      </c>
      <c r="H853" s="55" t="str">
        <f>IF(OR(A853&lt;&gt;"",B853&lt;&gt;"",C853&lt;&gt;""),IF($C853&lt;&gt;0,INDEX(生物种群!$A$3:INDEX(生物种群!$A:$A,COUNTA(生物种群!$A:$A)),MATCH($C853,生物种群!$F$3:INDEX(生物种群!$F:$F,COUNTA(生物种群!$F:$F)),),),IF($A853&lt;&gt;0,INDEX(生物种群!$A$3:INDEX(生物种群!$A:$A,COUNTA(生物种群!$A:$A)),MATCH($A853,生物种群!$C$3:INDEX(生物种群!$C:$C,COUNTA(生物种群!$C:$C)),),),INDEX(生物种群!$A$3:INDEX(生物种群!$A:$A,COUNTA(生物种群!$A:$A)),MATCH($B853,生物种群!$D$3:INDEX(生物种群!$D:$D,COUNTA(生物种群!$D:$D)),),))),"")</f>
        <v/>
      </c>
      <c r="I853" s="56" t="str">
        <f>IF(H853="","",INDEX(生物种群!$B$3:INDEX(生物种群!$B:$B,COUNTA(生物种群!$B:$B)),MATCH($H853,生物种群!$A$3:INDEX(生物种群!$A:$A,COUNTA(生物种群!$A:$A)),),))</f>
        <v/>
      </c>
      <c r="J853" s="55" t="str">
        <f>IF(H853="","",INDEX(生物种群!$I$3:INDEX(生物种群!$I:$I,COUNTA(生物种群!$I:$I)),MATCH($H853,生物种群!$A$3:INDEX(生物种群!$A:$A,COUNTA(生物种群!$A:$A)),),))</f>
        <v/>
      </c>
      <c r="K853" s="55" t="str">
        <f>IF(H853="","",INDEX(生物种群!$E$3:INDEX(生物种群!$E:$E,COUNTA(生物种群!$E:$E)),MATCH($H853,生物种群!$A$3:INDEX(生物种群!$A:$A,COUNTA(生物种群!$A:$A)),),))</f>
        <v/>
      </c>
      <c r="L853" s="46" t="str">
        <f t="shared" si="45"/>
        <v/>
      </c>
      <c r="M853" s="47" t="str">
        <f>IF(L853="","",ROUND((L853)/VLOOKUP($F853,IF({1,0},站位样品信息!$A$3:INDEX(站位样品信息!$A:$A,COUNTA(站位样品信息!$A:$A)+1),站位样品信息!$H$3:INDEX(站位样品信息!$H:$H,COUNTA(站位样品信息!$H:$H)+1)),2,0),2))</f>
        <v/>
      </c>
      <c r="O853" s="49"/>
      <c r="P853" s="53" t="str">
        <f t="shared" si="43"/>
        <v/>
      </c>
      <c r="Q853" s="53" t="str">
        <f t="shared" si="44"/>
        <v/>
      </c>
    </row>
    <row r="854" spans="1:17" ht="19.5" customHeight="1">
      <c r="A854" s="38"/>
      <c r="B854" s="38"/>
      <c r="C854" s="38"/>
      <c r="D854" s="37"/>
      <c r="E854" s="37"/>
      <c r="F854" s="37"/>
      <c r="G854" s="37" t="str">
        <f>IF(F854="","",INDEX(站位样品信息!$B$3:INDEX(站位样品信息!$B:$B,COUNTA(站位样品信息!$B:$B)+1),MATCH($F854,站位样品信息!$A$3:INDEX(站位样品信息!$A:$A,COUNTA(站位样品信息!$A:$A)+1),),))</f>
        <v/>
      </c>
      <c r="H854" s="55" t="str">
        <f>IF(OR(A854&lt;&gt;"",B854&lt;&gt;"",C854&lt;&gt;""),IF($C854&lt;&gt;0,INDEX(生物种群!$A$3:INDEX(生物种群!$A:$A,COUNTA(生物种群!$A:$A)),MATCH($C854,生物种群!$F$3:INDEX(生物种群!$F:$F,COUNTA(生物种群!$F:$F)),),),IF($A854&lt;&gt;0,INDEX(生物种群!$A$3:INDEX(生物种群!$A:$A,COUNTA(生物种群!$A:$A)),MATCH($A854,生物种群!$C$3:INDEX(生物种群!$C:$C,COUNTA(生物种群!$C:$C)),),),INDEX(生物种群!$A$3:INDEX(生物种群!$A:$A,COUNTA(生物种群!$A:$A)),MATCH($B854,生物种群!$D$3:INDEX(生物种群!$D:$D,COUNTA(生物种群!$D:$D)),),))),"")</f>
        <v/>
      </c>
      <c r="I854" s="56" t="str">
        <f>IF(H854="","",INDEX(生物种群!$B$3:INDEX(生物种群!$B:$B,COUNTA(生物种群!$B:$B)),MATCH($H854,生物种群!$A$3:INDEX(生物种群!$A:$A,COUNTA(生物种群!$A:$A)),),))</f>
        <v/>
      </c>
      <c r="J854" s="55" t="str">
        <f>IF(H854="","",INDEX(生物种群!$I$3:INDEX(生物种群!$I:$I,COUNTA(生物种群!$I:$I)),MATCH($H854,生物种群!$A$3:INDEX(生物种群!$A:$A,COUNTA(生物种群!$A:$A)),),))</f>
        <v/>
      </c>
      <c r="K854" s="55" t="str">
        <f>IF(H854="","",INDEX(生物种群!$E$3:INDEX(生物种群!$E:$E,COUNTA(生物种群!$E:$E)),MATCH($H854,生物种群!$A$3:INDEX(生物种群!$A:$A,COUNTA(生物种群!$A:$A)),),))</f>
        <v/>
      </c>
      <c r="L854" s="46" t="str">
        <f t="shared" si="45"/>
        <v/>
      </c>
      <c r="M854" s="47" t="str">
        <f>IF(L854="","",ROUND((L854)/VLOOKUP($F854,IF({1,0},站位样品信息!$A$3:INDEX(站位样品信息!$A:$A,COUNTA(站位样品信息!$A:$A)+1),站位样品信息!$H$3:INDEX(站位样品信息!$H:$H,COUNTA(站位样品信息!$H:$H)+1)),2,0),2))</f>
        <v/>
      </c>
      <c r="O854" s="49"/>
      <c r="P854" s="53" t="str">
        <f t="shared" si="43"/>
        <v/>
      </c>
      <c r="Q854" s="53" t="str">
        <f t="shared" si="44"/>
        <v/>
      </c>
    </row>
    <row r="855" spans="1:17" ht="19.5" customHeight="1">
      <c r="A855" s="38"/>
      <c r="B855" s="38"/>
      <c r="C855" s="38"/>
      <c r="D855" s="37"/>
      <c r="E855" s="37"/>
      <c r="F855" s="37"/>
      <c r="G855" s="37" t="str">
        <f>IF(F855="","",INDEX(站位样品信息!$B$3:INDEX(站位样品信息!$B:$B,COUNTA(站位样品信息!$B:$B)+1),MATCH($F855,站位样品信息!$A$3:INDEX(站位样品信息!$A:$A,COUNTA(站位样品信息!$A:$A)+1),),))</f>
        <v/>
      </c>
      <c r="H855" s="55" t="str">
        <f>IF(OR(A855&lt;&gt;"",B855&lt;&gt;"",C855&lt;&gt;""),IF($C855&lt;&gt;0,INDEX(生物种群!$A$3:INDEX(生物种群!$A:$A,COUNTA(生物种群!$A:$A)),MATCH($C855,生物种群!$F$3:INDEX(生物种群!$F:$F,COUNTA(生物种群!$F:$F)),),),IF($A855&lt;&gt;0,INDEX(生物种群!$A$3:INDEX(生物种群!$A:$A,COUNTA(生物种群!$A:$A)),MATCH($A855,生物种群!$C$3:INDEX(生物种群!$C:$C,COUNTA(生物种群!$C:$C)),),),INDEX(生物种群!$A$3:INDEX(生物种群!$A:$A,COUNTA(生物种群!$A:$A)),MATCH($B855,生物种群!$D$3:INDEX(生物种群!$D:$D,COUNTA(生物种群!$D:$D)),),))),"")</f>
        <v/>
      </c>
      <c r="I855" s="56" t="str">
        <f>IF(H855="","",INDEX(生物种群!$B$3:INDEX(生物种群!$B:$B,COUNTA(生物种群!$B:$B)),MATCH($H855,生物种群!$A$3:INDEX(生物种群!$A:$A,COUNTA(生物种群!$A:$A)),),))</f>
        <v/>
      </c>
      <c r="J855" s="55" t="str">
        <f>IF(H855="","",INDEX(生物种群!$I$3:INDEX(生物种群!$I:$I,COUNTA(生物种群!$I:$I)),MATCH($H855,生物种群!$A$3:INDEX(生物种群!$A:$A,COUNTA(生物种群!$A:$A)),),))</f>
        <v/>
      </c>
      <c r="K855" s="55" t="str">
        <f>IF(H855="","",INDEX(生物种群!$E$3:INDEX(生物种群!$E:$E,COUNTA(生物种群!$E:$E)),MATCH($H855,生物种群!$A$3:INDEX(生物种群!$A:$A,COUNTA(生物种群!$A:$A)),),))</f>
        <v/>
      </c>
      <c r="L855" s="46" t="str">
        <f t="shared" si="45"/>
        <v/>
      </c>
      <c r="M855" s="47" t="str">
        <f>IF(L855="","",ROUND((L855)/VLOOKUP($F855,IF({1,0},站位样品信息!$A$3:INDEX(站位样品信息!$A:$A,COUNTA(站位样品信息!$A:$A)+1),站位样品信息!$H$3:INDEX(站位样品信息!$H:$H,COUNTA(站位样品信息!$H:$H)+1)),2,0),2))</f>
        <v/>
      </c>
      <c r="O855" s="49"/>
      <c r="P855" s="53" t="str">
        <f t="shared" si="43"/>
        <v/>
      </c>
      <c r="Q855" s="53" t="str">
        <f t="shared" si="44"/>
        <v/>
      </c>
    </row>
    <row r="856" spans="1:17" ht="19.5" customHeight="1">
      <c r="A856" s="38"/>
      <c r="B856" s="38"/>
      <c r="C856" s="38"/>
      <c r="D856" s="37"/>
      <c r="E856" s="37"/>
      <c r="F856" s="37"/>
      <c r="G856" s="37" t="str">
        <f>IF(F856="","",INDEX(站位样品信息!$B$3:INDEX(站位样品信息!$B:$B,COUNTA(站位样品信息!$B:$B)+1),MATCH($F856,站位样品信息!$A$3:INDEX(站位样品信息!$A:$A,COUNTA(站位样品信息!$A:$A)+1),),))</f>
        <v/>
      </c>
      <c r="H856" s="55" t="str">
        <f>IF(OR(A856&lt;&gt;"",B856&lt;&gt;"",C856&lt;&gt;""),IF($C856&lt;&gt;0,INDEX(生物种群!$A$3:INDEX(生物种群!$A:$A,COUNTA(生物种群!$A:$A)),MATCH($C856,生物种群!$F$3:INDEX(生物种群!$F:$F,COUNTA(生物种群!$F:$F)),),),IF($A856&lt;&gt;0,INDEX(生物种群!$A$3:INDEX(生物种群!$A:$A,COUNTA(生物种群!$A:$A)),MATCH($A856,生物种群!$C$3:INDEX(生物种群!$C:$C,COUNTA(生物种群!$C:$C)),),),INDEX(生物种群!$A$3:INDEX(生物种群!$A:$A,COUNTA(生物种群!$A:$A)),MATCH($B856,生物种群!$D$3:INDEX(生物种群!$D:$D,COUNTA(生物种群!$D:$D)),),))),"")</f>
        <v/>
      </c>
      <c r="I856" s="56" t="str">
        <f>IF(H856="","",INDEX(生物种群!$B$3:INDEX(生物种群!$B:$B,COUNTA(生物种群!$B:$B)),MATCH($H856,生物种群!$A$3:INDEX(生物种群!$A:$A,COUNTA(生物种群!$A:$A)),),))</f>
        <v/>
      </c>
      <c r="J856" s="55" t="str">
        <f>IF(H856="","",INDEX(生物种群!$I$3:INDEX(生物种群!$I:$I,COUNTA(生物种群!$I:$I)),MATCH($H856,生物种群!$A$3:INDEX(生物种群!$A:$A,COUNTA(生物种群!$A:$A)),),))</f>
        <v/>
      </c>
      <c r="K856" s="55" t="str">
        <f>IF(H856="","",INDEX(生物种群!$E$3:INDEX(生物种群!$E:$E,COUNTA(生物种群!$E:$E)),MATCH($H856,生物种群!$A$3:INDEX(生物种群!$A:$A,COUNTA(生物种群!$A:$A)),),))</f>
        <v/>
      </c>
      <c r="L856" s="46" t="str">
        <f t="shared" si="45"/>
        <v/>
      </c>
      <c r="M856" s="47" t="str">
        <f>IF(L856="","",ROUND((L856)/VLOOKUP($F856,IF({1,0},站位样品信息!$A$3:INDEX(站位样品信息!$A:$A,COUNTA(站位样品信息!$A:$A)+1),站位样品信息!$H$3:INDEX(站位样品信息!$H:$H,COUNTA(站位样品信息!$H:$H)+1)),2,0),2))</f>
        <v/>
      </c>
      <c r="O856" s="49"/>
      <c r="P856" s="53" t="str">
        <f t="shared" si="43"/>
        <v/>
      </c>
      <c r="Q856" s="53" t="str">
        <f t="shared" si="44"/>
        <v/>
      </c>
    </row>
    <row r="857" spans="1:17" ht="19.5" customHeight="1">
      <c r="A857" s="38"/>
      <c r="B857" s="38"/>
      <c r="C857" s="38"/>
      <c r="D857" s="37"/>
      <c r="E857" s="37"/>
      <c r="F857" s="37"/>
      <c r="G857" s="37" t="str">
        <f>IF(F857="","",INDEX(站位样品信息!$B$3:INDEX(站位样品信息!$B:$B,COUNTA(站位样品信息!$B:$B)+1),MATCH($F857,站位样品信息!$A$3:INDEX(站位样品信息!$A:$A,COUNTA(站位样品信息!$A:$A)+1),),))</f>
        <v/>
      </c>
      <c r="H857" s="55" t="str">
        <f>IF(OR(A857&lt;&gt;"",B857&lt;&gt;"",C857&lt;&gt;""),IF($C857&lt;&gt;0,INDEX(生物种群!$A$3:INDEX(生物种群!$A:$A,COUNTA(生物种群!$A:$A)),MATCH($C857,生物种群!$F$3:INDEX(生物种群!$F:$F,COUNTA(生物种群!$F:$F)),),),IF($A857&lt;&gt;0,INDEX(生物种群!$A$3:INDEX(生物种群!$A:$A,COUNTA(生物种群!$A:$A)),MATCH($A857,生物种群!$C$3:INDEX(生物种群!$C:$C,COUNTA(生物种群!$C:$C)),),),INDEX(生物种群!$A$3:INDEX(生物种群!$A:$A,COUNTA(生物种群!$A:$A)),MATCH($B857,生物种群!$D$3:INDEX(生物种群!$D:$D,COUNTA(生物种群!$D:$D)),),))),"")</f>
        <v/>
      </c>
      <c r="I857" s="56" t="str">
        <f>IF(H857="","",INDEX(生物种群!$B$3:INDEX(生物种群!$B:$B,COUNTA(生物种群!$B:$B)),MATCH($H857,生物种群!$A$3:INDEX(生物种群!$A:$A,COUNTA(生物种群!$A:$A)),),))</f>
        <v/>
      </c>
      <c r="J857" s="55" t="str">
        <f>IF(H857="","",INDEX(生物种群!$I$3:INDEX(生物种群!$I:$I,COUNTA(生物种群!$I:$I)),MATCH($H857,生物种群!$A$3:INDEX(生物种群!$A:$A,COUNTA(生物种群!$A:$A)),),))</f>
        <v/>
      </c>
      <c r="K857" s="55" t="str">
        <f>IF(H857="","",INDEX(生物种群!$E$3:INDEX(生物种群!$E:$E,COUNTA(生物种群!$E:$E)),MATCH($H857,生物种群!$A$3:INDEX(生物种群!$A:$A,COUNTA(生物种群!$A:$A)),),))</f>
        <v/>
      </c>
      <c r="L857" s="46" t="str">
        <f t="shared" si="45"/>
        <v/>
      </c>
      <c r="M857" s="47" t="str">
        <f>IF(L857="","",ROUND((L857)/VLOOKUP($F857,IF({1,0},站位样品信息!$A$3:INDEX(站位样品信息!$A:$A,COUNTA(站位样品信息!$A:$A)+1),站位样品信息!$H$3:INDEX(站位样品信息!$H:$H,COUNTA(站位样品信息!$H:$H)+1)),2,0),2))</f>
        <v/>
      </c>
      <c r="O857" s="49"/>
      <c r="P857" s="53" t="str">
        <f t="shared" si="43"/>
        <v/>
      </c>
      <c r="Q857" s="53" t="str">
        <f t="shared" si="44"/>
        <v/>
      </c>
    </row>
    <row r="858" spans="1:17" ht="19.5" customHeight="1">
      <c r="A858" s="38"/>
      <c r="B858" s="38"/>
      <c r="C858" s="38"/>
      <c r="D858" s="37"/>
      <c r="E858" s="37"/>
      <c r="F858" s="37"/>
      <c r="G858" s="37" t="str">
        <f>IF(F858="","",INDEX(站位样品信息!$B$3:INDEX(站位样品信息!$B:$B,COUNTA(站位样品信息!$B:$B)+1),MATCH($F858,站位样品信息!$A$3:INDEX(站位样品信息!$A:$A,COUNTA(站位样品信息!$A:$A)+1),),))</f>
        <v/>
      </c>
      <c r="H858" s="55" t="str">
        <f>IF(OR(A858&lt;&gt;"",B858&lt;&gt;"",C858&lt;&gt;""),IF($C858&lt;&gt;0,INDEX(生物种群!$A$3:INDEX(生物种群!$A:$A,COUNTA(生物种群!$A:$A)),MATCH($C858,生物种群!$F$3:INDEX(生物种群!$F:$F,COUNTA(生物种群!$F:$F)),),),IF($A858&lt;&gt;0,INDEX(生物种群!$A$3:INDEX(生物种群!$A:$A,COUNTA(生物种群!$A:$A)),MATCH($A858,生物种群!$C$3:INDEX(生物种群!$C:$C,COUNTA(生物种群!$C:$C)),),),INDEX(生物种群!$A$3:INDEX(生物种群!$A:$A,COUNTA(生物种群!$A:$A)),MATCH($B858,生物种群!$D$3:INDEX(生物种群!$D:$D,COUNTA(生物种群!$D:$D)),),))),"")</f>
        <v/>
      </c>
      <c r="I858" s="56" t="str">
        <f>IF(H858="","",INDEX(生物种群!$B$3:INDEX(生物种群!$B:$B,COUNTA(生物种群!$B:$B)),MATCH($H858,生物种群!$A$3:INDEX(生物种群!$A:$A,COUNTA(生物种群!$A:$A)),),))</f>
        <v/>
      </c>
      <c r="J858" s="55" t="str">
        <f>IF(H858="","",INDEX(生物种群!$I$3:INDEX(生物种群!$I:$I,COUNTA(生物种群!$I:$I)),MATCH($H858,生物种群!$A$3:INDEX(生物种群!$A:$A,COUNTA(生物种群!$A:$A)),),))</f>
        <v/>
      </c>
      <c r="K858" s="55" t="str">
        <f>IF(H858="","",INDEX(生物种群!$E$3:INDEX(生物种群!$E:$E,COUNTA(生物种群!$E:$E)),MATCH($H858,生物种群!$A$3:INDEX(生物种群!$A:$A,COUNTA(生物种群!$A:$A)),),))</f>
        <v/>
      </c>
      <c r="L858" s="46" t="str">
        <f t="shared" si="45"/>
        <v/>
      </c>
      <c r="M858" s="47" t="str">
        <f>IF(L858="","",ROUND((L858)/VLOOKUP($F858,IF({1,0},站位样品信息!$A$3:INDEX(站位样品信息!$A:$A,COUNTA(站位样品信息!$A:$A)+1),站位样品信息!$H$3:INDEX(站位样品信息!$H:$H,COUNTA(站位样品信息!$H:$H)+1)),2,0),2))</f>
        <v/>
      </c>
      <c r="O858" s="49"/>
      <c r="P858" s="53" t="str">
        <f t="shared" si="43"/>
        <v/>
      </c>
      <c r="Q858" s="53" t="str">
        <f t="shared" si="44"/>
        <v/>
      </c>
    </row>
    <row r="859" spans="1:17" ht="19.5" customHeight="1">
      <c r="A859" s="38"/>
      <c r="B859" s="38"/>
      <c r="C859" s="38"/>
      <c r="D859" s="37"/>
      <c r="E859" s="37"/>
      <c r="F859" s="37"/>
      <c r="G859" s="37" t="str">
        <f>IF(F859="","",INDEX(站位样品信息!$B$3:INDEX(站位样品信息!$B:$B,COUNTA(站位样品信息!$B:$B)+1),MATCH($F859,站位样品信息!$A$3:INDEX(站位样品信息!$A:$A,COUNTA(站位样品信息!$A:$A)+1),),))</f>
        <v/>
      </c>
      <c r="H859" s="55" t="str">
        <f>IF(OR(A859&lt;&gt;"",B859&lt;&gt;"",C859&lt;&gt;""),IF($C859&lt;&gt;0,INDEX(生物种群!$A$3:INDEX(生物种群!$A:$A,COUNTA(生物种群!$A:$A)),MATCH($C859,生物种群!$F$3:INDEX(生物种群!$F:$F,COUNTA(生物种群!$F:$F)),),),IF($A859&lt;&gt;0,INDEX(生物种群!$A$3:INDEX(生物种群!$A:$A,COUNTA(生物种群!$A:$A)),MATCH($A859,生物种群!$C$3:INDEX(生物种群!$C:$C,COUNTA(生物种群!$C:$C)),),),INDEX(生物种群!$A$3:INDEX(生物种群!$A:$A,COUNTA(生物种群!$A:$A)),MATCH($B859,生物种群!$D$3:INDEX(生物种群!$D:$D,COUNTA(生物种群!$D:$D)),),))),"")</f>
        <v/>
      </c>
      <c r="I859" s="56" t="str">
        <f>IF(H859="","",INDEX(生物种群!$B$3:INDEX(生物种群!$B:$B,COUNTA(生物种群!$B:$B)),MATCH($H859,生物种群!$A$3:INDEX(生物种群!$A:$A,COUNTA(生物种群!$A:$A)),),))</f>
        <v/>
      </c>
      <c r="J859" s="55" t="str">
        <f>IF(H859="","",INDEX(生物种群!$I$3:INDEX(生物种群!$I:$I,COUNTA(生物种群!$I:$I)),MATCH($H859,生物种群!$A$3:INDEX(生物种群!$A:$A,COUNTA(生物种群!$A:$A)),),))</f>
        <v/>
      </c>
      <c r="K859" s="55" t="str">
        <f>IF(H859="","",INDEX(生物种群!$E$3:INDEX(生物种群!$E:$E,COUNTA(生物种群!$E:$E)),MATCH($H859,生物种群!$A$3:INDEX(生物种群!$A:$A,COUNTA(生物种群!$A:$A)),),))</f>
        <v/>
      </c>
      <c r="L859" s="46" t="str">
        <f t="shared" si="45"/>
        <v/>
      </c>
      <c r="M859" s="47" t="str">
        <f>IF(L859="","",ROUND((L859)/VLOOKUP($F859,IF({1,0},站位样品信息!$A$3:INDEX(站位样品信息!$A:$A,COUNTA(站位样品信息!$A:$A)+1),站位样品信息!$H$3:INDEX(站位样品信息!$H:$H,COUNTA(站位样品信息!$H:$H)+1)),2,0),2))</f>
        <v/>
      </c>
      <c r="O859" s="49"/>
      <c r="P859" s="53" t="str">
        <f t="shared" si="43"/>
        <v/>
      </c>
      <c r="Q859" s="53" t="str">
        <f t="shared" si="44"/>
        <v/>
      </c>
    </row>
    <row r="860" spans="1:17" ht="19.5" customHeight="1">
      <c r="A860" s="38"/>
      <c r="B860" s="38"/>
      <c r="C860" s="38"/>
      <c r="D860" s="37"/>
      <c r="E860" s="37"/>
      <c r="F860" s="37"/>
      <c r="G860" s="37" t="str">
        <f>IF(F860="","",INDEX(站位样品信息!$B$3:INDEX(站位样品信息!$B:$B,COUNTA(站位样品信息!$B:$B)+1),MATCH($F860,站位样品信息!$A$3:INDEX(站位样品信息!$A:$A,COUNTA(站位样品信息!$A:$A)+1),),))</f>
        <v/>
      </c>
      <c r="H860" s="55" t="str">
        <f>IF(OR(A860&lt;&gt;"",B860&lt;&gt;"",C860&lt;&gt;""),IF($C860&lt;&gt;0,INDEX(生物种群!$A$3:INDEX(生物种群!$A:$A,COUNTA(生物种群!$A:$A)),MATCH($C860,生物种群!$F$3:INDEX(生物种群!$F:$F,COUNTA(生物种群!$F:$F)),),),IF($A860&lt;&gt;0,INDEX(生物种群!$A$3:INDEX(生物种群!$A:$A,COUNTA(生物种群!$A:$A)),MATCH($A860,生物种群!$C$3:INDEX(生物种群!$C:$C,COUNTA(生物种群!$C:$C)),),),INDEX(生物种群!$A$3:INDEX(生物种群!$A:$A,COUNTA(生物种群!$A:$A)),MATCH($B860,生物种群!$D$3:INDEX(生物种群!$D:$D,COUNTA(生物种群!$D:$D)),),))),"")</f>
        <v/>
      </c>
      <c r="I860" s="56" t="str">
        <f>IF(H860="","",INDEX(生物种群!$B$3:INDEX(生物种群!$B:$B,COUNTA(生物种群!$B:$B)),MATCH($H860,生物种群!$A$3:INDEX(生物种群!$A:$A,COUNTA(生物种群!$A:$A)),),))</f>
        <v/>
      </c>
      <c r="J860" s="55" t="str">
        <f>IF(H860="","",INDEX(生物种群!$I$3:INDEX(生物种群!$I:$I,COUNTA(生物种群!$I:$I)),MATCH($H860,生物种群!$A$3:INDEX(生物种群!$A:$A,COUNTA(生物种群!$A:$A)),),))</f>
        <v/>
      </c>
      <c r="K860" s="55" t="str">
        <f>IF(H860="","",INDEX(生物种群!$E$3:INDEX(生物种群!$E:$E,COUNTA(生物种群!$E:$E)),MATCH($H860,生物种群!$A$3:INDEX(生物种群!$A:$A,COUNTA(生物种群!$A:$A)),),))</f>
        <v/>
      </c>
      <c r="L860" s="46" t="str">
        <f t="shared" si="45"/>
        <v/>
      </c>
      <c r="M860" s="47" t="str">
        <f>IF(L860="","",ROUND((L860)/VLOOKUP($F860,IF({1,0},站位样品信息!$A$3:INDEX(站位样品信息!$A:$A,COUNTA(站位样品信息!$A:$A)+1),站位样品信息!$H$3:INDEX(站位样品信息!$H:$H,COUNTA(站位样品信息!$H:$H)+1)),2,0),2))</f>
        <v/>
      </c>
      <c r="O860" s="49"/>
      <c r="P860" s="53" t="str">
        <f t="shared" si="43"/>
        <v/>
      </c>
      <c r="Q860" s="53" t="str">
        <f t="shared" si="44"/>
        <v/>
      </c>
    </row>
    <row r="861" spans="1:17" ht="19.5" customHeight="1">
      <c r="A861" s="38"/>
      <c r="B861" s="38"/>
      <c r="C861" s="38"/>
      <c r="D861" s="37"/>
      <c r="E861" s="37"/>
      <c r="F861" s="37"/>
      <c r="G861" s="37" t="str">
        <f>IF(F861="","",INDEX(站位样品信息!$B$3:INDEX(站位样品信息!$B:$B,COUNTA(站位样品信息!$B:$B)+1),MATCH($F861,站位样品信息!$A$3:INDEX(站位样品信息!$A:$A,COUNTA(站位样品信息!$A:$A)+1),),))</f>
        <v/>
      </c>
      <c r="H861" s="55" t="str">
        <f>IF(OR(A861&lt;&gt;"",B861&lt;&gt;"",C861&lt;&gt;""),IF($C861&lt;&gt;0,INDEX(生物种群!$A$3:INDEX(生物种群!$A:$A,COUNTA(生物种群!$A:$A)),MATCH($C861,生物种群!$F$3:INDEX(生物种群!$F:$F,COUNTA(生物种群!$F:$F)),),),IF($A861&lt;&gt;0,INDEX(生物种群!$A$3:INDEX(生物种群!$A:$A,COUNTA(生物种群!$A:$A)),MATCH($A861,生物种群!$C$3:INDEX(生物种群!$C:$C,COUNTA(生物种群!$C:$C)),),),INDEX(生物种群!$A$3:INDEX(生物种群!$A:$A,COUNTA(生物种群!$A:$A)),MATCH($B861,生物种群!$D$3:INDEX(生物种群!$D:$D,COUNTA(生物种群!$D:$D)),),))),"")</f>
        <v/>
      </c>
      <c r="I861" s="56" t="str">
        <f>IF(H861="","",INDEX(生物种群!$B$3:INDEX(生物种群!$B:$B,COUNTA(生物种群!$B:$B)),MATCH($H861,生物种群!$A$3:INDEX(生物种群!$A:$A,COUNTA(生物种群!$A:$A)),),))</f>
        <v/>
      </c>
      <c r="J861" s="55" t="str">
        <f>IF(H861="","",INDEX(生物种群!$I$3:INDEX(生物种群!$I:$I,COUNTA(生物种群!$I:$I)),MATCH($H861,生物种群!$A$3:INDEX(生物种群!$A:$A,COUNTA(生物种群!$A:$A)),),))</f>
        <v/>
      </c>
      <c r="K861" s="55" t="str">
        <f>IF(H861="","",INDEX(生物种群!$E$3:INDEX(生物种群!$E:$E,COUNTA(生物种群!$E:$E)),MATCH($H861,生物种群!$A$3:INDEX(生物种群!$A:$A,COUNTA(生物种群!$A:$A)),),))</f>
        <v/>
      </c>
      <c r="L861" s="46" t="str">
        <f t="shared" si="45"/>
        <v/>
      </c>
      <c r="M861" s="47" t="str">
        <f>IF(L861="","",ROUND((L861)/VLOOKUP($F861,IF({1,0},站位样品信息!$A$3:INDEX(站位样品信息!$A:$A,COUNTA(站位样品信息!$A:$A)+1),站位样品信息!$H$3:INDEX(站位样品信息!$H:$H,COUNTA(站位样品信息!$H:$H)+1)),2,0),2))</f>
        <v/>
      </c>
      <c r="O861" s="49"/>
      <c r="P861" s="53" t="str">
        <f t="shared" si="43"/>
        <v/>
      </c>
      <c r="Q861" s="53" t="str">
        <f t="shared" si="44"/>
        <v/>
      </c>
    </row>
    <row r="862" spans="1:17" ht="19.5" customHeight="1">
      <c r="A862" s="38"/>
      <c r="B862" s="38"/>
      <c r="C862" s="38"/>
      <c r="D862" s="37"/>
      <c r="E862" s="37"/>
      <c r="F862" s="37"/>
      <c r="G862" s="37" t="str">
        <f>IF(F862="","",INDEX(站位样品信息!$B$3:INDEX(站位样品信息!$B:$B,COUNTA(站位样品信息!$B:$B)+1),MATCH($F862,站位样品信息!$A$3:INDEX(站位样品信息!$A:$A,COUNTA(站位样品信息!$A:$A)+1),),))</f>
        <v/>
      </c>
      <c r="H862" s="55" t="str">
        <f>IF(OR(A862&lt;&gt;"",B862&lt;&gt;"",C862&lt;&gt;""),IF($C862&lt;&gt;0,INDEX(生物种群!$A$3:INDEX(生物种群!$A:$A,COUNTA(生物种群!$A:$A)),MATCH($C862,生物种群!$F$3:INDEX(生物种群!$F:$F,COUNTA(生物种群!$F:$F)),),),IF($A862&lt;&gt;0,INDEX(生物种群!$A$3:INDEX(生物种群!$A:$A,COUNTA(生物种群!$A:$A)),MATCH($A862,生物种群!$C$3:INDEX(生物种群!$C:$C,COUNTA(生物种群!$C:$C)),),),INDEX(生物种群!$A$3:INDEX(生物种群!$A:$A,COUNTA(生物种群!$A:$A)),MATCH($B862,生物种群!$D$3:INDEX(生物种群!$D:$D,COUNTA(生物种群!$D:$D)),),))),"")</f>
        <v/>
      </c>
      <c r="I862" s="56" t="str">
        <f>IF(H862="","",INDEX(生物种群!$B$3:INDEX(生物种群!$B:$B,COUNTA(生物种群!$B:$B)),MATCH($H862,生物种群!$A$3:INDEX(生物种群!$A:$A,COUNTA(生物种群!$A:$A)),),))</f>
        <v/>
      </c>
      <c r="J862" s="55" t="str">
        <f>IF(H862="","",INDEX(生物种群!$I$3:INDEX(生物种群!$I:$I,COUNTA(生物种群!$I:$I)),MATCH($H862,生物种群!$A$3:INDEX(生物种群!$A:$A,COUNTA(生物种群!$A:$A)),),))</f>
        <v/>
      </c>
      <c r="K862" s="55" t="str">
        <f>IF(H862="","",INDEX(生物种群!$E$3:INDEX(生物种群!$E:$E,COUNTA(生物种群!$E:$E)),MATCH($H862,生物种群!$A$3:INDEX(生物种群!$A:$A,COUNTA(生物种群!$A:$A)),),))</f>
        <v/>
      </c>
      <c r="L862" s="46" t="str">
        <f t="shared" si="45"/>
        <v/>
      </c>
      <c r="M862" s="47" t="str">
        <f>IF(L862="","",ROUND((L862)/VLOOKUP($F862,IF({1,0},站位样品信息!$A$3:INDEX(站位样品信息!$A:$A,COUNTA(站位样品信息!$A:$A)+1),站位样品信息!$H$3:INDEX(站位样品信息!$H:$H,COUNTA(站位样品信息!$H:$H)+1)),2,0),2))</f>
        <v/>
      </c>
      <c r="O862" s="49"/>
      <c r="P862" s="53" t="str">
        <f t="shared" si="43"/>
        <v/>
      </c>
      <c r="Q862" s="53" t="str">
        <f t="shared" si="44"/>
        <v/>
      </c>
    </row>
    <row r="863" spans="1:17" ht="19.5" customHeight="1">
      <c r="A863" s="38"/>
      <c r="B863" s="38"/>
      <c r="C863" s="38"/>
      <c r="D863" s="37"/>
      <c r="E863" s="37"/>
      <c r="F863" s="37"/>
      <c r="G863" s="37" t="str">
        <f>IF(F863="","",INDEX(站位样品信息!$B$3:INDEX(站位样品信息!$B:$B,COUNTA(站位样品信息!$B:$B)+1),MATCH($F863,站位样品信息!$A$3:INDEX(站位样品信息!$A:$A,COUNTA(站位样品信息!$A:$A)+1),),))</f>
        <v/>
      </c>
      <c r="H863" s="55" t="str">
        <f>IF(OR(A863&lt;&gt;"",B863&lt;&gt;"",C863&lt;&gt;""),IF($C863&lt;&gt;0,INDEX(生物种群!$A$3:INDEX(生物种群!$A:$A,COUNTA(生物种群!$A:$A)),MATCH($C863,生物种群!$F$3:INDEX(生物种群!$F:$F,COUNTA(生物种群!$F:$F)),),),IF($A863&lt;&gt;0,INDEX(生物种群!$A$3:INDEX(生物种群!$A:$A,COUNTA(生物种群!$A:$A)),MATCH($A863,生物种群!$C$3:INDEX(生物种群!$C:$C,COUNTA(生物种群!$C:$C)),),),INDEX(生物种群!$A$3:INDEX(生物种群!$A:$A,COUNTA(生物种群!$A:$A)),MATCH($B863,生物种群!$D$3:INDEX(生物种群!$D:$D,COUNTA(生物种群!$D:$D)),),))),"")</f>
        <v/>
      </c>
      <c r="I863" s="56" t="str">
        <f>IF(H863="","",INDEX(生物种群!$B$3:INDEX(生物种群!$B:$B,COUNTA(生物种群!$B:$B)),MATCH($H863,生物种群!$A$3:INDEX(生物种群!$A:$A,COUNTA(生物种群!$A:$A)),),))</f>
        <v/>
      </c>
      <c r="J863" s="55" t="str">
        <f>IF(H863="","",INDEX(生物种群!$I$3:INDEX(生物种群!$I:$I,COUNTA(生物种群!$I:$I)),MATCH($H863,生物种群!$A$3:INDEX(生物种群!$A:$A,COUNTA(生物种群!$A:$A)),),))</f>
        <v/>
      </c>
      <c r="K863" s="55" t="str">
        <f>IF(H863="","",INDEX(生物种群!$E$3:INDEX(生物种群!$E:$E,COUNTA(生物种群!$E:$E)),MATCH($H863,生物种群!$A$3:INDEX(生物种群!$A:$A,COUNTA(生物种群!$A:$A)),),))</f>
        <v/>
      </c>
      <c r="L863" s="46" t="str">
        <f t="shared" si="45"/>
        <v/>
      </c>
      <c r="M863" s="47" t="str">
        <f>IF(L863="","",ROUND((L863)/VLOOKUP($F863,IF({1,0},站位样品信息!$A$3:INDEX(站位样品信息!$A:$A,COUNTA(站位样品信息!$A:$A)+1),站位样品信息!$H$3:INDEX(站位样品信息!$H:$H,COUNTA(站位样品信息!$H:$H)+1)),2,0),2))</f>
        <v/>
      </c>
      <c r="O863" s="49"/>
      <c r="P863" s="53" t="str">
        <f t="shared" si="43"/>
        <v/>
      </c>
      <c r="Q863" s="53" t="str">
        <f t="shared" si="44"/>
        <v/>
      </c>
    </row>
    <row r="864" spans="1:17" ht="19.5" customHeight="1">
      <c r="A864" s="38"/>
      <c r="B864" s="38"/>
      <c r="C864" s="38"/>
      <c r="D864" s="37"/>
      <c r="E864" s="37"/>
      <c r="F864" s="37"/>
      <c r="G864" s="37" t="str">
        <f>IF(F864="","",INDEX(站位样品信息!$B$3:INDEX(站位样品信息!$B:$B,COUNTA(站位样品信息!$B:$B)+1),MATCH($F864,站位样品信息!$A$3:INDEX(站位样品信息!$A:$A,COUNTA(站位样品信息!$A:$A)+1),),))</f>
        <v/>
      </c>
      <c r="H864" s="55" t="str">
        <f>IF(OR(A864&lt;&gt;"",B864&lt;&gt;"",C864&lt;&gt;""),IF($C864&lt;&gt;0,INDEX(生物种群!$A$3:INDEX(生物种群!$A:$A,COUNTA(生物种群!$A:$A)),MATCH($C864,生物种群!$F$3:INDEX(生物种群!$F:$F,COUNTA(生物种群!$F:$F)),),),IF($A864&lt;&gt;0,INDEX(生物种群!$A$3:INDEX(生物种群!$A:$A,COUNTA(生物种群!$A:$A)),MATCH($A864,生物种群!$C$3:INDEX(生物种群!$C:$C,COUNTA(生物种群!$C:$C)),),),INDEX(生物种群!$A$3:INDEX(生物种群!$A:$A,COUNTA(生物种群!$A:$A)),MATCH($B864,生物种群!$D$3:INDEX(生物种群!$D:$D,COUNTA(生物种群!$D:$D)),),))),"")</f>
        <v/>
      </c>
      <c r="I864" s="56" t="str">
        <f>IF(H864="","",INDEX(生物种群!$B$3:INDEX(生物种群!$B:$B,COUNTA(生物种群!$B:$B)),MATCH($H864,生物种群!$A$3:INDEX(生物种群!$A:$A,COUNTA(生物种群!$A:$A)),),))</f>
        <v/>
      </c>
      <c r="J864" s="55" t="str">
        <f>IF(H864="","",INDEX(生物种群!$I$3:INDEX(生物种群!$I:$I,COUNTA(生物种群!$I:$I)),MATCH($H864,生物种群!$A$3:INDEX(生物种群!$A:$A,COUNTA(生物种群!$A:$A)),),))</f>
        <v/>
      </c>
      <c r="K864" s="55" t="str">
        <f>IF(H864="","",INDEX(生物种群!$E$3:INDEX(生物种群!$E:$E,COUNTA(生物种群!$E:$E)),MATCH($H864,生物种群!$A$3:INDEX(生物种群!$A:$A,COUNTA(生物种群!$A:$A)),),))</f>
        <v/>
      </c>
      <c r="L864" s="46" t="str">
        <f t="shared" si="45"/>
        <v/>
      </c>
      <c r="M864" s="47" t="str">
        <f>IF(L864="","",ROUND((L864)/VLOOKUP($F864,IF({1,0},站位样品信息!$A$3:INDEX(站位样品信息!$A:$A,COUNTA(站位样品信息!$A:$A)+1),站位样品信息!$H$3:INDEX(站位样品信息!$H:$H,COUNTA(站位样品信息!$H:$H)+1)),2,0),2))</f>
        <v/>
      </c>
      <c r="O864" s="49"/>
      <c r="P864" s="53" t="str">
        <f t="shared" si="43"/>
        <v/>
      </c>
      <c r="Q864" s="53" t="str">
        <f t="shared" si="44"/>
        <v/>
      </c>
    </row>
    <row r="865" spans="1:17" ht="19.5" customHeight="1">
      <c r="A865" s="38"/>
      <c r="B865" s="38"/>
      <c r="C865" s="38"/>
      <c r="D865" s="37"/>
      <c r="E865" s="37"/>
      <c r="F865" s="37"/>
      <c r="G865" s="37" t="str">
        <f>IF(F865="","",INDEX(站位样品信息!$B$3:INDEX(站位样品信息!$B:$B,COUNTA(站位样品信息!$B:$B)+1),MATCH($F865,站位样品信息!$A$3:INDEX(站位样品信息!$A:$A,COUNTA(站位样品信息!$A:$A)+1),),))</f>
        <v/>
      </c>
      <c r="H865" s="55" t="str">
        <f>IF(OR(A865&lt;&gt;"",B865&lt;&gt;"",C865&lt;&gt;""),IF($C865&lt;&gt;0,INDEX(生物种群!$A$3:INDEX(生物种群!$A:$A,COUNTA(生物种群!$A:$A)),MATCH($C865,生物种群!$F$3:INDEX(生物种群!$F:$F,COUNTA(生物种群!$F:$F)),),),IF($A865&lt;&gt;0,INDEX(生物种群!$A$3:INDEX(生物种群!$A:$A,COUNTA(生物种群!$A:$A)),MATCH($A865,生物种群!$C$3:INDEX(生物种群!$C:$C,COUNTA(生物种群!$C:$C)),),),INDEX(生物种群!$A$3:INDEX(生物种群!$A:$A,COUNTA(生物种群!$A:$A)),MATCH($B865,生物种群!$D$3:INDEX(生物种群!$D:$D,COUNTA(生物种群!$D:$D)),),))),"")</f>
        <v/>
      </c>
      <c r="I865" s="56" t="str">
        <f>IF(H865="","",INDEX(生物种群!$B$3:INDEX(生物种群!$B:$B,COUNTA(生物种群!$B:$B)),MATCH($H865,生物种群!$A$3:INDEX(生物种群!$A:$A,COUNTA(生物种群!$A:$A)),),))</f>
        <v/>
      </c>
      <c r="J865" s="55" t="str">
        <f>IF(H865="","",INDEX(生物种群!$I$3:INDEX(生物种群!$I:$I,COUNTA(生物种群!$I:$I)),MATCH($H865,生物种群!$A$3:INDEX(生物种群!$A:$A,COUNTA(生物种群!$A:$A)),),))</f>
        <v/>
      </c>
      <c r="K865" s="55" t="str">
        <f>IF(H865="","",INDEX(生物种群!$E$3:INDEX(生物种群!$E:$E,COUNTA(生物种群!$E:$E)),MATCH($H865,生物种群!$A$3:INDEX(生物种群!$A:$A,COUNTA(生物种群!$A:$A)),),))</f>
        <v/>
      </c>
      <c r="L865" s="46" t="str">
        <f t="shared" si="45"/>
        <v/>
      </c>
      <c r="M865" s="47" t="str">
        <f>IF(L865="","",ROUND((L865)/VLOOKUP($F865,IF({1,0},站位样品信息!$A$3:INDEX(站位样品信息!$A:$A,COUNTA(站位样品信息!$A:$A)+1),站位样品信息!$H$3:INDEX(站位样品信息!$H:$H,COUNTA(站位样品信息!$H:$H)+1)),2,0),2))</f>
        <v/>
      </c>
      <c r="O865" s="49"/>
      <c r="P865" s="53" t="str">
        <f t="shared" si="43"/>
        <v/>
      </c>
      <c r="Q865" s="53" t="str">
        <f t="shared" si="44"/>
        <v/>
      </c>
    </row>
    <row r="866" spans="1:17" ht="19.5" customHeight="1">
      <c r="A866" s="38"/>
      <c r="B866" s="38"/>
      <c r="C866" s="38"/>
      <c r="D866" s="37"/>
      <c r="E866" s="37"/>
      <c r="F866" s="37"/>
      <c r="G866" s="37" t="str">
        <f>IF(F866="","",INDEX(站位样品信息!$B$3:INDEX(站位样品信息!$B:$B,COUNTA(站位样品信息!$B:$B)+1),MATCH($F866,站位样品信息!$A$3:INDEX(站位样品信息!$A:$A,COUNTA(站位样品信息!$A:$A)+1),),))</f>
        <v/>
      </c>
      <c r="H866" s="55" t="str">
        <f>IF(OR(A866&lt;&gt;"",B866&lt;&gt;"",C866&lt;&gt;""),IF($C866&lt;&gt;0,INDEX(生物种群!$A$3:INDEX(生物种群!$A:$A,COUNTA(生物种群!$A:$A)),MATCH($C866,生物种群!$F$3:INDEX(生物种群!$F:$F,COUNTA(生物种群!$F:$F)),),),IF($A866&lt;&gt;0,INDEX(生物种群!$A$3:INDEX(生物种群!$A:$A,COUNTA(生物种群!$A:$A)),MATCH($A866,生物种群!$C$3:INDEX(生物种群!$C:$C,COUNTA(生物种群!$C:$C)),),),INDEX(生物种群!$A$3:INDEX(生物种群!$A:$A,COUNTA(生物种群!$A:$A)),MATCH($B866,生物种群!$D$3:INDEX(生物种群!$D:$D,COUNTA(生物种群!$D:$D)),),))),"")</f>
        <v/>
      </c>
      <c r="I866" s="56" t="str">
        <f>IF(H866="","",INDEX(生物种群!$B$3:INDEX(生物种群!$B:$B,COUNTA(生物种群!$B:$B)),MATCH($H866,生物种群!$A$3:INDEX(生物种群!$A:$A,COUNTA(生物种群!$A:$A)),),))</f>
        <v/>
      </c>
      <c r="J866" s="55" t="str">
        <f>IF(H866="","",INDEX(生物种群!$I$3:INDEX(生物种群!$I:$I,COUNTA(生物种群!$I:$I)),MATCH($H866,生物种群!$A$3:INDEX(生物种群!$A:$A,COUNTA(生物种群!$A:$A)),),))</f>
        <v/>
      </c>
      <c r="K866" s="55" t="str">
        <f>IF(H866="","",INDEX(生物种群!$E$3:INDEX(生物种群!$E:$E,COUNTA(生物种群!$E:$E)),MATCH($H866,生物种群!$A$3:INDEX(生物种群!$A:$A,COUNTA(生物种群!$A:$A)),),))</f>
        <v/>
      </c>
      <c r="L866" s="46" t="str">
        <f t="shared" si="45"/>
        <v/>
      </c>
      <c r="M866" s="47" t="str">
        <f>IF(L866="","",ROUND((L866)/VLOOKUP($F866,IF({1,0},站位样品信息!$A$3:INDEX(站位样品信息!$A:$A,COUNTA(站位样品信息!$A:$A)+1),站位样品信息!$H$3:INDEX(站位样品信息!$H:$H,COUNTA(站位样品信息!$H:$H)+1)),2,0),2))</f>
        <v/>
      </c>
      <c r="O866" s="49"/>
      <c r="P866" s="53" t="str">
        <f t="shared" si="43"/>
        <v/>
      </c>
      <c r="Q866" s="53" t="str">
        <f t="shared" si="44"/>
        <v/>
      </c>
    </row>
    <row r="867" spans="1:17" ht="19.5" customHeight="1">
      <c r="A867" s="38"/>
      <c r="B867" s="38"/>
      <c r="C867" s="38"/>
      <c r="D867" s="37"/>
      <c r="E867" s="37"/>
      <c r="F867" s="37"/>
      <c r="G867" s="37" t="str">
        <f>IF(F867="","",INDEX(站位样品信息!$B$3:INDEX(站位样品信息!$B:$B,COUNTA(站位样品信息!$B:$B)+1),MATCH($F867,站位样品信息!$A$3:INDEX(站位样品信息!$A:$A,COUNTA(站位样品信息!$A:$A)+1),),))</f>
        <v/>
      </c>
      <c r="H867" s="55" t="str">
        <f>IF(OR(A867&lt;&gt;"",B867&lt;&gt;"",C867&lt;&gt;""),IF($C867&lt;&gt;0,INDEX(生物种群!$A$3:INDEX(生物种群!$A:$A,COUNTA(生物种群!$A:$A)),MATCH($C867,生物种群!$F$3:INDEX(生物种群!$F:$F,COUNTA(生物种群!$F:$F)),),),IF($A867&lt;&gt;0,INDEX(生物种群!$A$3:INDEX(生物种群!$A:$A,COUNTA(生物种群!$A:$A)),MATCH($A867,生物种群!$C$3:INDEX(生物种群!$C:$C,COUNTA(生物种群!$C:$C)),),),INDEX(生物种群!$A$3:INDEX(生物种群!$A:$A,COUNTA(生物种群!$A:$A)),MATCH($B867,生物种群!$D$3:INDEX(生物种群!$D:$D,COUNTA(生物种群!$D:$D)),),))),"")</f>
        <v/>
      </c>
      <c r="I867" s="56" t="str">
        <f>IF(H867="","",INDEX(生物种群!$B$3:INDEX(生物种群!$B:$B,COUNTA(生物种群!$B:$B)),MATCH($H867,生物种群!$A$3:INDEX(生物种群!$A:$A,COUNTA(生物种群!$A:$A)),),))</f>
        <v/>
      </c>
      <c r="J867" s="55" t="str">
        <f>IF(H867="","",INDEX(生物种群!$I$3:INDEX(生物种群!$I:$I,COUNTA(生物种群!$I:$I)),MATCH($H867,生物种群!$A$3:INDEX(生物种群!$A:$A,COUNTA(生物种群!$A:$A)),),))</f>
        <v/>
      </c>
      <c r="K867" s="55" t="str">
        <f>IF(H867="","",INDEX(生物种群!$E$3:INDEX(生物种群!$E:$E,COUNTA(生物种群!$E:$E)),MATCH($H867,生物种群!$A$3:INDEX(生物种群!$A:$A,COUNTA(生物种群!$A:$A)),),))</f>
        <v/>
      </c>
      <c r="L867" s="46" t="str">
        <f t="shared" si="45"/>
        <v/>
      </c>
      <c r="M867" s="47" t="str">
        <f>IF(L867="","",ROUND((L867)/VLOOKUP($F867,IF({1,0},站位样品信息!$A$3:INDEX(站位样品信息!$A:$A,COUNTA(站位样品信息!$A:$A)+1),站位样品信息!$H$3:INDEX(站位样品信息!$H:$H,COUNTA(站位样品信息!$H:$H)+1)),2,0),2))</f>
        <v/>
      </c>
      <c r="O867" s="49"/>
      <c r="P867" s="53" t="str">
        <f t="shared" si="43"/>
        <v/>
      </c>
      <c r="Q867" s="53" t="str">
        <f t="shared" si="44"/>
        <v/>
      </c>
    </row>
    <row r="868" spans="1:17" ht="19.5" customHeight="1">
      <c r="A868" s="38"/>
      <c r="B868" s="38"/>
      <c r="C868" s="38"/>
      <c r="D868" s="37"/>
      <c r="E868" s="37"/>
      <c r="F868" s="37"/>
      <c r="G868" s="37" t="str">
        <f>IF(F868="","",INDEX(站位样品信息!$B$3:INDEX(站位样品信息!$B:$B,COUNTA(站位样品信息!$B:$B)+1),MATCH($F868,站位样品信息!$A$3:INDEX(站位样品信息!$A:$A,COUNTA(站位样品信息!$A:$A)+1),),))</f>
        <v/>
      </c>
      <c r="H868" s="55" t="str">
        <f>IF(OR(A868&lt;&gt;"",B868&lt;&gt;"",C868&lt;&gt;""),IF($C868&lt;&gt;0,INDEX(生物种群!$A$3:INDEX(生物种群!$A:$A,COUNTA(生物种群!$A:$A)),MATCH($C868,生物种群!$F$3:INDEX(生物种群!$F:$F,COUNTA(生物种群!$F:$F)),),),IF($A868&lt;&gt;0,INDEX(生物种群!$A$3:INDEX(生物种群!$A:$A,COUNTA(生物种群!$A:$A)),MATCH($A868,生物种群!$C$3:INDEX(生物种群!$C:$C,COUNTA(生物种群!$C:$C)),),),INDEX(生物种群!$A$3:INDEX(生物种群!$A:$A,COUNTA(生物种群!$A:$A)),MATCH($B868,生物种群!$D$3:INDEX(生物种群!$D:$D,COUNTA(生物种群!$D:$D)),),))),"")</f>
        <v/>
      </c>
      <c r="I868" s="56" t="str">
        <f>IF(H868="","",INDEX(生物种群!$B$3:INDEX(生物种群!$B:$B,COUNTA(生物种群!$B:$B)),MATCH($H868,生物种群!$A$3:INDEX(生物种群!$A:$A,COUNTA(生物种群!$A:$A)),),))</f>
        <v/>
      </c>
      <c r="J868" s="55" t="str">
        <f>IF(H868="","",INDEX(生物种群!$I$3:INDEX(生物种群!$I:$I,COUNTA(生物种群!$I:$I)),MATCH($H868,生物种群!$A$3:INDEX(生物种群!$A:$A,COUNTA(生物种群!$A:$A)),),))</f>
        <v/>
      </c>
      <c r="K868" s="55" t="str">
        <f>IF(H868="","",INDEX(生物种群!$E$3:INDEX(生物种群!$E:$E,COUNTA(生物种群!$E:$E)),MATCH($H868,生物种群!$A$3:INDEX(生物种群!$A:$A,COUNTA(生物种群!$A:$A)),),))</f>
        <v/>
      </c>
      <c r="L868" s="46" t="str">
        <f t="shared" si="45"/>
        <v/>
      </c>
      <c r="M868" s="47" t="str">
        <f>IF(L868="","",ROUND((L868)/VLOOKUP($F868,IF({1,0},站位样品信息!$A$3:INDEX(站位样品信息!$A:$A,COUNTA(站位样品信息!$A:$A)+1),站位样品信息!$H$3:INDEX(站位样品信息!$H:$H,COUNTA(站位样品信息!$H:$H)+1)),2,0),2))</f>
        <v/>
      </c>
      <c r="O868" s="49"/>
      <c r="P868" s="53" t="str">
        <f t="shared" si="43"/>
        <v/>
      </c>
      <c r="Q868" s="53" t="str">
        <f t="shared" si="44"/>
        <v/>
      </c>
    </row>
    <row r="869" spans="1:17" ht="19.5" customHeight="1">
      <c r="A869" s="38"/>
      <c r="B869" s="38"/>
      <c r="C869" s="38"/>
      <c r="D869" s="37"/>
      <c r="E869" s="37"/>
      <c r="F869" s="37"/>
      <c r="G869" s="37" t="str">
        <f>IF(F869="","",INDEX(站位样品信息!$B$3:INDEX(站位样品信息!$B:$B,COUNTA(站位样品信息!$B:$B)+1),MATCH($F869,站位样品信息!$A$3:INDEX(站位样品信息!$A:$A,COUNTA(站位样品信息!$A:$A)+1),),))</f>
        <v/>
      </c>
      <c r="H869" s="55" t="str">
        <f>IF(OR(A869&lt;&gt;"",B869&lt;&gt;"",C869&lt;&gt;""),IF($C869&lt;&gt;0,INDEX(生物种群!$A$3:INDEX(生物种群!$A:$A,COUNTA(生物种群!$A:$A)),MATCH($C869,生物种群!$F$3:INDEX(生物种群!$F:$F,COUNTA(生物种群!$F:$F)),),),IF($A869&lt;&gt;0,INDEX(生物种群!$A$3:INDEX(生物种群!$A:$A,COUNTA(生物种群!$A:$A)),MATCH($A869,生物种群!$C$3:INDEX(生物种群!$C:$C,COUNTA(生物种群!$C:$C)),),),INDEX(生物种群!$A$3:INDEX(生物种群!$A:$A,COUNTA(生物种群!$A:$A)),MATCH($B869,生物种群!$D$3:INDEX(生物种群!$D:$D,COUNTA(生物种群!$D:$D)),),))),"")</f>
        <v/>
      </c>
      <c r="I869" s="56" t="str">
        <f>IF(H869="","",INDEX(生物种群!$B$3:INDEX(生物种群!$B:$B,COUNTA(生物种群!$B:$B)),MATCH($H869,生物种群!$A$3:INDEX(生物种群!$A:$A,COUNTA(生物种群!$A:$A)),),))</f>
        <v/>
      </c>
      <c r="J869" s="55" t="str">
        <f>IF(H869="","",INDEX(生物种群!$I$3:INDEX(生物种群!$I:$I,COUNTA(生物种群!$I:$I)),MATCH($H869,生物种群!$A$3:INDEX(生物种群!$A:$A,COUNTA(生物种群!$A:$A)),),))</f>
        <v/>
      </c>
      <c r="K869" s="55" t="str">
        <f>IF(H869="","",INDEX(生物种群!$E$3:INDEX(生物种群!$E:$E,COUNTA(生物种群!$E:$E)),MATCH($H869,生物种群!$A$3:INDEX(生物种群!$A:$A,COUNTA(生物种群!$A:$A)),),))</f>
        <v/>
      </c>
      <c r="L869" s="46" t="str">
        <f t="shared" si="45"/>
        <v/>
      </c>
      <c r="M869" s="47" t="str">
        <f>IF(L869="","",ROUND((L869)/VLOOKUP($F869,IF({1,0},站位样品信息!$A$3:INDEX(站位样品信息!$A:$A,COUNTA(站位样品信息!$A:$A)+1),站位样品信息!$H$3:INDEX(站位样品信息!$H:$H,COUNTA(站位样品信息!$H:$H)+1)),2,0),2))</f>
        <v/>
      </c>
      <c r="O869" s="49"/>
      <c r="P869" s="53" t="str">
        <f t="shared" si="43"/>
        <v/>
      </c>
      <c r="Q869" s="53" t="str">
        <f t="shared" si="44"/>
        <v/>
      </c>
    </row>
    <row r="870" spans="1:17" ht="19.5" customHeight="1">
      <c r="A870" s="38"/>
      <c r="B870" s="38"/>
      <c r="C870" s="38"/>
      <c r="D870" s="37"/>
      <c r="E870" s="37"/>
      <c r="F870" s="37"/>
      <c r="G870" s="37" t="str">
        <f>IF(F870="","",INDEX(站位样品信息!$B$3:INDEX(站位样品信息!$B:$B,COUNTA(站位样品信息!$B:$B)+1),MATCH($F870,站位样品信息!$A$3:INDEX(站位样品信息!$A:$A,COUNTA(站位样品信息!$A:$A)+1),),))</f>
        <v/>
      </c>
      <c r="H870" s="55" t="str">
        <f>IF(OR(A870&lt;&gt;"",B870&lt;&gt;"",C870&lt;&gt;""),IF($C870&lt;&gt;0,INDEX(生物种群!$A$3:INDEX(生物种群!$A:$A,COUNTA(生物种群!$A:$A)),MATCH($C870,生物种群!$F$3:INDEX(生物种群!$F:$F,COUNTA(生物种群!$F:$F)),),),IF($A870&lt;&gt;0,INDEX(生物种群!$A$3:INDEX(生物种群!$A:$A,COUNTA(生物种群!$A:$A)),MATCH($A870,生物种群!$C$3:INDEX(生物种群!$C:$C,COUNTA(生物种群!$C:$C)),),),INDEX(生物种群!$A$3:INDEX(生物种群!$A:$A,COUNTA(生物种群!$A:$A)),MATCH($B870,生物种群!$D$3:INDEX(生物种群!$D:$D,COUNTA(生物种群!$D:$D)),),))),"")</f>
        <v/>
      </c>
      <c r="I870" s="56" t="str">
        <f>IF(H870="","",INDEX(生物种群!$B$3:INDEX(生物种群!$B:$B,COUNTA(生物种群!$B:$B)),MATCH($H870,生物种群!$A$3:INDEX(生物种群!$A:$A,COUNTA(生物种群!$A:$A)),),))</f>
        <v/>
      </c>
      <c r="J870" s="55" t="str">
        <f>IF(H870="","",INDEX(生物种群!$I$3:INDEX(生物种群!$I:$I,COUNTA(生物种群!$I:$I)),MATCH($H870,生物种群!$A$3:INDEX(生物种群!$A:$A,COUNTA(生物种群!$A:$A)),),))</f>
        <v/>
      </c>
      <c r="K870" s="55" t="str">
        <f>IF(H870="","",INDEX(生物种群!$E$3:INDEX(生物种群!$E:$E,COUNTA(生物种群!$E:$E)),MATCH($H870,生物种群!$A$3:INDEX(生物种群!$A:$A,COUNTA(生物种群!$A:$A)),),))</f>
        <v/>
      </c>
      <c r="L870" s="46" t="str">
        <f t="shared" si="45"/>
        <v/>
      </c>
      <c r="M870" s="47" t="str">
        <f>IF(L870="","",ROUND((L870)/VLOOKUP($F870,IF({1,0},站位样品信息!$A$3:INDEX(站位样品信息!$A:$A,COUNTA(站位样品信息!$A:$A)+1),站位样品信息!$H$3:INDEX(站位样品信息!$H:$H,COUNTA(站位样品信息!$H:$H)+1)),2,0),2))</f>
        <v/>
      </c>
      <c r="O870" s="49"/>
      <c r="P870" s="53" t="str">
        <f t="shared" si="43"/>
        <v/>
      </c>
      <c r="Q870" s="53" t="str">
        <f t="shared" si="44"/>
        <v/>
      </c>
    </row>
    <row r="871" spans="1:17" ht="19.5" customHeight="1">
      <c r="A871" s="38"/>
      <c r="B871" s="38"/>
      <c r="C871" s="38"/>
      <c r="D871" s="37"/>
      <c r="E871" s="37"/>
      <c r="F871" s="37"/>
      <c r="G871" s="37" t="str">
        <f>IF(F871="","",INDEX(站位样品信息!$B$3:INDEX(站位样品信息!$B:$B,COUNTA(站位样品信息!$B:$B)+1),MATCH($F871,站位样品信息!$A$3:INDEX(站位样品信息!$A:$A,COUNTA(站位样品信息!$A:$A)+1),),))</f>
        <v/>
      </c>
      <c r="H871" s="55" t="str">
        <f>IF(OR(A871&lt;&gt;"",B871&lt;&gt;"",C871&lt;&gt;""),IF($C871&lt;&gt;0,INDEX(生物种群!$A$3:INDEX(生物种群!$A:$A,COUNTA(生物种群!$A:$A)),MATCH($C871,生物种群!$F$3:INDEX(生物种群!$F:$F,COUNTA(生物种群!$F:$F)),),),IF($A871&lt;&gt;0,INDEX(生物种群!$A$3:INDEX(生物种群!$A:$A,COUNTA(生物种群!$A:$A)),MATCH($A871,生物种群!$C$3:INDEX(生物种群!$C:$C,COUNTA(生物种群!$C:$C)),),),INDEX(生物种群!$A$3:INDEX(生物种群!$A:$A,COUNTA(生物种群!$A:$A)),MATCH($B871,生物种群!$D$3:INDEX(生物种群!$D:$D,COUNTA(生物种群!$D:$D)),),))),"")</f>
        <v/>
      </c>
      <c r="I871" s="56" t="str">
        <f>IF(H871="","",INDEX(生物种群!$B$3:INDEX(生物种群!$B:$B,COUNTA(生物种群!$B:$B)),MATCH($H871,生物种群!$A$3:INDEX(生物种群!$A:$A,COUNTA(生物种群!$A:$A)),),))</f>
        <v/>
      </c>
      <c r="J871" s="55" t="str">
        <f>IF(H871="","",INDEX(生物种群!$I$3:INDEX(生物种群!$I:$I,COUNTA(生物种群!$I:$I)),MATCH($H871,生物种群!$A$3:INDEX(生物种群!$A:$A,COUNTA(生物种群!$A:$A)),),))</f>
        <v/>
      </c>
      <c r="K871" s="55" t="str">
        <f>IF(H871="","",INDEX(生物种群!$E$3:INDEX(生物种群!$E:$E,COUNTA(生物种群!$E:$E)),MATCH($H871,生物种群!$A$3:INDEX(生物种群!$A:$A,COUNTA(生物种群!$A:$A)),),))</f>
        <v/>
      </c>
      <c r="L871" s="46" t="str">
        <f t="shared" si="45"/>
        <v/>
      </c>
      <c r="M871" s="47" t="str">
        <f>IF(L871="","",ROUND((L871)/VLOOKUP($F871,IF({1,0},站位样品信息!$A$3:INDEX(站位样品信息!$A:$A,COUNTA(站位样品信息!$A:$A)+1),站位样品信息!$H$3:INDEX(站位样品信息!$H:$H,COUNTA(站位样品信息!$H:$H)+1)),2,0),2))</f>
        <v/>
      </c>
      <c r="O871" s="49"/>
      <c r="P871" s="53" t="str">
        <f t="shared" si="43"/>
        <v/>
      </c>
      <c r="Q871" s="53" t="str">
        <f t="shared" si="44"/>
        <v/>
      </c>
    </row>
    <row r="872" spans="1:17" ht="19.5" customHeight="1">
      <c r="A872" s="38"/>
      <c r="B872" s="38"/>
      <c r="C872" s="38"/>
      <c r="D872" s="37"/>
      <c r="E872" s="37"/>
      <c r="F872" s="37"/>
      <c r="G872" s="37" t="str">
        <f>IF(F872="","",INDEX(站位样品信息!$B$3:INDEX(站位样品信息!$B:$B,COUNTA(站位样品信息!$B:$B)+1),MATCH($F872,站位样品信息!$A$3:INDEX(站位样品信息!$A:$A,COUNTA(站位样品信息!$A:$A)+1),),))</f>
        <v/>
      </c>
      <c r="H872" s="55" t="str">
        <f>IF(OR(A872&lt;&gt;"",B872&lt;&gt;"",C872&lt;&gt;""),IF($C872&lt;&gt;0,INDEX(生物种群!$A$3:INDEX(生物种群!$A:$A,COUNTA(生物种群!$A:$A)),MATCH($C872,生物种群!$F$3:INDEX(生物种群!$F:$F,COUNTA(生物种群!$F:$F)),),),IF($A872&lt;&gt;0,INDEX(生物种群!$A$3:INDEX(生物种群!$A:$A,COUNTA(生物种群!$A:$A)),MATCH($A872,生物种群!$C$3:INDEX(生物种群!$C:$C,COUNTA(生物种群!$C:$C)),),),INDEX(生物种群!$A$3:INDEX(生物种群!$A:$A,COUNTA(生物种群!$A:$A)),MATCH($B872,生物种群!$D$3:INDEX(生物种群!$D:$D,COUNTA(生物种群!$D:$D)),),))),"")</f>
        <v/>
      </c>
      <c r="I872" s="56" t="str">
        <f>IF(H872="","",INDEX(生物种群!$B$3:INDEX(生物种群!$B:$B,COUNTA(生物种群!$B:$B)),MATCH($H872,生物种群!$A$3:INDEX(生物种群!$A:$A,COUNTA(生物种群!$A:$A)),),))</f>
        <v/>
      </c>
      <c r="J872" s="55" t="str">
        <f>IF(H872="","",INDEX(生物种群!$I$3:INDEX(生物种群!$I:$I,COUNTA(生物种群!$I:$I)),MATCH($H872,生物种群!$A$3:INDEX(生物种群!$A:$A,COUNTA(生物种群!$A:$A)),),))</f>
        <v/>
      </c>
      <c r="K872" s="55" t="str">
        <f>IF(H872="","",INDEX(生物种群!$E$3:INDEX(生物种群!$E:$E,COUNTA(生物种群!$E:$E)),MATCH($H872,生物种群!$A$3:INDEX(生物种群!$A:$A,COUNTA(生物种群!$A:$A)),),))</f>
        <v/>
      </c>
      <c r="L872" s="46" t="str">
        <f t="shared" si="45"/>
        <v/>
      </c>
      <c r="M872" s="47" t="str">
        <f>IF(L872="","",ROUND((L872)/VLOOKUP($F872,IF({1,0},站位样品信息!$A$3:INDEX(站位样品信息!$A:$A,COUNTA(站位样品信息!$A:$A)+1),站位样品信息!$H$3:INDEX(站位样品信息!$H:$H,COUNTA(站位样品信息!$H:$H)+1)),2,0),2))</f>
        <v/>
      </c>
      <c r="O872" s="49"/>
      <c r="P872" s="53" t="str">
        <f t="shared" si="43"/>
        <v/>
      </c>
      <c r="Q872" s="53" t="str">
        <f t="shared" si="44"/>
        <v/>
      </c>
    </row>
    <row r="873" spans="1:17" ht="19.5" customHeight="1">
      <c r="A873" s="38"/>
      <c r="B873" s="38"/>
      <c r="C873" s="38"/>
      <c r="D873" s="37"/>
      <c r="E873" s="37"/>
      <c r="F873" s="37"/>
      <c r="G873" s="37" t="str">
        <f>IF(F873="","",INDEX(站位样品信息!$B$3:INDEX(站位样品信息!$B:$B,COUNTA(站位样品信息!$B:$B)+1),MATCH($F873,站位样品信息!$A$3:INDEX(站位样品信息!$A:$A,COUNTA(站位样品信息!$A:$A)+1),),))</f>
        <v/>
      </c>
      <c r="H873" s="55" t="str">
        <f>IF(OR(A873&lt;&gt;"",B873&lt;&gt;"",C873&lt;&gt;""),IF($C873&lt;&gt;0,INDEX(生物种群!$A$3:INDEX(生物种群!$A:$A,COUNTA(生物种群!$A:$A)),MATCH($C873,生物种群!$F$3:INDEX(生物种群!$F:$F,COUNTA(生物种群!$F:$F)),),),IF($A873&lt;&gt;0,INDEX(生物种群!$A$3:INDEX(生物种群!$A:$A,COUNTA(生物种群!$A:$A)),MATCH($A873,生物种群!$C$3:INDEX(生物种群!$C:$C,COUNTA(生物种群!$C:$C)),),),INDEX(生物种群!$A$3:INDEX(生物种群!$A:$A,COUNTA(生物种群!$A:$A)),MATCH($B873,生物种群!$D$3:INDEX(生物种群!$D:$D,COUNTA(生物种群!$D:$D)),),))),"")</f>
        <v/>
      </c>
      <c r="I873" s="56" t="str">
        <f>IF(H873="","",INDEX(生物种群!$B$3:INDEX(生物种群!$B:$B,COUNTA(生物种群!$B:$B)),MATCH($H873,生物种群!$A$3:INDEX(生物种群!$A:$A,COUNTA(生物种群!$A:$A)),),))</f>
        <v/>
      </c>
      <c r="J873" s="55" t="str">
        <f>IF(H873="","",INDEX(生物种群!$I$3:INDEX(生物种群!$I:$I,COUNTA(生物种群!$I:$I)),MATCH($H873,生物种群!$A$3:INDEX(生物种群!$A:$A,COUNTA(生物种群!$A:$A)),),))</f>
        <v/>
      </c>
      <c r="K873" s="55" t="str">
        <f>IF(H873="","",INDEX(生物种群!$E$3:INDEX(生物种群!$E:$E,COUNTA(生物种群!$E:$E)),MATCH($H873,生物种群!$A$3:INDEX(生物种群!$A:$A,COUNTA(生物种群!$A:$A)),),))</f>
        <v/>
      </c>
      <c r="L873" s="46" t="str">
        <f t="shared" si="45"/>
        <v/>
      </c>
      <c r="M873" s="47" t="str">
        <f>IF(L873="","",ROUND((L873)/VLOOKUP($F873,IF({1,0},站位样品信息!$A$3:INDEX(站位样品信息!$A:$A,COUNTA(站位样品信息!$A:$A)+1),站位样品信息!$H$3:INDEX(站位样品信息!$H:$H,COUNTA(站位样品信息!$H:$H)+1)),2,0),2))</f>
        <v/>
      </c>
      <c r="O873" s="49"/>
      <c r="P873" s="53" t="str">
        <f t="shared" si="43"/>
        <v/>
      </c>
      <c r="Q873" s="53" t="str">
        <f t="shared" si="44"/>
        <v/>
      </c>
    </row>
    <row r="874" spans="1:17" ht="19.5" customHeight="1">
      <c r="A874" s="38"/>
      <c r="B874" s="38"/>
      <c r="C874" s="38"/>
      <c r="D874" s="37"/>
      <c r="E874" s="37"/>
      <c r="F874" s="37"/>
      <c r="G874" s="37" t="str">
        <f>IF(F874="","",INDEX(站位样品信息!$B$3:INDEX(站位样品信息!$B:$B,COUNTA(站位样品信息!$B:$B)+1),MATCH($F874,站位样品信息!$A$3:INDEX(站位样品信息!$A:$A,COUNTA(站位样品信息!$A:$A)+1),),))</f>
        <v/>
      </c>
      <c r="H874" s="55" t="str">
        <f>IF(OR(A874&lt;&gt;"",B874&lt;&gt;"",C874&lt;&gt;""),IF($C874&lt;&gt;0,INDEX(生物种群!$A$3:INDEX(生物种群!$A:$A,COUNTA(生物种群!$A:$A)),MATCH($C874,生物种群!$F$3:INDEX(生物种群!$F:$F,COUNTA(生物种群!$F:$F)),),),IF($A874&lt;&gt;0,INDEX(生物种群!$A$3:INDEX(生物种群!$A:$A,COUNTA(生物种群!$A:$A)),MATCH($A874,生物种群!$C$3:INDEX(生物种群!$C:$C,COUNTA(生物种群!$C:$C)),),),INDEX(生物种群!$A$3:INDEX(生物种群!$A:$A,COUNTA(生物种群!$A:$A)),MATCH($B874,生物种群!$D$3:INDEX(生物种群!$D:$D,COUNTA(生物种群!$D:$D)),),))),"")</f>
        <v/>
      </c>
      <c r="I874" s="56" t="str">
        <f>IF(H874="","",INDEX(生物种群!$B$3:INDEX(生物种群!$B:$B,COUNTA(生物种群!$B:$B)),MATCH($H874,生物种群!$A$3:INDEX(生物种群!$A:$A,COUNTA(生物种群!$A:$A)),),))</f>
        <v/>
      </c>
      <c r="J874" s="55" t="str">
        <f>IF(H874="","",INDEX(生物种群!$I$3:INDEX(生物种群!$I:$I,COUNTA(生物种群!$I:$I)),MATCH($H874,生物种群!$A$3:INDEX(生物种群!$A:$A,COUNTA(生物种群!$A:$A)),),))</f>
        <v/>
      </c>
      <c r="K874" s="55" t="str">
        <f>IF(H874="","",INDEX(生物种群!$E$3:INDEX(生物种群!$E:$E,COUNTA(生物种群!$E:$E)),MATCH($H874,生物种群!$A$3:INDEX(生物种群!$A:$A,COUNTA(生物种群!$A:$A)),),))</f>
        <v/>
      </c>
      <c r="L874" s="46" t="str">
        <f t="shared" si="45"/>
        <v/>
      </c>
      <c r="M874" s="47" t="str">
        <f>IF(L874="","",ROUND((L874)/VLOOKUP($F874,IF({1,0},站位样品信息!$A$3:INDEX(站位样品信息!$A:$A,COUNTA(站位样品信息!$A:$A)+1),站位样品信息!$H$3:INDEX(站位样品信息!$H:$H,COUNTA(站位样品信息!$H:$H)+1)),2,0),2))</f>
        <v/>
      </c>
      <c r="O874" s="49"/>
      <c r="P874" s="53" t="str">
        <f t="shared" si="43"/>
        <v/>
      </c>
      <c r="Q874" s="53" t="str">
        <f t="shared" si="44"/>
        <v/>
      </c>
    </row>
    <row r="875" spans="1:17" ht="19.5" customHeight="1">
      <c r="A875" s="38"/>
      <c r="B875" s="38"/>
      <c r="C875" s="38"/>
      <c r="D875" s="37"/>
      <c r="E875" s="37"/>
      <c r="F875" s="37"/>
      <c r="G875" s="37" t="str">
        <f>IF(F875="","",INDEX(站位样品信息!$B$3:INDEX(站位样品信息!$B:$B,COUNTA(站位样品信息!$B:$B)+1),MATCH($F875,站位样品信息!$A$3:INDEX(站位样品信息!$A:$A,COUNTA(站位样品信息!$A:$A)+1),),))</f>
        <v/>
      </c>
      <c r="H875" s="55" t="str">
        <f>IF(OR(A875&lt;&gt;"",B875&lt;&gt;"",C875&lt;&gt;""),IF($C875&lt;&gt;0,INDEX(生物种群!$A$3:INDEX(生物种群!$A:$A,COUNTA(生物种群!$A:$A)),MATCH($C875,生物种群!$F$3:INDEX(生物种群!$F:$F,COUNTA(生物种群!$F:$F)),),),IF($A875&lt;&gt;0,INDEX(生物种群!$A$3:INDEX(生物种群!$A:$A,COUNTA(生物种群!$A:$A)),MATCH($A875,生物种群!$C$3:INDEX(生物种群!$C:$C,COUNTA(生物种群!$C:$C)),),),INDEX(生物种群!$A$3:INDEX(生物种群!$A:$A,COUNTA(生物种群!$A:$A)),MATCH($B875,生物种群!$D$3:INDEX(生物种群!$D:$D,COUNTA(生物种群!$D:$D)),),))),"")</f>
        <v/>
      </c>
      <c r="I875" s="56" t="str">
        <f>IF(H875="","",INDEX(生物种群!$B$3:INDEX(生物种群!$B:$B,COUNTA(生物种群!$B:$B)),MATCH($H875,生物种群!$A$3:INDEX(生物种群!$A:$A,COUNTA(生物种群!$A:$A)),),))</f>
        <v/>
      </c>
      <c r="J875" s="55" t="str">
        <f>IF(H875="","",INDEX(生物种群!$I$3:INDEX(生物种群!$I:$I,COUNTA(生物种群!$I:$I)),MATCH($H875,生物种群!$A$3:INDEX(生物种群!$A:$A,COUNTA(生物种群!$A:$A)),),))</f>
        <v/>
      </c>
      <c r="K875" s="55" t="str">
        <f>IF(H875="","",INDEX(生物种群!$E$3:INDEX(生物种群!$E:$E,COUNTA(生物种群!$E:$E)),MATCH($H875,生物种群!$A$3:INDEX(生物种群!$A:$A,COUNTA(生物种群!$A:$A)),),))</f>
        <v/>
      </c>
      <c r="L875" s="46" t="str">
        <f t="shared" si="45"/>
        <v/>
      </c>
      <c r="M875" s="47" t="str">
        <f>IF(L875="","",ROUND((L875)/VLOOKUP($F875,IF({1,0},站位样品信息!$A$3:INDEX(站位样品信息!$A:$A,COUNTA(站位样品信息!$A:$A)+1),站位样品信息!$H$3:INDEX(站位样品信息!$H:$H,COUNTA(站位样品信息!$H:$H)+1)),2,0),2))</f>
        <v/>
      </c>
      <c r="O875" s="49"/>
      <c r="P875" s="53" t="str">
        <f t="shared" si="43"/>
        <v/>
      </c>
      <c r="Q875" s="53" t="str">
        <f t="shared" si="44"/>
        <v/>
      </c>
    </row>
    <row r="876" spans="1:17" ht="19.5" customHeight="1">
      <c r="A876" s="38"/>
      <c r="B876" s="38"/>
      <c r="C876" s="38"/>
      <c r="D876" s="37"/>
      <c r="E876" s="37"/>
      <c r="F876" s="37"/>
      <c r="G876" s="37" t="str">
        <f>IF(F876="","",INDEX(站位样品信息!$B$3:INDEX(站位样品信息!$B:$B,COUNTA(站位样品信息!$B:$B)+1),MATCH($F876,站位样品信息!$A$3:INDEX(站位样品信息!$A:$A,COUNTA(站位样品信息!$A:$A)+1),),))</f>
        <v/>
      </c>
      <c r="H876" s="55" t="str">
        <f>IF(OR(A876&lt;&gt;"",B876&lt;&gt;"",C876&lt;&gt;""),IF($C876&lt;&gt;0,INDEX(生物种群!$A$3:INDEX(生物种群!$A:$A,COUNTA(生物种群!$A:$A)),MATCH($C876,生物种群!$F$3:INDEX(生物种群!$F:$F,COUNTA(生物种群!$F:$F)),),),IF($A876&lt;&gt;0,INDEX(生物种群!$A$3:INDEX(生物种群!$A:$A,COUNTA(生物种群!$A:$A)),MATCH($A876,生物种群!$C$3:INDEX(生物种群!$C:$C,COUNTA(生物种群!$C:$C)),),),INDEX(生物种群!$A$3:INDEX(生物种群!$A:$A,COUNTA(生物种群!$A:$A)),MATCH($B876,生物种群!$D$3:INDEX(生物种群!$D:$D,COUNTA(生物种群!$D:$D)),),))),"")</f>
        <v/>
      </c>
      <c r="I876" s="56" t="str">
        <f>IF(H876="","",INDEX(生物种群!$B$3:INDEX(生物种群!$B:$B,COUNTA(生物种群!$B:$B)),MATCH($H876,生物种群!$A$3:INDEX(生物种群!$A:$A,COUNTA(生物种群!$A:$A)),),))</f>
        <v/>
      </c>
      <c r="J876" s="55" t="str">
        <f>IF(H876="","",INDEX(生物种群!$I$3:INDEX(生物种群!$I:$I,COUNTA(生物种群!$I:$I)),MATCH($H876,生物种群!$A$3:INDEX(生物种群!$A:$A,COUNTA(生物种群!$A:$A)),),))</f>
        <v/>
      </c>
      <c r="K876" s="55" t="str">
        <f>IF(H876="","",INDEX(生物种群!$E$3:INDEX(生物种群!$E:$E,COUNTA(生物种群!$E:$E)),MATCH($H876,生物种群!$A$3:INDEX(生物种群!$A:$A,COUNTA(生物种群!$A:$A)),),))</f>
        <v/>
      </c>
      <c r="L876" s="46" t="str">
        <f t="shared" si="45"/>
        <v/>
      </c>
      <c r="M876" s="47" t="str">
        <f>IF(L876="","",ROUND((L876)/VLOOKUP($F876,IF({1,0},站位样品信息!$A$3:INDEX(站位样品信息!$A:$A,COUNTA(站位样品信息!$A:$A)+1),站位样品信息!$H$3:INDEX(站位样品信息!$H:$H,COUNTA(站位样品信息!$H:$H)+1)),2,0),2))</f>
        <v/>
      </c>
      <c r="O876" s="49"/>
      <c r="P876" s="53" t="str">
        <f t="shared" si="43"/>
        <v/>
      </c>
      <c r="Q876" s="53" t="str">
        <f t="shared" si="44"/>
        <v/>
      </c>
    </row>
    <row r="877" spans="1:17" ht="19.5" customHeight="1">
      <c r="A877" s="38"/>
      <c r="B877" s="38"/>
      <c r="C877" s="38"/>
      <c r="D877" s="37"/>
      <c r="E877" s="37"/>
      <c r="F877" s="37"/>
      <c r="G877" s="37" t="str">
        <f>IF(F877="","",INDEX(站位样品信息!$B$3:INDEX(站位样品信息!$B:$B,COUNTA(站位样品信息!$B:$B)+1),MATCH($F877,站位样品信息!$A$3:INDEX(站位样品信息!$A:$A,COUNTA(站位样品信息!$A:$A)+1),),))</f>
        <v/>
      </c>
      <c r="H877" s="55" t="str">
        <f>IF(OR(A877&lt;&gt;"",B877&lt;&gt;"",C877&lt;&gt;""),IF($C877&lt;&gt;0,INDEX(生物种群!$A$3:INDEX(生物种群!$A:$A,COUNTA(生物种群!$A:$A)),MATCH($C877,生物种群!$F$3:INDEX(生物种群!$F:$F,COUNTA(生物种群!$F:$F)),),),IF($A877&lt;&gt;0,INDEX(生物种群!$A$3:INDEX(生物种群!$A:$A,COUNTA(生物种群!$A:$A)),MATCH($A877,生物种群!$C$3:INDEX(生物种群!$C:$C,COUNTA(生物种群!$C:$C)),),),INDEX(生物种群!$A$3:INDEX(生物种群!$A:$A,COUNTA(生物种群!$A:$A)),MATCH($B877,生物种群!$D$3:INDEX(生物种群!$D:$D,COUNTA(生物种群!$D:$D)),),))),"")</f>
        <v/>
      </c>
      <c r="I877" s="56" t="str">
        <f>IF(H877="","",INDEX(生物种群!$B$3:INDEX(生物种群!$B:$B,COUNTA(生物种群!$B:$B)),MATCH($H877,生物种群!$A$3:INDEX(生物种群!$A:$A,COUNTA(生物种群!$A:$A)),),))</f>
        <v/>
      </c>
      <c r="J877" s="55" t="str">
        <f>IF(H877="","",INDEX(生物种群!$I$3:INDEX(生物种群!$I:$I,COUNTA(生物种群!$I:$I)),MATCH($H877,生物种群!$A$3:INDEX(生物种群!$A:$A,COUNTA(生物种群!$A:$A)),),))</f>
        <v/>
      </c>
      <c r="K877" s="55" t="str">
        <f>IF(H877="","",INDEX(生物种群!$E$3:INDEX(生物种群!$E:$E,COUNTA(生物种群!$E:$E)),MATCH($H877,生物种群!$A$3:INDEX(生物种群!$A:$A,COUNTA(生物种群!$A:$A)),),))</f>
        <v/>
      </c>
      <c r="L877" s="46" t="str">
        <f t="shared" si="45"/>
        <v/>
      </c>
      <c r="M877" s="47" t="str">
        <f>IF(L877="","",ROUND((L877)/VLOOKUP($F877,IF({1,0},站位样品信息!$A$3:INDEX(站位样品信息!$A:$A,COUNTA(站位样品信息!$A:$A)+1),站位样品信息!$H$3:INDEX(站位样品信息!$H:$H,COUNTA(站位样品信息!$H:$H)+1)),2,0),2))</f>
        <v/>
      </c>
      <c r="O877" s="49"/>
      <c r="P877" s="53" t="str">
        <f t="shared" si="43"/>
        <v/>
      </c>
      <c r="Q877" s="53" t="str">
        <f t="shared" si="44"/>
        <v/>
      </c>
    </row>
    <row r="878" spans="1:17" ht="19.5" customHeight="1">
      <c r="A878" s="38"/>
      <c r="B878" s="38"/>
      <c r="C878" s="38"/>
      <c r="D878" s="37"/>
      <c r="E878" s="37"/>
      <c r="F878" s="37"/>
      <c r="G878" s="37" t="str">
        <f>IF(F878="","",INDEX(站位样品信息!$B$3:INDEX(站位样品信息!$B:$B,COUNTA(站位样品信息!$B:$B)+1),MATCH($F878,站位样品信息!$A$3:INDEX(站位样品信息!$A:$A,COUNTA(站位样品信息!$A:$A)+1),),))</f>
        <v/>
      </c>
      <c r="H878" s="55" t="str">
        <f>IF(OR(A878&lt;&gt;"",B878&lt;&gt;"",C878&lt;&gt;""),IF($C878&lt;&gt;0,INDEX(生物种群!$A$3:INDEX(生物种群!$A:$A,COUNTA(生物种群!$A:$A)),MATCH($C878,生物种群!$F$3:INDEX(生物种群!$F:$F,COUNTA(生物种群!$F:$F)),),),IF($A878&lt;&gt;0,INDEX(生物种群!$A$3:INDEX(生物种群!$A:$A,COUNTA(生物种群!$A:$A)),MATCH($A878,生物种群!$C$3:INDEX(生物种群!$C:$C,COUNTA(生物种群!$C:$C)),),),INDEX(生物种群!$A$3:INDEX(生物种群!$A:$A,COUNTA(生物种群!$A:$A)),MATCH($B878,生物种群!$D$3:INDEX(生物种群!$D:$D,COUNTA(生物种群!$D:$D)),),))),"")</f>
        <v/>
      </c>
      <c r="I878" s="56" t="str">
        <f>IF(H878="","",INDEX(生物种群!$B$3:INDEX(生物种群!$B:$B,COUNTA(生物种群!$B:$B)),MATCH($H878,生物种群!$A$3:INDEX(生物种群!$A:$A,COUNTA(生物种群!$A:$A)),),))</f>
        <v/>
      </c>
      <c r="J878" s="55" t="str">
        <f>IF(H878="","",INDEX(生物种群!$I$3:INDEX(生物种群!$I:$I,COUNTA(生物种群!$I:$I)),MATCH($H878,生物种群!$A$3:INDEX(生物种群!$A:$A,COUNTA(生物种群!$A:$A)),),))</f>
        <v/>
      </c>
      <c r="K878" s="55" t="str">
        <f>IF(H878="","",INDEX(生物种群!$E$3:INDEX(生物种群!$E:$E,COUNTA(生物种群!$E:$E)),MATCH($H878,生物种群!$A$3:INDEX(生物种群!$A:$A,COUNTA(生物种群!$A:$A)),),))</f>
        <v/>
      </c>
      <c r="L878" s="46" t="str">
        <f t="shared" si="45"/>
        <v/>
      </c>
      <c r="M878" s="47" t="str">
        <f>IF(L878="","",ROUND((L878)/VLOOKUP($F878,IF({1,0},站位样品信息!$A$3:INDEX(站位样品信息!$A:$A,COUNTA(站位样品信息!$A:$A)+1),站位样品信息!$H$3:INDEX(站位样品信息!$H:$H,COUNTA(站位样品信息!$H:$H)+1)),2,0),2))</f>
        <v/>
      </c>
      <c r="O878" s="49"/>
      <c r="P878" s="53" t="str">
        <f t="shared" si="43"/>
        <v/>
      </c>
      <c r="Q878" s="53" t="str">
        <f t="shared" si="44"/>
        <v/>
      </c>
    </row>
    <row r="879" spans="1:17" ht="19.5" customHeight="1">
      <c r="A879" s="38"/>
      <c r="B879" s="38"/>
      <c r="C879" s="38"/>
      <c r="D879" s="37"/>
      <c r="E879" s="37"/>
      <c r="F879" s="37"/>
      <c r="G879" s="37" t="str">
        <f>IF(F879="","",INDEX(站位样品信息!$B$3:INDEX(站位样品信息!$B:$B,COUNTA(站位样品信息!$B:$B)+1),MATCH($F879,站位样品信息!$A$3:INDEX(站位样品信息!$A:$A,COUNTA(站位样品信息!$A:$A)+1),),))</f>
        <v/>
      </c>
      <c r="H879" s="55" t="str">
        <f>IF(OR(A879&lt;&gt;"",B879&lt;&gt;"",C879&lt;&gt;""),IF($C879&lt;&gt;0,INDEX(生物种群!$A$3:INDEX(生物种群!$A:$A,COUNTA(生物种群!$A:$A)),MATCH($C879,生物种群!$F$3:INDEX(生物种群!$F:$F,COUNTA(生物种群!$F:$F)),),),IF($A879&lt;&gt;0,INDEX(生物种群!$A$3:INDEX(生物种群!$A:$A,COUNTA(生物种群!$A:$A)),MATCH($A879,生物种群!$C$3:INDEX(生物种群!$C:$C,COUNTA(生物种群!$C:$C)),),),INDEX(生物种群!$A$3:INDEX(生物种群!$A:$A,COUNTA(生物种群!$A:$A)),MATCH($B879,生物种群!$D$3:INDEX(生物种群!$D:$D,COUNTA(生物种群!$D:$D)),),))),"")</f>
        <v/>
      </c>
      <c r="I879" s="56" t="str">
        <f>IF(H879="","",INDEX(生物种群!$B$3:INDEX(生物种群!$B:$B,COUNTA(生物种群!$B:$B)),MATCH($H879,生物种群!$A$3:INDEX(生物种群!$A:$A,COUNTA(生物种群!$A:$A)),),))</f>
        <v/>
      </c>
      <c r="J879" s="55" t="str">
        <f>IF(H879="","",INDEX(生物种群!$I$3:INDEX(生物种群!$I:$I,COUNTA(生物种群!$I:$I)),MATCH($H879,生物种群!$A$3:INDEX(生物种群!$A:$A,COUNTA(生物种群!$A:$A)),),))</f>
        <v/>
      </c>
      <c r="K879" s="55" t="str">
        <f>IF(H879="","",INDEX(生物种群!$E$3:INDEX(生物种群!$E:$E,COUNTA(生物种群!$E:$E)),MATCH($H879,生物种群!$A$3:INDEX(生物种群!$A:$A,COUNTA(生物种群!$A:$A)),),))</f>
        <v/>
      </c>
      <c r="L879" s="46" t="str">
        <f t="shared" si="45"/>
        <v/>
      </c>
      <c r="M879" s="47" t="str">
        <f>IF(L879="","",ROUND((L879)/VLOOKUP($F879,IF({1,0},站位样品信息!$A$3:INDEX(站位样品信息!$A:$A,COUNTA(站位样品信息!$A:$A)+1),站位样品信息!$H$3:INDEX(站位样品信息!$H:$H,COUNTA(站位样品信息!$H:$H)+1)),2,0),2))</f>
        <v/>
      </c>
      <c r="O879" s="49"/>
      <c r="P879" s="53" t="str">
        <f t="shared" si="43"/>
        <v/>
      </c>
      <c r="Q879" s="53" t="str">
        <f t="shared" si="44"/>
        <v/>
      </c>
    </row>
    <row r="880" spans="1:17" ht="19.5" customHeight="1">
      <c r="A880" s="38"/>
      <c r="B880" s="38"/>
      <c r="C880" s="38"/>
      <c r="D880" s="37"/>
      <c r="E880" s="37"/>
      <c r="F880" s="37"/>
      <c r="G880" s="37" t="str">
        <f>IF(F880="","",INDEX(站位样品信息!$B$3:INDEX(站位样品信息!$B:$B,COUNTA(站位样品信息!$B:$B)+1),MATCH($F880,站位样品信息!$A$3:INDEX(站位样品信息!$A:$A,COUNTA(站位样品信息!$A:$A)+1),),))</f>
        <v/>
      </c>
      <c r="H880" s="55" t="str">
        <f>IF(OR(A880&lt;&gt;"",B880&lt;&gt;"",C880&lt;&gt;""),IF($C880&lt;&gt;0,INDEX(生物种群!$A$3:INDEX(生物种群!$A:$A,COUNTA(生物种群!$A:$A)),MATCH($C880,生物种群!$F$3:INDEX(生物种群!$F:$F,COUNTA(生物种群!$F:$F)),),),IF($A880&lt;&gt;0,INDEX(生物种群!$A$3:INDEX(生物种群!$A:$A,COUNTA(生物种群!$A:$A)),MATCH($A880,生物种群!$C$3:INDEX(生物种群!$C:$C,COUNTA(生物种群!$C:$C)),),),INDEX(生物种群!$A$3:INDEX(生物种群!$A:$A,COUNTA(生物种群!$A:$A)),MATCH($B880,生物种群!$D$3:INDEX(生物种群!$D:$D,COUNTA(生物种群!$D:$D)),),))),"")</f>
        <v/>
      </c>
      <c r="I880" s="56" t="str">
        <f>IF(H880="","",INDEX(生物种群!$B$3:INDEX(生物种群!$B:$B,COUNTA(生物种群!$B:$B)),MATCH($H880,生物种群!$A$3:INDEX(生物种群!$A:$A,COUNTA(生物种群!$A:$A)),),))</f>
        <v/>
      </c>
      <c r="J880" s="55" t="str">
        <f>IF(H880="","",INDEX(生物种群!$I$3:INDEX(生物种群!$I:$I,COUNTA(生物种群!$I:$I)),MATCH($H880,生物种群!$A$3:INDEX(生物种群!$A:$A,COUNTA(生物种群!$A:$A)),),))</f>
        <v/>
      </c>
      <c r="K880" s="55" t="str">
        <f>IF(H880="","",INDEX(生物种群!$E$3:INDEX(生物种群!$E:$E,COUNTA(生物种群!$E:$E)),MATCH($H880,生物种群!$A$3:INDEX(生物种群!$A:$A,COUNTA(生物种群!$A:$A)),),))</f>
        <v/>
      </c>
      <c r="L880" s="46" t="str">
        <f t="shared" si="45"/>
        <v/>
      </c>
      <c r="M880" s="47" t="str">
        <f>IF(L880="","",ROUND((L880)/VLOOKUP($F880,IF({1,0},站位样品信息!$A$3:INDEX(站位样品信息!$A:$A,COUNTA(站位样品信息!$A:$A)+1),站位样品信息!$H$3:INDEX(站位样品信息!$H:$H,COUNTA(站位样品信息!$H:$H)+1)),2,0),2))</f>
        <v/>
      </c>
      <c r="O880" s="49"/>
      <c r="P880" s="53" t="str">
        <f t="shared" si="43"/>
        <v/>
      </c>
      <c r="Q880" s="53" t="str">
        <f t="shared" si="44"/>
        <v/>
      </c>
    </row>
    <row r="881" spans="1:17" ht="19.5" customHeight="1">
      <c r="A881" s="38"/>
      <c r="B881" s="38"/>
      <c r="C881" s="38"/>
      <c r="D881" s="37"/>
      <c r="E881" s="37"/>
      <c r="F881" s="37"/>
      <c r="G881" s="37" t="str">
        <f>IF(F881="","",INDEX(站位样品信息!$B$3:INDEX(站位样品信息!$B:$B,COUNTA(站位样品信息!$B:$B)+1),MATCH($F881,站位样品信息!$A$3:INDEX(站位样品信息!$A:$A,COUNTA(站位样品信息!$A:$A)+1),),))</f>
        <v/>
      </c>
      <c r="H881" s="55" t="str">
        <f>IF(OR(A881&lt;&gt;"",B881&lt;&gt;"",C881&lt;&gt;""),IF($C881&lt;&gt;0,INDEX(生物种群!$A$3:INDEX(生物种群!$A:$A,COUNTA(生物种群!$A:$A)),MATCH($C881,生物种群!$F$3:INDEX(生物种群!$F:$F,COUNTA(生物种群!$F:$F)),),),IF($A881&lt;&gt;0,INDEX(生物种群!$A$3:INDEX(生物种群!$A:$A,COUNTA(生物种群!$A:$A)),MATCH($A881,生物种群!$C$3:INDEX(生物种群!$C:$C,COUNTA(生物种群!$C:$C)),),),INDEX(生物种群!$A$3:INDEX(生物种群!$A:$A,COUNTA(生物种群!$A:$A)),MATCH($B881,生物种群!$D$3:INDEX(生物种群!$D:$D,COUNTA(生物种群!$D:$D)),),))),"")</f>
        <v/>
      </c>
      <c r="I881" s="56" t="str">
        <f>IF(H881="","",INDEX(生物种群!$B$3:INDEX(生物种群!$B:$B,COUNTA(生物种群!$B:$B)),MATCH($H881,生物种群!$A$3:INDEX(生物种群!$A:$A,COUNTA(生物种群!$A:$A)),),))</f>
        <v/>
      </c>
      <c r="J881" s="55" t="str">
        <f>IF(H881="","",INDEX(生物种群!$I$3:INDEX(生物种群!$I:$I,COUNTA(生物种群!$I:$I)),MATCH($H881,生物种群!$A$3:INDEX(生物种群!$A:$A,COUNTA(生物种群!$A:$A)),),))</f>
        <v/>
      </c>
      <c r="K881" s="55" t="str">
        <f>IF(H881="","",INDEX(生物种群!$E$3:INDEX(生物种群!$E:$E,COUNTA(生物种群!$E:$E)),MATCH($H881,生物种群!$A$3:INDEX(生物种群!$A:$A,COUNTA(生物种群!$A:$A)),),))</f>
        <v/>
      </c>
      <c r="L881" s="46" t="str">
        <f t="shared" si="45"/>
        <v/>
      </c>
      <c r="M881" s="47" t="str">
        <f>IF(L881="","",ROUND((L881)/VLOOKUP($F881,IF({1,0},站位样品信息!$A$3:INDEX(站位样品信息!$A:$A,COUNTA(站位样品信息!$A:$A)+1),站位样品信息!$H$3:INDEX(站位样品信息!$H:$H,COUNTA(站位样品信息!$H:$H)+1)),2,0),2))</f>
        <v/>
      </c>
      <c r="O881" s="49"/>
      <c r="P881" s="53" t="str">
        <f t="shared" si="43"/>
        <v/>
      </c>
      <c r="Q881" s="53" t="str">
        <f t="shared" si="44"/>
        <v/>
      </c>
    </row>
    <row r="882" spans="1:17" ht="19.5" customHeight="1">
      <c r="A882" s="38"/>
      <c r="B882" s="38"/>
      <c r="C882" s="38"/>
      <c r="D882" s="37"/>
      <c r="E882" s="37"/>
      <c r="F882" s="37"/>
      <c r="G882" s="37" t="str">
        <f>IF(F882="","",INDEX(站位样品信息!$B$3:INDEX(站位样品信息!$B:$B,COUNTA(站位样品信息!$B:$B)+1),MATCH($F882,站位样品信息!$A$3:INDEX(站位样品信息!$A:$A,COUNTA(站位样品信息!$A:$A)+1),),))</f>
        <v/>
      </c>
      <c r="H882" s="55" t="str">
        <f>IF(OR(A882&lt;&gt;"",B882&lt;&gt;"",C882&lt;&gt;""),IF($C882&lt;&gt;0,INDEX(生物种群!$A$3:INDEX(生物种群!$A:$A,COUNTA(生物种群!$A:$A)),MATCH($C882,生物种群!$F$3:INDEX(生物种群!$F:$F,COUNTA(生物种群!$F:$F)),),),IF($A882&lt;&gt;0,INDEX(生物种群!$A$3:INDEX(生物种群!$A:$A,COUNTA(生物种群!$A:$A)),MATCH($A882,生物种群!$C$3:INDEX(生物种群!$C:$C,COUNTA(生物种群!$C:$C)),),),INDEX(生物种群!$A$3:INDEX(生物种群!$A:$A,COUNTA(生物种群!$A:$A)),MATCH($B882,生物种群!$D$3:INDEX(生物种群!$D:$D,COUNTA(生物种群!$D:$D)),),))),"")</f>
        <v/>
      </c>
      <c r="I882" s="56" t="str">
        <f>IF(H882="","",INDEX(生物种群!$B$3:INDEX(生物种群!$B:$B,COUNTA(生物种群!$B:$B)),MATCH($H882,生物种群!$A$3:INDEX(生物种群!$A:$A,COUNTA(生物种群!$A:$A)),),))</f>
        <v/>
      </c>
      <c r="J882" s="55" t="str">
        <f>IF(H882="","",INDEX(生物种群!$I$3:INDEX(生物种群!$I:$I,COUNTA(生物种群!$I:$I)),MATCH($H882,生物种群!$A$3:INDEX(生物种群!$A:$A,COUNTA(生物种群!$A:$A)),),))</f>
        <v/>
      </c>
      <c r="K882" s="55" t="str">
        <f>IF(H882="","",INDEX(生物种群!$E$3:INDEX(生物种群!$E:$E,COUNTA(生物种群!$E:$E)),MATCH($H882,生物种群!$A$3:INDEX(生物种群!$A:$A,COUNTA(生物种群!$A:$A)),),))</f>
        <v/>
      </c>
      <c r="L882" s="46" t="str">
        <f t="shared" si="45"/>
        <v/>
      </c>
      <c r="M882" s="47" t="str">
        <f>IF(L882="","",ROUND((L882)/VLOOKUP($F882,IF({1,0},站位样品信息!$A$3:INDEX(站位样品信息!$A:$A,COUNTA(站位样品信息!$A:$A)+1),站位样品信息!$H$3:INDEX(站位样品信息!$H:$H,COUNTA(站位样品信息!$H:$H)+1)),2,0),2))</f>
        <v/>
      </c>
      <c r="O882" s="49"/>
      <c r="P882" s="53" t="str">
        <f t="shared" si="43"/>
        <v/>
      </c>
      <c r="Q882" s="53" t="str">
        <f t="shared" si="44"/>
        <v/>
      </c>
    </row>
    <row r="883" spans="1:17" ht="19.5" customHeight="1">
      <c r="A883" s="38"/>
      <c r="B883" s="38"/>
      <c r="C883" s="38"/>
      <c r="D883" s="37"/>
      <c r="E883" s="37"/>
      <c r="F883" s="37"/>
      <c r="G883" s="37" t="str">
        <f>IF(F883="","",INDEX(站位样品信息!$B$3:INDEX(站位样品信息!$B:$B,COUNTA(站位样品信息!$B:$B)+1),MATCH($F883,站位样品信息!$A$3:INDEX(站位样品信息!$A:$A,COUNTA(站位样品信息!$A:$A)+1),),))</f>
        <v/>
      </c>
      <c r="H883" s="55" t="str">
        <f>IF(OR(A883&lt;&gt;"",B883&lt;&gt;"",C883&lt;&gt;""),IF($C883&lt;&gt;0,INDEX(生物种群!$A$3:INDEX(生物种群!$A:$A,COUNTA(生物种群!$A:$A)),MATCH($C883,生物种群!$F$3:INDEX(生物种群!$F:$F,COUNTA(生物种群!$F:$F)),),),IF($A883&lt;&gt;0,INDEX(生物种群!$A$3:INDEX(生物种群!$A:$A,COUNTA(生物种群!$A:$A)),MATCH($A883,生物种群!$C$3:INDEX(生物种群!$C:$C,COUNTA(生物种群!$C:$C)),),),INDEX(生物种群!$A$3:INDEX(生物种群!$A:$A,COUNTA(生物种群!$A:$A)),MATCH($B883,生物种群!$D$3:INDEX(生物种群!$D:$D,COUNTA(生物种群!$D:$D)),),))),"")</f>
        <v/>
      </c>
      <c r="I883" s="56" t="str">
        <f>IF(H883="","",INDEX(生物种群!$B$3:INDEX(生物种群!$B:$B,COUNTA(生物种群!$B:$B)),MATCH($H883,生物种群!$A$3:INDEX(生物种群!$A:$A,COUNTA(生物种群!$A:$A)),),))</f>
        <v/>
      </c>
      <c r="J883" s="55" t="str">
        <f>IF(H883="","",INDEX(生物种群!$I$3:INDEX(生物种群!$I:$I,COUNTA(生物种群!$I:$I)),MATCH($H883,生物种群!$A$3:INDEX(生物种群!$A:$A,COUNTA(生物种群!$A:$A)),),))</f>
        <v/>
      </c>
      <c r="K883" s="55" t="str">
        <f>IF(H883="","",INDEX(生物种群!$E$3:INDEX(生物种群!$E:$E,COUNTA(生物种群!$E:$E)),MATCH($H883,生物种群!$A$3:INDEX(生物种群!$A:$A,COUNTA(生物种群!$A:$A)),),))</f>
        <v/>
      </c>
      <c r="L883" s="46" t="str">
        <f t="shared" si="45"/>
        <v/>
      </c>
      <c r="M883" s="47" t="str">
        <f>IF(L883="","",ROUND((L883)/VLOOKUP($F883,IF({1,0},站位样品信息!$A$3:INDEX(站位样品信息!$A:$A,COUNTA(站位样品信息!$A:$A)+1),站位样品信息!$H$3:INDEX(站位样品信息!$H:$H,COUNTA(站位样品信息!$H:$H)+1)),2,0),2))</f>
        <v/>
      </c>
      <c r="O883" s="49"/>
      <c r="P883" s="53" t="str">
        <f t="shared" si="43"/>
        <v/>
      </c>
      <c r="Q883" s="53" t="str">
        <f t="shared" si="44"/>
        <v/>
      </c>
    </row>
    <row r="884" spans="1:17" ht="19.5" customHeight="1">
      <c r="A884" s="38"/>
      <c r="B884" s="38"/>
      <c r="C884" s="38"/>
      <c r="D884" s="37"/>
      <c r="E884" s="37"/>
      <c r="F884" s="37"/>
      <c r="G884" s="37" t="str">
        <f>IF(F884="","",INDEX(站位样品信息!$B$3:INDEX(站位样品信息!$B:$B,COUNTA(站位样品信息!$B:$B)+1),MATCH($F884,站位样品信息!$A$3:INDEX(站位样品信息!$A:$A,COUNTA(站位样品信息!$A:$A)+1),),))</f>
        <v/>
      </c>
      <c r="H884" s="55" t="str">
        <f>IF(OR(A884&lt;&gt;"",B884&lt;&gt;"",C884&lt;&gt;""),IF($C884&lt;&gt;0,INDEX(生物种群!$A$3:INDEX(生物种群!$A:$A,COUNTA(生物种群!$A:$A)),MATCH($C884,生物种群!$F$3:INDEX(生物种群!$F:$F,COUNTA(生物种群!$F:$F)),),),IF($A884&lt;&gt;0,INDEX(生物种群!$A$3:INDEX(生物种群!$A:$A,COUNTA(生物种群!$A:$A)),MATCH($A884,生物种群!$C$3:INDEX(生物种群!$C:$C,COUNTA(生物种群!$C:$C)),),),INDEX(生物种群!$A$3:INDEX(生物种群!$A:$A,COUNTA(生物种群!$A:$A)),MATCH($B884,生物种群!$D$3:INDEX(生物种群!$D:$D,COUNTA(生物种群!$D:$D)),),))),"")</f>
        <v/>
      </c>
      <c r="I884" s="56" t="str">
        <f>IF(H884="","",INDEX(生物种群!$B$3:INDEX(生物种群!$B:$B,COUNTA(生物种群!$B:$B)),MATCH($H884,生物种群!$A$3:INDEX(生物种群!$A:$A,COUNTA(生物种群!$A:$A)),),))</f>
        <v/>
      </c>
      <c r="J884" s="55" t="str">
        <f>IF(H884="","",INDEX(生物种群!$I$3:INDEX(生物种群!$I:$I,COUNTA(生物种群!$I:$I)),MATCH($H884,生物种群!$A$3:INDEX(生物种群!$A:$A,COUNTA(生物种群!$A:$A)),),))</f>
        <v/>
      </c>
      <c r="K884" s="55" t="str">
        <f>IF(H884="","",INDEX(生物种群!$E$3:INDEX(生物种群!$E:$E,COUNTA(生物种群!$E:$E)),MATCH($H884,生物种群!$A$3:INDEX(生物种群!$A:$A,COUNTA(生物种群!$A:$A)),),))</f>
        <v/>
      </c>
      <c r="L884" s="46" t="str">
        <f t="shared" si="45"/>
        <v/>
      </c>
      <c r="M884" s="47" t="str">
        <f>IF(L884="","",ROUND((L884)/VLOOKUP($F884,IF({1,0},站位样品信息!$A$3:INDEX(站位样品信息!$A:$A,COUNTA(站位样品信息!$A:$A)+1),站位样品信息!$H$3:INDEX(站位样品信息!$H:$H,COUNTA(站位样品信息!$H:$H)+1)),2,0),2))</f>
        <v/>
      </c>
      <c r="O884" s="49"/>
      <c r="P884" s="53" t="str">
        <f t="shared" si="43"/>
        <v/>
      </c>
      <c r="Q884" s="53" t="str">
        <f t="shared" si="44"/>
        <v/>
      </c>
    </row>
    <row r="885" spans="1:17" ht="19.5" customHeight="1">
      <c r="A885" s="38"/>
      <c r="B885" s="38"/>
      <c r="C885" s="38"/>
      <c r="D885" s="37"/>
      <c r="E885" s="37"/>
      <c r="F885" s="37"/>
      <c r="G885" s="37" t="str">
        <f>IF(F885="","",INDEX(站位样品信息!$B$3:INDEX(站位样品信息!$B:$B,COUNTA(站位样品信息!$B:$B)+1),MATCH($F885,站位样品信息!$A$3:INDEX(站位样品信息!$A:$A,COUNTA(站位样品信息!$A:$A)+1),),))</f>
        <v/>
      </c>
      <c r="H885" s="55" t="str">
        <f>IF(OR(A885&lt;&gt;"",B885&lt;&gt;"",C885&lt;&gt;""),IF($C885&lt;&gt;0,INDEX(生物种群!$A$3:INDEX(生物种群!$A:$A,COUNTA(生物种群!$A:$A)),MATCH($C885,生物种群!$F$3:INDEX(生物种群!$F:$F,COUNTA(生物种群!$F:$F)),),),IF($A885&lt;&gt;0,INDEX(生物种群!$A$3:INDEX(生物种群!$A:$A,COUNTA(生物种群!$A:$A)),MATCH($A885,生物种群!$C$3:INDEX(生物种群!$C:$C,COUNTA(生物种群!$C:$C)),),),INDEX(生物种群!$A$3:INDEX(生物种群!$A:$A,COUNTA(生物种群!$A:$A)),MATCH($B885,生物种群!$D$3:INDEX(生物种群!$D:$D,COUNTA(生物种群!$D:$D)),),))),"")</f>
        <v/>
      </c>
      <c r="I885" s="56" t="str">
        <f>IF(H885="","",INDEX(生物种群!$B$3:INDEX(生物种群!$B:$B,COUNTA(生物种群!$B:$B)),MATCH($H885,生物种群!$A$3:INDEX(生物种群!$A:$A,COUNTA(生物种群!$A:$A)),),))</f>
        <v/>
      </c>
      <c r="J885" s="55" t="str">
        <f>IF(H885="","",INDEX(生物种群!$I$3:INDEX(生物种群!$I:$I,COUNTA(生物种群!$I:$I)),MATCH($H885,生物种群!$A$3:INDEX(生物种群!$A:$A,COUNTA(生物种群!$A:$A)),),))</f>
        <v/>
      </c>
      <c r="K885" s="55" t="str">
        <f>IF(H885="","",INDEX(生物种群!$E$3:INDEX(生物种群!$E:$E,COUNTA(生物种群!$E:$E)),MATCH($H885,生物种群!$A$3:INDEX(生物种群!$A:$A,COUNTA(生物种群!$A:$A)),),))</f>
        <v/>
      </c>
      <c r="L885" s="46" t="str">
        <f t="shared" si="45"/>
        <v/>
      </c>
      <c r="M885" s="47" t="str">
        <f>IF(L885="","",ROUND((L885)/VLOOKUP($F885,IF({1,0},站位样品信息!$A$3:INDEX(站位样品信息!$A:$A,COUNTA(站位样品信息!$A:$A)+1),站位样品信息!$H$3:INDEX(站位样品信息!$H:$H,COUNTA(站位样品信息!$H:$H)+1)),2,0),2))</f>
        <v/>
      </c>
      <c r="O885" s="49"/>
      <c r="P885" s="53" t="str">
        <f t="shared" si="43"/>
        <v/>
      </c>
      <c r="Q885" s="53" t="str">
        <f t="shared" si="44"/>
        <v/>
      </c>
    </row>
    <row r="886" spans="1:17" ht="19.5" customHeight="1">
      <c r="A886" s="38"/>
      <c r="B886" s="38"/>
      <c r="C886" s="38"/>
      <c r="D886" s="37"/>
      <c r="E886" s="37"/>
      <c r="F886" s="37"/>
      <c r="G886" s="37" t="str">
        <f>IF(F886="","",INDEX(站位样品信息!$B$3:INDEX(站位样品信息!$B:$B,COUNTA(站位样品信息!$B:$B)+1),MATCH($F886,站位样品信息!$A$3:INDEX(站位样品信息!$A:$A,COUNTA(站位样品信息!$A:$A)+1),),))</f>
        <v/>
      </c>
      <c r="H886" s="55" t="str">
        <f>IF(OR(A886&lt;&gt;"",B886&lt;&gt;"",C886&lt;&gt;""),IF($C886&lt;&gt;0,INDEX(生物种群!$A$3:INDEX(生物种群!$A:$A,COUNTA(生物种群!$A:$A)),MATCH($C886,生物种群!$F$3:INDEX(生物种群!$F:$F,COUNTA(生物种群!$F:$F)),),),IF($A886&lt;&gt;0,INDEX(生物种群!$A$3:INDEX(生物种群!$A:$A,COUNTA(生物种群!$A:$A)),MATCH($A886,生物种群!$C$3:INDEX(生物种群!$C:$C,COUNTA(生物种群!$C:$C)),),),INDEX(生物种群!$A$3:INDEX(生物种群!$A:$A,COUNTA(生物种群!$A:$A)),MATCH($B886,生物种群!$D$3:INDEX(生物种群!$D:$D,COUNTA(生物种群!$D:$D)),),))),"")</f>
        <v/>
      </c>
      <c r="I886" s="56" t="str">
        <f>IF(H886="","",INDEX(生物种群!$B$3:INDEX(生物种群!$B:$B,COUNTA(生物种群!$B:$B)),MATCH($H886,生物种群!$A$3:INDEX(生物种群!$A:$A,COUNTA(生物种群!$A:$A)),),))</f>
        <v/>
      </c>
      <c r="J886" s="55" t="str">
        <f>IF(H886="","",INDEX(生物种群!$I$3:INDEX(生物种群!$I:$I,COUNTA(生物种群!$I:$I)),MATCH($H886,生物种群!$A$3:INDEX(生物种群!$A:$A,COUNTA(生物种群!$A:$A)),),))</f>
        <v/>
      </c>
      <c r="K886" s="55" t="str">
        <f>IF(H886="","",INDEX(生物种群!$E$3:INDEX(生物种群!$E:$E,COUNTA(生物种群!$E:$E)),MATCH($H886,生物种群!$A$3:INDEX(生物种群!$A:$A,COUNTA(生物种群!$A:$A)),),))</f>
        <v/>
      </c>
      <c r="L886" s="46" t="str">
        <f t="shared" si="45"/>
        <v/>
      </c>
      <c r="M886" s="47" t="str">
        <f>IF(L886="","",ROUND((L886)/VLOOKUP($F886,IF({1,0},站位样品信息!$A$3:INDEX(站位样品信息!$A:$A,COUNTA(站位样品信息!$A:$A)+1),站位样品信息!$H$3:INDEX(站位样品信息!$H:$H,COUNTA(站位样品信息!$H:$H)+1)),2,0),2))</f>
        <v/>
      </c>
      <c r="O886" s="49"/>
      <c r="P886" s="53" t="str">
        <f t="shared" si="43"/>
        <v/>
      </c>
      <c r="Q886" s="53" t="str">
        <f t="shared" si="44"/>
        <v/>
      </c>
    </row>
    <row r="887" spans="1:17" ht="19.5" customHeight="1">
      <c r="A887" s="38"/>
      <c r="B887" s="38"/>
      <c r="C887" s="38"/>
      <c r="D887" s="37"/>
      <c r="E887" s="37"/>
      <c r="F887" s="37"/>
      <c r="G887" s="37" t="str">
        <f>IF(F887="","",INDEX(站位样品信息!$B$3:INDEX(站位样品信息!$B:$B,COUNTA(站位样品信息!$B:$B)+1),MATCH($F887,站位样品信息!$A$3:INDEX(站位样品信息!$A:$A,COUNTA(站位样品信息!$A:$A)+1),),))</f>
        <v/>
      </c>
      <c r="H887" s="55" t="str">
        <f>IF(OR(A887&lt;&gt;"",B887&lt;&gt;"",C887&lt;&gt;""),IF($C887&lt;&gt;0,INDEX(生物种群!$A$3:INDEX(生物种群!$A:$A,COUNTA(生物种群!$A:$A)),MATCH($C887,生物种群!$F$3:INDEX(生物种群!$F:$F,COUNTA(生物种群!$F:$F)),),),IF($A887&lt;&gt;0,INDEX(生物种群!$A$3:INDEX(生物种群!$A:$A,COUNTA(生物种群!$A:$A)),MATCH($A887,生物种群!$C$3:INDEX(生物种群!$C:$C,COUNTA(生物种群!$C:$C)),),),INDEX(生物种群!$A$3:INDEX(生物种群!$A:$A,COUNTA(生物种群!$A:$A)),MATCH($B887,生物种群!$D$3:INDEX(生物种群!$D:$D,COUNTA(生物种群!$D:$D)),),))),"")</f>
        <v/>
      </c>
      <c r="I887" s="56" t="str">
        <f>IF(H887="","",INDEX(生物种群!$B$3:INDEX(生物种群!$B:$B,COUNTA(生物种群!$B:$B)),MATCH($H887,生物种群!$A$3:INDEX(生物种群!$A:$A,COUNTA(生物种群!$A:$A)),),))</f>
        <v/>
      </c>
      <c r="J887" s="55" t="str">
        <f>IF(H887="","",INDEX(生物种群!$I$3:INDEX(生物种群!$I:$I,COUNTA(生物种群!$I:$I)),MATCH($H887,生物种群!$A$3:INDEX(生物种群!$A:$A,COUNTA(生物种群!$A:$A)),),))</f>
        <v/>
      </c>
      <c r="K887" s="55" t="str">
        <f>IF(H887="","",INDEX(生物种群!$E$3:INDEX(生物种群!$E:$E,COUNTA(生物种群!$E:$E)),MATCH($H887,生物种群!$A$3:INDEX(生物种群!$A:$A,COUNTA(生物种群!$A:$A)),),))</f>
        <v/>
      </c>
      <c r="L887" s="46" t="str">
        <f t="shared" si="45"/>
        <v/>
      </c>
      <c r="M887" s="47" t="str">
        <f>IF(L887="","",ROUND((L887)/VLOOKUP($F887,IF({1,0},站位样品信息!$A$3:INDEX(站位样品信息!$A:$A,COUNTA(站位样品信息!$A:$A)+1),站位样品信息!$H$3:INDEX(站位样品信息!$H:$H,COUNTA(站位样品信息!$H:$H)+1)),2,0),2))</f>
        <v/>
      </c>
      <c r="O887" s="49"/>
      <c r="P887" s="53" t="str">
        <f t="shared" si="43"/>
        <v/>
      </c>
      <c r="Q887" s="53" t="str">
        <f t="shared" si="44"/>
        <v/>
      </c>
    </row>
    <row r="888" spans="1:17" ht="19.5" customHeight="1">
      <c r="A888" s="38"/>
      <c r="B888" s="38"/>
      <c r="C888" s="38"/>
      <c r="D888" s="37"/>
      <c r="E888" s="37"/>
      <c r="F888" s="37"/>
      <c r="G888" s="37" t="str">
        <f>IF(F888="","",INDEX(站位样品信息!$B$3:INDEX(站位样品信息!$B:$B,COUNTA(站位样品信息!$B:$B)+1),MATCH($F888,站位样品信息!$A$3:INDEX(站位样品信息!$A:$A,COUNTA(站位样品信息!$A:$A)+1),),))</f>
        <v/>
      </c>
      <c r="H888" s="55" t="str">
        <f>IF(OR(A888&lt;&gt;"",B888&lt;&gt;"",C888&lt;&gt;""),IF($C888&lt;&gt;0,INDEX(生物种群!$A$3:INDEX(生物种群!$A:$A,COUNTA(生物种群!$A:$A)),MATCH($C888,生物种群!$F$3:INDEX(生物种群!$F:$F,COUNTA(生物种群!$F:$F)),),),IF($A888&lt;&gt;0,INDEX(生物种群!$A$3:INDEX(生物种群!$A:$A,COUNTA(生物种群!$A:$A)),MATCH($A888,生物种群!$C$3:INDEX(生物种群!$C:$C,COUNTA(生物种群!$C:$C)),),),INDEX(生物种群!$A$3:INDEX(生物种群!$A:$A,COUNTA(生物种群!$A:$A)),MATCH($B888,生物种群!$D$3:INDEX(生物种群!$D:$D,COUNTA(生物种群!$D:$D)),),))),"")</f>
        <v/>
      </c>
      <c r="I888" s="56" t="str">
        <f>IF(H888="","",INDEX(生物种群!$B$3:INDEX(生物种群!$B:$B,COUNTA(生物种群!$B:$B)),MATCH($H888,生物种群!$A$3:INDEX(生物种群!$A:$A,COUNTA(生物种群!$A:$A)),),))</f>
        <v/>
      </c>
      <c r="J888" s="55" t="str">
        <f>IF(H888="","",INDEX(生物种群!$I$3:INDEX(生物种群!$I:$I,COUNTA(生物种群!$I:$I)),MATCH($H888,生物种群!$A$3:INDEX(生物种群!$A:$A,COUNTA(生物种群!$A:$A)),),))</f>
        <v/>
      </c>
      <c r="K888" s="55" t="str">
        <f>IF(H888="","",INDEX(生物种群!$E$3:INDEX(生物种群!$E:$E,COUNTA(生物种群!$E:$E)),MATCH($H888,生物种群!$A$3:INDEX(生物种群!$A:$A,COUNTA(生物种群!$A:$A)),),))</f>
        <v/>
      </c>
      <c r="L888" s="46" t="str">
        <f t="shared" si="45"/>
        <v/>
      </c>
      <c r="M888" s="47" t="str">
        <f>IF(L888="","",ROUND((L888)/VLOOKUP($F888,IF({1,0},站位样品信息!$A$3:INDEX(站位样品信息!$A:$A,COUNTA(站位样品信息!$A:$A)+1),站位样品信息!$H$3:INDEX(站位样品信息!$H:$H,COUNTA(站位样品信息!$H:$H)+1)),2,0),2))</f>
        <v/>
      </c>
      <c r="O888" s="49"/>
      <c r="P888" s="53" t="str">
        <f t="shared" si="43"/>
        <v/>
      </c>
      <c r="Q888" s="53" t="str">
        <f t="shared" si="44"/>
        <v/>
      </c>
    </row>
    <row r="889" spans="1:17" ht="19.5" customHeight="1">
      <c r="A889" s="38"/>
      <c r="B889" s="38"/>
      <c r="C889" s="38"/>
      <c r="D889" s="37"/>
      <c r="E889" s="37"/>
      <c r="F889" s="37"/>
      <c r="G889" s="37" t="str">
        <f>IF(F889="","",INDEX(站位样品信息!$B$3:INDEX(站位样品信息!$B:$B,COUNTA(站位样品信息!$B:$B)+1),MATCH($F889,站位样品信息!$A$3:INDEX(站位样品信息!$A:$A,COUNTA(站位样品信息!$A:$A)+1),),))</f>
        <v/>
      </c>
      <c r="H889" s="55" t="str">
        <f>IF(OR(A889&lt;&gt;"",B889&lt;&gt;"",C889&lt;&gt;""),IF($C889&lt;&gt;0,INDEX(生物种群!$A$3:INDEX(生物种群!$A:$A,COUNTA(生物种群!$A:$A)),MATCH($C889,生物种群!$F$3:INDEX(生物种群!$F:$F,COUNTA(生物种群!$F:$F)),),),IF($A889&lt;&gt;0,INDEX(生物种群!$A$3:INDEX(生物种群!$A:$A,COUNTA(生物种群!$A:$A)),MATCH($A889,生物种群!$C$3:INDEX(生物种群!$C:$C,COUNTA(生物种群!$C:$C)),),),INDEX(生物种群!$A$3:INDEX(生物种群!$A:$A,COUNTA(生物种群!$A:$A)),MATCH($B889,生物种群!$D$3:INDEX(生物种群!$D:$D,COUNTA(生物种群!$D:$D)),),))),"")</f>
        <v/>
      </c>
      <c r="I889" s="56" t="str">
        <f>IF(H889="","",INDEX(生物种群!$B$3:INDEX(生物种群!$B:$B,COUNTA(生物种群!$B:$B)),MATCH($H889,生物种群!$A$3:INDEX(生物种群!$A:$A,COUNTA(生物种群!$A:$A)),),))</f>
        <v/>
      </c>
      <c r="J889" s="55" t="str">
        <f>IF(H889="","",INDEX(生物种群!$I$3:INDEX(生物种群!$I:$I,COUNTA(生物种群!$I:$I)),MATCH($H889,生物种群!$A$3:INDEX(生物种群!$A:$A,COUNTA(生物种群!$A:$A)),),))</f>
        <v/>
      </c>
      <c r="K889" s="55" t="str">
        <f>IF(H889="","",INDEX(生物种群!$E$3:INDEX(生物种群!$E:$E,COUNTA(生物种群!$E:$E)),MATCH($H889,生物种群!$A$3:INDEX(生物种群!$A:$A,COUNTA(生物种群!$A:$A)),),))</f>
        <v/>
      </c>
      <c r="L889" s="46" t="str">
        <f t="shared" si="45"/>
        <v/>
      </c>
      <c r="M889" s="47" t="str">
        <f>IF(L889="","",ROUND((L889)/VLOOKUP($F889,IF({1,0},站位样品信息!$A$3:INDEX(站位样品信息!$A:$A,COUNTA(站位样品信息!$A:$A)+1),站位样品信息!$H$3:INDEX(站位样品信息!$H:$H,COUNTA(站位样品信息!$H:$H)+1)),2,0),2))</f>
        <v/>
      </c>
      <c r="O889" s="49"/>
      <c r="P889" s="53" t="str">
        <f t="shared" si="43"/>
        <v/>
      </c>
      <c r="Q889" s="53" t="str">
        <f t="shared" si="44"/>
        <v/>
      </c>
    </row>
    <row r="890" spans="1:17" ht="19.5" customHeight="1">
      <c r="A890" s="38"/>
      <c r="B890" s="38"/>
      <c r="C890" s="38"/>
      <c r="D890" s="37"/>
      <c r="E890" s="37"/>
      <c r="F890" s="37"/>
      <c r="G890" s="37" t="str">
        <f>IF(F890="","",INDEX(站位样品信息!$B$3:INDEX(站位样品信息!$B:$B,COUNTA(站位样品信息!$B:$B)+1),MATCH($F890,站位样品信息!$A$3:INDEX(站位样品信息!$A:$A,COUNTA(站位样品信息!$A:$A)+1),),))</f>
        <v/>
      </c>
      <c r="H890" s="55" t="str">
        <f>IF(OR(A890&lt;&gt;"",B890&lt;&gt;"",C890&lt;&gt;""),IF($C890&lt;&gt;0,INDEX(生物种群!$A$3:INDEX(生物种群!$A:$A,COUNTA(生物种群!$A:$A)),MATCH($C890,生物种群!$F$3:INDEX(生物种群!$F:$F,COUNTA(生物种群!$F:$F)),),),IF($A890&lt;&gt;0,INDEX(生物种群!$A$3:INDEX(生物种群!$A:$A,COUNTA(生物种群!$A:$A)),MATCH($A890,生物种群!$C$3:INDEX(生物种群!$C:$C,COUNTA(生物种群!$C:$C)),),),INDEX(生物种群!$A$3:INDEX(生物种群!$A:$A,COUNTA(生物种群!$A:$A)),MATCH($B890,生物种群!$D$3:INDEX(生物种群!$D:$D,COUNTA(生物种群!$D:$D)),),))),"")</f>
        <v/>
      </c>
      <c r="I890" s="56" t="str">
        <f>IF(H890="","",INDEX(生物种群!$B$3:INDEX(生物种群!$B:$B,COUNTA(生物种群!$B:$B)),MATCH($H890,生物种群!$A$3:INDEX(生物种群!$A:$A,COUNTA(生物种群!$A:$A)),),))</f>
        <v/>
      </c>
      <c r="J890" s="55" t="str">
        <f>IF(H890="","",INDEX(生物种群!$I$3:INDEX(生物种群!$I:$I,COUNTA(生物种群!$I:$I)),MATCH($H890,生物种群!$A$3:INDEX(生物种群!$A:$A,COUNTA(生物种群!$A:$A)),),))</f>
        <v/>
      </c>
      <c r="K890" s="55" t="str">
        <f>IF(H890="","",INDEX(生物种群!$E$3:INDEX(生物种群!$E:$E,COUNTA(生物种群!$E:$E)),MATCH($H890,生物种群!$A$3:INDEX(生物种群!$A:$A,COUNTA(生物种群!$A:$A)),),))</f>
        <v/>
      </c>
      <c r="L890" s="46" t="str">
        <f t="shared" si="45"/>
        <v/>
      </c>
      <c r="M890" s="47" t="str">
        <f>IF(L890="","",ROUND((L890)/VLOOKUP($F890,IF({1,0},站位样品信息!$A$3:INDEX(站位样品信息!$A:$A,COUNTA(站位样品信息!$A:$A)+1),站位样品信息!$H$3:INDEX(站位样品信息!$H:$H,COUNTA(站位样品信息!$H:$H)+1)),2,0),2))</f>
        <v/>
      </c>
      <c r="O890" s="49"/>
      <c r="P890" s="53" t="str">
        <f t="shared" si="43"/>
        <v/>
      </c>
      <c r="Q890" s="53" t="str">
        <f t="shared" si="44"/>
        <v/>
      </c>
    </row>
    <row r="891" spans="1:17" ht="19.5" customHeight="1">
      <c r="A891" s="38"/>
      <c r="B891" s="38"/>
      <c r="C891" s="38"/>
      <c r="D891" s="37"/>
      <c r="E891" s="37"/>
      <c r="F891" s="37"/>
      <c r="G891" s="37" t="str">
        <f>IF(F891="","",INDEX(站位样品信息!$B$3:INDEX(站位样品信息!$B:$B,COUNTA(站位样品信息!$B:$B)+1),MATCH($F891,站位样品信息!$A$3:INDEX(站位样品信息!$A:$A,COUNTA(站位样品信息!$A:$A)+1),),))</f>
        <v/>
      </c>
      <c r="H891" s="55" t="str">
        <f>IF(OR(A891&lt;&gt;"",B891&lt;&gt;"",C891&lt;&gt;""),IF($C891&lt;&gt;0,INDEX(生物种群!$A$3:INDEX(生物种群!$A:$A,COUNTA(生物种群!$A:$A)),MATCH($C891,生物种群!$F$3:INDEX(生物种群!$F:$F,COUNTA(生物种群!$F:$F)),),),IF($A891&lt;&gt;0,INDEX(生物种群!$A$3:INDEX(生物种群!$A:$A,COUNTA(生物种群!$A:$A)),MATCH($A891,生物种群!$C$3:INDEX(生物种群!$C:$C,COUNTA(生物种群!$C:$C)),),),INDEX(生物种群!$A$3:INDEX(生物种群!$A:$A,COUNTA(生物种群!$A:$A)),MATCH($B891,生物种群!$D$3:INDEX(生物种群!$D:$D,COUNTA(生物种群!$D:$D)),),))),"")</f>
        <v/>
      </c>
      <c r="I891" s="56" t="str">
        <f>IF(H891="","",INDEX(生物种群!$B$3:INDEX(生物种群!$B:$B,COUNTA(生物种群!$B:$B)),MATCH($H891,生物种群!$A$3:INDEX(生物种群!$A:$A,COUNTA(生物种群!$A:$A)),),))</f>
        <v/>
      </c>
      <c r="J891" s="55" t="str">
        <f>IF(H891="","",INDEX(生物种群!$I$3:INDEX(生物种群!$I:$I,COUNTA(生物种群!$I:$I)),MATCH($H891,生物种群!$A$3:INDEX(生物种群!$A:$A,COUNTA(生物种群!$A:$A)),),))</f>
        <v/>
      </c>
      <c r="K891" s="55" t="str">
        <f>IF(H891="","",INDEX(生物种群!$E$3:INDEX(生物种群!$E:$E,COUNTA(生物种群!$E:$E)),MATCH($H891,生物种群!$A$3:INDEX(生物种群!$A:$A,COUNTA(生物种群!$A:$A)),),))</f>
        <v/>
      </c>
      <c r="L891" s="46" t="str">
        <f t="shared" si="45"/>
        <v/>
      </c>
      <c r="M891" s="47" t="str">
        <f>IF(L891="","",ROUND((L891)/VLOOKUP($F891,IF({1,0},站位样品信息!$A$3:INDEX(站位样品信息!$A:$A,COUNTA(站位样品信息!$A:$A)+1),站位样品信息!$H$3:INDEX(站位样品信息!$H:$H,COUNTA(站位样品信息!$H:$H)+1)),2,0),2))</f>
        <v/>
      </c>
      <c r="O891" s="49"/>
      <c r="P891" s="53" t="str">
        <f t="shared" si="43"/>
        <v/>
      </c>
      <c r="Q891" s="53" t="str">
        <f t="shared" si="44"/>
        <v/>
      </c>
    </row>
    <row r="892" spans="1:17" ht="19.5" customHeight="1">
      <c r="A892" s="38"/>
      <c r="B892" s="38"/>
      <c r="C892" s="38"/>
      <c r="D892" s="37"/>
      <c r="E892" s="37"/>
      <c r="F892" s="37"/>
      <c r="G892" s="37" t="str">
        <f>IF(F892="","",INDEX(站位样品信息!$B$3:INDEX(站位样品信息!$B:$B,COUNTA(站位样品信息!$B:$B)+1),MATCH($F892,站位样品信息!$A$3:INDEX(站位样品信息!$A:$A,COUNTA(站位样品信息!$A:$A)+1),),))</f>
        <v/>
      </c>
      <c r="H892" s="55" t="str">
        <f>IF(OR(A892&lt;&gt;"",B892&lt;&gt;"",C892&lt;&gt;""),IF($C892&lt;&gt;0,INDEX(生物种群!$A$3:INDEX(生物种群!$A:$A,COUNTA(生物种群!$A:$A)),MATCH($C892,生物种群!$F$3:INDEX(生物种群!$F:$F,COUNTA(生物种群!$F:$F)),),),IF($A892&lt;&gt;0,INDEX(生物种群!$A$3:INDEX(生物种群!$A:$A,COUNTA(生物种群!$A:$A)),MATCH($A892,生物种群!$C$3:INDEX(生物种群!$C:$C,COUNTA(生物种群!$C:$C)),),),INDEX(生物种群!$A$3:INDEX(生物种群!$A:$A,COUNTA(生物种群!$A:$A)),MATCH($B892,生物种群!$D$3:INDEX(生物种群!$D:$D,COUNTA(生物种群!$D:$D)),),))),"")</f>
        <v/>
      </c>
      <c r="I892" s="56" t="str">
        <f>IF(H892="","",INDEX(生物种群!$B$3:INDEX(生物种群!$B:$B,COUNTA(生物种群!$B:$B)),MATCH($H892,生物种群!$A$3:INDEX(生物种群!$A:$A,COUNTA(生物种群!$A:$A)),),))</f>
        <v/>
      </c>
      <c r="J892" s="55" t="str">
        <f>IF(H892="","",INDEX(生物种群!$I$3:INDEX(生物种群!$I:$I,COUNTA(生物种群!$I:$I)),MATCH($H892,生物种群!$A$3:INDEX(生物种群!$A:$A,COUNTA(生物种群!$A:$A)),),))</f>
        <v/>
      </c>
      <c r="K892" s="55" t="str">
        <f>IF(H892="","",INDEX(生物种群!$E$3:INDEX(生物种群!$E:$E,COUNTA(生物种群!$E:$E)),MATCH($H892,生物种群!$A$3:INDEX(生物种群!$A:$A,COUNTA(生物种群!$A:$A)),),))</f>
        <v/>
      </c>
      <c r="L892" s="46" t="str">
        <f t="shared" si="45"/>
        <v/>
      </c>
      <c r="M892" s="47" t="str">
        <f>IF(L892="","",ROUND((L892)/VLOOKUP($F892,IF({1,0},站位样品信息!$A$3:INDEX(站位样品信息!$A:$A,COUNTA(站位样品信息!$A:$A)+1),站位样品信息!$H$3:INDEX(站位样品信息!$H:$H,COUNTA(站位样品信息!$H:$H)+1)),2,0),2))</f>
        <v/>
      </c>
      <c r="O892" s="49"/>
      <c r="P892" s="53" t="str">
        <f t="shared" si="43"/>
        <v/>
      </c>
      <c r="Q892" s="53" t="str">
        <f t="shared" si="44"/>
        <v/>
      </c>
    </row>
    <row r="893" spans="1:17" ht="19.5" customHeight="1">
      <c r="A893" s="38"/>
      <c r="B893" s="38"/>
      <c r="C893" s="38"/>
      <c r="D893" s="37"/>
      <c r="E893" s="37"/>
      <c r="F893" s="37"/>
      <c r="G893" s="37" t="str">
        <f>IF(F893="","",INDEX(站位样品信息!$B$3:INDEX(站位样品信息!$B:$B,COUNTA(站位样品信息!$B:$B)+1),MATCH($F893,站位样品信息!$A$3:INDEX(站位样品信息!$A:$A,COUNTA(站位样品信息!$A:$A)+1),),))</f>
        <v/>
      </c>
      <c r="H893" s="55" t="str">
        <f>IF(OR(A893&lt;&gt;"",B893&lt;&gt;"",C893&lt;&gt;""),IF($C893&lt;&gt;0,INDEX(生物种群!$A$3:INDEX(生物种群!$A:$A,COUNTA(生物种群!$A:$A)),MATCH($C893,生物种群!$F$3:INDEX(生物种群!$F:$F,COUNTA(生物种群!$F:$F)),),),IF($A893&lt;&gt;0,INDEX(生物种群!$A$3:INDEX(生物种群!$A:$A,COUNTA(生物种群!$A:$A)),MATCH($A893,生物种群!$C$3:INDEX(生物种群!$C:$C,COUNTA(生物种群!$C:$C)),),),INDEX(生物种群!$A$3:INDEX(生物种群!$A:$A,COUNTA(生物种群!$A:$A)),MATCH($B893,生物种群!$D$3:INDEX(生物种群!$D:$D,COUNTA(生物种群!$D:$D)),),))),"")</f>
        <v/>
      </c>
      <c r="I893" s="56" t="str">
        <f>IF(H893="","",INDEX(生物种群!$B$3:INDEX(生物种群!$B:$B,COUNTA(生物种群!$B:$B)),MATCH($H893,生物种群!$A$3:INDEX(生物种群!$A:$A,COUNTA(生物种群!$A:$A)),),))</f>
        <v/>
      </c>
      <c r="J893" s="55" t="str">
        <f>IF(H893="","",INDEX(生物种群!$I$3:INDEX(生物种群!$I:$I,COUNTA(生物种群!$I:$I)),MATCH($H893,生物种群!$A$3:INDEX(生物种群!$A:$A,COUNTA(生物种群!$A:$A)),),))</f>
        <v/>
      </c>
      <c r="K893" s="55" t="str">
        <f>IF(H893="","",INDEX(生物种群!$E$3:INDEX(生物种群!$E:$E,COUNTA(生物种群!$E:$E)),MATCH($H893,生物种群!$A$3:INDEX(生物种群!$A:$A,COUNTA(生物种群!$A:$A)),),))</f>
        <v/>
      </c>
      <c r="L893" s="46" t="str">
        <f t="shared" si="45"/>
        <v/>
      </c>
      <c r="M893" s="47" t="str">
        <f>IF(L893="","",ROUND((L893)/VLOOKUP($F893,IF({1,0},站位样品信息!$A$3:INDEX(站位样品信息!$A:$A,COUNTA(站位样品信息!$A:$A)+1),站位样品信息!$H$3:INDEX(站位样品信息!$H:$H,COUNTA(站位样品信息!$H:$H)+1)),2,0),2))</f>
        <v/>
      </c>
      <c r="O893" s="49"/>
      <c r="P893" s="53" t="str">
        <f t="shared" si="43"/>
        <v/>
      </c>
      <c r="Q893" s="53" t="str">
        <f t="shared" si="44"/>
        <v/>
      </c>
    </row>
    <row r="894" spans="1:17" ht="19.5" customHeight="1">
      <c r="A894" s="38"/>
      <c r="B894" s="38"/>
      <c r="C894" s="38"/>
      <c r="D894" s="37"/>
      <c r="E894" s="37"/>
      <c r="F894" s="37"/>
      <c r="G894" s="37" t="str">
        <f>IF(F894="","",INDEX(站位样品信息!$B$3:INDEX(站位样品信息!$B:$B,COUNTA(站位样品信息!$B:$B)+1),MATCH($F894,站位样品信息!$A$3:INDEX(站位样品信息!$A:$A,COUNTA(站位样品信息!$A:$A)+1),),))</f>
        <v/>
      </c>
      <c r="H894" s="55" t="str">
        <f>IF(OR(A894&lt;&gt;"",B894&lt;&gt;"",C894&lt;&gt;""),IF($C894&lt;&gt;0,INDEX(生物种群!$A$3:INDEX(生物种群!$A:$A,COUNTA(生物种群!$A:$A)),MATCH($C894,生物种群!$F$3:INDEX(生物种群!$F:$F,COUNTA(生物种群!$F:$F)),),),IF($A894&lt;&gt;0,INDEX(生物种群!$A$3:INDEX(生物种群!$A:$A,COUNTA(生物种群!$A:$A)),MATCH($A894,生物种群!$C$3:INDEX(生物种群!$C:$C,COUNTA(生物种群!$C:$C)),),),INDEX(生物种群!$A$3:INDEX(生物种群!$A:$A,COUNTA(生物种群!$A:$A)),MATCH($B894,生物种群!$D$3:INDEX(生物种群!$D:$D,COUNTA(生物种群!$D:$D)),),))),"")</f>
        <v/>
      </c>
      <c r="I894" s="56" t="str">
        <f>IF(H894="","",INDEX(生物种群!$B$3:INDEX(生物种群!$B:$B,COUNTA(生物种群!$B:$B)),MATCH($H894,生物种群!$A$3:INDEX(生物种群!$A:$A,COUNTA(生物种群!$A:$A)),),))</f>
        <v/>
      </c>
      <c r="J894" s="55" t="str">
        <f>IF(H894="","",INDEX(生物种群!$I$3:INDEX(生物种群!$I:$I,COUNTA(生物种群!$I:$I)),MATCH($H894,生物种群!$A$3:INDEX(生物种群!$A:$A,COUNTA(生物种群!$A:$A)),),))</f>
        <v/>
      </c>
      <c r="K894" s="55" t="str">
        <f>IF(H894="","",INDEX(生物种群!$E$3:INDEX(生物种群!$E:$E,COUNTA(生物种群!$E:$E)),MATCH($H894,生物种群!$A$3:INDEX(生物种群!$A:$A,COUNTA(生物种群!$A:$A)),),))</f>
        <v/>
      </c>
      <c r="L894" s="46" t="str">
        <f t="shared" si="45"/>
        <v/>
      </c>
      <c r="M894" s="47" t="str">
        <f>IF(L894="","",ROUND((L894)/VLOOKUP($F894,IF({1,0},站位样品信息!$A$3:INDEX(站位样品信息!$A:$A,COUNTA(站位样品信息!$A:$A)+1),站位样品信息!$H$3:INDEX(站位样品信息!$H:$H,COUNTA(站位样品信息!$H:$H)+1)),2,0),2))</f>
        <v/>
      </c>
      <c r="O894" s="49"/>
      <c r="P894" s="53" t="str">
        <f t="shared" si="43"/>
        <v/>
      </c>
      <c r="Q894" s="53" t="str">
        <f t="shared" si="44"/>
        <v/>
      </c>
    </row>
    <row r="895" spans="1:17" ht="19.5" customHeight="1">
      <c r="A895" s="38"/>
      <c r="B895" s="38"/>
      <c r="C895" s="38"/>
      <c r="D895" s="37"/>
      <c r="E895" s="37"/>
      <c r="F895" s="37"/>
      <c r="G895" s="37" t="str">
        <f>IF(F895="","",INDEX(站位样品信息!$B$3:INDEX(站位样品信息!$B:$B,COUNTA(站位样品信息!$B:$B)+1),MATCH($F895,站位样品信息!$A$3:INDEX(站位样品信息!$A:$A,COUNTA(站位样品信息!$A:$A)+1),),))</f>
        <v/>
      </c>
      <c r="H895" s="55" t="str">
        <f>IF(OR(A895&lt;&gt;"",B895&lt;&gt;"",C895&lt;&gt;""),IF($C895&lt;&gt;0,INDEX(生物种群!$A$3:INDEX(生物种群!$A:$A,COUNTA(生物种群!$A:$A)),MATCH($C895,生物种群!$F$3:INDEX(生物种群!$F:$F,COUNTA(生物种群!$F:$F)),),),IF($A895&lt;&gt;0,INDEX(生物种群!$A$3:INDEX(生物种群!$A:$A,COUNTA(生物种群!$A:$A)),MATCH($A895,生物种群!$C$3:INDEX(生物种群!$C:$C,COUNTA(生物种群!$C:$C)),),),INDEX(生物种群!$A$3:INDEX(生物种群!$A:$A,COUNTA(生物种群!$A:$A)),MATCH($B895,生物种群!$D$3:INDEX(生物种群!$D:$D,COUNTA(生物种群!$D:$D)),),))),"")</f>
        <v/>
      </c>
      <c r="I895" s="56" t="str">
        <f>IF(H895="","",INDEX(生物种群!$B$3:INDEX(生物种群!$B:$B,COUNTA(生物种群!$B:$B)),MATCH($H895,生物种群!$A$3:INDEX(生物种群!$A:$A,COUNTA(生物种群!$A:$A)),),))</f>
        <v/>
      </c>
      <c r="J895" s="55" t="str">
        <f>IF(H895="","",INDEX(生物种群!$I$3:INDEX(生物种群!$I:$I,COUNTA(生物种群!$I:$I)),MATCH($H895,生物种群!$A$3:INDEX(生物种群!$A:$A,COUNTA(生物种群!$A:$A)),),))</f>
        <v/>
      </c>
      <c r="K895" s="55" t="str">
        <f>IF(H895="","",INDEX(生物种群!$E$3:INDEX(生物种群!$E:$E,COUNTA(生物种群!$E:$E)),MATCH($H895,生物种群!$A$3:INDEX(生物种群!$A:$A,COUNTA(生物种群!$A:$A)),),))</f>
        <v/>
      </c>
      <c r="L895" s="46" t="str">
        <f t="shared" si="45"/>
        <v/>
      </c>
      <c r="M895" s="47" t="str">
        <f>IF(L895="","",ROUND((L895)/VLOOKUP($F895,IF({1,0},站位样品信息!$A$3:INDEX(站位样品信息!$A:$A,COUNTA(站位样品信息!$A:$A)+1),站位样品信息!$H$3:INDEX(站位样品信息!$H:$H,COUNTA(站位样品信息!$H:$H)+1)),2,0),2))</f>
        <v/>
      </c>
      <c r="O895" s="49"/>
      <c r="P895" s="53" t="str">
        <f t="shared" si="43"/>
        <v/>
      </c>
      <c r="Q895" s="53" t="str">
        <f t="shared" si="44"/>
        <v/>
      </c>
    </row>
    <row r="896" spans="1:17" ht="19.5" customHeight="1">
      <c r="A896" s="38"/>
      <c r="B896" s="38"/>
      <c r="C896" s="38"/>
      <c r="D896" s="37"/>
      <c r="E896" s="37"/>
      <c r="F896" s="37"/>
      <c r="G896" s="37" t="str">
        <f>IF(F896="","",INDEX(站位样品信息!$B$3:INDEX(站位样品信息!$B:$B,COUNTA(站位样品信息!$B:$B)+1),MATCH($F896,站位样品信息!$A$3:INDEX(站位样品信息!$A:$A,COUNTA(站位样品信息!$A:$A)+1),),))</f>
        <v/>
      </c>
      <c r="H896" s="55" t="str">
        <f>IF(OR(A896&lt;&gt;"",B896&lt;&gt;"",C896&lt;&gt;""),IF($C896&lt;&gt;0,INDEX(生物种群!$A$3:INDEX(生物种群!$A:$A,COUNTA(生物种群!$A:$A)),MATCH($C896,生物种群!$F$3:INDEX(生物种群!$F:$F,COUNTA(生物种群!$F:$F)),),),IF($A896&lt;&gt;0,INDEX(生物种群!$A$3:INDEX(生物种群!$A:$A,COUNTA(生物种群!$A:$A)),MATCH($A896,生物种群!$C$3:INDEX(生物种群!$C:$C,COUNTA(生物种群!$C:$C)),),),INDEX(生物种群!$A$3:INDEX(生物种群!$A:$A,COUNTA(生物种群!$A:$A)),MATCH($B896,生物种群!$D$3:INDEX(生物种群!$D:$D,COUNTA(生物种群!$D:$D)),),))),"")</f>
        <v/>
      </c>
      <c r="I896" s="56" t="str">
        <f>IF(H896="","",INDEX(生物种群!$B$3:INDEX(生物种群!$B:$B,COUNTA(生物种群!$B:$B)),MATCH($H896,生物种群!$A$3:INDEX(生物种群!$A:$A,COUNTA(生物种群!$A:$A)),),))</f>
        <v/>
      </c>
      <c r="J896" s="55" t="str">
        <f>IF(H896="","",INDEX(生物种群!$I$3:INDEX(生物种群!$I:$I,COUNTA(生物种群!$I:$I)),MATCH($H896,生物种群!$A$3:INDEX(生物种群!$A:$A,COUNTA(生物种群!$A:$A)),),))</f>
        <v/>
      </c>
      <c r="K896" s="55" t="str">
        <f>IF(H896="","",INDEX(生物种群!$E$3:INDEX(生物种群!$E:$E,COUNTA(生物种群!$E:$E)),MATCH($H896,生物种群!$A$3:INDEX(生物种群!$A:$A,COUNTA(生物种群!$A:$A)),),))</f>
        <v/>
      </c>
      <c r="L896" s="46" t="str">
        <f t="shared" si="45"/>
        <v/>
      </c>
      <c r="M896" s="47" t="str">
        <f>IF(L896="","",ROUND((L896)/VLOOKUP($F896,IF({1,0},站位样品信息!$A$3:INDEX(站位样品信息!$A:$A,COUNTA(站位样品信息!$A:$A)+1),站位样品信息!$H$3:INDEX(站位样品信息!$H:$H,COUNTA(站位样品信息!$H:$H)+1)),2,0),2))</f>
        <v/>
      </c>
      <c r="O896" s="49"/>
      <c r="P896" s="53" t="str">
        <f t="shared" si="43"/>
        <v/>
      </c>
      <c r="Q896" s="53" t="str">
        <f t="shared" si="44"/>
        <v/>
      </c>
    </row>
    <row r="897" spans="1:17" ht="19.5" customHeight="1">
      <c r="A897" s="38"/>
      <c r="B897" s="38"/>
      <c r="C897" s="38"/>
      <c r="D897" s="37"/>
      <c r="E897" s="37"/>
      <c r="F897" s="37"/>
      <c r="G897" s="37" t="str">
        <f>IF(F897="","",INDEX(站位样品信息!$B$3:INDEX(站位样品信息!$B:$B,COUNTA(站位样品信息!$B:$B)+1),MATCH($F897,站位样品信息!$A$3:INDEX(站位样品信息!$A:$A,COUNTA(站位样品信息!$A:$A)+1),),))</f>
        <v/>
      </c>
      <c r="H897" s="55" t="str">
        <f>IF(OR(A897&lt;&gt;"",B897&lt;&gt;"",C897&lt;&gt;""),IF($C897&lt;&gt;0,INDEX(生物种群!$A$3:INDEX(生物种群!$A:$A,COUNTA(生物种群!$A:$A)),MATCH($C897,生物种群!$F$3:INDEX(生物种群!$F:$F,COUNTA(生物种群!$F:$F)),),),IF($A897&lt;&gt;0,INDEX(生物种群!$A$3:INDEX(生物种群!$A:$A,COUNTA(生物种群!$A:$A)),MATCH($A897,生物种群!$C$3:INDEX(生物种群!$C:$C,COUNTA(生物种群!$C:$C)),),),INDEX(生物种群!$A$3:INDEX(生物种群!$A:$A,COUNTA(生物种群!$A:$A)),MATCH($B897,生物种群!$D$3:INDEX(生物种群!$D:$D,COUNTA(生物种群!$D:$D)),),))),"")</f>
        <v/>
      </c>
      <c r="I897" s="56" t="str">
        <f>IF(H897="","",INDEX(生物种群!$B$3:INDEX(生物种群!$B:$B,COUNTA(生物种群!$B:$B)),MATCH($H897,生物种群!$A$3:INDEX(生物种群!$A:$A,COUNTA(生物种群!$A:$A)),),))</f>
        <v/>
      </c>
      <c r="J897" s="55" t="str">
        <f>IF(H897="","",INDEX(生物种群!$I$3:INDEX(生物种群!$I:$I,COUNTA(生物种群!$I:$I)),MATCH($H897,生物种群!$A$3:INDEX(生物种群!$A:$A,COUNTA(生物种群!$A:$A)),),))</f>
        <v/>
      </c>
      <c r="K897" s="55" t="str">
        <f>IF(H897="","",INDEX(生物种群!$E$3:INDEX(生物种群!$E:$E,COUNTA(生物种群!$E:$E)),MATCH($H897,生物种群!$A$3:INDEX(生物种群!$A:$A,COUNTA(生物种群!$A:$A)),),))</f>
        <v/>
      </c>
      <c r="L897" s="46" t="str">
        <f t="shared" si="45"/>
        <v/>
      </c>
      <c r="M897" s="47" t="str">
        <f>IF(L897="","",ROUND((L897)/VLOOKUP($F897,IF({1,0},站位样品信息!$A$3:INDEX(站位样品信息!$A:$A,COUNTA(站位样品信息!$A:$A)+1),站位样品信息!$H$3:INDEX(站位样品信息!$H:$H,COUNTA(站位样品信息!$H:$H)+1)),2,0),2))</f>
        <v/>
      </c>
      <c r="O897" s="49"/>
      <c r="P897" s="53" t="str">
        <f t="shared" si="43"/>
        <v/>
      </c>
      <c r="Q897" s="53" t="str">
        <f t="shared" si="44"/>
        <v/>
      </c>
    </row>
    <row r="898" spans="1:17" ht="19.5" customHeight="1">
      <c r="A898" s="38"/>
      <c r="B898" s="38"/>
      <c r="C898" s="38"/>
      <c r="D898" s="37"/>
      <c r="E898" s="37"/>
      <c r="F898" s="37"/>
      <c r="G898" s="37" t="str">
        <f>IF(F898="","",INDEX(站位样品信息!$B$3:INDEX(站位样品信息!$B:$B,COUNTA(站位样品信息!$B:$B)+1),MATCH($F898,站位样品信息!$A$3:INDEX(站位样品信息!$A:$A,COUNTA(站位样品信息!$A:$A)+1),),))</f>
        <v/>
      </c>
      <c r="H898" s="55" t="str">
        <f>IF(OR(A898&lt;&gt;"",B898&lt;&gt;"",C898&lt;&gt;""),IF($C898&lt;&gt;0,INDEX(生物种群!$A$3:INDEX(生物种群!$A:$A,COUNTA(生物种群!$A:$A)),MATCH($C898,生物种群!$F$3:INDEX(生物种群!$F:$F,COUNTA(生物种群!$F:$F)),),),IF($A898&lt;&gt;0,INDEX(生物种群!$A$3:INDEX(生物种群!$A:$A,COUNTA(生物种群!$A:$A)),MATCH($A898,生物种群!$C$3:INDEX(生物种群!$C:$C,COUNTA(生物种群!$C:$C)),),),INDEX(生物种群!$A$3:INDEX(生物种群!$A:$A,COUNTA(生物种群!$A:$A)),MATCH($B898,生物种群!$D$3:INDEX(生物种群!$D:$D,COUNTA(生物种群!$D:$D)),),))),"")</f>
        <v/>
      </c>
      <c r="I898" s="56" t="str">
        <f>IF(H898="","",INDEX(生物种群!$B$3:INDEX(生物种群!$B:$B,COUNTA(生物种群!$B:$B)),MATCH($H898,生物种群!$A$3:INDEX(生物种群!$A:$A,COUNTA(生物种群!$A:$A)),),))</f>
        <v/>
      </c>
      <c r="J898" s="55" t="str">
        <f>IF(H898="","",INDEX(生物种群!$I$3:INDEX(生物种群!$I:$I,COUNTA(生物种群!$I:$I)),MATCH($H898,生物种群!$A$3:INDEX(生物种群!$A:$A,COUNTA(生物种群!$A:$A)),),))</f>
        <v/>
      </c>
      <c r="K898" s="55" t="str">
        <f>IF(H898="","",INDEX(生物种群!$E$3:INDEX(生物种群!$E:$E,COUNTA(生物种群!$E:$E)),MATCH($H898,生物种群!$A$3:INDEX(生物种群!$A:$A,COUNTA(生物种群!$A:$A)),),))</f>
        <v/>
      </c>
      <c r="L898" s="46" t="str">
        <f t="shared" si="45"/>
        <v/>
      </c>
      <c r="M898" s="47" t="str">
        <f>IF(L898="","",ROUND((L898)/VLOOKUP($F898,IF({1,0},站位样品信息!$A$3:INDEX(站位样品信息!$A:$A,COUNTA(站位样品信息!$A:$A)+1),站位样品信息!$H$3:INDEX(站位样品信息!$H:$H,COUNTA(站位样品信息!$H:$H)+1)),2,0),2))</f>
        <v/>
      </c>
      <c r="O898" s="49"/>
      <c r="P898" s="53" t="str">
        <f t="shared" si="43"/>
        <v/>
      </c>
      <c r="Q898" s="53" t="str">
        <f t="shared" si="44"/>
        <v/>
      </c>
    </row>
    <row r="899" spans="1:17" ht="19.5" customHeight="1">
      <c r="A899" s="38"/>
      <c r="B899" s="38"/>
      <c r="C899" s="38"/>
      <c r="D899" s="37"/>
      <c r="E899" s="37"/>
      <c r="F899" s="37"/>
      <c r="G899" s="37" t="str">
        <f>IF(F899="","",INDEX(站位样品信息!$B$3:INDEX(站位样品信息!$B:$B,COUNTA(站位样品信息!$B:$B)+1),MATCH($F899,站位样品信息!$A$3:INDEX(站位样品信息!$A:$A,COUNTA(站位样品信息!$A:$A)+1),),))</f>
        <v/>
      </c>
      <c r="H899" s="55" t="str">
        <f>IF(OR(A899&lt;&gt;"",B899&lt;&gt;"",C899&lt;&gt;""),IF($C899&lt;&gt;0,INDEX(生物种群!$A$3:INDEX(生物种群!$A:$A,COUNTA(生物种群!$A:$A)),MATCH($C899,生物种群!$F$3:INDEX(生物种群!$F:$F,COUNTA(生物种群!$F:$F)),),),IF($A899&lt;&gt;0,INDEX(生物种群!$A$3:INDEX(生物种群!$A:$A,COUNTA(生物种群!$A:$A)),MATCH($A899,生物种群!$C$3:INDEX(生物种群!$C:$C,COUNTA(生物种群!$C:$C)),),),INDEX(生物种群!$A$3:INDEX(生物种群!$A:$A,COUNTA(生物种群!$A:$A)),MATCH($B899,生物种群!$D$3:INDEX(生物种群!$D:$D,COUNTA(生物种群!$D:$D)),),))),"")</f>
        <v/>
      </c>
      <c r="I899" s="56" t="str">
        <f>IF(H899="","",INDEX(生物种群!$B$3:INDEX(生物种群!$B:$B,COUNTA(生物种群!$B:$B)),MATCH($H899,生物种群!$A$3:INDEX(生物种群!$A:$A,COUNTA(生物种群!$A:$A)),),))</f>
        <v/>
      </c>
      <c r="J899" s="55" t="str">
        <f>IF(H899="","",INDEX(生物种群!$I$3:INDEX(生物种群!$I:$I,COUNTA(生物种群!$I:$I)),MATCH($H899,生物种群!$A$3:INDEX(生物种群!$A:$A,COUNTA(生物种群!$A:$A)),),))</f>
        <v/>
      </c>
      <c r="K899" s="55" t="str">
        <f>IF(H899="","",INDEX(生物种群!$E$3:INDEX(生物种群!$E:$E,COUNTA(生物种群!$E:$E)),MATCH($H899,生物种群!$A$3:INDEX(生物种群!$A:$A,COUNTA(生物种群!$A:$A)),),))</f>
        <v/>
      </c>
      <c r="L899" s="46" t="str">
        <f t="shared" si="45"/>
        <v/>
      </c>
      <c r="M899" s="47" t="str">
        <f>IF(L899="","",ROUND((L899)/VLOOKUP($F899,IF({1,0},站位样品信息!$A$3:INDEX(站位样品信息!$A:$A,COUNTA(站位样品信息!$A:$A)+1),站位样品信息!$H$3:INDEX(站位样品信息!$H:$H,COUNTA(站位样品信息!$H:$H)+1)),2,0),2))</f>
        <v/>
      </c>
      <c r="O899" s="49"/>
      <c r="P899" s="53" t="str">
        <f t="shared" si="46" ref="P899:P962">IF(F899&gt;0,F899&amp;I899,"")</f>
        <v/>
      </c>
      <c r="Q899" s="53" t="str">
        <f t="shared" si="47" ref="Q899:Q962">IF(COUNTIF($P:$P,P899)=1,"",IF(A899&amp;B899&amp;C899="","","重复"))</f>
        <v/>
      </c>
    </row>
    <row r="900" spans="1:17" ht="19.5" customHeight="1">
      <c r="A900" s="38"/>
      <c r="B900" s="38"/>
      <c r="C900" s="38"/>
      <c r="D900" s="37"/>
      <c r="E900" s="37"/>
      <c r="F900" s="37"/>
      <c r="G900" s="37" t="str">
        <f>IF(F900="","",INDEX(站位样品信息!$B$3:INDEX(站位样品信息!$B:$B,COUNTA(站位样品信息!$B:$B)+1),MATCH($F900,站位样品信息!$A$3:INDEX(站位样品信息!$A:$A,COUNTA(站位样品信息!$A:$A)+1),),))</f>
        <v/>
      </c>
      <c r="H900" s="55" t="str">
        <f>IF(OR(A900&lt;&gt;"",B900&lt;&gt;"",C900&lt;&gt;""),IF($C900&lt;&gt;0,INDEX(生物种群!$A$3:INDEX(生物种群!$A:$A,COUNTA(生物种群!$A:$A)),MATCH($C900,生物种群!$F$3:INDEX(生物种群!$F:$F,COUNTA(生物种群!$F:$F)),),),IF($A900&lt;&gt;0,INDEX(生物种群!$A$3:INDEX(生物种群!$A:$A,COUNTA(生物种群!$A:$A)),MATCH($A900,生物种群!$C$3:INDEX(生物种群!$C:$C,COUNTA(生物种群!$C:$C)),),),INDEX(生物种群!$A$3:INDEX(生物种群!$A:$A,COUNTA(生物种群!$A:$A)),MATCH($B900,生物种群!$D$3:INDEX(生物种群!$D:$D,COUNTA(生物种群!$D:$D)),),))),"")</f>
        <v/>
      </c>
      <c r="I900" s="56" t="str">
        <f>IF(H900="","",INDEX(生物种群!$B$3:INDEX(生物种群!$B:$B,COUNTA(生物种群!$B:$B)),MATCH($H900,生物种群!$A$3:INDEX(生物种群!$A:$A,COUNTA(生物种群!$A:$A)),),))</f>
        <v/>
      </c>
      <c r="J900" s="55" t="str">
        <f>IF(H900="","",INDEX(生物种群!$I$3:INDEX(生物种群!$I:$I,COUNTA(生物种群!$I:$I)),MATCH($H900,生物种群!$A$3:INDEX(生物种群!$A:$A,COUNTA(生物种群!$A:$A)),),))</f>
        <v/>
      </c>
      <c r="K900" s="55" t="str">
        <f>IF(H900="","",INDEX(生物种群!$E$3:INDEX(生物种群!$E:$E,COUNTA(生物种群!$E:$E)),MATCH($H900,生物种群!$A$3:INDEX(生物种群!$A:$A,COUNTA(生物种群!$A:$A)),),))</f>
        <v/>
      </c>
      <c r="L900" s="46" t="str">
        <f t="shared" si="45"/>
        <v/>
      </c>
      <c r="M900" s="47" t="str">
        <f>IF(L900="","",ROUND((L900)/VLOOKUP($F900,IF({1,0},站位样品信息!$A$3:INDEX(站位样品信息!$A:$A,COUNTA(站位样品信息!$A:$A)+1),站位样品信息!$H$3:INDEX(站位样品信息!$H:$H,COUNTA(站位样品信息!$H:$H)+1)),2,0),2))</f>
        <v/>
      </c>
      <c r="O900" s="49"/>
      <c r="P900" s="53" t="str">
        <f t="shared" si="46"/>
        <v/>
      </c>
      <c r="Q900" s="53" t="str">
        <f t="shared" si="47"/>
        <v/>
      </c>
    </row>
    <row r="901" spans="1:17" ht="19.5" customHeight="1">
      <c r="A901" s="38"/>
      <c r="B901" s="38"/>
      <c r="C901" s="38"/>
      <c r="D901" s="37"/>
      <c r="E901" s="37"/>
      <c r="F901" s="37"/>
      <c r="G901" s="37" t="str">
        <f>IF(F901="","",INDEX(站位样品信息!$B$3:INDEX(站位样品信息!$B:$B,COUNTA(站位样品信息!$B:$B)+1),MATCH($F901,站位样品信息!$A$3:INDEX(站位样品信息!$A:$A,COUNTA(站位样品信息!$A:$A)+1),),))</f>
        <v/>
      </c>
      <c r="H901" s="55" t="str">
        <f>IF(OR(A901&lt;&gt;"",B901&lt;&gt;"",C901&lt;&gt;""),IF($C901&lt;&gt;0,INDEX(生物种群!$A$3:INDEX(生物种群!$A:$A,COUNTA(生物种群!$A:$A)),MATCH($C901,生物种群!$F$3:INDEX(生物种群!$F:$F,COUNTA(生物种群!$F:$F)),),),IF($A901&lt;&gt;0,INDEX(生物种群!$A$3:INDEX(生物种群!$A:$A,COUNTA(生物种群!$A:$A)),MATCH($A901,生物种群!$C$3:INDEX(生物种群!$C:$C,COUNTA(生物种群!$C:$C)),),),INDEX(生物种群!$A$3:INDEX(生物种群!$A:$A,COUNTA(生物种群!$A:$A)),MATCH($B901,生物种群!$D$3:INDEX(生物种群!$D:$D,COUNTA(生物种群!$D:$D)),),))),"")</f>
        <v/>
      </c>
      <c r="I901" s="56" t="str">
        <f>IF(H901="","",INDEX(生物种群!$B$3:INDEX(生物种群!$B:$B,COUNTA(生物种群!$B:$B)),MATCH($H901,生物种群!$A$3:INDEX(生物种群!$A:$A,COUNTA(生物种群!$A:$A)),),))</f>
        <v/>
      </c>
      <c r="J901" s="55" t="str">
        <f>IF(H901="","",INDEX(生物种群!$I$3:INDEX(生物种群!$I:$I,COUNTA(生物种群!$I:$I)),MATCH($H901,生物种群!$A$3:INDEX(生物种群!$A:$A,COUNTA(生物种群!$A:$A)),),))</f>
        <v/>
      </c>
      <c r="K901" s="55" t="str">
        <f>IF(H901="","",INDEX(生物种群!$E$3:INDEX(生物种群!$E:$E,COUNTA(生物种群!$E:$E)),MATCH($H901,生物种群!$A$3:INDEX(生物种群!$A:$A,COUNTA(生物种群!$A:$A)),),))</f>
        <v/>
      </c>
      <c r="L901" s="46" t="str">
        <f t="shared" si="45"/>
        <v/>
      </c>
      <c r="M901" s="47" t="str">
        <f>IF(L901="","",ROUND((L901)/VLOOKUP($F901,IF({1,0},站位样品信息!$A$3:INDEX(站位样品信息!$A:$A,COUNTA(站位样品信息!$A:$A)+1),站位样品信息!$H$3:INDEX(站位样品信息!$H:$H,COUNTA(站位样品信息!$H:$H)+1)),2,0),2))</f>
        <v/>
      </c>
      <c r="O901" s="49"/>
      <c r="P901" s="53" t="str">
        <f t="shared" si="46"/>
        <v/>
      </c>
      <c r="Q901" s="53" t="str">
        <f t="shared" si="47"/>
        <v/>
      </c>
    </row>
    <row r="902" spans="1:17" ht="19.5" customHeight="1">
      <c r="A902" s="38"/>
      <c r="B902" s="38"/>
      <c r="C902" s="38"/>
      <c r="D902" s="37"/>
      <c r="E902" s="37"/>
      <c r="F902" s="37"/>
      <c r="G902" s="37" t="str">
        <f>IF(F902="","",INDEX(站位样品信息!$B$3:INDEX(站位样品信息!$B:$B,COUNTA(站位样品信息!$B:$B)+1),MATCH($F902,站位样品信息!$A$3:INDEX(站位样品信息!$A:$A,COUNTA(站位样品信息!$A:$A)+1),),))</f>
        <v/>
      </c>
      <c r="H902" s="55" t="str">
        <f>IF(OR(A902&lt;&gt;"",B902&lt;&gt;"",C902&lt;&gt;""),IF($C902&lt;&gt;0,INDEX(生物种群!$A$3:INDEX(生物种群!$A:$A,COUNTA(生物种群!$A:$A)),MATCH($C902,生物种群!$F$3:INDEX(生物种群!$F:$F,COUNTA(生物种群!$F:$F)),),),IF($A902&lt;&gt;0,INDEX(生物种群!$A$3:INDEX(生物种群!$A:$A,COUNTA(生物种群!$A:$A)),MATCH($A902,生物种群!$C$3:INDEX(生物种群!$C:$C,COUNTA(生物种群!$C:$C)),),),INDEX(生物种群!$A$3:INDEX(生物种群!$A:$A,COUNTA(生物种群!$A:$A)),MATCH($B902,生物种群!$D$3:INDEX(生物种群!$D:$D,COUNTA(生物种群!$D:$D)),),))),"")</f>
        <v/>
      </c>
      <c r="I902" s="56" t="str">
        <f>IF(H902="","",INDEX(生物种群!$B$3:INDEX(生物种群!$B:$B,COUNTA(生物种群!$B:$B)),MATCH($H902,生物种群!$A$3:INDEX(生物种群!$A:$A,COUNTA(生物种群!$A:$A)),),))</f>
        <v/>
      </c>
      <c r="J902" s="55" t="str">
        <f>IF(H902="","",INDEX(生物种群!$I$3:INDEX(生物种群!$I:$I,COUNTA(生物种群!$I:$I)),MATCH($H902,生物种群!$A$3:INDEX(生物种群!$A:$A,COUNTA(生物种群!$A:$A)),),))</f>
        <v/>
      </c>
      <c r="K902" s="55" t="str">
        <f>IF(H902="","",INDEX(生物种群!$E$3:INDEX(生物种群!$E:$E,COUNTA(生物种群!$E:$E)),MATCH($H902,生物种群!$A$3:INDEX(生物种群!$A:$A,COUNTA(生物种群!$A:$A)),),))</f>
        <v/>
      </c>
      <c r="L902" s="46" t="str">
        <f t="shared" si="45"/>
        <v/>
      </c>
      <c r="M902" s="47" t="str">
        <f>IF(L902="","",ROUND((L902)/VLOOKUP($F902,IF({1,0},站位样品信息!$A$3:INDEX(站位样品信息!$A:$A,COUNTA(站位样品信息!$A:$A)+1),站位样品信息!$H$3:INDEX(站位样品信息!$H:$H,COUNTA(站位样品信息!$H:$H)+1)),2,0),2))</f>
        <v/>
      </c>
      <c r="O902" s="49"/>
      <c r="P902" s="53" t="str">
        <f t="shared" si="46"/>
        <v/>
      </c>
      <c r="Q902" s="53" t="str">
        <f t="shared" si="47"/>
        <v/>
      </c>
    </row>
    <row r="903" spans="1:17" ht="19.5" customHeight="1">
      <c r="A903" s="38"/>
      <c r="B903" s="38"/>
      <c r="C903" s="38"/>
      <c r="D903" s="37"/>
      <c r="E903" s="37"/>
      <c r="F903" s="37"/>
      <c r="G903" s="37" t="str">
        <f>IF(F903="","",INDEX(站位样品信息!$B$3:INDEX(站位样品信息!$B:$B,COUNTA(站位样品信息!$B:$B)+1),MATCH($F903,站位样品信息!$A$3:INDEX(站位样品信息!$A:$A,COUNTA(站位样品信息!$A:$A)+1),),))</f>
        <v/>
      </c>
      <c r="H903" s="55" t="str">
        <f>IF(OR(A903&lt;&gt;"",B903&lt;&gt;"",C903&lt;&gt;""),IF($C903&lt;&gt;0,INDEX(生物种群!$A$3:INDEX(生物种群!$A:$A,COUNTA(生物种群!$A:$A)),MATCH($C903,生物种群!$F$3:INDEX(生物种群!$F:$F,COUNTA(生物种群!$F:$F)),),),IF($A903&lt;&gt;0,INDEX(生物种群!$A$3:INDEX(生物种群!$A:$A,COUNTA(生物种群!$A:$A)),MATCH($A903,生物种群!$C$3:INDEX(生物种群!$C:$C,COUNTA(生物种群!$C:$C)),),),INDEX(生物种群!$A$3:INDEX(生物种群!$A:$A,COUNTA(生物种群!$A:$A)),MATCH($B903,生物种群!$D$3:INDEX(生物种群!$D:$D,COUNTA(生物种群!$D:$D)),),))),"")</f>
        <v/>
      </c>
      <c r="I903" s="56" t="str">
        <f>IF(H903="","",INDEX(生物种群!$B$3:INDEX(生物种群!$B:$B,COUNTA(生物种群!$B:$B)),MATCH($H903,生物种群!$A$3:INDEX(生物种群!$A:$A,COUNTA(生物种群!$A:$A)),),))</f>
        <v/>
      </c>
      <c r="J903" s="55" t="str">
        <f>IF(H903="","",INDEX(生物种群!$I$3:INDEX(生物种群!$I:$I,COUNTA(生物种群!$I:$I)),MATCH($H903,生物种群!$A$3:INDEX(生物种群!$A:$A,COUNTA(生物种群!$A:$A)),),))</f>
        <v/>
      </c>
      <c r="K903" s="55" t="str">
        <f>IF(H903="","",INDEX(生物种群!$E$3:INDEX(生物种群!$E:$E,COUNTA(生物种群!$E:$E)),MATCH($H903,生物种群!$A$3:INDEX(生物种群!$A:$A,COUNTA(生物种群!$A:$A)),),))</f>
        <v/>
      </c>
      <c r="L903" s="46" t="str">
        <f t="shared" si="45"/>
        <v/>
      </c>
      <c r="M903" s="47" t="str">
        <f>IF(L903="","",ROUND((L903)/VLOOKUP($F903,IF({1,0},站位样品信息!$A$3:INDEX(站位样品信息!$A:$A,COUNTA(站位样品信息!$A:$A)+1),站位样品信息!$H$3:INDEX(站位样品信息!$H:$H,COUNTA(站位样品信息!$H:$H)+1)),2,0),2))</f>
        <v/>
      </c>
      <c r="O903" s="49"/>
      <c r="P903" s="53" t="str">
        <f t="shared" si="46"/>
        <v/>
      </c>
      <c r="Q903" s="53" t="str">
        <f t="shared" si="47"/>
        <v/>
      </c>
    </row>
    <row r="904" spans="1:17" ht="19.5" customHeight="1">
      <c r="A904" s="38"/>
      <c r="B904" s="38"/>
      <c r="C904" s="38"/>
      <c r="D904" s="37"/>
      <c r="E904" s="37"/>
      <c r="F904" s="37"/>
      <c r="G904" s="37" t="str">
        <f>IF(F904="","",INDEX(站位样品信息!$B$3:INDEX(站位样品信息!$B:$B,COUNTA(站位样品信息!$B:$B)+1),MATCH($F904,站位样品信息!$A$3:INDEX(站位样品信息!$A:$A,COUNTA(站位样品信息!$A:$A)+1),),))</f>
        <v/>
      </c>
      <c r="H904" s="55" t="str">
        <f>IF(OR(A904&lt;&gt;"",B904&lt;&gt;"",C904&lt;&gt;""),IF($C904&lt;&gt;0,INDEX(生物种群!$A$3:INDEX(生物种群!$A:$A,COUNTA(生物种群!$A:$A)),MATCH($C904,生物种群!$F$3:INDEX(生物种群!$F:$F,COUNTA(生物种群!$F:$F)),),),IF($A904&lt;&gt;0,INDEX(生物种群!$A$3:INDEX(生物种群!$A:$A,COUNTA(生物种群!$A:$A)),MATCH($A904,生物种群!$C$3:INDEX(生物种群!$C:$C,COUNTA(生物种群!$C:$C)),),),INDEX(生物种群!$A$3:INDEX(生物种群!$A:$A,COUNTA(生物种群!$A:$A)),MATCH($B904,生物种群!$D$3:INDEX(生物种群!$D:$D,COUNTA(生物种群!$D:$D)),),))),"")</f>
        <v/>
      </c>
      <c r="I904" s="56" t="str">
        <f>IF(H904="","",INDEX(生物种群!$B$3:INDEX(生物种群!$B:$B,COUNTA(生物种群!$B:$B)),MATCH($H904,生物种群!$A$3:INDEX(生物种群!$A:$A,COUNTA(生物种群!$A:$A)),),))</f>
        <v/>
      </c>
      <c r="J904" s="55" t="str">
        <f>IF(H904="","",INDEX(生物种群!$I$3:INDEX(生物种群!$I:$I,COUNTA(生物种群!$I:$I)),MATCH($H904,生物种群!$A$3:INDEX(生物种群!$A:$A,COUNTA(生物种群!$A:$A)),),))</f>
        <v/>
      </c>
      <c r="K904" s="55" t="str">
        <f>IF(H904="","",INDEX(生物种群!$E$3:INDEX(生物种群!$E:$E,COUNTA(生物种群!$E:$E)),MATCH($H904,生物种群!$A$3:INDEX(生物种群!$A:$A,COUNTA(生物种群!$A:$A)),),))</f>
        <v/>
      </c>
      <c r="L904" s="46" t="str">
        <f t="shared" si="45"/>
        <v/>
      </c>
      <c r="M904" s="47" t="str">
        <f>IF(L904="","",ROUND((L904)/VLOOKUP($F904,IF({1,0},站位样品信息!$A$3:INDEX(站位样品信息!$A:$A,COUNTA(站位样品信息!$A:$A)+1),站位样品信息!$H$3:INDEX(站位样品信息!$H:$H,COUNTA(站位样品信息!$H:$H)+1)),2,0),2))</f>
        <v/>
      </c>
      <c r="O904" s="49"/>
      <c r="P904" s="53" t="str">
        <f t="shared" si="46"/>
        <v/>
      </c>
      <c r="Q904" s="53" t="str">
        <f t="shared" si="47"/>
        <v/>
      </c>
    </row>
    <row r="905" spans="1:17" ht="19.5" customHeight="1">
      <c r="A905" s="38"/>
      <c r="B905" s="38"/>
      <c r="C905" s="38"/>
      <c r="D905" s="37"/>
      <c r="E905" s="37"/>
      <c r="F905" s="37"/>
      <c r="G905" s="37" t="str">
        <f>IF(F905="","",INDEX(站位样品信息!$B$3:INDEX(站位样品信息!$B:$B,COUNTA(站位样品信息!$B:$B)+1),MATCH($F905,站位样品信息!$A$3:INDEX(站位样品信息!$A:$A,COUNTA(站位样品信息!$A:$A)+1),),))</f>
        <v/>
      </c>
      <c r="H905" s="55" t="str">
        <f>IF(OR(A905&lt;&gt;"",B905&lt;&gt;"",C905&lt;&gt;""),IF($C905&lt;&gt;0,INDEX(生物种群!$A$3:INDEX(生物种群!$A:$A,COUNTA(生物种群!$A:$A)),MATCH($C905,生物种群!$F$3:INDEX(生物种群!$F:$F,COUNTA(生物种群!$F:$F)),),),IF($A905&lt;&gt;0,INDEX(生物种群!$A$3:INDEX(生物种群!$A:$A,COUNTA(生物种群!$A:$A)),MATCH($A905,生物种群!$C$3:INDEX(生物种群!$C:$C,COUNTA(生物种群!$C:$C)),),),INDEX(生物种群!$A$3:INDEX(生物种群!$A:$A,COUNTA(生物种群!$A:$A)),MATCH($B905,生物种群!$D$3:INDEX(生物种群!$D:$D,COUNTA(生物种群!$D:$D)),),))),"")</f>
        <v/>
      </c>
      <c r="I905" s="56" t="str">
        <f>IF(H905="","",INDEX(生物种群!$B$3:INDEX(生物种群!$B:$B,COUNTA(生物种群!$B:$B)),MATCH($H905,生物种群!$A$3:INDEX(生物种群!$A:$A,COUNTA(生物种群!$A:$A)),),))</f>
        <v/>
      </c>
      <c r="J905" s="55" t="str">
        <f>IF(H905="","",INDEX(生物种群!$I$3:INDEX(生物种群!$I:$I,COUNTA(生物种群!$I:$I)),MATCH($H905,生物种群!$A$3:INDEX(生物种群!$A:$A,COUNTA(生物种群!$A:$A)),),))</f>
        <v/>
      </c>
      <c r="K905" s="55" t="str">
        <f>IF(H905="","",INDEX(生物种群!$E$3:INDEX(生物种群!$E:$E,COUNTA(生物种群!$E:$E)),MATCH($H905,生物种群!$A$3:INDEX(生物种群!$A:$A,COUNTA(生物种群!$A:$A)),),))</f>
        <v/>
      </c>
      <c r="L905" s="46" t="str">
        <f t="shared" si="45"/>
        <v/>
      </c>
      <c r="M905" s="47" t="str">
        <f>IF(L905="","",ROUND((L905)/VLOOKUP($F905,IF({1,0},站位样品信息!$A$3:INDEX(站位样品信息!$A:$A,COUNTA(站位样品信息!$A:$A)+1),站位样品信息!$H$3:INDEX(站位样品信息!$H:$H,COUNTA(站位样品信息!$H:$H)+1)),2,0),2))</f>
        <v/>
      </c>
      <c r="O905" s="49"/>
      <c r="P905" s="53" t="str">
        <f t="shared" si="46"/>
        <v/>
      </c>
      <c r="Q905" s="53" t="str">
        <f t="shared" si="47"/>
        <v/>
      </c>
    </row>
    <row r="906" spans="1:17" ht="19.5" customHeight="1">
      <c r="A906" s="38"/>
      <c r="B906" s="38"/>
      <c r="C906" s="38"/>
      <c r="D906" s="37"/>
      <c r="E906" s="37"/>
      <c r="F906" s="37"/>
      <c r="G906" s="37" t="str">
        <f>IF(F906="","",INDEX(站位样品信息!$B$3:INDEX(站位样品信息!$B:$B,COUNTA(站位样品信息!$B:$B)+1),MATCH($F906,站位样品信息!$A$3:INDEX(站位样品信息!$A:$A,COUNTA(站位样品信息!$A:$A)+1),),))</f>
        <v/>
      </c>
      <c r="H906" s="55" t="str">
        <f>IF(OR(A906&lt;&gt;"",B906&lt;&gt;"",C906&lt;&gt;""),IF($C906&lt;&gt;0,INDEX(生物种群!$A$3:INDEX(生物种群!$A:$A,COUNTA(生物种群!$A:$A)),MATCH($C906,生物种群!$F$3:INDEX(生物种群!$F:$F,COUNTA(生物种群!$F:$F)),),),IF($A906&lt;&gt;0,INDEX(生物种群!$A$3:INDEX(生物种群!$A:$A,COUNTA(生物种群!$A:$A)),MATCH($A906,生物种群!$C$3:INDEX(生物种群!$C:$C,COUNTA(生物种群!$C:$C)),),),INDEX(生物种群!$A$3:INDEX(生物种群!$A:$A,COUNTA(生物种群!$A:$A)),MATCH($B906,生物种群!$D$3:INDEX(生物种群!$D:$D,COUNTA(生物种群!$D:$D)),),))),"")</f>
        <v/>
      </c>
      <c r="I906" s="56" t="str">
        <f>IF(H906="","",INDEX(生物种群!$B$3:INDEX(生物种群!$B:$B,COUNTA(生物种群!$B:$B)),MATCH($H906,生物种群!$A$3:INDEX(生物种群!$A:$A,COUNTA(生物种群!$A:$A)),),))</f>
        <v/>
      </c>
      <c r="J906" s="55" t="str">
        <f>IF(H906="","",INDEX(生物种群!$I$3:INDEX(生物种群!$I:$I,COUNTA(生物种群!$I:$I)),MATCH($H906,生物种群!$A$3:INDEX(生物种群!$A:$A,COUNTA(生物种群!$A:$A)),),))</f>
        <v/>
      </c>
      <c r="K906" s="55" t="str">
        <f>IF(H906="","",INDEX(生物种群!$E$3:INDEX(生物种群!$E:$E,COUNTA(生物种群!$E:$E)),MATCH($H906,生物种群!$A$3:INDEX(生物种群!$A:$A,COUNTA(生物种群!$A:$A)),),))</f>
        <v/>
      </c>
      <c r="L906" s="46" t="str">
        <f t="shared" si="45"/>
        <v/>
      </c>
      <c r="M906" s="47" t="str">
        <f>IF(L906="","",ROUND((L906)/VLOOKUP($F906,IF({1,0},站位样品信息!$A$3:INDEX(站位样品信息!$A:$A,COUNTA(站位样品信息!$A:$A)+1),站位样品信息!$H$3:INDEX(站位样品信息!$H:$H,COUNTA(站位样品信息!$H:$H)+1)),2,0),2))</f>
        <v/>
      </c>
      <c r="O906" s="49"/>
      <c r="P906" s="53" t="str">
        <f t="shared" si="46"/>
        <v/>
      </c>
      <c r="Q906" s="53" t="str">
        <f t="shared" si="47"/>
        <v/>
      </c>
    </row>
    <row r="907" spans="1:17" ht="19.5" customHeight="1">
      <c r="A907" s="38"/>
      <c r="B907" s="38"/>
      <c r="C907" s="38"/>
      <c r="D907" s="37"/>
      <c r="E907" s="37"/>
      <c r="F907" s="37"/>
      <c r="G907" s="37" t="str">
        <f>IF(F907="","",INDEX(站位样品信息!$B$3:INDEX(站位样品信息!$B:$B,COUNTA(站位样品信息!$B:$B)+1),MATCH($F907,站位样品信息!$A$3:INDEX(站位样品信息!$A:$A,COUNTA(站位样品信息!$A:$A)+1),),))</f>
        <v/>
      </c>
      <c r="H907" s="55" t="str">
        <f>IF(OR(A907&lt;&gt;"",B907&lt;&gt;"",C907&lt;&gt;""),IF($C907&lt;&gt;0,INDEX(生物种群!$A$3:INDEX(生物种群!$A:$A,COUNTA(生物种群!$A:$A)),MATCH($C907,生物种群!$F$3:INDEX(生物种群!$F:$F,COUNTA(生物种群!$F:$F)),),),IF($A907&lt;&gt;0,INDEX(生物种群!$A$3:INDEX(生物种群!$A:$A,COUNTA(生物种群!$A:$A)),MATCH($A907,生物种群!$C$3:INDEX(生物种群!$C:$C,COUNTA(生物种群!$C:$C)),),),INDEX(生物种群!$A$3:INDEX(生物种群!$A:$A,COUNTA(生物种群!$A:$A)),MATCH($B907,生物种群!$D$3:INDEX(生物种群!$D:$D,COUNTA(生物种群!$D:$D)),),))),"")</f>
        <v/>
      </c>
      <c r="I907" s="56" t="str">
        <f>IF(H907="","",INDEX(生物种群!$B$3:INDEX(生物种群!$B:$B,COUNTA(生物种群!$B:$B)),MATCH($H907,生物种群!$A$3:INDEX(生物种群!$A:$A,COUNTA(生物种群!$A:$A)),),))</f>
        <v/>
      </c>
      <c r="J907" s="55" t="str">
        <f>IF(H907="","",INDEX(生物种群!$I$3:INDEX(生物种群!$I:$I,COUNTA(生物种群!$I:$I)),MATCH($H907,生物种群!$A$3:INDEX(生物种群!$A:$A,COUNTA(生物种群!$A:$A)),),))</f>
        <v/>
      </c>
      <c r="K907" s="55" t="str">
        <f>IF(H907="","",INDEX(生物种群!$E$3:INDEX(生物种群!$E:$E,COUNTA(生物种群!$E:$E)),MATCH($H907,生物种群!$A$3:INDEX(生物种群!$A:$A,COUNTA(生物种群!$A:$A)),),))</f>
        <v/>
      </c>
      <c r="L907" s="46" t="str">
        <f t="shared" si="45"/>
        <v/>
      </c>
      <c r="M907" s="47" t="str">
        <f>IF(L907="","",ROUND((L907)/VLOOKUP($F907,IF({1,0},站位样品信息!$A$3:INDEX(站位样品信息!$A:$A,COUNTA(站位样品信息!$A:$A)+1),站位样品信息!$H$3:INDEX(站位样品信息!$H:$H,COUNTA(站位样品信息!$H:$H)+1)),2,0),2))</f>
        <v/>
      </c>
      <c r="O907" s="49"/>
      <c r="P907" s="53" t="str">
        <f t="shared" si="46"/>
        <v/>
      </c>
      <c r="Q907" s="53" t="str">
        <f t="shared" si="47"/>
        <v/>
      </c>
    </row>
    <row r="908" spans="1:17" ht="19.5" customHeight="1">
      <c r="A908" s="38"/>
      <c r="B908" s="38"/>
      <c r="C908" s="38"/>
      <c r="D908" s="37"/>
      <c r="E908" s="37"/>
      <c r="F908" s="37"/>
      <c r="G908" s="37" t="str">
        <f>IF(F908="","",INDEX(站位样品信息!$B$3:INDEX(站位样品信息!$B:$B,COUNTA(站位样品信息!$B:$B)+1),MATCH($F908,站位样品信息!$A$3:INDEX(站位样品信息!$A:$A,COUNTA(站位样品信息!$A:$A)+1),),))</f>
        <v/>
      </c>
      <c r="H908" s="55" t="str">
        <f>IF(OR(A908&lt;&gt;"",B908&lt;&gt;"",C908&lt;&gt;""),IF($C908&lt;&gt;0,INDEX(生物种群!$A$3:INDEX(生物种群!$A:$A,COUNTA(生物种群!$A:$A)),MATCH($C908,生物种群!$F$3:INDEX(生物种群!$F:$F,COUNTA(生物种群!$F:$F)),),),IF($A908&lt;&gt;0,INDEX(生物种群!$A$3:INDEX(生物种群!$A:$A,COUNTA(生物种群!$A:$A)),MATCH($A908,生物种群!$C$3:INDEX(生物种群!$C:$C,COUNTA(生物种群!$C:$C)),),),INDEX(生物种群!$A$3:INDEX(生物种群!$A:$A,COUNTA(生物种群!$A:$A)),MATCH($B908,生物种群!$D$3:INDEX(生物种群!$D:$D,COUNTA(生物种群!$D:$D)),),))),"")</f>
        <v/>
      </c>
      <c r="I908" s="56" t="str">
        <f>IF(H908="","",INDEX(生物种群!$B$3:INDEX(生物种群!$B:$B,COUNTA(生物种群!$B:$B)),MATCH($H908,生物种群!$A$3:INDEX(生物种群!$A:$A,COUNTA(生物种群!$A:$A)),),))</f>
        <v/>
      </c>
      <c r="J908" s="55" t="str">
        <f>IF(H908="","",INDEX(生物种群!$I$3:INDEX(生物种群!$I:$I,COUNTA(生物种群!$I:$I)),MATCH($H908,生物种群!$A$3:INDEX(生物种群!$A:$A,COUNTA(生物种群!$A:$A)),),))</f>
        <v/>
      </c>
      <c r="K908" s="55" t="str">
        <f>IF(H908="","",INDEX(生物种群!$E$3:INDEX(生物种群!$E:$E,COUNTA(生物种群!$E:$E)),MATCH($H908,生物种群!$A$3:INDEX(生物种群!$A:$A,COUNTA(生物种群!$A:$A)),),))</f>
        <v/>
      </c>
      <c r="L908" s="46" t="str">
        <f t="shared" si="45"/>
        <v/>
      </c>
      <c r="M908" s="47" t="str">
        <f>IF(L908="","",ROUND((L908)/VLOOKUP($F908,IF({1,0},站位样品信息!$A$3:INDEX(站位样品信息!$A:$A,COUNTA(站位样品信息!$A:$A)+1),站位样品信息!$H$3:INDEX(站位样品信息!$H:$H,COUNTA(站位样品信息!$H:$H)+1)),2,0),2))</f>
        <v/>
      </c>
      <c r="O908" s="49"/>
      <c r="P908" s="53" t="str">
        <f t="shared" si="46"/>
        <v/>
      </c>
      <c r="Q908" s="53" t="str">
        <f t="shared" si="47"/>
        <v/>
      </c>
    </row>
    <row r="909" spans="1:17" ht="19.5" customHeight="1">
      <c r="A909" s="38"/>
      <c r="B909" s="38"/>
      <c r="C909" s="38"/>
      <c r="D909" s="37"/>
      <c r="E909" s="37"/>
      <c r="F909" s="37"/>
      <c r="G909" s="37" t="str">
        <f>IF(F909="","",INDEX(站位样品信息!$B$3:INDEX(站位样品信息!$B:$B,COUNTA(站位样品信息!$B:$B)+1),MATCH($F909,站位样品信息!$A$3:INDEX(站位样品信息!$A:$A,COUNTA(站位样品信息!$A:$A)+1),),))</f>
        <v/>
      </c>
      <c r="H909" s="55" t="str">
        <f>IF(OR(A909&lt;&gt;"",B909&lt;&gt;"",C909&lt;&gt;""),IF($C909&lt;&gt;0,INDEX(生物种群!$A$3:INDEX(生物种群!$A:$A,COUNTA(生物种群!$A:$A)),MATCH($C909,生物种群!$F$3:INDEX(生物种群!$F:$F,COUNTA(生物种群!$F:$F)),),),IF($A909&lt;&gt;0,INDEX(生物种群!$A$3:INDEX(生物种群!$A:$A,COUNTA(生物种群!$A:$A)),MATCH($A909,生物种群!$C$3:INDEX(生物种群!$C:$C,COUNTA(生物种群!$C:$C)),),),INDEX(生物种群!$A$3:INDEX(生物种群!$A:$A,COUNTA(生物种群!$A:$A)),MATCH($B909,生物种群!$D$3:INDEX(生物种群!$D:$D,COUNTA(生物种群!$D:$D)),),))),"")</f>
        <v/>
      </c>
      <c r="I909" s="56" t="str">
        <f>IF(H909="","",INDEX(生物种群!$B$3:INDEX(生物种群!$B:$B,COUNTA(生物种群!$B:$B)),MATCH($H909,生物种群!$A$3:INDEX(生物种群!$A:$A,COUNTA(生物种群!$A:$A)),),))</f>
        <v/>
      </c>
      <c r="J909" s="55" t="str">
        <f>IF(H909="","",INDEX(生物种群!$I$3:INDEX(生物种群!$I:$I,COUNTA(生物种群!$I:$I)),MATCH($H909,生物种群!$A$3:INDEX(生物种群!$A:$A,COUNTA(生物种群!$A:$A)),),))</f>
        <v/>
      </c>
      <c r="K909" s="55" t="str">
        <f>IF(H909="","",INDEX(生物种群!$E$3:INDEX(生物种群!$E:$E,COUNTA(生物种群!$E:$E)),MATCH($H909,生物种群!$A$3:INDEX(生物种群!$A:$A,COUNTA(生物种群!$A:$A)),),))</f>
        <v/>
      </c>
      <c r="L909" s="46" t="str">
        <f t="shared" si="48" ref="L909:L972">IFERROR(IF(OR(D909="",E909=""),"",D909/E909*100),"")</f>
        <v/>
      </c>
      <c r="M909" s="47" t="str">
        <f>IF(L909="","",ROUND((L909)/VLOOKUP($F909,IF({1,0},站位样品信息!$A$3:INDEX(站位样品信息!$A:$A,COUNTA(站位样品信息!$A:$A)+1),站位样品信息!$H$3:INDEX(站位样品信息!$H:$H,COUNTA(站位样品信息!$H:$H)+1)),2,0),2))</f>
        <v/>
      </c>
      <c r="O909" s="49"/>
      <c r="P909" s="53" t="str">
        <f t="shared" si="46"/>
        <v/>
      </c>
      <c r="Q909" s="53" t="str">
        <f t="shared" si="47"/>
        <v/>
      </c>
    </row>
    <row r="910" spans="1:17" ht="19.5" customHeight="1">
      <c r="A910" s="38"/>
      <c r="B910" s="38"/>
      <c r="C910" s="38"/>
      <c r="D910" s="37"/>
      <c r="E910" s="37"/>
      <c r="F910" s="37"/>
      <c r="G910" s="37" t="str">
        <f>IF(F910="","",INDEX(站位样品信息!$B$3:INDEX(站位样品信息!$B:$B,COUNTA(站位样品信息!$B:$B)+1),MATCH($F910,站位样品信息!$A$3:INDEX(站位样品信息!$A:$A,COUNTA(站位样品信息!$A:$A)+1),),))</f>
        <v/>
      </c>
      <c r="H910" s="55" t="str">
        <f>IF(OR(A910&lt;&gt;"",B910&lt;&gt;"",C910&lt;&gt;""),IF($C910&lt;&gt;0,INDEX(生物种群!$A$3:INDEX(生物种群!$A:$A,COUNTA(生物种群!$A:$A)),MATCH($C910,生物种群!$F$3:INDEX(生物种群!$F:$F,COUNTA(生物种群!$F:$F)),),),IF($A910&lt;&gt;0,INDEX(生物种群!$A$3:INDEX(生物种群!$A:$A,COUNTA(生物种群!$A:$A)),MATCH($A910,生物种群!$C$3:INDEX(生物种群!$C:$C,COUNTA(生物种群!$C:$C)),),),INDEX(生物种群!$A$3:INDEX(生物种群!$A:$A,COUNTA(生物种群!$A:$A)),MATCH($B910,生物种群!$D$3:INDEX(生物种群!$D:$D,COUNTA(生物种群!$D:$D)),),))),"")</f>
        <v/>
      </c>
      <c r="I910" s="56" t="str">
        <f>IF(H910="","",INDEX(生物种群!$B$3:INDEX(生物种群!$B:$B,COUNTA(生物种群!$B:$B)),MATCH($H910,生物种群!$A$3:INDEX(生物种群!$A:$A,COUNTA(生物种群!$A:$A)),),))</f>
        <v/>
      </c>
      <c r="J910" s="55" t="str">
        <f>IF(H910="","",INDEX(生物种群!$I$3:INDEX(生物种群!$I:$I,COUNTA(生物种群!$I:$I)),MATCH($H910,生物种群!$A$3:INDEX(生物种群!$A:$A,COUNTA(生物种群!$A:$A)),),))</f>
        <v/>
      </c>
      <c r="K910" s="55" t="str">
        <f>IF(H910="","",INDEX(生物种群!$E$3:INDEX(生物种群!$E:$E,COUNTA(生物种群!$E:$E)),MATCH($H910,生物种群!$A$3:INDEX(生物种群!$A:$A,COUNTA(生物种群!$A:$A)),),))</f>
        <v/>
      </c>
      <c r="L910" s="46" t="str">
        <f t="shared" si="48"/>
        <v/>
      </c>
      <c r="M910" s="47" t="str">
        <f>IF(L910="","",ROUND((L910)/VLOOKUP($F910,IF({1,0},站位样品信息!$A$3:INDEX(站位样品信息!$A:$A,COUNTA(站位样品信息!$A:$A)+1),站位样品信息!$H$3:INDEX(站位样品信息!$H:$H,COUNTA(站位样品信息!$H:$H)+1)),2,0),2))</f>
        <v/>
      </c>
      <c r="O910" s="49"/>
      <c r="P910" s="53" t="str">
        <f t="shared" si="46"/>
        <v/>
      </c>
      <c r="Q910" s="53" t="str">
        <f t="shared" si="47"/>
        <v/>
      </c>
    </row>
    <row r="911" spans="1:17" ht="19.5" customHeight="1">
      <c r="A911" s="38"/>
      <c r="B911" s="38"/>
      <c r="C911" s="38"/>
      <c r="D911" s="37"/>
      <c r="E911" s="37"/>
      <c r="F911" s="37"/>
      <c r="G911" s="37" t="str">
        <f>IF(F911="","",INDEX(站位样品信息!$B$3:INDEX(站位样品信息!$B:$B,COUNTA(站位样品信息!$B:$B)+1),MATCH($F911,站位样品信息!$A$3:INDEX(站位样品信息!$A:$A,COUNTA(站位样品信息!$A:$A)+1),),))</f>
        <v/>
      </c>
      <c r="H911" s="55" t="str">
        <f>IF(OR(A911&lt;&gt;"",B911&lt;&gt;"",C911&lt;&gt;""),IF($C911&lt;&gt;0,INDEX(生物种群!$A$3:INDEX(生物种群!$A:$A,COUNTA(生物种群!$A:$A)),MATCH($C911,生物种群!$F$3:INDEX(生物种群!$F:$F,COUNTA(生物种群!$F:$F)),),),IF($A911&lt;&gt;0,INDEX(生物种群!$A$3:INDEX(生物种群!$A:$A,COUNTA(生物种群!$A:$A)),MATCH($A911,生物种群!$C$3:INDEX(生物种群!$C:$C,COUNTA(生物种群!$C:$C)),),),INDEX(生物种群!$A$3:INDEX(生物种群!$A:$A,COUNTA(生物种群!$A:$A)),MATCH($B911,生物种群!$D$3:INDEX(生物种群!$D:$D,COUNTA(生物种群!$D:$D)),),))),"")</f>
        <v/>
      </c>
      <c r="I911" s="56" t="str">
        <f>IF(H911="","",INDEX(生物种群!$B$3:INDEX(生物种群!$B:$B,COUNTA(生物种群!$B:$B)),MATCH($H911,生物种群!$A$3:INDEX(生物种群!$A:$A,COUNTA(生物种群!$A:$A)),),))</f>
        <v/>
      </c>
      <c r="J911" s="55" t="str">
        <f>IF(H911="","",INDEX(生物种群!$I$3:INDEX(生物种群!$I:$I,COUNTA(生物种群!$I:$I)),MATCH($H911,生物种群!$A$3:INDEX(生物种群!$A:$A,COUNTA(生物种群!$A:$A)),),))</f>
        <v/>
      </c>
      <c r="K911" s="55" t="str">
        <f>IF(H911="","",INDEX(生物种群!$E$3:INDEX(生物种群!$E:$E,COUNTA(生物种群!$E:$E)),MATCH($H911,生物种群!$A$3:INDEX(生物种群!$A:$A,COUNTA(生物种群!$A:$A)),),))</f>
        <v/>
      </c>
      <c r="L911" s="46" t="str">
        <f t="shared" si="48"/>
        <v/>
      </c>
      <c r="M911" s="47" t="str">
        <f>IF(L911="","",ROUND((L911)/VLOOKUP($F911,IF({1,0},站位样品信息!$A$3:INDEX(站位样品信息!$A:$A,COUNTA(站位样品信息!$A:$A)+1),站位样品信息!$H$3:INDEX(站位样品信息!$H:$H,COUNTA(站位样品信息!$H:$H)+1)),2,0),2))</f>
        <v/>
      </c>
      <c r="O911" s="49"/>
      <c r="P911" s="53" t="str">
        <f t="shared" si="46"/>
        <v/>
      </c>
      <c r="Q911" s="53" t="str">
        <f t="shared" si="47"/>
        <v/>
      </c>
    </row>
    <row r="912" spans="1:17" ht="19.5" customHeight="1">
      <c r="A912" s="38"/>
      <c r="B912" s="38"/>
      <c r="C912" s="38"/>
      <c r="D912" s="37"/>
      <c r="E912" s="37"/>
      <c r="F912" s="37"/>
      <c r="G912" s="37" t="str">
        <f>IF(F912="","",INDEX(站位样品信息!$B$3:INDEX(站位样品信息!$B:$B,COUNTA(站位样品信息!$B:$B)+1),MATCH($F912,站位样品信息!$A$3:INDEX(站位样品信息!$A:$A,COUNTA(站位样品信息!$A:$A)+1),),))</f>
        <v/>
      </c>
      <c r="H912" s="55" t="str">
        <f>IF(OR(A912&lt;&gt;"",B912&lt;&gt;"",C912&lt;&gt;""),IF($C912&lt;&gt;0,INDEX(生物种群!$A$3:INDEX(生物种群!$A:$A,COUNTA(生物种群!$A:$A)),MATCH($C912,生物种群!$F$3:INDEX(生物种群!$F:$F,COUNTA(生物种群!$F:$F)),),),IF($A912&lt;&gt;0,INDEX(生物种群!$A$3:INDEX(生物种群!$A:$A,COUNTA(生物种群!$A:$A)),MATCH($A912,生物种群!$C$3:INDEX(生物种群!$C:$C,COUNTA(生物种群!$C:$C)),),),INDEX(生物种群!$A$3:INDEX(生物种群!$A:$A,COUNTA(生物种群!$A:$A)),MATCH($B912,生物种群!$D$3:INDEX(生物种群!$D:$D,COUNTA(生物种群!$D:$D)),),))),"")</f>
        <v/>
      </c>
      <c r="I912" s="56" t="str">
        <f>IF(H912="","",INDEX(生物种群!$B$3:INDEX(生物种群!$B:$B,COUNTA(生物种群!$B:$B)),MATCH($H912,生物种群!$A$3:INDEX(生物种群!$A:$A,COUNTA(生物种群!$A:$A)),),))</f>
        <v/>
      </c>
      <c r="J912" s="55" t="str">
        <f>IF(H912="","",INDEX(生物种群!$I$3:INDEX(生物种群!$I:$I,COUNTA(生物种群!$I:$I)),MATCH($H912,生物种群!$A$3:INDEX(生物种群!$A:$A,COUNTA(生物种群!$A:$A)),),))</f>
        <v/>
      </c>
      <c r="K912" s="55" t="str">
        <f>IF(H912="","",INDEX(生物种群!$E$3:INDEX(生物种群!$E:$E,COUNTA(生物种群!$E:$E)),MATCH($H912,生物种群!$A$3:INDEX(生物种群!$A:$A,COUNTA(生物种群!$A:$A)),),))</f>
        <v/>
      </c>
      <c r="L912" s="46" t="str">
        <f t="shared" si="48"/>
        <v/>
      </c>
      <c r="M912" s="47" t="str">
        <f>IF(L912="","",ROUND((L912)/VLOOKUP($F912,IF({1,0},站位样品信息!$A$3:INDEX(站位样品信息!$A:$A,COUNTA(站位样品信息!$A:$A)+1),站位样品信息!$H$3:INDEX(站位样品信息!$H:$H,COUNTA(站位样品信息!$H:$H)+1)),2,0),2))</f>
        <v/>
      </c>
      <c r="O912" s="49"/>
      <c r="P912" s="53" t="str">
        <f t="shared" si="46"/>
        <v/>
      </c>
      <c r="Q912" s="53" t="str">
        <f t="shared" si="47"/>
        <v/>
      </c>
    </row>
    <row r="913" spans="1:17" ht="19.5" customHeight="1">
      <c r="A913" s="38"/>
      <c r="B913" s="38"/>
      <c r="C913" s="38"/>
      <c r="D913" s="37"/>
      <c r="E913" s="37"/>
      <c r="F913" s="37"/>
      <c r="G913" s="37" t="str">
        <f>IF(F913="","",INDEX(站位样品信息!$B$3:INDEX(站位样品信息!$B:$B,COUNTA(站位样品信息!$B:$B)+1),MATCH($F913,站位样品信息!$A$3:INDEX(站位样品信息!$A:$A,COUNTA(站位样品信息!$A:$A)+1),),))</f>
        <v/>
      </c>
      <c r="H913" s="55" t="str">
        <f>IF(OR(A913&lt;&gt;"",B913&lt;&gt;"",C913&lt;&gt;""),IF($C913&lt;&gt;0,INDEX(生物种群!$A$3:INDEX(生物种群!$A:$A,COUNTA(生物种群!$A:$A)),MATCH($C913,生物种群!$F$3:INDEX(生物种群!$F:$F,COUNTA(生物种群!$F:$F)),),),IF($A913&lt;&gt;0,INDEX(生物种群!$A$3:INDEX(生物种群!$A:$A,COUNTA(生物种群!$A:$A)),MATCH($A913,生物种群!$C$3:INDEX(生物种群!$C:$C,COUNTA(生物种群!$C:$C)),),),INDEX(生物种群!$A$3:INDEX(生物种群!$A:$A,COUNTA(生物种群!$A:$A)),MATCH($B913,生物种群!$D$3:INDEX(生物种群!$D:$D,COUNTA(生物种群!$D:$D)),),))),"")</f>
        <v/>
      </c>
      <c r="I913" s="56" t="str">
        <f>IF(H913="","",INDEX(生物种群!$B$3:INDEX(生物种群!$B:$B,COUNTA(生物种群!$B:$B)),MATCH($H913,生物种群!$A$3:INDEX(生物种群!$A:$A,COUNTA(生物种群!$A:$A)),),))</f>
        <v/>
      </c>
      <c r="J913" s="55" t="str">
        <f>IF(H913="","",INDEX(生物种群!$I$3:INDEX(生物种群!$I:$I,COUNTA(生物种群!$I:$I)),MATCH($H913,生物种群!$A$3:INDEX(生物种群!$A:$A,COUNTA(生物种群!$A:$A)),),))</f>
        <v/>
      </c>
      <c r="K913" s="55" t="str">
        <f>IF(H913="","",INDEX(生物种群!$E$3:INDEX(生物种群!$E:$E,COUNTA(生物种群!$E:$E)),MATCH($H913,生物种群!$A$3:INDEX(生物种群!$A:$A,COUNTA(生物种群!$A:$A)),),))</f>
        <v/>
      </c>
      <c r="L913" s="46" t="str">
        <f t="shared" si="48"/>
        <v/>
      </c>
      <c r="M913" s="47" t="str">
        <f>IF(L913="","",ROUND((L913)/VLOOKUP($F913,IF({1,0},站位样品信息!$A$3:INDEX(站位样品信息!$A:$A,COUNTA(站位样品信息!$A:$A)+1),站位样品信息!$H$3:INDEX(站位样品信息!$H:$H,COUNTA(站位样品信息!$H:$H)+1)),2,0),2))</f>
        <v/>
      </c>
      <c r="O913" s="49"/>
      <c r="P913" s="53" t="str">
        <f t="shared" si="46"/>
        <v/>
      </c>
      <c r="Q913" s="53" t="str">
        <f t="shared" si="47"/>
        <v/>
      </c>
    </row>
    <row r="914" spans="1:17" ht="19.5" customHeight="1">
      <c r="A914" s="38"/>
      <c r="B914" s="38"/>
      <c r="C914" s="38"/>
      <c r="D914" s="37"/>
      <c r="E914" s="37"/>
      <c r="F914" s="37"/>
      <c r="G914" s="37" t="str">
        <f>IF(F914="","",INDEX(站位样品信息!$B$3:INDEX(站位样品信息!$B:$B,COUNTA(站位样品信息!$B:$B)+1),MATCH($F914,站位样品信息!$A$3:INDEX(站位样品信息!$A:$A,COUNTA(站位样品信息!$A:$A)+1),),))</f>
        <v/>
      </c>
      <c r="H914" s="55" t="str">
        <f>IF(OR(A914&lt;&gt;"",B914&lt;&gt;"",C914&lt;&gt;""),IF($C914&lt;&gt;0,INDEX(生物种群!$A$3:INDEX(生物种群!$A:$A,COUNTA(生物种群!$A:$A)),MATCH($C914,生物种群!$F$3:INDEX(生物种群!$F:$F,COUNTA(生物种群!$F:$F)),),),IF($A914&lt;&gt;0,INDEX(生物种群!$A$3:INDEX(生物种群!$A:$A,COUNTA(生物种群!$A:$A)),MATCH($A914,生物种群!$C$3:INDEX(生物种群!$C:$C,COUNTA(生物种群!$C:$C)),),),INDEX(生物种群!$A$3:INDEX(生物种群!$A:$A,COUNTA(生物种群!$A:$A)),MATCH($B914,生物种群!$D$3:INDEX(生物种群!$D:$D,COUNTA(生物种群!$D:$D)),),))),"")</f>
        <v/>
      </c>
      <c r="I914" s="56" t="str">
        <f>IF(H914="","",INDEX(生物种群!$B$3:INDEX(生物种群!$B:$B,COUNTA(生物种群!$B:$B)),MATCH($H914,生物种群!$A$3:INDEX(生物种群!$A:$A,COUNTA(生物种群!$A:$A)),),))</f>
        <v/>
      </c>
      <c r="J914" s="55" t="str">
        <f>IF(H914="","",INDEX(生物种群!$I$3:INDEX(生物种群!$I:$I,COUNTA(生物种群!$I:$I)),MATCH($H914,生物种群!$A$3:INDEX(生物种群!$A:$A,COUNTA(生物种群!$A:$A)),),))</f>
        <v/>
      </c>
      <c r="K914" s="55" t="str">
        <f>IF(H914="","",INDEX(生物种群!$E$3:INDEX(生物种群!$E:$E,COUNTA(生物种群!$E:$E)),MATCH($H914,生物种群!$A$3:INDEX(生物种群!$A:$A,COUNTA(生物种群!$A:$A)),),))</f>
        <v/>
      </c>
      <c r="L914" s="46" t="str">
        <f t="shared" si="48"/>
        <v/>
      </c>
      <c r="M914" s="47" t="str">
        <f>IF(L914="","",ROUND((L914)/VLOOKUP($F914,IF({1,0},站位样品信息!$A$3:INDEX(站位样品信息!$A:$A,COUNTA(站位样品信息!$A:$A)+1),站位样品信息!$H$3:INDEX(站位样品信息!$H:$H,COUNTA(站位样品信息!$H:$H)+1)),2,0),2))</f>
        <v/>
      </c>
      <c r="O914" s="49"/>
      <c r="P914" s="53" t="str">
        <f t="shared" si="46"/>
        <v/>
      </c>
      <c r="Q914" s="53" t="str">
        <f t="shared" si="47"/>
        <v/>
      </c>
    </row>
    <row r="915" spans="1:17" ht="19.5" customHeight="1">
      <c r="A915" s="38"/>
      <c r="B915" s="38"/>
      <c r="C915" s="38"/>
      <c r="D915" s="37"/>
      <c r="E915" s="37"/>
      <c r="F915" s="37"/>
      <c r="G915" s="37" t="str">
        <f>IF(F915="","",INDEX(站位样品信息!$B$3:INDEX(站位样品信息!$B:$B,COUNTA(站位样品信息!$B:$B)+1),MATCH($F915,站位样品信息!$A$3:INDEX(站位样品信息!$A:$A,COUNTA(站位样品信息!$A:$A)+1),),))</f>
        <v/>
      </c>
      <c r="H915" s="55" t="str">
        <f>IF(OR(A915&lt;&gt;"",B915&lt;&gt;"",C915&lt;&gt;""),IF($C915&lt;&gt;0,INDEX(生物种群!$A$3:INDEX(生物种群!$A:$A,COUNTA(生物种群!$A:$A)),MATCH($C915,生物种群!$F$3:INDEX(生物种群!$F:$F,COUNTA(生物种群!$F:$F)),),),IF($A915&lt;&gt;0,INDEX(生物种群!$A$3:INDEX(生物种群!$A:$A,COUNTA(生物种群!$A:$A)),MATCH($A915,生物种群!$C$3:INDEX(生物种群!$C:$C,COUNTA(生物种群!$C:$C)),),),INDEX(生物种群!$A$3:INDEX(生物种群!$A:$A,COUNTA(生物种群!$A:$A)),MATCH($B915,生物种群!$D$3:INDEX(生物种群!$D:$D,COUNTA(生物种群!$D:$D)),),))),"")</f>
        <v/>
      </c>
      <c r="I915" s="56" t="str">
        <f>IF(H915="","",INDEX(生物种群!$B$3:INDEX(生物种群!$B:$B,COUNTA(生物种群!$B:$B)),MATCH($H915,生物种群!$A$3:INDEX(生物种群!$A:$A,COUNTA(生物种群!$A:$A)),),))</f>
        <v/>
      </c>
      <c r="J915" s="55" t="str">
        <f>IF(H915="","",INDEX(生物种群!$I$3:INDEX(生物种群!$I:$I,COUNTA(生物种群!$I:$I)),MATCH($H915,生物种群!$A$3:INDEX(生物种群!$A:$A,COUNTA(生物种群!$A:$A)),),))</f>
        <v/>
      </c>
      <c r="K915" s="55" t="str">
        <f>IF(H915="","",INDEX(生物种群!$E$3:INDEX(生物种群!$E:$E,COUNTA(生物种群!$E:$E)),MATCH($H915,生物种群!$A$3:INDEX(生物种群!$A:$A,COUNTA(生物种群!$A:$A)),),))</f>
        <v/>
      </c>
      <c r="L915" s="46" t="str">
        <f t="shared" si="48"/>
        <v/>
      </c>
      <c r="M915" s="47" t="str">
        <f>IF(L915="","",ROUND((L915)/VLOOKUP($F915,IF({1,0},站位样品信息!$A$3:INDEX(站位样品信息!$A:$A,COUNTA(站位样品信息!$A:$A)+1),站位样品信息!$H$3:INDEX(站位样品信息!$H:$H,COUNTA(站位样品信息!$H:$H)+1)),2,0),2))</f>
        <v/>
      </c>
      <c r="O915" s="49"/>
      <c r="P915" s="53" t="str">
        <f t="shared" si="46"/>
        <v/>
      </c>
      <c r="Q915" s="53" t="str">
        <f t="shared" si="47"/>
        <v/>
      </c>
    </row>
    <row r="916" spans="1:17" ht="19.5" customHeight="1">
      <c r="A916" s="38"/>
      <c r="B916" s="38"/>
      <c r="C916" s="38"/>
      <c r="D916" s="37"/>
      <c r="E916" s="37"/>
      <c r="F916" s="37"/>
      <c r="G916" s="37" t="str">
        <f>IF(F916="","",INDEX(站位样品信息!$B$3:INDEX(站位样品信息!$B:$B,COUNTA(站位样品信息!$B:$B)+1),MATCH($F916,站位样品信息!$A$3:INDEX(站位样品信息!$A:$A,COUNTA(站位样品信息!$A:$A)+1),),))</f>
        <v/>
      </c>
      <c r="H916" s="55" t="str">
        <f>IF(OR(A916&lt;&gt;"",B916&lt;&gt;"",C916&lt;&gt;""),IF($C916&lt;&gt;0,INDEX(生物种群!$A$3:INDEX(生物种群!$A:$A,COUNTA(生物种群!$A:$A)),MATCH($C916,生物种群!$F$3:INDEX(生物种群!$F:$F,COUNTA(生物种群!$F:$F)),),),IF($A916&lt;&gt;0,INDEX(生物种群!$A$3:INDEX(生物种群!$A:$A,COUNTA(生物种群!$A:$A)),MATCH($A916,生物种群!$C$3:INDEX(生物种群!$C:$C,COUNTA(生物种群!$C:$C)),),),INDEX(生物种群!$A$3:INDEX(生物种群!$A:$A,COUNTA(生物种群!$A:$A)),MATCH($B916,生物种群!$D$3:INDEX(生物种群!$D:$D,COUNTA(生物种群!$D:$D)),),))),"")</f>
        <v/>
      </c>
      <c r="I916" s="56" t="str">
        <f>IF(H916="","",INDEX(生物种群!$B$3:INDEX(生物种群!$B:$B,COUNTA(生物种群!$B:$B)),MATCH($H916,生物种群!$A$3:INDEX(生物种群!$A:$A,COUNTA(生物种群!$A:$A)),),))</f>
        <v/>
      </c>
      <c r="J916" s="55" t="str">
        <f>IF(H916="","",INDEX(生物种群!$I$3:INDEX(生物种群!$I:$I,COUNTA(生物种群!$I:$I)),MATCH($H916,生物种群!$A$3:INDEX(生物种群!$A:$A,COUNTA(生物种群!$A:$A)),),))</f>
        <v/>
      </c>
      <c r="K916" s="55" t="str">
        <f>IF(H916="","",INDEX(生物种群!$E$3:INDEX(生物种群!$E:$E,COUNTA(生物种群!$E:$E)),MATCH($H916,生物种群!$A$3:INDEX(生物种群!$A:$A,COUNTA(生物种群!$A:$A)),),))</f>
        <v/>
      </c>
      <c r="L916" s="46" t="str">
        <f t="shared" si="48"/>
        <v/>
      </c>
      <c r="M916" s="47" t="str">
        <f>IF(L916="","",ROUND((L916)/VLOOKUP($F916,IF({1,0},站位样品信息!$A$3:INDEX(站位样品信息!$A:$A,COUNTA(站位样品信息!$A:$A)+1),站位样品信息!$H$3:INDEX(站位样品信息!$H:$H,COUNTA(站位样品信息!$H:$H)+1)),2,0),2))</f>
        <v/>
      </c>
      <c r="O916" s="49"/>
      <c r="P916" s="53" t="str">
        <f t="shared" si="46"/>
        <v/>
      </c>
      <c r="Q916" s="53" t="str">
        <f t="shared" si="47"/>
        <v/>
      </c>
    </row>
    <row r="917" spans="1:17" ht="19.5" customHeight="1">
      <c r="A917" s="38"/>
      <c r="B917" s="38"/>
      <c r="C917" s="38"/>
      <c r="D917" s="37"/>
      <c r="E917" s="37"/>
      <c r="F917" s="37"/>
      <c r="G917" s="37" t="str">
        <f>IF(F917="","",INDEX(站位样品信息!$B$3:INDEX(站位样品信息!$B:$B,COUNTA(站位样品信息!$B:$B)+1),MATCH($F917,站位样品信息!$A$3:INDEX(站位样品信息!$A:$A,COUNTA(站位样品信息!$A:$A)+1),),))</f>
        <v/>
      </c>
      <c r="H917" s="55" t="str">
        <f>IF(OR(A917&lt;&gt;"",B917&lt;&gt;"",C917&lt;&gt;""),IF($C917&lt;&gt;0,INDEX(生物种群!$A$3:INDEX(生物种群!$A:$A,COUNTA(生物种群!$A:$A)),MATCH($C917,生物种群!$F$3:INDEX(生物种群!$F:$F,COUNTA(生物种群!$F:$F)),),),IF($A917&lt;&gt;0,INDEX(生物种群!$A$3:INDEX(生物种群!$A:$A,COUNTA(生物种群!$A:$A)),MATCH($A917,生物种群!$C$3:INDEX(生物种群!$C:$C,COUNTA(生物种群!$C:$C)),),),INDEX(生物种群!$A$3:INDEX(生物种群!$A:$A,COUNTA(生物种群!$A:$A)),MATCH($B917,生物种群!$D$3:INDEX(生物种群!$D:$D,COUNTA(生物种群!$D:$D)),),))),"")</f>
        <v/>
      </c>
      <c r="I917" s="56" t="str">
        <f>IF(H917="","",INDEX(生物种群!$B$3:INDEX(生物种群!$B:$B,COUNTA(生物种群!$B:$B)),MATCH($H917,生物种群!$A$3:INDEX(生物种群!$A:$A,COUNTA(生物种群!$A:$A)),),))</f>
        <v/>
      </c>
      <c r="J917" s="55" t="str">
        <f>IF(H917="","",INDEX(生物种群!$I$3:INDEX(生物种群!$I:$I,COUNTA(生物种群!$I:$I)),MATCH($H917,生物种群!$A$3:INDEX(生物种群!$A:$A,COUNTA(生物种群!$A:$A)),),))</f>
        <v/>
      </c>
      <c r="K917" s="55" t="str">
        <f>IF(H917="","",INDEX(生物种群!$E$3:INDEX(生物种群!$E:$E,COUNTA(生物种群!$E:$E)),MATCH($H917,生物种群!$A$3:INDEX(生物种群!$A:$A,COUNTA(生物种群!$A:$A)),),))</f>
        <v/>
      </c>
      <c r="L917" s="46" t="str">
        <f t="shared" si="48"/>
        <v/>
      </c>
      <c r="M917" s="47" t="str">
        <f>IF(L917="","",ROUND((L917)/VLOOKUP($F917,IF({1,0},站位样品信息!$A$3:INDEX(站位样品信息!$A:$A,COUNTA(站位样品信息!$A:$A)+1),站位样品信息!$H$3:INDEX(站位样品信息!$H:$H,COUNTA(站位样品信息!$H:$H)+1)),2,0),2))</f>
        <v/>
      </c>
      <c r="O917" s="49"/>
      <c r="P917" s="53" t="str">
        <f t="shared" si="46"/>
        <v/>
      </c>
      <c r="Q917" s="53" t="str">
        <f t="shared" si="47"/>
        <v/>
      </c>
    </row>
    <row r="918" spans="1:17" ht="19.5" customHeight="1">
      <c r="A918" s="38"/>
      <c r="B918" s="38"/>
      <c r="C918" s="38"/>
      <c r="D918" s="37"/>
      <c r="E918" s="37"/>
      <c r="F918" s="37"/>
      <c r="G918" s="37" t="str">
        <f>IF(F918="","",INDEX(站位样品信息!$B$3:INDEX(站位样品信息!$B:$B,COUNTA(站位样品信息!$B:$B)+1),MATCH($F918,站位样品信息!$A$3:INDEX(站位样品信息!$A:$A,COUNTA(站位样品信息!$A:$A)+1),),))</f>
        <v/>
      </c>
      <c r="H918" s="55" t="str">
        <f>IF(OR(A918&lt;&gt;"",B918&lt;&gt;"",C918&lt;&gt;""),IF($C918&lt;&gt;0,INDEX(生物种群!$A$3:INDEX(生物种群!$A:$A,COUNTA(生物种群!$A:$A)),MATCH($C918,生物种群!$F$3:INDEX(生物种群!$F:$F,COUNTA(生物种群!$F:$F)),),),IF($A918&lt;&gt;0,INDEX(生物种群!$A$3:INDEX(生物种群!$A:$A,COUNTA(生物种群!$A:$A)),MATCH($A918,生物种群!$C$3:INDEX(生物种群!$C:$C,COUNTA(生物种群!$C:$C)),),),INDEX(生物种群!$A$3:INDEX(生物种群!$A:$A,COUNTA(生物种群!$A:$A)),MATCH($B918,生物种群!$D$3:INDEX(生物种群!$D:$D,COUNTA(生物种群!$D:$D)),),))),"")</f>
        <v/>
      </c>
      <c r="I918" s="56" t="str">
        <f>IF(H918="","",INDEX(生物种群!$B$3:INDEX(生物种群!$B:$B,COUNTA(生物种群!$B:$B)),MATCH($H918,生物种群!$A$3:INDEX(生物种群!$A:$A,COUNTA(生物种群!$A:$A)),),))</f>
        <v/>
      </c>
      <c r="J918" s="55" t="str">
        <f>IF(H918="","",INDEX(生物种群!$I$3:INDEX(生物种群!$I:$I,COUNTA(生物种群!$I:$I)),MATCH($H918,生物种群!$A$3:INDEX(生物种群!$A:$A,COUNTA(生物种群!$A:$A)),),))</f>
        <v/>
      </c>
      <c r="K918" s="55" t="str">
        <f>IF(H918="","",INDEX(生物种群!$E$3:INDEX(生物种群!$E:$E,COUNTA(生物种群!$E:$E)),MATCH($H918,生物种群!$A$3:INDEX(生物种群!$A:$A,COUNTA(生物种群!$A:$A)),),))</f>
        <v/>
      </c>
      <c r="L918" s="46" t="str">
        <f t="shared" si="48"/>
        <v/>
      </c>
      <c r="M918" s="47" t="str">
        <f>IF(L918="","",ROUND((L918)/VLOOKUP($F918,IF({1,0},站位样品信息!$A$3:INDEX(站位样品信息!$A:$A,COUNTA(站位样品信息!$A:$A)+1),站位样品信息!$H$3:INDEX(站位样品信息!$H:$H,COUNTA(站位样品信息!$H:$H)+1)),2,0),2))</f>
        <v/>
      </c>
      <c r="O918" s="49"/>
      <c r="P918" s="53" t="str">
        <f t="shared" si="46"/>
        <v/>
      </c>
      <c r="Q918" s="53" t="str">
        <f t="shared" si="47"/>
        <v/>
      </c>
    </row>
    <row r="919" spans="1:17" ht="19.5" customHeight="1">
      <c r="A919" s="38"/>
      <c r="B919" s="38"/>
      <c r="C919" s="38"/>
      <c r="D919" s="37"/>
      <c r="E919" s="37"/>
      <c r="F919" s="37"/>
      <c r="G919" s="37" t="str">
        <f>IF(F919="","",INDEX(站位样品信息!$B$3:INDEX(站位样品信息!$B:$B,COUNTA(站位样品信息!$B:$B)+1),MATCH($F919,站位样品信息!$A$3:INDEX(站位样品信息!$A:$A,COUNTA(站位样品信息!$A:$A)+1),),))</f>
        <v/>
      </c>
      <c r="H919" s="55" t="str">
        <f>IF(OR(A919&lt;&gt;"",B919&lt;&gt;"",C919&lt;&gt;""),IF($C919&lt;&gt;0,INDEX(生物种群!$A$3:INDEX(生物种群!$A:$A,COUNTA(生物种群!$A:$A)),MATCH($C919,生物种群!$F$3:INDEX(生物种群!$F:$F,COUNTA(生物种群!$F:$F)),),),IF($A919&lt;&gt;0,INDEX(生物种群!$A$3:INDEX(生物种群!$A:$A,COUNTA(生物种群!$A:$A)),MATCH($A919,生物种群!$C$3:INDEX(生物种群!$C:$C,COUNTA(生物种群!$C:$C)),),),INDEX(生物种群!$A$3:INDEX(生物种群!$A:$A,COUNTA(生物种群!$A:$A)),MATCH($B919,生物种群!$D$3:INDEX(生物种群!$D:$D,COUNTA(生物种群!$D:$D)),),))),"")</f>
        <v/>
      </c>
      <c r="I919" s="56" t="str">
        <f>IF(H919="","",INDEX(生物种群!$B$3:INDEX(生物种群!$B:$B,COUNTA(生物种群!$B:$B)),MATCH($H919,生物种群!$A$3:INDEX(生物种群!$A:$A,COUNTA(生物种群!$A:$A)),),))</f>
        <v/>
      </c>
      <c r="J919" s="55" t="str">
        <f>IF(H919="","",INDEX(生物种群!$I$3:INDEX(生物种群!$I:$I,COUNTA(生物种群!$I:$I)),MATCH($H919,生物种群!$A$3:INDEX(生物种群!$A:$A,COUNTA(生物种群!$A:$A)),),))</f>
        <v/>
      </c>
      <c r="K919" s="55" t="str">
        <f>IF(H919="","",INDEX(生物种群!$E$3:INDEX(生物种群!$E:$E,COUNTA(生物种群!$E:$E)),MATCH($H919,生物种群!$A$3:INDEX(生物种群!$A:$A,COUNTA(生物种群!$A:$A)),),))</f>
        <v/>
      </c>
      <c r="L919" s="46" t="str">
        <f t="shared" si="48"/>
        <v/>
      </c>
      <c r="M919" s="47" t="str">
        <f>IF(L919="","",ROUND((L919)/VLOOKUP($F919,IF({1,0},站位样品信息!$A$3:INDEX(站位样品信息!$A:$A,COUNTA(站位样品信息!$A:$A)+1),站位样品信息!$H$3:INDEX(站位样品信息!$H:$H,COUNTA(站位样品信息!$H:$H)+1)),2,0),2))</f>
        <v/>
      </c>
      <c r="O919" s="49"/>
      <c r="P919" s="53" t="str">
        <f t="shared" si="46"/>
        <v/>
      </c>
      <c r="Q919" s="53" t="str">
        <f t="shared" si="47"/>
        <v/>
      </c>
    </row>
    <row r="920" spans="1:17" ht="19.5" customHeight="1">
      <c r="A920" s="38"/>
      <c r="B920" s="38"/>
      <c r="C920" s="38"/>
      <c r="D920" s="37"/>
      <c r="E920" s="37"/>
      <c r="F920" s="37"/>
      <c r="G920" s="37" t="str">
        <f>IF(F920="","",INDEX(站位样品信息!$B$3:INDEX(站位样品信息!$B:$B,COUNTA(站位样品信息!$B:$B)+1),MATCH($F920,站位样品信息!$A$3:INDEX(站位样品信息!$A:$A,COUNTA(站位样品信息!$A:$A)+1),),))</f>
        <v/>
      </c>
      <c r="H920" s="55" t="str">
        <f>IF(OR(A920&lt;&gt;"",B920&lt;&gt;"",C920&lt;&gt;""),IF($C920&lt;&gt;0,INDEX(生物种群!$A$3:INDEX(生物种群!$A:$A,COUNTA(生物种群!$A:$A)),MATCH($C920,生物种群!$F$3:INDEX(生物种群!$F:$F,COUNTA(生物种群!$F:$F)),),),IF($A920&lt;&gt;0,INDEX(生物种群!$A$3:INDEX(生物种群!$A:$A,COUNTA(生物种群!$A:$A)),MATCH($A920,生物种群!$C$3:INDEX(生物种群!$C:$C,COUNTA(生物种群!$C:$C)),),),INDEX(生物种群!$A$3:INDEX(生物种群!$A:$A,COUNTA(生物种群!$A:$A)),MATCH($B920,生物种群!$D$3:INDEX(生物种群!$D:$D,COUNTA(生物种群!$D:$D)),),))),"")</f>
        <v/>
      </c>
      <c r="I920" s="56" t="str">
        <f>IF(H920="","",INDEX(生物种群!$B$3:INDEX(生物种群!$B:$B,COUNTA(生物种群!$B:$B)),MATCH($H920,生物种群!$A$3:INDEX(生物种群!$A:$A,COUNTA(生物种群!$A:$A)),),))</f>
        <v/>
      </c>
      <c r="J920" s="55" t="str">
        <f>IF(H920="","",INDEX(生物种群!$I$3:INDEX(生物种群!$I:$I,COUNTA(生物种群!$I:$I)),MATCH($H920,生物种群!$A$3:INDEX(生物种群!$A:$A,COUNTA(生物种群!$A:$A)),),))</f>
        <v/>
      </c>
      <c r="K920" s="55" t="str">
        <f>IF(H920="","",INDEX(生物种群!$E$3:INDEX(生物种群!$E:$E,COUNTA(生物种群!$E:$E)),MATCH($H920,生物种群!$A$3:INDEX(生物种群!$A:$A,COUNTA(生物种群!$A:$A)),),))</f>
        <v/>
      </c>
      <c r="L920" s="46" t="str">
        <f t="shared" si="48"/>
        <v/>
      </c>
      <c r="M920" s="47" t="str">
        <f>IF(L920="","",ROUND((L920)/VLOOKUP($F920,IF({1,0},站位样品信息!$A$3:INDEX(站位样品信息!$A:$A,COUNTA(站位样品信息!$A:$A)+1),站位样品信息!$H$3:INDEX(站位样品信息!$H:$H,COUNTA(站位样品信息!$H:$H)+1)),2,0),2))</f>
        <v/>
      </c>
      <c r="O920" s="49"/>
      <c r="P920" s="53" t="str">
        <f t="shared" si="46"/>
        <v/>
      </c>
      <c r="Q920" s="53" t="str">
        <f t="shared" si="47"/>
        <v/>
      </c>
    </row>
    <row r="921" spans="1:17" ht="19.5" customHeight="1">
      <c r="A921" s="38"/>
      <c r="B921" s="38"/>
      <c r="C921" s="38"/>
      <c r="D921" s="37"/>
      <c r="E921" s="37"/>
      <c r="F921" s="37"/>
      <c r="G921" s="37" t="str">
        <f>IF(F921="","",INDEX(站位样品信息!$B$3:INDEX(站位样品信息!$B:$B,COUNTA(站位样品信息!$B:$B)+1),MATCH($F921,站位样品信息!$A$3:INDEX(站位样品信息!$A:$A,COUNTA(站位样品信息!$A:$A)+1),),))</f>
        <v/>
      </c>
      <c r="H921" s="55" t="str">
        <f>IF(OR(A921&lt;&gt;"",B921&lt;&gt;"",C921&lt;&gt;""),IF($C921&lt;&gt;0,INDEX(生物种群!$A$3:INDEX(生物种群!$A:$A,COUNTA(生物种群!$A:$A)),MATCH($C921,生物种群!$F$3:INDEX(生物种群!$F:$F,COUNTA(生物种群!$F:$F)),),),IF($A921&lt;&gt;0,INDEX(生物种群!$A$3:INDEX(生物种群!$A:$A,COUNTA(生物种群!$A:$A)),MATCH($A921,生物种群!$C$3:INDEX(生物种群!$C:$C,COUNTA(生物种群!$C:$C)),),),INDEX(生物种群!$A$3:INDEX(生物种群!$A:$A,COUNTA(生物种群!$A:$A)),MATCH($B921,生物种群!$D$3:INDEX(生物种群!$D:$D,COUNTA(生物种群!$D:$D)),),))),"")</f>
        <v/>
      </c>
      <c r="I921" s="56" t="str">
        <f>IF(H921="","",INDEX(生物种群!$B$3:INDEX(生物种群!$B:$B,COUNTA(生物种群!$B:$B)),MATCH($H921,生物种群!$A$3:INDEX(生物种群!$A:$A,COUNTA(生物种群!$A:$A)),),))</f>
        <v/>
      </c>
      <c r="J921" s="55" t="str">
        <f>IF(H921="","",INDEX(生物种群!$I$3:INDEX(生物种群!$I:$I,COUNTA(生物种群!$I:$I)),MATCH($H921,生物种群!$A$3:INDEX(生物种群!$A:$A,COUNTA(生物种群!$A:$A)),),))</f>
        <v/>
      </c>
      <c r="K921" s="55" t="str">
        <f>IF(H921="","",INDEX(生物种群!$E$3:INDEX(生物种群!$E:$E,COUNTA(生物种群!$E:$E)),MATCH($H921,生物种群!$A$3:INDEX(生物种群!$A:$A,COUNTA(生物种群!$A:$A)),),))</f>
        <v/>
      </c>
      <c r="L921" s="46" t="str">
        <f t="shared" si="48"/>
        <v/>
      </c>
      <c r="M921" s="47" t="str">
        <f>IF(L921="","",ROUND((L921)/VLOOKUP($F921,IF({1,0},站位样品信息!$A$3:INDEX(站位样品信息!$A:$A,COUNTA(站位样品信息!$A:$A)+1),站位样品信息!$H$3:INDEX(站位样品信息!$H:$H,COUNTA(站位样品信息!$H:$H)+1)),2,0),2))</f>
        <v/>
      </c>
      <c r="O921" s="49"/>
      <c r="P921" s="53" t="str">
        <f t="shared" si="46"/>
        <v/>
      </c>
      <c r="Q921" s="53" t="str">
        <f t="shared" si="47"/>
        <v/>
      </c>
    </row>
    <row r="922" spans="1:17" ht="19.5" customHeight="1">
      <c r="A922" s="38"/>
      <c r="B922" s="38"/>
      <c r="C922" s="38"/>
      <c r="D922" s="37"/>
      <c r="E922" s="37"/>
      <c r="F922" s="37"/>
      <c r="G922" s="37" t="str">
        <f>IF(F922="","",INDEX(站位样品信息!$B$3:INDEX(站位样品信息!$B:$B,COUNTA(站位样品信息!$B:$B)+1),MATCH($F922,站位样品信息!$A$3:INDEX(站位样品信息!$A:$A,COUNTA(站位样品信息!$A:$A)+1),),))</f>
        <v/>
      </c>
      <c r="H922" s="55" t="str">
        <f>IF(OR(A922&lt;&gt;"",B922&lt;&gt;"",C922&lt;&gt;""),IF($C922&lt;&gt;0,INDEX(生物种群!$A$3:INDEX(生物种群!$A:$A,COUNTA(生物种群!$A:$A)),MATCH($C922,生物种群!$F$3:INDEX(生物种群!$F:$F,COUNTA(生物种群!$F:$F)),),),IF($A922&lt;&gt;0,INDEX(生物种群!$A$3:INDEX(生物种群!$A:$A,COUNTA(生物种群!$A:$A)),MATCH($A922,生物种群!$C$3:INDEX(生物种群!$C:$C,COUNTA(生物种群!$C:$C)),),),INDEX(生物种群!$A$3:INDEX(生物种群!$A:$A,COUNTA(生物种群!$A:$A)),MATCH($B922,生物种群!$D$3:INDEX(生物种群!$D:$D,COUNTA(生物种群!$D:$D)),),))),"")</f>
        <v/>
      </c>
      <c r="I922" s="56" t="str">
        <f>IF(H922="","",INDEX(生物种群!$B$3:INDEX(生物种群!$B:$B,COUNTA(生物种群!$B:$B)),MATCH($H922,生物种群!$A$3:INDEX(生物种群!$A:$A,COUNTA(生物种群!$A:$A)),),))</f>
        <v/>
      </c>
      <c r="J922" s="55" t="str">
        <f>IF(H922="","",INDEX(生物种群!$I$3:INDEX(生物种群!$I:$I,COUNTA(生物种群!$I:$I)),MATCH($H922,生物种群!$A$3:INDEX(生物种群!$A:$A,COUNTA(生物种群!$A:$A)),),))</f>
        <v/>
      </c>
      <c r="K922" s="55" t="str">
        <f>IF(H922="","",INDEX(生物种群!$E$3:INDEX(生物种群!$E:$E,COUNTA(生物种群!$E:$E)),MATCH($H922,生物种群!$A$3:INDEX(生物种群!$A:$A,COUNTA(生物种群!$A:$A)),),))</f>
        <v/>
      </c>
      <c r="L922" s="46" t="str">
        <f t="shared" si="48"/>
        <v/>
      </c>
      <c r="M922" s="47" t="str">
        <f>IF(L922="","",ROUND((L922)/VLOOKUP($F922,IF({1,0},站位样品信息!$A$3:INDEX(站位样品信息!$A:$A,COUNTA(站位样品信息!$A:$A)+1),站位样品信息!$H$3:INDEX(站位样品信息!$H:$H,COUNTA(站位样品信息!$H:$H)+1)),2,0),2))</f>
        <v/>
      </c>
      <c r="O922" s="49"/>
      <c r="P922" s="53" t="str">
        <f t="shared" si="46"/>
        <v/>
      </c>
      <c r="Q922" s="53" t="str">
        <f t="shared" si="47"/>
        <v/>
      </c>
    </row>
    <row r="923" spans="1:17" ht="19.5" customHeight="1">
      <c r="A923" s="38"/>
      <c r="B923" s="38"/>
      <c r="C923" s="38"/>
      <c r="D923" s="37"/>
      <c r="E923" s="37"/>
      <c r="F923" s="37"/>
      <c r="G923" s="37" t="str">
        <f>IF(F923="","",INDEX(站位样品信息!$B$3:INDEX(站位样品信息!$B:$B,COUNTA(站位样品信息!$B:$B)+1),MATCH($F923,站位样品信息!$A$3:INDEX(站位样品信息!$A:$A,COUNTA(站位样品信息!$A:$A)+1),),))</f>
        <v/>
      </c>
      <c r="H923" s="55" t="str">
        <f>IF(OR(A923&lt;&gt;"",B923&lt;&gt;"",C923&lt;&gt;""),IF($C923&lt;&gt;0,INDEX(生物种群!$A$3:INDEX(生物种群!$A:$A,COUNTA(生物种群!$A:$A)),MATCH($C923,生物种群!$F$3:INDEX(生物种群!$F:$F,COUNTA(生物种群!$F:$F)),),),IF($A923&lt;&gt;0,INDEX(生物种群!$A$3:INDEX(生物种群!$A:$A,COUNTA(生物种群!$A:$A)),MATCH($A923,生物种群!$C$3:INDEX(生物种群!$C:$C,COUNTA(生物种群!$C:$C)),),),INDEX(生物种群!$A$3:INDEX(生物种群!$A:$A,COUNTA(生物种群!$A:$A)),MATCH($B923,生物种群!$D$3:INDEX(生物种群!$D:$D,COUNTA(生物种群!$D:$D)),),))),"")</f>
        <v/>
      </c>
      <c r="I923" s="56" t="str">
        <f>IF(H923="","",INDEX(生物种群!$B$3:INDEX(生物种群!$B:$B,COUNTA(生物种群!$B:$B)),MATCH($H923,生物种群!$A$3:INDEX(生物种群!$A:$A,COUNTA(生物种群!$A:$A)),),))</f>
        <v/>
      </c>
      <c r="J923" s="55" t="str">
        <f>IF(H923="","",INDEX(生物种群!$I$3:INDEX(生物种群!$I:$I,COUNTA(生物种群!$I:$I)),MATCH($H923,生物种群!$A$3:INDEX(生物种群!$A:$A,COUNTA(生物种群!$A:$A)),),))</f>
        <v/>
      </c>
      <c r="K923" s="55" t="str">
        <f>IF(H923="","",INDEX(生物种群!$E$3:INDEX(生物种群!$E:$E,COUNTA(生物种群!$E:$E)),MATCH($H923,生物种群!$A$3:INDEX(生物种群!$A:$A,COUNTA(生物种群!$A:$A)),),))</f>
        <v/>
      </c>
      <c r="L923" s="46" t="str">
        <f t="shared" si="48"/>
        <v/>
      </c>
      <c r="M923" s="47" t="str">
        <f>IF(L923="","",ROUND((L923)/VLOOKUP($F923,IF({1,0},站位样品信息!$A$3:INDEX(站位样品信息!$A:$A,COUNTA(站位样品信息!$A:$A)+1),站位样品信息!$H$3:INDEX(站位样品信息!$H:$H,COUNTA(站位样品信息!$H:$H)+1)),2,0),2))</f>
        <v/>
      </c>
      <c r="O923" s="49"/>
      <c r="P923" s="53" t="str">
        <f t="shared" si="46"/>
        <v/>
      </c>
      <c r="Q923" s="53" t="str">
        <f t="shared" si="47"/>
        <v/>
      </c>
    </row>
    <row r="924" spans="1:17" ht="19.5" customHeight="1">
      <c r="A924" s="38"/>
      <c r="B924" s="38"/>
      <c r="C924" s="38"/>
      <c r="D924" s="37"/>
      <c r="E924" s="37"/>
      <c r="F924" s="37"/>
      <c r="G924" s="37" t="str">
        <f>IF(F924="","",INDEX(站位样品信息!$B$3:INDEX(站位样品信息!$B:$B,COUNTA(站位样品信息!$B:$B)+1),MATCH($F924,站位样品信息!$A$3:INDEX(站位样品信息!$A:$A,COUNTA(站位样品信息!$A:$A)+1),),))</f>
        <v/>
      </c>
      <c r="H924" s="55" t="str">
        <f>IF(OR(A924&lt;&gt;"",B924&lt;&gt;"",C924&lt;&gt;""),IF($C924&lt;&gt;0,INDEX(生物种群!$A$3:INDEX(生物种群!$A:$A,COUNTA(生物种群!$A:$A)),MATCH($C924,生物种群!$F$3:INDEX(生物种群!$F:$F,COUNTA(生物种群!$F:$F)),),),IF($A924&lt;&gt;0,INDEX(生物种群!$A$3:INDEX(生物种群!$A:$A,COUNTA(生物种群!$A:$A)),MATCH($A924,生物种群!$C$3:INDEX(生物种群!$C:$C,COUNTA(生物种群!$C:$C)),),),INDEX(生物种群!$A$3:INDEX(生物种群!$A:$A,COUNTA(生物种群!$A:$A)),MATCH($B924,生物种群!$D$3:INDEX(生物种群!$D:$D,COUNTA(生物种群!$D:$D)),),))),"")</f>
        <v/>
      </c>
      <c r="I924" s="56" t="str">
        <f>IF(H924="","",INDEX(生物种群!$B$3:INDEX(生物种群!$B:$B,COUNTA(生物种群!$B:$B)),MATCH($H924,生物种群!$A$3:INDEX(生物种群!$A:$A,COUNTA(生物种群!$A:$A)),),))</f>
        <v/>
      </c>
      <c r="J924" s="55" t="str">
        <f>IF(H924="","",INDEX(生物种群!$I$3:INDEX(生物种群!$I:$I,COUNTA(生物种群!$I:$I)),MATCH($H924,生物种群!$A$3:INDEX(生物种群!$A:$A,COUNTA(生物种群!$A:$A)),),))</f>
        <v/>
      </c>
      <c r="K924" s="55" t="str">
        <f>IF(H924="","",INDEX(生物种群!$E$3:INDEX(生物种群!$E:$E,COUNTA(生物种群!$E:$E)),MATCH($H924,生物种群!$A$3:INDEX(生物种群!$A:$A,COUNTA(生物种群!$A:$A)),),))</f>
        <v/>
      </c>
      <c r="L924" s="46" t="str">
        <f t="shared" si="48"/>
        <v/>
      </c>
      <c r="M924" s="47" t="str">
        <f>IF(L924="","",ROUND((L924)/VLOOKUP($F924,IF({1,0},站位样品信息!$A$3:INDEX(站位样品信息!$A:$A,COUNTA(站位样品信息!$A:$A)+1),站位样品信息!$H$3:INDEX(站位样品信息!$H:$H,COUNTA(站位样品信息!$H:$H)+1)),2,0),2))</f>
        <v/>
      </c>
      <c r="O924" s="49"/>
      <c r="P924" s="53" t="str">
        <f t="shared" si="46"/>
        <v/>
      </c>
      <c r="Q924" s="53" t="str">
        <f t="shared" si="47"/>
        <v/>
      </c>
    </row>
    <row r="925" spans="1:17" ht="19.5" customHeight="1">
      <c r="A925" s="38"/>
      <c r="B925" s="38"/>
      <c r="C925" s="38"/>
      <c r="D925" s="37"/>
      <c r="E925" s="37"/>
      <c r="F925" s="37"/>
      <c r="G925" s="37" t="str">
        <f>IF(F925="","",INDEX(站位样品信息!$B$3:INDEX(站位样品信息!$B:$B,COUNTA(站位样品信息!$B:$B)+1),MATCH($F925,站位样品信息!$A$3:INDEX(站位样品信息!$A:$A,COUNTA(站位样品信息!$A:$A)+1),),))</f>
        <v/>
      </c>
      <c r="H925" s="55" t="str">
        <f>IF(OR(A925&lt;&gt;"",B925&lt;&gt;"",C925&lt;&gt;""),IF($C925&lt;&gt;0,INDEX(生物种群!$A$3:INDEX(生物种群!$A:$A,COUNTA(生物种群!$A:$A)),MATCH($C925,生物种群!$F$3:INDEX(生物种群!$F:$F,COUNTA(生物种群!$F:$F)),),),IF($A925&lt;&gt;0,INDEX(生物种群!$A$3:INDEX(生物种群!$A:$A,COUNTA(生物种群!$A:$A)),MATCH($A925,生物种群!$C$3:INDEX(生物种群!$C:$C,COUNTA(生物种群!$C:$C)),),),INDEX(生物种群!$A$3:INDEX(生物种群!$A:$A,COUNTA(生物种群!$A:$A)),MATCH($B925,生物种群!$D$3:INDEX(生物种群!$D:$D,COUNTA(生物种群!$D:$D)),),))),"")</f>
        <v/>
      </c>
      <c r="I925" s="56" t="str">
        <f>IF(H925="","",INDEX(生物种群!$B$3:INDEX(生物种群!$B:$B,COUNTA(生物种群!$B:$B)),MATCH($H925,生物种群!$A$3:INDEX(生物种群!$A:$A,COUNTA(生物种群!$A:$A)),),))</f>
        <v/>
      </c>
      <c r="J925" s="55" t="str">
        <f>IF(H925="","",INDEX(生物种群!$I$3:INDEX(生物种群!$I:$I,COUNTA(生物种群!$I:$I)),MATCH($H925,生物种群!$A$3:INDEX(生物种群!$A:$A,COUNTA(生物种群!$A:$A)),),))</f>
        <v/>
      </c>
      <c r="K925" s="55" t="str">
        <f>IF(H925="","",INDEX(生物种群!$E$3:INDEX(生物种群!$E:$E,COUNTA(生物种群!$E:$E)),MATCH($H925,生物种群!$A$3:INDEX(生物种群!$A:$A,COUNTA(生物种群!$A:$A)),),))</f>
        <v/>
      </c>
      <c r="L925" s="46" t="str">
        <f t="shared" si="48"/>
        <v/>
      </c>
      <c r="M925" s="47" t="str">
        <f>IF(L925="","",ROUND((L925)/VLOOKUP($F925,IF({1,0},站位样品信息!$A$3:INDEX(站位样品信息!$A:$A,COUNTA(站位样品信息!$A:$A)+1),站位样品信息!$H$3:INDEX(站位样品信息!$H:$H,COUNTA(站位样品信息!$H:$H)+1)),2,0),2))</f>
        <v/>
      </c>
      <c r="O925" s="49"/>
      <c r="P925" s="53" t="str">
        <f t="shared" si="46"/>
        <v/>
      </c>
      <c r="Q925" s="53" t="str">
        <f t="shared" si="47"/>
        <v/>
      </c>
    </row>
    <row r="926" spans="1:17" ht="19.5" customHeight="1">
      <c r="A926" s="38"/>
      <c r="B926" s="38"/>
      <c r="C926" s="38"/>
      <c r="D926" s="37"/>
      <c r="E926" s="37"/>
      <c r="F926" s="37"/>
      <c r="G926" s="37" t="str">
        <f>IF(F926="","",INDEX(站位样品信息!$B$3:INDEX(站位样品信息!$B:$B,COUNTA(站位样品信息!$B:$B)+1),MATCH($F926,站位样品信息!$A$3:INDEX(站位样品信息!$A:$A,COUNTA(站位样品信息!$A:$A)+1),),))</f>
        <v/>
      </c>
      <c r="H926" s="55" t="str">
        <f>IF(OR(A926&lt;&gt;"",B926&lt;&gt;"",C926&lt;&gt;""),IF($C926&lt;&gt;0,INDEX(生物种群!$A$3:INDEX(生物种群!$A:$A,COUNTA(生物种群!$A:$A)),MATCH($C926,生物种群!$F$3:INDEX(生物种群!$F:$F,COUNTA(生物种群!$F:$F)),),),IF($A926&lt;&gt;0,INDEX(生物种群!$A$3:INDEX(生物种群!$A:$A,COUNTA(生物种群!$A:$A)),MATCH($A926,生物种群!$C$3:INDEX(生物种群!$C:$C,COUNTA(生物种群!$C:$C)),),),INDEX(生物种群!$A$3:INDEX(生物种群!$A:$A,COUNTA(生物种群!$A:$A)),MATCH($B926,生物种群!$D$3:INDEX(生物种群!$D:$D,COUNTA(生物种群!$D:$D)),),))),"")</f>
        <v/>
      </c>
      <c r="I926" s="56" t="str">
        <f>IF(H926="","",INDEX(生物种群!$B$3:INDEX(生物种群!$B:$B,COUNTA(生物种群!$B:$B)),MATCH($H926,生物种群!$A$3:INDEX(生物种群!$A:$A,COUNTA(生物种群!$A:$A)),),))</f>
        <v/>
      </c>
      <c r="J926" s="55" t="str">
        <f>IF(H926="","",INDEX(生物种群!$I$3:INDEX(生物种群!$I:$I,COUNTA(生物种群!$I:$I)),MATCH($H926,生物种群!$A$3:INDEX(生物种群!$A:$A,COUNTA(生物种群!$A:$A)),),))</f>
        <v/>
      </c>
      <c r="K926" s="55" t="str">
        <f>IF(H926="","",INDEX(生物种群!$E$3:INDEX(生物种群!$E:$E,COUNTA(生物种群!$E:$E)),MATCH($H926,生物种群!$A$3:INDEX(生物种群!$A:$A,COUNTA(生物种群!$A:$A)),),))</f>
        <v/>
      </c>
      <c r="L926" s="46" t="str">
        <f t="shared" si="48"/>
        <v/>
      </c>
      <c r="M926" s="47" t="str">
        <f>IF(L926="","",ROUND((L926)/VLOOKUP($F926,IF({1,0},站位样品信息!$A$3:INDEX(站位样品信息!$A:$A,COUNTA(站位样品信息!$A:$A)+1),站位样品信息!$H$3:INDEX(站位样品信息!$H:$H,COUNTA(站位样品信息!$H:$H)+1)),2,0),2))</f>
        <v/>
      </c>
      <c r="O926" s="49"/>
      <c r="P926" s="53" t="str">
        <f t="shared" si="46"/>
        <v/>
      </c>
      <c r="Q926" s="53" t="str">
        <f t="shared" si="47"/>
        <v/>
      </c>
    </row>
    <row r="927" spans="1:17" ht="19.5" customHeight="1">
      <c r="A927" s="38"/>
      <c r="B927" s="38"/>
      <c r="C927" s="38"/>
      <c r="D927" s="37"/>
      <c r="E927" s="37"/>
      <c r="F927" s="37"/>
      <c r="G927" s="37" t="str">
        <f>IF(F927="","",INDEX(站位样品信息!$B$3:INDEX(站位样品信息!$B:$B,COUNTA(站位样品信息!$B:$B)+1),MATCH($F927,站位样品信息!$A$3:INDEX(站位样品信息!$A:$A,COUNTA(站位样品信息!$A:$A)+1),),))</f>
        <v/>
      </c>
      <c r="H927" s="55" t="str">
        <f>IF(OR(A927&lt;&gt;"",B927&lt;&gt;"",C927&lt;&gt;""),IF($C927&lt;&gt;0,INDEX(生物种群!$A$3:INDEX(生物种群!$A:$A,COUNTA(生物种群!$A:$A)),MATCH($C927,生物种群!$F$3:INDEX(生物种群!$F:$F,COUNTA(生物种群!$F:$F)),),),IF($A927&lt;&gt;0,INDEX(生物种群!$A$3:INDEX(生物种群!$A:$A,COUNTA(生物种群!$A:$A)),MATCH($A927,生物种群!$C$3:INDEX(生物种群!$C:$C,COUNTA(生物种群!$C:$C)),),),INDEX(生物种群!$A$3:INDEX(生物种群!$A:$A,COUNTA(生物种群!$A:$A)),MATCH($B927,生物种群!$D$3:INDEX(生物种群!$D:$D,COUNTA(生物种群!$D:$D)),),))),"")</f>
        <v/>
      </c>
      <c r="I927" s="56" t="str">
        <f>IF(H927="","",INDEX(生物种群!$B$3:INDEX(生物种群!$B:$B,COUNTA(生物种群!$B:$B)),MATCH($H927,生物种群!$A$3:INDEX(生物种群!$A:$A,COUNTA(生物种群!$A:$A)),),))</f>
        <v/>
      </c>
      <c r="J927" s="55" t="str">
        <f>IF(H927="","",INDEX(生物种群!$I$3:INDEX(生物种群!$I:$I,COUNTA(生物种群!$I:$I)),MATCH($H927,生物种群!$A$3:INDEX(生物种群!$A:$A,COUNTA(生物种群!$A:$A)),),))</f>
        <v/>
      </c>
      <c r="K927" s="55" t="str">
        <f>IF(H927="","",INDEX(生物种群!$E$3:INDEX(生物种群!$E:$E,COUNTA(生物种群!$E:$E)),MATCH($H927,生物种群!$A$3:INDEX(生物种群!$A:$A,COUNTA(生物种群!$A:$A)),),))</f>
        <v/>
      </c>
      <c r="L927" s="46" t="str">
        <f t="shared" si="48"/>
        <v/>
      </c>
      <c r="M927" s="47" t="str">
        <f>IF(L927="","",ROUND((L927)/VLOOKUP($F927,IF({1,0},站位样品信息!$A$3:INDEX(站位样品信息!$A:$A,COUNTA(站位样品信息!$A:$A)+1),站位样品信息!$H$3:INDEX(站位样品信息!$H:$H,COUNTA(站位样品信息!$H:$H)+1)),2,0),2))</f>
        <v/>
      </c>
      <c r="O927" s="49"/>
      <c r="P927" s="53" t="str">
        <f t="shared" si="46"/>
        <v/>
      </c>
      <c r="Q927" s="53" t="str">
        <f t="shared" si="47"/>
        <v/>
      </c>
    </row>
    <row r="928" spans="1:17" ht="19.5" customHeight="1">
      <c r="A928" s="38"/>
      <c r="B928" s="38"/>
      <c r="C928" s="38"/>
      <c r="D928" s="37"/>
      <c r="E928" s="37"/>
      <c r="F928" s="37"/>
      <c r="G928" s="37" t="str">
        <f>IF(F928="","",INDEX(站位样品信息!$B$3:INDEX(站位样品信息!$B:$B,COUNTA(站位样品信息!$B:$B)+1),MATCH($F928,站位样品信息!$A$3:INDEX(站位样品信息!$A:$A,COUNTA(站位样品信息!$A:$A)+1),),))</f>
        <v/>
      </c>
      <c r="H928" s="55" t="str">
        <f>IF(OR(A928&lt;&gt;"",B928&lt;&gt;"",C928&lt;&gt;""),IF($C928&lt;&gt;0,INDEX(生物种群!$A$3:INDEX(生物种群!$A:$A,COUNTA(生物种群!$A:$A)),MATCH($C928,生物种群!$F$3:INDEX(生物种群!$F:$F,COUNTA(生物种群!$F:$F)),),),IF($A928&lt;&gt;0,INDEX(生物种群!$A$3:INDEX(生物种群!$A:$A,COUNTA(生物种群!$A:$A)),MATCH($A928,生物种群!$C$3:INDEX(生物种群!$C:$C,COUNTA(生物种群!$C:$C)),),),INDEX(生物种群!$A$3:INDEX(生物种群!$A:$A,COUNTA(生物种群!$A:$A)),MATCH($B928,生物种群!$D$3:INDEX(生物种群!$D:$D,COUNTA(生物种群!$D:$D)),),))),"")</f>
        <v/>
      </c>
      <c r="I928" s="56" t="str">
        <f>IF(H928="","",INDEX(生物种群!$B$3:INDEX(生物种群!$B:$B,COUNTA(生物种群!$B:$B)),MATCH($H928,生物种群!$A$3:INDEX(生物种群!$A:$A,COUNTA(生物种群!$A:$A)),),))</f>
        <v/>
      </c>
      <c r="J928" s="55" t="str">
        <f>IF(H928="","",INDEX(生物种群!$I$3:INDEX(生物种群!$I:$I,COUNTA(生物种群!$I:$I)),MATCH($H928,生物种群!$A$3:INDEX(生物种群!$A:$A,COUNTA(生物种群!$A:$A)),),))</f>
        <v/>
      </c>
      <c r="K928" s="55" t="str">
        <f>IF(H928="","",INDEX(生物种群!$E$3:INDEX(生物种群!$E:$E,COUNTA(生物种群!$E:$E)),MATCH($H928,生物种群!$A$3:INDEX(生物种群!$A:$A,COUNTA(生物种群!$A:$A)),),))</f>
        <v/>
      </c>
      <c r="L928" s="46" t="str">
        <f t="shared" si="48"/>
        <v/>
      </c>
      <c r="M928" s="47" t="str">
        <f>IF(L928="","",ROUND((L928)/VLOOKUP($F928,IF({1,0},站位样品信息!$A$3:INDEX(站位样品信息!$A:$A,COUNTA(站位样品信息!$A:$A)+1),站位样品信息!$H$3:INDEX(站位样品信息!$H:$H,COUNTA(站位样品信息!$H:$H)+1)),2,0),2))</f>
        <v/>
      </c>
      <c r="O928" s="49"/>
      <c r="P928" s="53" t="str">
        <f t="shared" si="46"/>
        <v/>
      </c>
      <c r="Q928" s="53" t="str">
        <f t="shared" si="47"/>
        <v/>
      </c>
    </row>
    <row r="929" spans="1:17" ht="19.5" customHeight="1">
      <c r="A929" s="38"/>
      <c r="B929" s="38"/>
      <c r="C929" s="38"/>
      <c r="D929" s="37"/>
      <c r="E929" s="37"/>
      <c r="F929" s="37"/>
      <c r="G929" s="37" t="str">
        <f>IF(F929="","",INDEX(站位样品信息!$B$3:INDEX(站位样品信息!$B:$B,COUNTA(站位样品信息!$B:$B)+1),MATCH($F929,站位样品信息!$A$3:INDEX(站位样品信息!$A:$A,COUNTA(站位样品信息!$A:$A)+1),),))</f>
        <v/>
      </c>
      <c r="H929" s="55" t="str">
        <f>IF(OR(A929&lt;&gt;"",B929&lt;&gt;"",C929&lt;&gt;""),IF($C929&lt;&gt;0,INDEX(生物种群!$A$3:INDEX(生物种群!$A:$A,COUNTA(生物种群!$A:$A)),MATCH($C929,生物种群!$F$3:INDEX(生物种群!$F:$F,COUNTA(生物种群!$F:$F)),),),IF($A929&lt;&gt;0,INDEX(生物种群!$A$3:INDEX(生物种群!$A:$A,COUNTA(生物种群!$A:$A)),MATCH($A929,生物种群!$C$3:INDEX(生物种群!$C:$C,COUNTA(生物种群!$C:$C)),),),INDEX(生物种群!$A$3:INDEX(生物种群!$A:$A,COUNTA(生物种群!$A:$A)),MATCH($B929,生物种群!$D$3:INDEX(生物种群!$D:$D,COUNTA(生物种群!$D:$D)),),))),"")</f>
        <v/>
      </c>
      <c r="I929" s="56" t="str">
        <f>IF(H929="","",INDEX(生物种群!$B$3:INDEX(生物种群!$B:$B,COUNTA(生物种群!$B:$B)),MATCH($H929,生物种群!$A$3:INDEX(生物种群!$A:$A,COUNTA(生物种群!$A:$A)),),))</f>
        <v/>
      </c>
      <c r="J929" s="55" t="str">
        <f>IF(H929="","",INDEX(生物种群!$I$3:INDEX(生物种群!$I:$I,COUNTA(生物种群!$I:$I)),MATCH($H929,生物种群!$A$3:INDEX(生物种群!$A:$A,COUNTA(生物种群!$A:$A)),),))</f>
        <v/>
      </c>
      <c r="K929" s="55" t="str">
        <f>IF(H929="","",INDEX(生物种群!$E$3:INDEX(生物种群!$E:$E,COUNTA(生物种群!$E:$E)),MATCH($H929,生物种群!$A$3:INDEX(生物种群!$A:$A,COUNTA(生物种群!$A:$A)),),))</f>
        <v/>
      </c>
      <c r="L929" s="46" t="str">
        <f t="shared" si="48"/>
        <v/>
      </c>
      <c r="M929" s="47" t="str">
        <f>IF(L929="","",ROUND((L929)/VLOOKUP($F929,IF({1,0},站位样品信息!$A$3:INDEX(站位样品信息!$A:$A,COUNTA(站位样品信息!$A:$A)+1),站位样品信息!$H$3:INDEX(站位样品信息!$H:$H,COUNTA(站位样品信息!$H:$H)+1)),2,0),2))</f>
        <v/>
      </c>
      <c r="O929" s="49"/>
      <c r="P929" s="53" t="str">
        <f t="shared" si="46"/>
        <v/>
      </c>
      <c r="Q929" s="53" t="str">
        <f t="shared" si="47"/>
        <v/>
      </c>
    </row>
    <row r="930" spans="1:17" ht="19.5" customHeight="1">
      <c r="A930" s="38"/>
      <c r="B930" s="38"/>
      <c r="C930" s="38"/>
      <c r="D930" s="37"/>
      <c r="E930" s="37"/>
      <c r="F930" s="37"/>
      <c r="G930" s="37" t="str">
        <f>IF(F930="","",INDEX(站位样品信息!$B$3:INDEX(站位样品信息!$B:$B,COUNTA(站位样品信息!$B:$B)+1),MATCH($F930,站位样品信息!$A$3:INDEX(站位样品信息!$A:$A,COUNTA(站位样品信息!$A:$A)+1),),))</f>
        <v/>
      </c>
      <c r="H930" s="55" t="str">
        <f>IF(OR(A930&lt;&gt;"",B930&lt;&gt;"",C930&lt;&gt;""),IF($C930&lt;&gt;0,INDEX(生物种群!$A$3:INDEX(生物种群!$A:$A,COUNTA(生物种群!$A:$A)),MATCH($C930,生物种群!$F$3:INDEX(生物种群!$F:$F,COUNTA(生物种群!$F:$F)),),),IF($A930&lt;&gt;0,INDEX(生物种群!$A$3:INDEX(生物种群!$A:$A,COUNTA(生物种群!$A:$A)),MATCH($A930,生物种群!$C$3:INDEX(生物种群!$C:$C,COUNTA(生物种群!$C:$C)),),),INDEX(生物种群!$A$3:INDEX(生物种群!$A:$A,COUNTA(生物种群!$A:$A)),MATCH($B930,生物种群!$D$3:INDEX(生物种群!$D:$D,COUNTA(生物种群!$D:$D)),),))),"")</f>
        <v/>
      </c>
      <c r="I930" s="56" t="str">
        <f>IF(H930="","",INDEX(生物种群!$B$3:INDEX(生物种群!$B:$B,COUNTA(生物种群!$B:$B)),MATCH($H930,生物种群!$A$3:INDEX(生物种群!$A:$A,COUNTA(生物种群!$A:$A)),),))</f>
        <v/>
      </c>
      <c r="J930" s="55" t="str">
        <f>IF(H930="","",INDEX(生物种群!$I$3:INDEX(生物种群!$I:$I,COUNTA(生物种群!$I:$I)),MATCH($H930,生物种群!$A$3:INDEX(生物种群!$A:$A,COUNTA(生物种群!$A:$A)),),))</f>
        <v/>
      </c>
      <c r="K930" s="55" t="str">
        <f>IF(H930="","",INDEX(生物种群!$E$3:INDEX(生物种群!$E:$E,COUNTA(生物种群!$E:$E)),MATCH($H930,生物种群!$A$3:INDEX(生物种群!$A:$A,COUNTA(生物种群!$A:$A)),),))</f>
        <v/>
      </c>
      <c r="L930" s="46" t="str">
        <f t="shared" si="48"/>
        <v/>
      </c>
      <c r="M930" s="47" t="str">
        <f>IF(L930="","",ROUND((L930)/VLOOKUP($F930,IF({1,0},站位样品信息!$A$3:INDEX(站位样品信息!$A:$A,COUNTA(站位样品信息!$A:$A)+1),站位样品信息!$H$3:INDEX(站位样品信息!$H:$H,COUNTA(站位样品信息!$H:$H)+1)),2,0),2))</f>
        <v/>
      </c>
      <c r="O930" s="49"/>
      <c r="P930" s="53" t="str">
        <f t="shared" si="46"/>
        <v/>
      </c>
      <c r="Q930" s="53" t="str">
        <f t="shared" si="47"/>
        <v/>
      </c>
    </row>
    <row r="931" spans="1:17" ht="19.5" customHeight="1">
      <c r="A931" s="38"/>
      <c r="B931" s="38"/>
      <c r="C931" s="38"/>
      <c r="D931" s="37"/>
      <c r="E931" s="37"/>
      <c r="F931" s="37"/>
      <c r="G931" s="37" t="str">
        <f>IF(F931="","",INDEX(站位样品信息!$B$3:INDEX(站位样品信息!$B:$B,COUNTA(站位样品信息!$B:$B)+1),MATCH($F931,站位样品信息!$A$3:INDEX(站位样品信息!$A:$A,COUNTA(站位样品信息!$A:$A)+1),),))</f>
        <v/>
      </c>
      <c r="H931" s="55" t="str">
        <f>IF(OR(A931&lt;&gt;"",B931&lt;&gt;"",C931&lt;&gt;""),IF($C931&lt;&gt;0,INDEX(生物种群!$A$3:INDEX(生物种群!$A:$A,COUNTA(生物种群!$A:$A)),MATCH($C931,生物种群!$F$3:INDEX(生物种群!$F:$F,COUNTA(生物种群!$F:$F)),),),IF($A931&lt;&gt;0,INDEX(生物种群!$A$3:INDEX(生物种群!$A:$A,COUNTA(生物种群!$A:$A)),MATCH($A931,生物种群!$C$3:INDEX(生物种群!$C:$C,COUNTA(生物种群!$C:$C)),),),INDEX(生物种群!$A$3:INDEX(生物种群!$A:$A,COUNTA(生物种群!$A:$A)),MATCH($B931,生物种群!$D$3:INDEX(生物种群!$D:$D,COUNTA(生物种群!$D:$D)),),))),"")</f>
        <v/>
      </c>
      <c r="I931" s="56" t="str">
        <f>IF(H931="","",INDEX(生物种群!$B$3:INDEX(生物种群!$B:$B,COUNTA(生物种群!$B:$B)),MATCH($H931,生物种群!$A$3:INDEX(生物种群!$A:$A,COUNTA(生物种群!$A:$A)),),))</f>
        <v/>
      </c>
      <c r="J931" s="55" t="str">
        <f>IF(H931="","",INDEX(生物种群!$I$3:INDEX(生物种群!$I:$I,COUNTA(生物种群!$I:$I)),MATCH($H931,生物种群!$A$3:INDEX(生物种群!$A:$A,COUNTA(生物种群!$A:$A)),),))</f>
        <v/>
      </c>
      <c r="K931" s="55" t="str">
        <f>IF(H931="","",INDEX(生物种群!$E$3:INDEX(生物种群!$E:$E,COUNTA(生物种群!$E:$E)),MATCH($H931,生物种群!$A$3:INDEX(生物种群!$A:$A,COUNTA(生物种群!$A:$A)),),))</f>
        <v/>
      </c>
      <c r="L931" s="46" t="str">
        <f t="shared" si="48"/>
        <v/>
      </c>
      <c r="M931" s="47" t="str">
        <f>IF(L931="","",ROUND((L931)/VLOOKUP($F931,IF({1,0},站位样品信息!$A$3:INDEX(站位样品信息!$A:$A,COUNTA(站位样品信息!$A:$A)+1),站位样品信息!$H$3:INDEX(站位样品信息!$H:$H,COUNTA(站位样品信息!$H:$H)+1)),2,0),2))</f>
        <v/>
      </c>
      <c r="O931" s="49"/>
      <c r="P931" s="53" t="str">
        <f t="shared" si="46"/>
        <v/>
      </c>
      <c r="Q931" s="53" t="str">
        <f t="shared" si="47"/>
        <v/>
      </c>
    </row>
    <row r="932" spans="1:17" ht="19.5" customHeight="1">
      <c r="A932" s="38"/>
      <c r="B932" s="38"/>
      <c r="C932" s="38"/>
      <c r="D932" s="37"/>
      <c r="E932" s="37"/>
      <c r="F932" s="37"/>
      <c r="G932" s="37" t="str">
        <f>IF(F932="","",INDEX(站位样品信息!$B$3:INDEX(站位样品信息!$B:$B,COUNTA(站位样品信息!$B:$B)+1),MATCH($F932,站位样品信息!$A$3:INDEX(站位样品信息!$A:$A,COUNTA(站位样品信息!$A:$A)+1),),))</f>
        <v/>
      </c>
      <c r="H932" s="55" t="str">
        <f>IF(OR(A932&lt;&gt;"",B932&lt;&gt;"",C932&lt;&gt;""),IF($C932&lt;&gt;0,INDEX(生物种群!$A$3:INDEX(生物种群!$A:$A,COUNTA(生物种群!$A:$A)),MATCH($C932,生物种群!$F$3:INDEX(生物种群!$F:$F,COUNTA(生物种群!$F:$F)),),),IF($A932&lt;&gt;0,INDEX(生物种群!$A$3:INDEX(生物种群!$A:$A,COUNTA(生物种群!$A:$A)),MATCH($A932,生物种群!$C$3:INDEX(生物种群!$C:$C,COUNTA(生物种群!$C:$C)),),),INDEX(生物种群!$A$3:INDEX(生物种群!$A:$A,COUNTA(生物种群!$A:$A)),MATCH($B932,生物种群!$D$3:INDEX(生物种群!$D:$D,COUNTA(生物种群!$D:$D)),),))),"")</f>
        <v/>
      </c>
      <c r="I932" s="56" t="str">
        <f>IF(H932="","",INDEX(生物种群!$B$3:INDEX(生物种群!$B:$B,COUNTA(生物种群!$B:$B)),MATCH($H932,生物种群!$A$3:INDEX(生物种群!$A:$A,COUNTA(生物种群!$A:$A)),),))</f>
        <v/>
      </c>
      <c r="J932" s="55" t="str">
        <f>IF(H932="","",INDEX(生物种群!$I$3:INDEX(生物种群!$I:$I,COUNTA(生物种群!$I:$I)),MATCH($H932,生物种群!$A$3:INDEX(生物种群!$A:$A,COUNTA(生物种群!$A:$A)),),))</f>
        <v/>
      </c>
      <c r="K932" s="55" t="str">
        <f>IF(H932="","",INDEX(生物种群!$E$3:INDEX(生物种群!$E:$E,COUNTA(生物种群!$E:$E)),MATCH($H932,生物种群!$A$3:INDEX(生物种群!$A:$A,COUNTA(生物种群!$A:$A)),),))</f>
        <v/>
      </c>
      <c r="L932" s="46" t="str">
        <f t="shared" si="48"/>
        <v/>
      </c>
      <c r="M932" s="47" t="str">
        <f>IF(L932="","",ROUND((L932)/VLOOKUP($F932,IF({1,0},站位样品信息!$A$3:INDEX(站位样品信息!$A:$A,COUNTA(站位样品信息!$A:$A)+1),站位样品信息!$H$3:INDEX(站位样品信息!$H:$H,COUNTA(站位样品信息!$H:$H)+1)),2,0),2))</f>
        <v/>
      </c>
      <c r="O932" s="49"/>
      <c r="P932" s="53" t="str">
        <f t="shared" si="46"/>
        <v/>
      </c>
      <c r="Q932" s="53" t="str">
        <f t="shared" si="47"/>
        <v/>
      </c>
    </row>
    <row r="933" spans="1:17" ht="19.5" customHeight="1">
      <c r="A933" s="38"/>
      <c r="B933" s="38"/>
      <c r="C933" s="38"/>
      <c r="D933" s="37"/>
      <c r="E933" s="37"/>
      <c r="F933" s="37"/>
      <c r="G933" s="37" t="str">
        <f>IF(F933="","",INDEX(站位样品信息!$B$3:INDEX(站位样品信息!$B:$B,COUNTA(站位样品信息!$B:$B)+1),MATCH($F933,站位样品信息!$A$3:INDEX(站位样品信息!$A:$A,COUNTA(站位样品信息!$A:$A)+1),),))</f>
        <v/>
      </c>
      <c r="H933" s="55" t="str">
        <f>IF(OR(A933&lt;&gt;"",B933&lt;&gt;"",C933&lt;&gt;""),IF($C933&lt;&gt;0,INDEX(生物种群!$A$3:INDEX(生物种群!$A:$A,COUNTA(生物种群!$A:$A)),MATCH($C933,生物种群!$F$3:INDEX(生物种群!$F:$F,COUNTA(生物种群!$F:$F)),),),IF($A933&lt;&gt;0,INDEX(生物种群!$A$3:INDEX(生物种群!$A:$A,COUNTA(生物种群!$A:$A)),MATCH($A933,生物种群!$C$3:INDEX(生物种群!$C:$C,COUNTA(生物种群!$C:$C)),),),INDEX(生物种群!$A$3:INDEX(生物种群!$A:$A,COUNTA(生物种群!$A:$A)),MATCH($B933,生物种群!$D$3:INDEX(生物种群!$D:$D,COUNTA(生物种群!$D:$D)),),))),"")</f>
        <v/>
      </c>
      <c r="I933" s="56" t="str">
        <f>IF(H933="","",INDEX(生物种群!$B$3:INDEX(生物种群!$B:$B,COUNTA(生物种群!$B:$B)),MATCH($H933,生物种群!$A$3:INDEX(生物种群!$A:$A,COUNTA(生物种群!$A:$A)),),))</f>
        <v/>
      </c>
      <c r="J933" s="55" t="str">
        <f>IF(H933="","",INDEX(生物种群!$I$3:INDEX(生物种群!$I:$I,COUNTA(生物种群!$I:$I)),MATCH($H933,生物种群!$A$3:INDEX(生物种群!$A:$A,COUNTA(生物种群!$A:$A)),),))</f>
        <v/>
      </c>
      <c r="K933" s="55" t="str">
        <f>IF(H933="","",INDEX(生物种群!$E$3:INDEX(生物种群!$E:$E,COUNTA(生物种群!$E:$E)),MATCH($H933,生物种群!$A$3:INDEX(生物种群!$A:$A,COUNTA(生物种群!$A:$A)),),))</f>
        <v/>
      </c>
      <c r="L933" s="46" t="str">
        <f t="shared" si="48"/>
        <v/>
      </c>
      <c r="M933" s="47" t="str">
        <f>IF(L933="","",ROUND((L933)/VLOOKUP($F933,IF({1,0},站位样品信息!$A$3:INDEX(站位样品信息!$A:$A,COUNTA(站位样品信息!$A:$A)+1),站位样品信息!$H$3:INDEX(站位样品信息!$H:$H,COUNTA(站位样品信息!$H:$H)+1)),2,0),2))</f>
        <v/>
      </c>
      <c r="O933" s="49"/>
      <c r="P933" s="53" t="str">
        <f t="shared" si="46"/>
        <v/>
      </c>
      <c r="Q933" s="53" t="str">
        <f t="shared" si="47"/>
        <v/>
      </c>
    </row>
    <row r="934" spans="1:17" ht="19.5" customHeight="1">
      <c r="A934" s="38"/>
      <c r="B934" s="38"/>
      <c r="C934" s="38"/>
      <c r="D934" s="37"/>
      <c r="E934" s="37"/>
      <c r="F934" s="37"/>
      <c r="G934" s="37" t="str">
        <f>IF(F934="","",INDEX(站位样品信息!$B$3:INDEX(站位样品信息!$B:$B,COUNTA(站位样品信息!$B:$B)+1),MATCH($F934,站位样品信息!$A$3:INDEX(站位样品信息!$A:$A,COUNTA(站位样品信息!$A:$A)+1),),))</f>
        <v/>
      </c>
      <c r="H934" s="55" t="str">
        <f>IF(OR(A934&lt;&gt;"",B934&lt;&gt;"",C934&lt;&gt;""),IF($C934&lt;&gt;0,INDEX(生物种群!$A$3:INDEX(生物种群!$A:$A,COUNTA(生物种群!$A:$A)),MATCH($C934,生物种群!$F$3:INDEX(生物种群!$F:$F,COUNTA(生物种群!$F:$F)),),),IF($A934&lt;&gt;0,INDEX(生物种群!$A$3:INDEX(生物种群!$A:$A,COUNTA(生物种群!$A:$A)),MATCH($A934,生物种群!$C$3:INDEX(生物种群!$C:$C,COUNTA(生物种群!$C:$C)),),),INDEX(生物种群!$A$3:INDEX(生物种群!$A:$A,COUNTA(生物种群!$A:$A)),MATCH($B934,生物种群!$D$3:INDEX(生物种群!$D:$D,COUNTA(生物种群!$D:$D)),),))),"")</f>
        <v/>
      </c>
      <c r="I934" s="56" t="str">
        <f>IF(H934="","",INDEX(生物种群!$B$3:INDEX(生物种群!$B:$B,COUNTA(生物种群!$B:$B)),MATCH($H934,生物种群!$A$3:INDEX(生物种群!$A:$A,COUNTA(生物种群!$A:$A)),),))</f>
        <v/>
      </c>
      <c r="J934" s="55" t="str">
        <f>IF(H934="","",INDEX(生物种群!$I$3:INDEX(生物种群!$I:$I,COUNTA(生物种群!$I:$I)),MATCH($H934,生物种群!$A$3:INDEX(生物种群!$A:$A,COUNTA(生物种群!$A:$A)),),))</f>
        <v/>
      </c>
      <c r="K934" s="55" t="str">
        <f>IF(H934="","",INDEX(生物种群!$E$3:INDEX(生物种群!$E:$E,COUNTA(生物种群!$E:$E)),MATCH($H934,生物种群!$A$3:INDEX(生物种群!$A:$A,COUNTA(生物种群!$A:$A)),),))</f>
        <v/>
      </c>
      <c r="L934" s="46" t="str">
        <f t="shared" si="48"/>
        <v/>
      </c>
      <c r="M934" s="47" t="str">
        <f>IF(L934="","",ROUND((L934)/VLOOKUP($F934,IF({1,0},站位样品信息!$A$3:INDEX(站位样品信息!$A:$A,COUNTA(站位样品信息!$A:$A)+1),站位样品信息!$H$3:INDEX(站位样品信息!$H:$H,COUNTA(站位样品信息!$H:$H)+1)),2,0),2))</f>
        <v/>
      </c>
      <c r="O934" s="49"/>
      <c r="P934" s="53" t="str">
        <f t="shared" si="46"/>
        <v/>
      </c>
      <c r="Q934" s="53" t="str">
        <f t="shared" si="47"/>
        <v/>
      </c>
    </row>
    <row r="935" spans="1:17" ht="19.5" customHeight="1">
      <c r="A935" s="38"/>
      <c r="B935" s="38"/>
      <c r="C935" s="38"/>
      <c r="D935" s="37"/>
      <c r="E935" s="37"/>
      <c r="F935" s="37"/>
      <c r="G935" s="37" t="str">
        <f>IF(F935="","",INDEX(站位样品信息!$B$3:INDEX(站位样品信息!$B:$B,COUNTA(站位样品信息!$B:$B)+1),MATCH($F935,站位样品信息!$A$3:INDEX(站位样品信息!$A:$A,COUNTA(站位样品信息!$A:$A)+1),),))</f>
        <v/>
      </c>
      <c r="H935" s="55" t="str">
        <f>IF(OR(A935&lt;&gt;"",B935&lt;&gt;"",C935&lt;&gt;""),IF($C935&lt;&gt;0,INDEX(生物种群!$A$3:INDEX(生物种群!$A:$A,COUNTA(生物种群!$A:$A)),MATCH($C935,生物种群!$F$3:INDEX(生物种群!$F:$F,COUNTA(生物种群!$F:$F)),),),IF($A935&lt;&gt;0,INDEX(生物种群!$A$3:INDEX(生物种群!$A:$A,COUNTA(生物种群!$A:$A)),MATCH($A935,生物种群!$C$3:INDEX(生物种群!$C:$C,COUNTA(生物种群!$C:$C)),),),INDEX(生物种群!$A$3:INDEX(生物种群!$A:$A,COUNTA(生物种群!$A:$A)),MATCH($B935,生物种群!$D$3:INDEX(生物种群!$D:$D,COUNTA(生物种群!$D:$D)),),))),"")</f>
        <v/>
      </c>
      <c r="I935" s="56" t="str">
        <f>IF(H935="","",INDEX(生物种群!$B$3:INDEX(生物种群!$B:$B,COUNTA(生物种群!$B:$B)),MATCH($H935,生物种群!$A$3:INDEX(生物种群!$A:$A,COUNTA(生物种群!$A:$A)),),))</f>
        <v/>
      </c>
      <c r="J935" s="55" t="str">
        <f>IF(H935="","",INDEX(生物种群!$I$3:INDEX(生物种群!$I:$I,COUNTA(生物种群!$I:$I)),MATCH($H935,生物种群!$A$3:INDEX(生物种群!$A:$A,COUNTA(生物种群!$A:$A)),),))</f>
        <v/>
      </c>
      <c r="K935" s="55" t="str">
        <f>IF(H935="","",INDEX(生物种群!$E$3:INDEX(生物种群!$E:$E,COUNTA(生物种群!$E:$E)),MATCH($H935,生物种群!$A$3:INDEX(生物种群!$A:$A,COUNTA(生物种群!$A:$A)),),))</f>
        <v/>
      </c>
      <c r="L935" s="46" t="str">
        <f t="shared" si="48"/>
        <v/>
      </c>
      <c r="M935" s="47" t="str">
        <f>IF(L935="","",ROUND((L935)/VLOOKUP($F935,IF({1,0},站位样品信息!$A$3:INDEX(站位样品信息!$A:$A,COUNTA(站位样品信息!$A:$A)+1),站位样品信息!$H$3:INDEX(站位样品信息!$H:$H,COUNTA(站位样品信息!$H:$H)+1)),2,0),2))</f>
        <v/>
      </c>
      <c r="O935" s="49"/>
      <c r="P935" s="53" t="str">
        <f t="shared" si="46"/>
        <v/>
      </c>
      <c r="Q935" s="53" t="str">
        <f t="shared" si="47"/>
        <v/>
      </c>
    </row>
    <row r="936" spans="1:17" ht="19.5" customHeight="1">
      <c r="A936" s="38"/>
      <c r="B936" s="38"/>
      <c r="C936" s="38"/>
      <c r="D936" s="37"/>
      <c r="E936" s="37"/>
      <c r="F936" s="37"/>
      <c r="G936" s="37" t="str">
        <f>IF(F936="","",INDEX(站位样品信息!$B$3:INDEX(站位样品信息!$B:$B,COUNTA(站位样品信息!$B:$B)+1),MATCH($F936,站位样品信息!$A$3:INDEX(站位样品信息!$A:$A,COUNTA(站位样品信息!$A:$A)+1),),))</f>
        <v/>
      </c>
      <c r="H936" s="55" t="str">
        <f>IF(OR(A936&lt;&gt;"",B936&lt;&gt;"",C936&lt;&gt;""),IF($C936&lt;&gt;0,INDEX(生物种群!$A$3:INDEX(生物种群!$A:$A,COUNTA(生物种群!$A:$A)),MATCH($C936,生物种群!$F$3:INDEX(生物种群!$F:$F,COUNTA(生物种群!$F:$F)),),),IF($A936&lt;&gt;0,INDEX(生物种群!$A$3:INDEX(生物种群!$A:$A,COUNTA(生物种群!$A:$A)),MATCH($A936,生物种群!$C$3:INDEX(生物种群!$C:$C,COUNTA(生物种群!$C:$C)),),),INDEX(生物种群!$A$3:INDEX(生物种群!$A:$A,COUNTA(生物种群!$A:$A)),MATCH($B936,生物种群!$D$3:INDEX(生物种群!$D:$D,COUNTA(生物种群!$D:$D)),),))),"")</f>
        <v/>
      </c>
      <c r="I936" s="56" t="str">
        <f>IF(H936="","",INDEX(生物种群!$B$3:INDEX(生物种群!$B:$B,COUNTA(生物种群!$B:$B)),MATCH($H936,生物种群!$A$3:INDEX(生物种群!$A:$A,COUNTA(生物种群!$A:$A)),),))</f>
        <v/>
      </c>
      <c r="J936" s="55" t="str">
        <f>IF(H936="","",INDEX(生物种群!$I$3:INDEX(生物种群!$I:$I,COUNTA(生物种群!$I:$I)),MATCH($H936,生物种群!$A$3:INDEX(生物种群!$A:$A,COUNTA(生物种群!$A:$A)),),))</f>
        <v/>
      </c>
      <c r="K936" s="55" t="str">
        <f>IF(H936="","",INDEX(生物种群!$E$3:INDEX(生物种群!$E:$E,COUNTA(生物种群!$E:$E)),MATCH($H936,生物种群!$A$3:INDEX(生物种群!$A:$A,COUNTA(生物种群!$A:$A)),),))</f>
        <v/>
      </c>
      <c r="L936" s="46" t="str">
        <f t="shared" si="48"/>
        <v/>
      </c>
      <c r="M936" s="47" t="str">
        <f>IF(L936="","",ROUND((L936)/VLOOKUP($F936,IF({1,0},站位样品信息!$A$3:INDEX(站位样品信息!$A:$A,COUNTA(站位样品信息!$A:$A)+1),站位样品信息!$H$3:INDEX(站位样品信息!$H:$H,COUNTA(站位样品信息!$H:$H)+1)),2,0),2))</f>
        <v/>
      </c>
      <c r="O936" s="49"/>
      <c r="P936" s="53" t="str">
        <f t="shared" si="46"/>
        <v/>
      </c>
      <c r="Q936" s="53" t="str">
        <f t="shared" si="47"/>
        <v/>
      </c>
    </row>
    <row r="937" spans="1:17" ht="19.5" customHeight="1">
      <c r="A937" s="38"/>
      <c r="B937" s="38"/>
      <c r="C937" s="38"/>
      <c r="D937" s="37"/>
      <c r="E937" s="37"/>
      <c r="F937" s="37"/>
      <c r="G937" s="37" t="str">
        <f>IF(F937="","",INDEX(站位样品信息!$B$3:INDEX(站位样品信息!$B:$B,COUNTA(站位样品信息!$B:$B)+1),MATCH($F937,站位样品信息!$A$3:INDEX(站位样品信息!$A:$A,COUNTA(站位样品信息!$A:$A)+1),),))</f>
        <v/>
      </c>
      <c r="H937" s="55" t="str">
        <f>IF(OR(A937&lt;&gt;"",B937&lt;&gt;"",C937&lt;&gt;""),IF($C937&lt;&gt;0,INDEX(生物种群!$A$3:INDEX(生物种群!$A:$A,COUNTA(生物种群!$A:$A)),MATCH($C937,生物种群!$F$3:INDEX(生物种群!$F:$F,COUNTA(生物种群!$F:$F)),),),IF($A937&lt;&gt;0,INDEX(生物种群!$A$3:INDEX(生物种群!$A:$A,COUNTA(生物种群!$A:$A)),MATCH($A937,生物种群!$C$3:INDEX(生物种群!$C:$C,COUNTA(生物种群!$C:$C)),),),INDEX(生物种群!$A$3:INDEX(生物种群!$A:$A,COUNTA(生物种群!$A:$A)),MATCH($B937,生物种群!$D$3:INDEX(生物种群!$D:$D,COUNTA(生物种群!$D:$D)),),))),"")</f>
        <v/>
      </c>
      <c r="I937" s="56" t="str">
        <f>IF(H937="","",INDEX(生物种群!$B$3:INDEX(生物种群!$B:$B,COUNTA(生物种群!$B:$B)),MATCH($H937,生物种群!$A$3:INDEX(生物种群!$A:$A,COUNTA(生物种群!$A:$A)),),))</f>
        <v/>
      </c>
      <c r="J937" s="55" t="str">
        <f>IF(H937="","",INDEX(生物种群!$I$3:INDEX(生物种群!$I:$I,COUNTA(生物种群!$I:$I)),MATCH($H937,生物种群!$A$3:INDEX(生物种群!$A:$A,COUNTA(生物种群!$A:$A)),),))</f>
        <v/>
      </c>
      <c r="K937" s="55" t="str">
        <f>IF(H937="","",INDEX(生物种群!$E$3:INDEX(生物种群!$E:$E,COUNTA(生物种群!$E:$E)),MATCH($H937,生物种群!$A$3:INDEX(生物种群!$A:$A,COUNTA(生物种群!$A:$A)),),))</f>
        <v/>
      </c>
      <c r="L937" s="46" t="str">
        <f t="shared" si="48"/>
        <v/>
      </c>
      <c r="M937" s="47" t="str">
        <f>IF(L937="","",ROUND((L937)/VLOOKUP($F937,IF({1,0},站位样品信息!$A$3:INDEX(站位样品信息!$A:$A,COUNTA(站位样品信息!$A:$A)+1),站位样品信息!$H$3:INDEX(站位样品信息!$H:$H,COUNTA(站位样品信息!$H:$H)+1)),2,0),2))</f>
        <v/>
      </c>
      <c r="O937" s="49"/>
      <c r="P937" s="53" t="str">
        <f t="shared" si="46"/>
        <v/>
      </c>
      <c r="Q937" s="53" t="str">
        <f t="shared" si="47"/>
        <v/>
      </c>
    </row>
    <row r="938" spans="1:17" ht="19.5" customHeight="1">
      <c r="A938" s="38"/>
      <c r="B938" s="38"/>
      <c r="C938" s="38"/>
      <c r="D938" s="37"/>
      <c r="E938" s="37"/>
      <c r="F938" s="37"/>
      <c r="G938" s="37" t="str">
        <f>IF(F938="","",INDEX(站位样品信息!$B$3:INDEX(站位样品信息!$B:$B,COUNTA(站位样品信息!$B:$B)+1),MATCH($F938,站位样品信息!$A$3:INDEX(站位样品信息!$A:$A,COUNTA(站位样品信息!$A:$A)+1),),))</f>
        <v/>
      </c>
      <c r="H938" s="55" t="str">
        <f>IF(OR(A938&lt;&gt;"",B938&lt;&gt;"",C938&lt;&gt;""),IF($C938&lt;&gt;0,INDEX(生物种群!$A$3:INDEX(生物种群!$A:$A,COUNTA(生物种群!$A:$A)),MATCH($C938,生物种群!$F$3:INDEX(生物种群!$F:$F,COUNTA(生物种群!$F:$F)),),),IF($A938&lt;&gt;0,INDEX(生物种群!$A$3:INDEX(生物种群!$A:$A,COUNTA(生物种群!$A:$A)),MATCH($A938,生物种群!$C$3:INDEX(生物种群!$C:$C,COUNTA(生物种群!$C:$C)),),),INDEX(生物种群!$A$3:INDEX(生物种群!$A:$A,COUNTA(生物种群!$A:$A)),MATCH($B938,生物种群!$D$3:INDEX(生物种群!$D:$D,COUNTA(生物种群!$D:$D)),),))),"")</f>
        <v/>
      </c>
      <c r="I938" s="56" t="str">
        <f>IF(H938="","",INDEX(生物种群!$B$3:INDEX(生物种群!$B:$B,COUNTA(生物种群!$B:$B)),MATCH($H938,生物种群!$A$3:INDEX(生物种群!$A:$A,COUNTA(生物种群!$A:$A)),),))</f>
        <v/>
      </c>
      <c r="J938" s="55" t="str">
        <f>IF(H938="","",INDEX(生物种群!$I$3:INDEX(生物种群!$I:$I,COUNTA(生物种群!$I:$I)),MATCH($H938,生物种群!$A$3:INDEX(生物种群!$A:$A,COUNTA(生物种群!$A:$A)),),))</f>
        <v/>
      </c>
      <c r="K938" s="55" t="str">
        <f>IF(H938="","",INDEX(生物种群!$E$3:INDEX(生物种群!$E:$E,COUNTA(生物种群!$E:$E)),MATCH($H938,生物种群!$A$3:INDEX(生物种群!$A:$A,COUNTA(生物种群!$A:$A)),),))</f>
        <v/>
      </c>
      <c r="L938" s="46" t="str">
        <f t="shared" si="48"/>
        <v/>
      </c>
      <c r="M938" s="47" t="str">
        <f>IF(L938="","",ROUND((L938)/VLOOKUP($F938,IF({1,0},站位样品信息!$A$3:INDEX(站位样品信息!$A:$A,COUNTA(站位样品信息!$A:$A)+1),站位样品信息!$H$3:INDEX(站位样品信息!$H:$H,COUNTA(站位样品信息!$H:$H)+1)),2,0),2))</f>
        <v/>
      </c>
      <c r="O938" s="49"/>
      <c r="P938" s="53" t="str">
        <f t="shared" si="46"/>
        <v/>
      </c>
      <c r="Q938" s="53" t="str">
        <f t="shared" si="47"/>
        <v/>
      </c>
    </row>
    <row r="939" spans="1:17" ht="19.5" customHeight="1">
      <c r="A939" s="38"/>
      <c r="B939" s="38"/>
      <c r="C939" s="38"/>
      <c r="D939" s="37"/>
      <c r="E939" s="37"/>
      <c r="F939" s="37"/>
      <c r="G939" s="37" t="str">
        <f>IF(F939="","",INDEX(站位样品信息!$B$3:INDEX(站位样品信息!$B:$B,COUNTA(站位样品信息!$B:$B)+1),MATCH($F939,站位样品信息!$A$3:INDEX(站位样品信息!$A:$A,COUNTA(站位样品信息!$A:$A)+1),),))</f>
        <v/>
      </c>
      <c r="H939" s="55" t="str">
        <f>IF(OR(A939&lt;&gt;"",B939&lt;&gt;"",C939&lt;&gt;""),IF($C939&lt;&gt;0,INDEX(生物种群!$A$3:INDEX(生物种群!$A:$A,COUNTA(生物种群!$A:$A)),MATCH($C939,生物种群!$F$3:INDEX(生物种群!$F:$F,COUNTA(生物种群!$F:$F)),),),IF($A939&lt;&gt;0,INDEX(生物种群!$A$3:INDEX(生物种群!$A:$A,COUNTA(生物种群!$A:$A)),MATCH($A939,生物种群!$C$3:INDEX(生物种群!$C:$C,COUNTA(生物种群!$C:$C)),),),INDEX(生物种群!$A$3:INDEX(生物种群!$A:$A,COUNTA(生物种群!$A:$A)),MATCH($B939,生物种群!$D$3:INDEX(生物种群!$D:$D,COUNTA(生物种群!$D:$D)),),))),"")</f>
        <v/>
      </c>
      <c r="I939" s="56" t="str">
        <f>IF(H939="","",INDEX(生物种群!$B$3:INDEX(生物种群!$B:$B,COUNTA(生物种群!$B:$B)),MATCH($H939,生物种群!$A$3:INDEX(生物种群!$A:$A,COUNTA(生物种群!$A:$A)),),))</f>
        <v/>
      </c>
      <c r="J939" s="55" t="str">
        <f>IF(H939="","",INDEX(生物种群!$I$3:INDEX(生物种群!$I:$I,COUNTA(生物种群!$I:$I)),MATCH($H939,生物种群!$A$3:INDEX(生物种群!$A:$A,COUNTA(生物种群!$A:$A)),),))</f>
        <v/>
      </c>
      <c r="K939" s="55" t="str">
        <f>IF(H939="","",INDEX(生物种群!$E$3:INDEX(生物种群!$E:$E,COUNTA(生物种群!$E:$E)),MATCH($H939,生物种群!$A$3:INDEX(生物种群!$A:$A,COUNTA(生物种群!$A:$A)),),))</f>
        <v/>
      </c>
      <c r="L939" s="46" t="str">
        <f t="shared" si="48"/>
        <v/>
      </c>
      <c r="M939" s="47" t="str">
        <f>IF(L939="","",ROUND((L939)/VLOOKUP($F939,IF({1,0},站位样品信息!$A$3:INDEX(站位样品信息!$A:$A,COUNTA(站位样品信息!$A:$A)+1),站位样品信息!$H$3:INDEX(站位样品信息!$H:$H,COUNTA(站位样品信息!$H:$H)+1)),2,0),2))</f>
        <v/>
      </c>
      <c r="O939" s="49"/>
      <c r="P939" s="53" t="str">
        <f t="shared" si="46"/>
        <v/>
      </c>
      <c r="Q939" s="53" t="str">
        <f t="shared" si="47"/>
        <v/>
      </c>
    </row>
    <row r="940" spans="1:17" ht="19.5" customHeight="1">
      <c r="A940" s="38"/>
      <c r="B940" s="38"/>
      <c r="C940" s="38"/>
      <c r="D940" s="37"/>
      <c r="E940" s="37"/>
      <c r="F940" s="37"/>
      <c r="G940" s="37" t="str">
        <f>IF(F940="","",INDEX(站位样品信息!$B$3:INDEX(站位样品信息!$B:$B,COUNTA(站位样品信息!$B:$B)+1),MATCH($F940,站位样品信息!$A$3:INDEX(站位样品信息!$A:$A,COUNTA(站位样品信息!$A:$A)+1),),))</f>
        <v/>
      </c>
      <c r="H940" s="55" t="str">
        <f>IF(OR(A940&lt;&gt;"",B940&lt;&gt;"",C940&lt;&gt;""),IF($C940&lt;&gt;0,INDEX(生物种群!$A$3:INDEX(生物种群!$A:$A,COUNTA(生物种群!$A:$A)),MATCH($C940,生物种群!$F$3:INDEX(生物种群!$F:$F,COUNTA(生物种群!$F:$F)),),),IF($A940&lt;&gt;0,INDEX(生物种群!$A$3:INDEX(生物种群!$A:$A,COUNTA(生物种群!$A:$A)),MATCH($A940,生物种群!$C$3:INDEX(生物种群!$C:$C,COUNTA(生物种群!$C:$C)),),),INDEX(生物种群!$A$3:INDEX(生物种群!$A:$A,COUNTA(生物种群!$A:$A)),MATCH($B940,生物种群!$D$3:INDEX(生物种群!$D:$D,COUNTA(生物种群!$D:$D)),),))),"")</f>
        <v/>
      </c>
      <c r="I940" s="56" t="str">
        <f>IF(H940="","",INDEX(生物种群!$B$3:INDEX(生物种群!$B:$B,COUNTA(生物种群!$B:$B)),MATCH($H940,生物种群!$A$3:INDEX(生物种群!$A:$A,COUNTA(生物种群!$A:$A)),),))</f>
        <v/>
      </c>
      <c r="J940" s="55" t="str">
        <f>IF(H940="","",INDEX(生物种群!$I$3:INDEX(生物种群!$I:$I,COUNTA(生物种群!$I:$I)),MATCH($H940,生物种群!$A$3:INDEX(生物种群!$A:$A,COUNTA(生物种群!$A:$A)),),))</f>
        <v/>
      </c>
      <c r="K940" s="55" t="str">
        <f>IF(H940="","",INDEX(生物种群!$E$3:INDEX(生物种群!$E:$E,COUNTA(生物种群!$E:$E)),MATCH($H940,生物种群!$A$3:INDEX(生物种群!$A:$A,COUNTA(生物种群!$A:$A)),),))</f>
        <v/>
      </c>
      <c r="L940" s="46" t="str">
        <f t="shared" si="48"/>
        <v/>
      </c>
      <c r="M940" s="47" t="str">
        <f>IF(L940="","",ROUND((L940)/VLOOKUP($F940,IF({1,0},站位样品信息!$A$3:INDEX(站位样品信息!$A:$A,COUNTA(站位样品信息!$A:$A)+1),站位样品信息!$H$3:INDEX(站位样品信息!$H:$H,COUNTA(站位样品信息!$H:$H)+1)),2,0),2))</f>
        <v/>
      </c>
      <c r="O940" s="49"/>
      <c r="P940" s="53" t="str">
        <f t="shared" si="46"/>
        <v/>
      </c>
      <c r="Q940" s="53" t="str">
        <f t="shared" si="47"/>
        <v/>
      </c>
    </row>
    <row r="941" spans="1:17" ht="19.5" customHeight="1">
      <c r="A941" s="38"/>
      <c r="B941" s="38"/>
      <c r="C941" s="38"/>
      <c r="D941" s="37"/>
      <c r="E941" s="37"/>
      <c r="F941" s="37"/>
      <c r="G941" s="37" t="str">
        <f>IF(F941="","",INDEX(站位样品信息!$B$3:INDEX(站位样品信息!$B:$B,COUNTA(站位样品信息!$B:$B)+1),MATCH($F941,站位样品信息!$A$3:INDEX(站位样品信息!$A:$A,COUNTA(站位样品信息!$A:$A)+1),),))</f>
        <v/>
      </c>
      <c r="H941" s="55" t="str">
        <f>IF(OR(A941&lt;&gt;"",B941&lt;&gt;"",C941&lt;&gt;""),IF($C941&lt;&gt;0,INDEX(生物种群!$A$3:INDEX(生物种群!$A:$A,COUNTA(生物种群!$A:$A)),MATCH($C941,生物种群!$F$3:INDEX(生物种群!$F:$F,COUNTA(生物种群!$F:$F)),),),IF($A941&lt;&gt;0,INDEX(生物种群!$A$3:INDEX(生物种群!$A:$A,COUNTA(生物种群!$A:$A)),MATCH($A941,生物种群!$C$3:INDEX(生物种群!$C:$C,COUNTA(生物种群!$C:$C)),),),INDEX(生物种群!$A$3:INDEX(生物种群!$A:$A,COUNTA(生物种群!$A:$A)),MATCH($B941,生物种群!$D$3:INDEX(生物种群!$D:$D,COUNTA(生物种群!$D:$D)),),))),"")</f>
        <v/>
      </c>
      <c r="I941" s="56" t="str">
        <f>IF(H941="","",INDEX(生物种群!$B$3:INDEX(生物种群!$B:$B,COUNTA(生物种群!$B:$B)),MATCH($H941,生物种群!$A$3:INDEX(生物种群!$A:$A,COUNTA(生物种群!$A:$A)),),))</f>
        <v/>
      </c>
      <c r="J941" s="55" t="str">
        <f>IF(H941="","",INDEX(生物种群!$I$3:INDEX(生物种群!$I:$I,COUNTA(生物种群!$I:$I)),MATCH($H941,生物种群!$A$3:INDEX(生物种群!$A:$A,COUNTA(生物种群!$A:$A)),),))</f>
        <v/>
      </c>
      <c r="K941" s="55" t="str">
        <f>IF(H941="","",INDEX(生物种群!$E$3:INDEX(生物种群!$E:$E,COUNTA(生物种群!$E:$E)),MATCH($H941,生物种群!$A$3:INDEX(生物种群!$A:$A,COUNTA(生物种群!$A:$A)),),))</f>
        <v/>
      </c>
      <c r="L941" s="46" t="str">
        <f t="shared" si="48"/>
        <v/>
      </c>
      <c r="M941" s="47" t="str">
        <f>IF(L941="","",ROUND((L941)/VLOOKUP($F941,IF({1,0},站位样品信息!$A$3:INDEX(站位样品信息!$A:$A,COUNTA(站位样品信息!$A:$A)+1),站位样品信息!$H$3:INDEX(站位样品信息!$H:$H,COUNTA(站位样品信息!$H:$H)+1)),2,0),2))</f>
        <v/>
      </c>
      <c r="O941" s="49"/>
      <c r="P941" s="53" t="str">
        <f t="shared" si="46"/>
        <v/>
      </c>
      <c r="Q941" s="53" t="str">
        <f t="shared" si="47"/>
        <v/>
      </c>
    </row>
    <row r="942" spans="1:17" ht="19.5" customHeight="1">
      <c r="A942" s="38"/>
      <c r="B942" s="38"/>
      <c r="C942" s="38"/>
      <c r="D942" s="37"/>
      <c r="E942" s="37"/>
      <c r="F942" s="37"/>
      <c r="G942" s="37" t="str">
        <f>IF(F942="","",INDEX(站位样品信息!$B$3:INDEX(站位样品信息!$B:$B,COUNTA(站位样品信息!$B:$B)+1),MATCH($F942,站位样品信息!$A$3:INDEX(站位样品信息!$A:$A,COUNTA(站位样品信息!$A:$A)+1),),))</f>
        <v/>
      </c>
      <c r="H942" s="55" t="str">
        <f>IF(OR(A942&lt;&gt;"",B942&lt;&gt;"",C942&lt;&gt;""),IF($C942&lt;&gt;0,INDEX(生物种群!$A$3:INDEX(生物种群!$A:$A,COUNTA(生物种群!$A:$A)),MATCH($C942,生物种群!$F$3:INDEX(生物种群!$F:$F,COUNTA(生物种群!$F:$F)),),),IF($A942&lt;&gt;0,INDEX(生物种群!$A$3:INDEX(生物种群!$A:$A,COUNTA(生物种群!$A:$A)),MATCH($A942,生物种群!$C$3:INDEX(生物种群!$C:$C,COUNTA(生物种群!$C:$C)),),),INDEX(生物种群!$A$3:INDEX(生物种群!$A:$A,COUNTA(生物种群!$A:$A)),MATCH($B942,生物种群!$D$3:INDEX(生物种群!$D:$D,COUNTA(生物种群!$D:$D)),),))),"")</f>
        <v/>
      </c>
      <c r="I942" s="56" t="str">
        <f>IF(H942="","",INDEX(生物种群!$B$3:INDEX(生物种群!$B:$B,COUNTA(生物种群!$B:$B)),MATCH($H942,生物种群!$A$3:INDEX(生物种群!$A:$A,COUNTA(生物种群!$A:$A)),),))</f>
        <v/>
      </c>
      <c r="J942" s="55" t="str">
        <f>IF(H942="","",INDEX(生物种群!$I$3:INDEX(生物种群!$I:$I,COUNTA(生物种群!$I:$I)),MATCH($H942,生物种群!$A$3:INDEX(生物种群!$A:$A,COUNTA(生物种群!$A:$A)),),))</f>
        <v/>
      </c>
      <c r="K942" s="55" t="str">
        <f>IF(H942="","",INDEX(生物种群!$E$3:INDEX(生物种群!$E:$E,COUNTA(生物种群!$E:$E)),MATCH($H942,生物种群!$A$3:INDEX(生物种群!$A:$A,COUNTA(生物种群!$A:$A)),),))</f>
        <v/>
      </c>
      <c r="L942" s="46" t="str">
        <f t="shared" si="48"/>
        <v/>
      </c>
      <c r="M942" s="47" t="str">
        <f>IF(L942="","",ROUND((L942)/VLOOKUP($F942,IF({1,0},站位样品信息!$A$3:INDEX(站位样品信息!$A:$A,COUNTA(站位样品信息!$A:$A)+1),站位样品信息!$H$3:INDEX(站位样品信息!$H:$H,COUNTA(站位样品信息!$H:$H)+1)),2,0),2))</f>
        <v/>
      </c>
      <c r="O942" s="49"/>
      <c r="P942" s="53" t="str">
        <f t="shared" si="46"/>
        <v/>
      </c>
      <c r="Q942" s="53" t="str">
        <f t="shared" si="47"/>
        <v/>
      </c>
    </row>
    <row r="943" spans="1:17" ht="19.5" customHeight="1">
      <c r="A943" s="38"/>
      <c r="B943" s="38"/>
      <c r="C943" s="38"/>
      <c r="D943" s="37"/>
      <c r="E943" s="37"/>
      <c r="F943" s="37"/>
      <c r="G943" s="37" t="str">
        <f>IF(F943="","",INDEX(站位样品信息!$B$3:INDEX(站位样品信息!$B:$B,COUNTA(站位样品信息!$B:$B)+1),MATCH($F943,站位样品信息!$A$3:INDEX(站位样品信息!$A:$A,COUNTA(站位样品信息!$A:$A)+1),),))</f>
        <v/>
      </c>
      <c r="H943" s="55" t="str">
        <f>IF(OR(A943&lt;&gt;"",B943&lt;&gt;"",C943&lt;&gt;""),IF($C943&lt;&gt;0,INDEX(生物种群!$A$3:INDEX(生物种群!$A:$A,COUNTA(生物种群!$A:$A)),MATCH($C943,生物种群!$F$3:INDEX(生物种群!$F:$F,COUNTA(生物种群!$F:$F)),),),IF($A943&lt;&gt;0,INDEX(生物种群!$A$3:INDEX(生物种群!$A:$A,COUNTA(生物种群!$A:$A)),MATCH($A943,生物种群!$C$3:INDEX(生物种群!$C:$C,COUNTA(生物种群!$C:$C)),),),INDEX(生物种群!$A$3:INDEX(生物种群!$A:$A,COUNTA(生物种群!$A:$A)),MATCH($B943,生物种群!$D$3:INDEX(生物种群!$D:$D,COUNTA(生物种群!$D:$D)),),))),"")</f>
        <v/>
      </c>
      <c r="I943" s="56" t="str">
        <f>IF(H943="","",INDEX(生物种群!$B$3:INDEX(生物种群!$B:$B,COUNTA(生物种群!$B:$B)),MATCH($H943,生物种群!$A$3:INDEX(生物种群!$A:$A,COUNTA(生物种群!$A:$A)),),))</f>
        <v/>
      </c>
      <c r="J943" s="55" t="str">
        <f>IF(H943="","",INDEX(生物种群!$I$3:INDEX(生物种群!$I:$I,COUNTA(生物种群!$I:$I)),MATCH($H943,生物种群!$A$3:INDEX(生物种群!$A:$A,COUNTA(生物种群!$A:$A)),),))</f>
        <v/>
      </c>
      <c r="K943" s="55" t="str">
        <f>IF(H943="","",INDEX(生物种群!$E$3:INDEX(生物种群!$E:$E,COUNTA(生物种群!$E:$E)),MATCH($H943,生物种群!$A$3:INDEX(生物种群!$A:$A,COUNTA(生物种群!$A:$A)),),))</f>
        <v/>
      </c>
      <c r="L943" s="46" t="str">
        <f t="shared" si="48"/>
        <v/>
      </c>
      <c r="M943" s="47" t="str">
        <f>IF(L943="","",ROUND((L943)/VLOOKUP($F943,IF({1,0},站位样品信息!$A$3:INDEX(站位样品信息!$A:$A,COUNTA(站位样品信息!$A:$A)+1),站位样品信息!$H$3:INDEX(站位样品信息!$H:$H,COUNTA(站位样品信息!$H:$H)+1)),2,0),2))</f>
        <v/>
      </c>
      <c r="O943" s="49"/>
      <c r="P943" s="53" t="str">
        <f t="shared" si="46"/>
        <v/>
      </c>
      <c r="Q943" s="53" t="str">
        <f t="shared" si="47"/>
        <v/>
      </c>
    </row>
    <row r="944" spans="1:17" ht="19.5" customHeight="1">
      <c r="A944" s="38"/>
      <c r="B944" s="38"/>
      <c r="C944" s="38"/>
      <c r="D944" s="37"/>
      <c r="E944" s="37"/>
      <c r="F944" s="37"/>
      <c r="G944" s="37" t="str">
        <f>IF(F944="","",INDEX(站位样品信息!$B$3:INDEX(站位样品信息!$B:$B,COUNTA(站位样品信息!$B:$B)+1),MATCH($F944,站位样品信息!$A$3:INDEX(站位样品信息!$A:$A,COUNTA(站位样品信息!$A:$A)+1),),))</f>
        <v/>
      </c>
      <c r="H944" s="55" t="str">
        <f>IF(OR(A944&lt;&gt;"",B944&lt;&gt;"",C944&lt;&gt;""),IF($C944&lt;&gt;0,INDEX(生物种群!$A$3:INDEX(生物种群!$A:$A,COUNTA(生物种群!$A:$A)),MATCH($C944,生物种群!$F$3:INDEX(生物种群!$F:$F,COUNTA(生物种群!$F:$F)),),),IF($A944&lt;&gt;0,INDEX(生物种群!$A$3:INDEX(生物种群!$A:$A,COUNTA(生物种群!$A:$A)),MATCH($A944,生物种群!$C$3:INDEX(生物种群!$C:$C,COUNTA(生物种群!$C:$C)),),),INDEX(生物种群!$A$3:INDEX(生物种群!$A:$A,COUNTA(生物种群!$A:$A)),MATCH($B944,生物种群!$D$3:INDEX(生物种群!$D:$D,COUNTA(生物种群!$D:$D)),),))),"")</f>
        <v/>
      </c>
      <c r="I944" s="56" t="str">
        <f>IF(H944="","",INDEX(生物种群!$B$3:INDEX(生物种群!$B:$B,COUNTA(生物种群!$B:$B)),MATCH($H944,生物种群!$A$3:INDEX(生物种群!$A:$A,COUNTA(生物种群!$A:$A)),),))</f>
        <v/>
      </c>
      <c r="J944" s="55" t="str">
        <f>IF(H944="","",INDEX(生物种群!$I$3:INDEX(生物种群!$I:$I,COUNTA(生物种群!$I:$I)),MATCH($H944,生物种群!$A$3:INDEX(生物种群!$A:$A,COUNTA(生物种群!$A:$A)),),))</f>
        <v/>
      </c>
      <c r="K944" s="55" t="str">
        <f>IF(H944="","",INDEX(生物种群!$E$3:INDEX(生物种群!$E:$E,COUNTA(生物种群!$E:$E)),MATCH($H944,生物种群!$A$3:INDEX(生物种群!$A:$A,COUNTA(生物种群!$A:$A)),),))</f>
        <v/>
      </c>
      <c r="L944" s="46" t="str">
        <f t="shared" si="48"/>
        <v/>
      </c>
      <c r="M944" s="47" t="str">
        <f>IF(L944="","",ROUND((L944)/VLOOKUP($F944,IF({1,0},站位样品信息!$A$3:INDEX(站位样品信息!$A:$A,COUNTA(站位样品信息!$A:$A)+1),站位样品信息!$H$3:INDEX(站位样品信息!$H:$H,COUNTA(站位样品信息!$H:$H)+1)),2,0),2))</f>
        <v/>
      </c>
      <c r="O944" s="49"/>
      <c r="P944" s="53" t="str">
        <f t="shared" si="46"/>
        <v/>
      </c>
      <c r="Q944" s="53" t="str">
        <f t="shared" si="47"/>
        <v/>
      </c>
    </row>
    <row r="945" spans="1:17" ht="19.5" customHeight="1">
      <c r="A945" s="38"/>
      <c r="B945" s="38"/>
      <c r="C945" s="38"/>
      <c r="D945" s="37"/>
      <c r="E945" s="37"/>
      <c r="F945" s="37"/>
      <c r="G945" s="37" t="str">
        <f>IF(F945="","",INDEX(站位样品信息!$B$3:INDEX(站位样品信息!$B:$B,COUNTA(站位样品信息!$B:$B)+1),MATCH($F945,站位样品信息!$A$3:INDEX(站位样品信息!$A:$A,COUNTA(站位样品信息!$A:$A)+1),),))</f>
        <v/>
      </c>
      <c r="H945" s="55" t="str">
        <f>IF(OR(A945&lt;&gt;"",B945&lt;&gt;"",C945&lt;&gt;""),IF($C945&lt;&gt;0,INDEX(生物种群!$A$3:INDEX(生物种群!$A:$A,COUNTA(生物种群!$A:$A)),MATCH($C945,生物种群!$F$3:INDEX(生物种群!$F:$F,COUNTA(生物种群!$F:$F)),),),IF($A945&lt;&gt;0,INDEX(生物种群!$A$3:INDEX(生物种群!$A:$A,COUNTA(生物种群!$A:$A)),MATCH($A945,生物种群!$C$3:INDEX(生物种群!$C:$C,COUNTA(生物种群!$C:$C)),),),INDEX(生物种群!$A$3:INDEX(生物种群!$A:$A,COUNTA(生物种群!$A:$A)),MATCH($B945,生物种群!$D$3:INDEX(生物种群!$D:$D,COUNTA(生物种群!$D:$D)),),))),"")</f>
        <v/>
      </c>
      <c r="I945" s="56" t="str">
        <f>IF(H945="","",INDEX(生物种群!$B$3:INDEX(生物种群!$B:$B,COUNTA(生物种群!$B:$B)),MATCH($H945,生物种群!$A$3:INDEX(生物种群!$A:$A,COUNTA(生物种群!$A:$A)),),))</f>
        <v/>
      </c>
      <c r="J945" s="55" t="str">
        <f>IF(H945="","",INDEX(生物种群!$I$3:INDEX(生物种群!$I:$I,COUNTA(生物种群!$I:$I)),MATCH($H945,生物种群!$A$3:INDEX(生物种群!$A:$A,COUNTA(生物种群!$A:$A)),),))</f>
        <v/>
      </c>
      <c r="K945" s="55" t="str">
        <f>IF(H945="","",INDEX(生物种群!$E$3:INDEX(生物种群!$E:$E,COUNTA(生物种群!$E:$E)),MATCH($H945,生物种群!$A$3:INDEX(生物种群!$A:$A,COUNTA(生物种群!$A:$A)),),))</f>
        <v/>
      </c>
      <c r="L945" s="46" t="str">
        <f t="shared" si="48"/>
        <v/>
      </c>
      <c r="M945" s="47" t="str">
        <f>IF(L945="","",ROUND((L945)/VLOOKUP($F945,IF({1,0},站位样品信息!$A$3:INDEX(站位样品信息!$A:$A,COUNTA(站位样品信息!$A:$A)+1),站位样品信息!$H$3:INDEX(站位样品信息!$H:$H,COUNTA(站位样品信息!$H:$H)+1)),2,0),2))</f>
        <v/>
      </c>
      <c r="O945" s="49"/>
      <c r="P945" s="53" t="str">
        <f t="shared" si="46"/>
        <v/>
      </c>
      <c r="Q945" s="53" t="str">
        <f t="shared" si="47"/>
        <v/>
      </c>
    </row>
    <row r="946" spans="1:17" ht="19.5" customHeight="1">
      <c r="A946" s="38"/>
      <c r="B946" s="38"/>
      <c r="C946" s="38"/>
      <c r="D946" s="37"/>
      <c r="E946" s="37"/>
      <c r="F946" s="37"/>
      <c r="G946" s="37" t="str">
        <f>IF(F946="","",INDEX(站位样品信息!$B$3:INDEX(站位样品信息!$B:$B,COUNTA(站位样品信息!$B:$B)+1),MATCH($F946,站位样品信息!$A$3:INDEX(站位样品信息!$A:$A,COUNTA(站位样品信息!$A:$A)+1),),))</f>
        <v/>
      </c>
      <c r="H946" s="55" t="str">
        <f>IF(OR(A946&lt;&gt;"",B946&lt;&gt;"",C946&lt;&gt;""),IF($C946&lt;&gt;0,INDEX(生物种群!$A$3:INDEX(生物种群!$A:$A,COUNTA(生物种群!$A:$A)),MATCH($C946,生物种群!$F$3:INDEX(生物种群!$F:$F,COUNTA(生物种群!$F:$F)),),),IF($A946&lt;&gt;0,INDEX(生物种群!$A$3:INDEX(生物种群!$A:$A,COUNTA(生物种群!$A:$A)),MATCH($A946,生物种群!$C$3:INDEX(生物种群!$C:$C,COUNTA(生物种群!$C:$C)),),),INDEX(生物种群!$A$3:INDEX(生物种群!$A:$A,COUNTA(生物种群!$A:$A)),MATCH($B946,生物种群!$D$3:INDEX(生物种群!$D:$D,COUNTA(生物种群!$D:$D)),),))),"")</f>
        <v/>
      </c>
      <c r="I946" s="56" t="str">
        <f>IF(H946="","",INDEX(生物种群!$B$3:INDEX(生物种群!$B:$B,COUNTA(生物种群!$B:$B)),MATCH($H946,生物种群!$A$3:INDEX(生物种群!$A:$A,COUNTA(生物种群!$A:$A)),),))</f>
        <v/>
      </c>
      <c r="J946" s="55" t="str">
        <f>IF(H946="","",INDEX(生物种群!$I$3:INDEX(生物种群!$I:$I,COUNTA(生物种群!$I:$I)),MATCH($H946,生物种群!$A$3:INDEX(生物种群!$A:$A,COUNTA(生物种群!$A:$A)),),))</f>
        <v/>
      </c>
      <c r="K946" s="55" t="str">
        <f>IF(H946="","",INDEX(生物种群!$E$3:INDEX(生物种群!$E:$E,COUNTA(生物种群!$E:$E)),MATCH($H946,生物种群!$A$3:INDEX(生物种群!$A:$A,COUNTA(生物种群!$A:$A)),),))</f>
        <v/>
      </c>
      <c r="L946" s="46" t="str">
        <f t="shared" si="48"/>
        <v/>
      </c>
      <c r="M946" s="47" t="str">
        <f>IF(L946="","",ROUND((L946)/VLOOKUP($F946,IF({1,0},站位样品信息!$A$3:INDEX(站位样品信息!$A:$A,COUNTA(站位样品信息!$A:$A)+1),站位样品信息!$H$3:INDEX(站位样品信息!$H:$H,COUNTA(站位样品信息!$H:$H)+1)),2,0),2))</f>
        <v/>
      </c>
      <c r="O946" s="49"/>
      <c r="P946" s="53" t="str">
        <f t="shared" si="46"/>
        <v/>
      </c>
      <c r="Q946" s="53" t="str">
        <f t="shared" si="47"/>
        <v/>
      </c>
    </row>
    <row r="947" spans="1:17" ht="19.5" customHeight="1">
      <c r="A947" s="38"/>
      <c r="B947" s="38"/>
      <c r="C947" s="38"/>
      <c r="D947" s="37"/>
      <c r="E947" s="37"/>
      <c r="F947" s="37"/>
      <c r="G947" s="37" t="str">
        <f>IF(F947="","",INDEX(站位样品信息!$B$3:INDEX(站位样品信息!$B:$B,COUNTA(站位样品信息!$B:$B)+1),MATCH($F947,站位样品信息!$A$3:INDEX(站位样品信息!$A:$A,COUNTA(站位样品信息!$A:$A)+1),),))</f>
        <v/>
      </c>
      <c r="H947" s="55" t="str">
        <f>IF(OR(A947&lt;&gt;"",B947&lt;&gt;"",C947&lt;&gt;""),IF($C947&lt;&gt;0,INDEX(生物种群!$A$3:INDEX(生物种群!$A:$A,COUNTA(生物种群!$A:$A)),MATCH($C947,生物种群!$F$3:INDEX(生物种群!$F:$F,COUNTA(生物种群!$F:$F)),),),IF($A947&lt;&gt;0,INDEX(生物种群!$A$3:INDEX(生物种群!$A:$A,COUNTA(生物种群!$A:$A)),MATCH($A947,生物种群!$C$3:INDEX(生物种群!$C:$C,COUNTA(生物种群!$C:$C)),),),INDEX(生物种群!$A$3:INDEX(生物种群!$A:$A,COUNTA(生物种群!$A:$A)),MATCH($B947,生物种群!$D$3:INDEX(生物种群!$D:$D,COUNTA(生物种群!$D:$D)),),))),"")</f>
        <v/>
      </c>
      <c r="I947" s="56" t="str">
        <f>IF(H947="","",INDEX(生物种群!$B$3:INDEX(生物种群!$B:$B,COUNTA(生物种群!$B:$B)),MATCH($H947,生物种群!$A$3:INDEX(生物种群!$A:$A,COUNTA(生物种群!$A:$A)),),))</f>
        <v/>
      </c>
      <c r="J947" s="55" t="str">
        <f>IF(H947="","",INDEX(生物种群!$I$3:INDEX(生物种群!$I:$I,COUNTA(生物种群!$I:$I)),MATCH($H947,生物种群!$A$3:INDEX(生物种群!$A:$A,COUNTA(生物种群!$A:$A)),),))</f>
        <v/>
      </c>
      <c r="K947" s="55" t="str">
        <f>IF(H947="","",INDEX(生物种群!$E$3:INDEX(生物种群!$E:$E,COUNTA(生物种群!$E:$E)),MATCH($H947,生物种群!$A$3:INDEX(生物种群!$A:$A,COUNTA(生物种群!$A:$A)),),))</f>
        <v/>
      </c>
      <c r="L947" s="46" t="str">
        <f t="shared" si="48"/>
        <v/>
      </c>
      <c r="M947" s="47" t="str">
        <f>IF(L947="","",ROUND((L947)/VLOOKUP($F947,IF({1,0},站位样品信息!$A$3:INDEX(站位样品信息!$A:$A,COUNTA(站位样品信息!$A:$A)+1),站位样品信息!$H$3:INDEX(站位样品信息!$H:$H,COUNTA(站位样品信息!$H:$H)+1)),2,0),2))</f>
        <v/>
      </c>
      <c r="O947" s="49"/>
      <c r="P947" s="53" t="str">
        <f t="shared" si="46"/>
        <v/>
      </c>
      <c r="Q947" s="53" t="str">
        <f t="shared" si="47"/>
        <v/>
      </c>
    </row>
    <row r="948" spans="1:17" ht="19.5" customHeight="1">
      <c r="A948" s="38"/>
      <c r="B948" s="38"/>
      <c r="C948" s="38"/>
      <c r="D948" s="37"/>
      <c r="E948" s="37"/>
      <c r="F948" s="37"/>
      <c r="G948" s="37" t="str">
        <f>IF(F948="","",INDEX(站位样品信息!$B$3:INDEX(站位样品信息!$B:$B,COUNTA(站位样品信息!$B:$B)+1),MATCH($F948,站位样品信息!$A$3:INDEX(站位样品信息!$A:$A,COUNTA(站位样品信息!$A:$A)+1),),))</f>
        <v/>
      </c>
      <c r="H948" s="55" t="str">
        <f>IF(OR(A948&lt;&gt;"",B948&lt;&gt;"",C948&lt;&gt;""),IF($C948&lt;&gt;0,INDEX(生物种群!$A$3:INDEX(生物种群!$A:$A,COUNTA(生物种群!$A:$A)),MATCH($C948,生物种群!$F$3:INDEX(生物种群!$F:$F,COUNTA(生物种群!$F:$F)),),),IF($A948&lt;&gt;0,INDEX(生物种群!$A$3:INDEX(生物种群!$A:$A,COUNTA(生物种群!$A:$A)),MATCH($A948,生物种群!$C$3:INDEX(生物种群!$C:$C,COUNTA(生物种群!$C:$C)),),),INDEX(生物种群!$A$3:INDEX(生物种群!$A:$A,COUNTA(生物种群!$A:$A)),MATCH($B948,生物种群!$D$3:INDEX(生物种群!$D:$D,COUNTA(生物种群!$D:$D)),),))),"")</f>
        <v/>
      </c>
      <c r="I948" s="56" t="str">
        <f>IF(H948="","",INDEX(生物种群!$B$3:INDEX(生物种群!$B:$B,COUNTA(生物种群!$B:$B)),MATCH($H948,生物种群!$A$3:INDEX(生物种群!$A:$A,COUNTA(生物种群!$A:$A)),),))</f>
        <v/>
      </c>
      <c r="J948" s="55" t="str">
        <f>IF(H948="","",INDEX(生物种群!$I$3:INDEX(生物种群!$I:$I,COUNTA(生物种群!$I:$I)),MATCH($H948,生物种群!$A$3:INDEX(生物种群!$A:$A,COUNTA(生物种群!$A:$A)),),))</f>
        <v/>
      </c>
      <c r="K948" s="55" t="str">
        <f>IF(H948="","",INDEX(生物种群!$E$3:INDEX(生物种群!$E:$E,COUNTA(生物种群!$E:$E)),MATCH($H948,生物种群!$A$3:INDEX(生物种群!$A:$A,COUNTA(生物种群!$A:$A)),),))</f>
        <v/>
      </c>
      <c r="L948" s="46" t="str">
        <f t="shared" si="48"/>
        <v/>
      </c>
      <c r="M948" s="47" t="str">
        <f>IF(L948="","",ROUND((L948)/VLOOKUP($F948,IF({1,0},站位样品信息!$A$3:INDEX(站位样品信息!$A:$A,COUNTA(站位样品信息!$A:$A)+1),站位样品信息!$H$3:INDEX(站位样品信息!$H:$H,COUNTA(站位样品信息!$H:$H)+1)),2,0),2))</f>
        <v/>
      </c>
      <c r="O948" s="49"/>
      <c r="P948" s="53" t="str">
        <f t="shared" si="46"/>
        <v/>
      </c>
      <c r="Q948" s="53" t="str">
        <f t="shared" si="47"/>
        <v/>
      </c>
    </row>
    <row r="949" spans="1:17" ht="19.5" customHeight="1">
      <c r="A949" s="38"/>
      <c r="B949" s="38"/>
      <c r="C949" s="38"/>
      <c r="D949" s="37"/>
      <c r="E949" s="37"/>
      <c r="F949" s="37"/>
      <c r="G949" s="37" t="str">
        <f>IF(F949="","",INDEX(站位样品信息!$B$3:INDEX(站位样品信息!$B:$B,COUNTA(站位样品信息!$B:$B)+1),MATCH($F949,站位样品信息!$A$3:INDEX(站位样品信息!$A:$A,COUNTA(站位样品信息!$A:$A)+1),),))</f>
        <v/>
      </c>
      <c r="H949" s="55" t="str">
        <f>IF(OR(A949&lt;&gt;"",B949&lt;&gt;"",C949&lt;&gt;""),IF($C949&lt;&gt;0,INDEX(生物种群!$A$3:INDEX(生物种群!$A:$A,COUNTA(生物种群!$A:$A)),MATCH($C949,生物种群!$F$3:INDEX(生物种群!$F:$F,COUNTA(生物种群!$F:$F)),),),IF($A949&lt;&gt;0,INDEX(生物种群!$A$3:INDEX(生物种群!$A:$A,COUNTA(生物种群!$A:$A)),MATCH($A949,生物种群!$C$3:INDEX(生物种群!$C:$C,COUNTA(生物种群!$C:$C)),),),INDEX(生物种群!$A$3:INDEX(生物种群!$A:$A,COUNTA(生物种群!$A:$A)),MATCH($B949,生物种群!$D$3:INDEX(生物种群!$D:$D,COUNTA(生物种群!$D:$D)),),))),"")</f>
        <v/>
      </c>
      <c r="I949" s="56" t="str">
        <f>IF(H949="","",INDEX(生物种群!$B$3:INDEX(生物种群!$B:$B,COUNTA(生物种群!$B:$B)),MATCH($H949,生物种群!$A$3:INDEX(生物种群!$A:$A,COUNTA(生物种群!$A:$A)),),))</f>
        <v/>
      </c>
      <c r="J949" s="55" t="str">
        <f>IF(H949="","",INDEX(生物种群!$I$3:INDEX(生物种群!$I:$I,COUNTA(生物种群!$I:$I)),MATCH($H949,生物种群!$A$3:INDEX(生物种群!$A:$A,COUNTA(生物种群!$A:$A)),),))</f>
        <v/>
      </c>
      <c r="K949" s="55" t="str">
        <f>IF(H949="","",INDEX(生物种群!$E$3:INDEX(生物种群!$E:$E,COUNTA(生物种群!$E:$E)),MATCH($H949,生物种群!$A$3:INDEX(生物种群!$A:$A,COUNTA(生物种群!$A:$A)),),))</f>
        <v/>
      </c>
      <c r="L949" s="46" t="str">
        <f t="shared" si="48"/>
        <v/>
      </c>
      <c r="M949" s="47" t="str">
        <f>IF(L949="","",ROUND((L949)/VLOOKUP($F949,IF({1,0},站位样品信息!$A$3:INDEX(站位样品信息!$A:$A,COUNTA(站位样品信息!$A:$A)+1),站位样品信息!$H$3:INDEX(站位样品信息!$H:$H,COUNTA(站位样品信息!$H:$H)+1)),2,0),2))</f>
        <v/>
      </c>
      <c r="O949" s="49"/>
      <c r="P949" s="53" t="str">
        <f t="shared" si="46"/>
        <v/>
      </c>
      <c r="Q949" s="53" t="str">
        <f t="shared" si="47"/>
        <v/>
      </c>
    </row>
    <row r="950" spans="1:17" ht="19.5" customHeight="1">
      <c r="A950" s="38"/>
      <c r="B950" s="38"/>
      <c r="C950" s="38"/>
      <c r="D950" s="37"/>
      <c r="E950" s="37"/>
      <c r="F950" s="37"/>
      <c r="G950" s="37" t="str">
        <f>IF(F950="","",INDEX(站位样品信息!$B$3:INDEX(站位样品信息!$B:$B,COUNTA(站位样品信息!$B:$B)+1),MATCH($F950,站位样品信息!$A$3:INDEX(站位样品信息!$A:$A,COUNTA(站位样品信息!$A:$A)+1),),))</f>
        <v/>
      </c>
      <c r="H950" s="55" t="str">
        <f>IF(OR(A950&lt;&gt;"",B950&lt;&gt;"",C950&lt;&gt;""),IF($C950&lt;&gt;0,INDEX(生物种群!$A$3:INDEX(生物种群!$A:$A,COUNTA(生物种群!$A:$A)),MATCH($C950,生物种群!$F$3:INDEX(生物种群!$F:$F,COUNTA(生物种群!$F:$F)),),),IF($A950&lt;&gt;0,INDEX(生物种群!$A$3:INDEX(生物种群!$A:$A,COUNTA(生物种群!$A:$A)),MATCH($A950,生物种群!$C$3:INDEX(生物种群!$C:$C,COUNTA(生物种群!$C:$C)),),),INDEX(生物种群!$A$3:INDEX(生物种群!$A:$A,COUNTA(生物种群!$A:$A)),MATCH($B950,生物种群!$D$3:INDEX(生物种群!$D:$D,COUNTA(生物种群!$D:$D)),),))),"")</f>
        <v/>
      </c>
      <c r="I950" s="56" t="str">
        <f>IF(H950="","",INDEX(生物种群!$B$3:INDEX(生物种群!$B:$B,COUNTA(生物种群!$B:$B)),MATCH($H950,生物种群!$A$3:INDEX(生物种群!$A:$A,COUNTA(生物种群!$A:$A)),),))</f>
        <v/>
      </c>
      <c r="J950" s="55" t="str">
        <f>IF(H950="","",INDEX(生物种群!$I$3:INDEX(生物种群!$I:$I,COUNTA(生物种群!$I:$I)),MATCH($H950,生物种群!$A$3:INDEX(生物种群!$A:$A,COUNTA(生物种群!$A:$A)),),))</f>
        <v/>
      </c>
      <c r="K950" s="55" t="str">
        <f>IF(H950="","",INDEX(生物种群!$E$3:INDEX(生物种群!$E:$E,COUNTA(生物种群!$E:$E)),MATCH($H950,生物种群!$A$3:INDEX(生物种群!$A:$A,COUNTA(生物种群!$A:$A)),),))</f>
        <v/>
      </c>
      <c r="L950" s="46" t="str">
        <f t="shared" si="48"/>
        <v/>
      </c>
      <c r="M950" s="47" t="str">
        <f>IF(L950="","",ROUND((L950)/VLOOKUP($F950,IF({1,0},站位样品信息!$A$3:INDEX(站位样品信息!$A:$A,COUNTA(站位样品信息!$A:$A)+1),站位样品信息!$H$3:INDEX(站位样品信息!$H:$H,COUNTA(站位样品信息!$H:$H)+1)),2,0),2))</f>
        <v/>
      </c>
      <c r="O950" s="49"/>
      <c r="P950" s="53" t="str">
        <f t="shared" si="46"/>
        <v/>
      </c>
      <c r="Q950" s="53" t="str">
        <f t="shared" si="47"/>
        <v/>
      </c>
    </row>
    <row r="951" spans="1:17" ht="19.5" customHeight="1">
      <c r="A951" s="38"/>
      <c r="B951" s="38"/>
      <c r="C951" s="38"/>
      <c r="D951" s="37"/>
      <c r="E951" s="37"/>
      <c r="F951" s="37"/>
      <c r="G951" s="37" t="str">
        <f>IF(F951="","",INDEX(站位样品信息!$B$3:INDEX(站位样品信息!$B:$B,COUNTA(站位样品信息!$B:$B)+1),MATCH($F951,站位样品信息!$A$3:INDEX(站位样品信息!$A:$A,COUNTA(站位样品信息!$A:$A)+1),),))</f>
        <v/>
      </c>
      <c r="H951" s="55" t="str">
        <f>IF(OR(A951&lt;&gt;"",B951&lt;&gt;"",C951&lt;&gt;""),IF($C951&lt;&gt;0,INDEX(生物种群!$A$3:INDEX(生物种群!$A:$A,COUNTA(生物种群!$A:$A)),MATCH($C951,生物种群!$F$3:INDEX(生物种群!$F:$F,COUNTA(生物种群!$F:$F)),),),IF($A951&lt;&gt;0,INDEX(生物种群!$A$3:INDEX(生物种群!$A:$A,COUNTA(生物种群!$A:$A)),MATCH($A951,生物种群!$C$3:INDEX(生物种群!$C:$C,COUNTA(生物种群!$C:$C)),),),INDEX(生物种群!$A$3:INDEX(生物种群!$A:$A,COUNTA(生物种群!$A:$A)),MATCH($B951,生物种群!$D$3:INDEX(生物种群!$D:$D,COUNTA(生物种群!$D:$D)),),))),"")</f>
        <v/>
      </c>
      <c r="I951" s="56" t="str">
        <f>IF(H951="","",INDEX(生物种群!$B$3:INDEX(生物种群!$B:$B,COUNTA(生物种群!$B:$B)),MATCH($H951,生物种群!$A$3:INDEX(生物种群!$A:$A,COUNTA(生物种群!$A:$A)),),))</f>
        <v/>
      </c>
      <c r="J951" s="55" t="str">
        <f>IF(H951="","",INDEX(生物种群!$I$3:INDEX(生物种群!$I:$I,COUNTA(生物种群!$I:$I)),MATCH($H951,生物种群!$A$3:INDEX(生物种群!$A:$A,COUNTA(生物种群!$A:$A)),),))</f>
        <v/>
      </c>
      <c r="K951" s="55" t="str">
        <f>IF(H951="","",INDEX(生物种群!$E$3:INDEX(生物种群!$E:$E,COUNTA(生物种群!$E:$E)),MATCH($H951,生物种群!$A$3:INDEX(生物种群!$A:$A,COUNTA(生物种群!$A:$A)),),))</f>
        <v/>
      </c>
      <c r="L951" s="46" t="str">
        <f t="shared" si="48"/>
        <v/>
      </c>
      <c r="M951" s="47" t="str">
        <f>IF(L951="","",ROUND((L951)/VLOOKUP($F951,IF({1,0},站位样品信息!$A$3:INDEX(站位样品信息!$A:$A,COUNTA(站位样品信息!$A:$A)+1),站位样品信息!$H$3:INDEX(站位样品信息!$H:$H,COUNTA(站位样品信息!$H:$H)+1)),2,0),2))</f>
        <v/>
      </c>
      <c r="O951" s="49"/>
      <c r="P951" s="53" t="str">
        <f t="shared" si="46"/>
        <v/>
      </c>
      <c r="Q951" s="53" t="str">
        <f t="shared" si="47"/>
        <v/>
      </c>
    </row>
    <row r="952" spans="1:17" ht="19.5" customHeight="1">
      <c r="A952" s="38"/>
      <c r="B952" s="38"/>
      <c r="C952" s="38"/>
      <c r="D952" s="37"/>
      <c r="E952" s="37"/>
      <c r="F952" s="37"/>
      <c r="G952" s="37" t="str">
        <f>IF(F952="","",INDEX(站位样品信息!$B$3:INDEX(站位样品信息!$B:$B,COUNTA(站位样品信息!$B:$B)+1),MATCH($F952,站位样品信息!$A$3:INDEX(站位样品信息!$A:$A,COUNTA(站位样品信息!$A:$A)+1),),))</f>
        <v/>
      </c>
      <c r="H952" s="55" t="str">
        <f>IF(OR(A952&lt;&gt;"",B952&lt;&gt;"",C952&lt;&gt;""),IF($C952&lt;&gt;0,INDEX(生物种群!$A$3:INDEX(生物种群!$A:$A,COUNTA(生物种群!$A:$A)),MATCH($C952,生物种群!$F$3:INDEX(生物种群!$F:$F,COUNTA(生物种群!$F:$F)),),),IF($A952&lt;&gt;0,INDEX(生物种群!$A$3:INDEX(生物种群!$A:$A,COUNTA(生物种群!$A:$A)),MATCH($A952,生物种群!$C$3:INDEX(生物种群!$C:$C,COUNTA(生物种群!$C:$C)),),),INDEX(生物种群!$A$3:INDEX(生物种群!$A:$A,COUNTA(生物种群!$A:$A)),MATCH($B952,生物种群!$D$3:INDEX(生物种群!$D:$D,COUNTA(生物种群!$D:$D)),),))),"")</f>
        <v/>
      </c>
      <c r="I952" s="56" t="str">
        <f>IF(H952="","",INDEX(生物种群!$B$3:INDEX(生物种群!$B:$B,COUNTA(生物种群!$B:$B)),MATCH($H952,生物种群!$A$3:INDEX(生物种群!$A:$A,COUNTA(生物种群!$A:$A)),),))</f>
        <v/>
      </c>
      <c r="J952" s="55" t="str">
        <f>IF(H952="","",INDEX(生物种群!$I$3:INDEX(生物种群!$I:$I,COUNTA(生物种群!$I:$I)),MATCH($H952,生物种群!$A$3:INDEX(生物种群!$A:$A,COUNTA(生物种群!$A:$A)),),))</f>
        <v/>
      </c>
      <c r="K952" s="55" t="str">
        <f>IF(H952="","",INDEX(生物种群!$E$3:INDEX(生物种群!$E:$E,COUNTA(生物种群!$E:$E)),MATCH($H952,生物种群!$A$3:INDEX(生物种群!$A:$A,COUNTA(生物种群!$A:$A)),),))</f>
        <v/>
      </c>
      <c r="L952" s="46" t="str">
        <f t="shared" si="48"/>
        <v/>
      </c>
      <c r="M952" s="47" t="str">
        <f>IF(L952="","",ROUND((L952)/VLOOKUP($F952,IF({1,0},站位样品信息!$A$3:INDEX(站位样品信息!$A:$A,COUNTA(站位样品信息!$A:$A)+1),站位样品信息!$H$3:INDEX(站位样品信息!$H:$H,COUNTA(站位样品信息!$H:$H)+1)),2,0),2))</f>
        <v/>
      </c>
      <c r="O952" s="49"/>
      <c r="P952" s="53" t="str">
        <f t="shared" si="46"/>
        <v/>
      </c>
      <c r="Q952" s="53" t="str">
        <f t="shared" si="47"/>
        <v/>
      </c>
    </row>
    <row r="953" spans="1:17" ht="19.5" customHeight="1">
      <c r="A953" s="38"/>
      <c r="B953" s="38"/>
      <c r="C953" s="38"/>
      <c r="D953" s="37"/>
      <c r="E953" s="37"/>
      <c r="F953" s="37"/>
      <c r="G953" s="37" t="str">
        <f>IF(F953="","",INDEX(站位样品信息!$B$3:INDEX(站位样品信息!$B:$B,COUNTA(站位样品信息!$B:$B)+1),MATCH($F953,站位样品信息!$A$3:INDEX(站位样品信息!$A:$A,COUNTA(站位样品信息!$A:$A)+1),),))</f>
        <v/>
      </c>
      <c r="H953" s="55" t="str">
        <f>IF(OR(A953&lt;&gt;"",B953&lt;&gt;"",C953&lt;&gt;""),IF($C953&lt;&gt;0,INDEX(生物种群!$A$3:INDEX(生物种群!$A:$A,COUNTA(生物种群!$A:$A)),MATCH($C953,生物种群!$F$3:INDEX(生物种群!$F:$F,COUNTA(生物种群!$F:$F)),),),IF($A953&lt;&gt;0,INDEX(生物种群!$A$3:INDEX(生物种群!$A:$A,COUNTA(生物种群!$A:$A)),MATCH($A953,生物种群!$C$3:INDEX(生物种群!$C:$C,COUNTA(生物种群!$C:$C)),),),INDEX(生物种群!$A$3:INDEX(生物种群!$A:$A,COUNTA(生物种群!$A:$A)),MATCH($B953,生物种群!$D$3:INDEX(生物种群!$D:$D,COUNTA(生物种群!$D:$D)),),))),"")</f>
        <v/>
      </c>
      <c r="I953" s="56" t="str">
        <f>IF(H953="","",INDEX(生物种群!$B$3:INDEX(生物种群!$B:$B,COUNTA(生物种群!$B:$B)),MATCH($H953,生物种群!$A$3:INDEX(生物种群!$A:$A,COUNTA(生物种群!$A:$A)),),))</f>
        <v/>
      </c>
      <c r="J953" s="55" t="str">
        <f>IF(H953="","",INDEX(生物种群!$I$3:INDEX(生物种群!$I:$I,COUNTA(生物种群!$I:$I)),MATCH($H953,生物种群!$A$3:INDEX(生物种群!$A:$A,COUNTA(生物种群!$A:$A)),),))</f>
        <v/>
      </c>
      <c r="K953" s="55" t="str">
        <f>IF(H953="","",INDEX(生物种群!$E$3:INDEX(生物种群!$E:$E,COUNTA(生物种群!$E:$E)),MATCH($H953,生物种群!$A$3:INDEX(生物种群!$A:$A,COUNTA(生物种群!$A:$A)),),))</f>
        <v/>
      </c>
      <c r="L953" s="46" t="str">
        <f t="shared" si="48"/>
        <v/>
      </c>
      <c r="M953" s="47" t="str">
        <f>IF(L953="","",ROUND((L953)/VLOOKUP($F953,IF({1,0},站位样品信息!$A$3:INDEX(站位样品信息!$A:$A,COUNTA(站位样品信息!$A:$A)+1),站位样品信息!$H$3:INDEX(站位样品信息!$H:$H,COUNTA(站位样品信息!$H:$H)+1)),2,0),2))</f>
        <v/>
      </c>
      <c r="O953" s="49"/>
      <c r="P953" s="53" t="str">
        <f t="shared" si="46"/>
        <v/>
      </c>
      <c r="Q953" s="53" t="str">
        <f t="shared" si="47"/>
        <v/>
      </c>
    </row>
    <row r="954" spans="1:17" ht="19.5" customHeight="1">
      <c r="A954" s="38"/>
      <c r="B954" s="38"/>
      <c r="C954" s="38"/>
      <c r="D954" s="37"/>
      <c r="E954" s="37"/>
      <c r="F954" s="37"/>
      <c r="G954" s="37" t="str">
        <f>IF(F954="","",INDEX(站位样品信息!$B$3:INDEX(站位样品信息!$B:$B,COUNTA(站位样品信息!$B:$B)+1),MATCH($F954,站位样品信息!$A$3:INDEX(站位样品信息!$A:$A,COUNTA(站位样品信息!$A:$A)+1),),))</f>
        <v/>
      </c>
      <c r="H954" s="55" t="str">
        <f>IF(OR(A954&lt;&gt;"",B954&lt;&gt;"",C954&lt;&gt;""),IF($C954&lt;&gt;0,INDEX(生物种群!$A$3:INDEX(生物种群!$A:$A,COUNTA(生物种群!$A:$A)),MATCH($C954,生物种群!$F$3:INDEX(生物种群!$F:$F,COUNTA(生物种群!$F:$F)),),),IF($A954&lt;&gt;0,INDEX(生物种群!$A$3:INDEX(生物种群!$A:$A,COUNTA(生物种群!$A:$A)),MATCH($A954,生物种群!$C$3:INDEX(生物种群!$C:$C,COUNTA(生物种群!$C:$C)),),),INDEX(生物种群!$A$3:INDEX(生物种群!$A:$A,COUNTA(生物种群!$A:$A)),MATCH($B954,生物种群!$D$3:INDEX(生物种群!$D:$D,COUNTA(生物种群!$D:$D)),),))),"")</f>
        <v/>
      </c>
      <c r="I954" s="56" t="str">
        <f>IF(H954="","",INDEX(生物种群!$B$3:INDEX(生物种群!$B:$B,COUNTA(生物种群!$B:$B)),MATCH($H954,生物种群!$A$3:INDEX(生物种群!$A:$A,COUNTA(生物种群!$A:$A)),),))</f>
        <v/>
      </c>
      <c r="J954" s="55" t="str">
        <f>IF(H954="","",INDEX(生物种群!$I$3:INDEX(生物种群!$I:$I,COUNTA(生物种群!$I:$I)),MATCH($H954,生物种群!$A$3:INDEX(生物种群!$A:$A,COUNTA(生物种群!$A:$A)),),))</f>
        <v/>
      </c>
      <c r="K954" s="55" t="str">
        <f>IF(H954="","",INDEX(生物种群!$E$3:INDEX(生物种群!$E:$E,COUNTA(生物种群!$E:$E)),MATCH($H954,生物种群!$A$3:INDEX(生物种群!$A:$A,COUNTA(生物种群!$A:$A)),),))</f>
        <v/>
      </c>
      <c r="L954" s="46" t="str">
        <f t="shared" si="48"/>
        <v/>
      </c>
      <c r="M954" s="47" t="str">
        <f>IF(L954="","",ROUND((L954)/VLOOKUP($F954,IF({1,0},站位样品信息!$A$3:INDEX(站位样品信息!$A:$A,COUNTA(站位样品信息!$A:$A)+1),站位样品信息!$H$3:INDEX(站位样品信息!$H:$H,COUNTA(站位样品信息!$H:$H)+1)),2,0),2))</f>
        <v/>
      </c>
      <c r="O954" s="49"/>
      <c r="P954" s="53" t="str">
        <f t="shared" si="46"/>
        <v/>
      </c>
      <c r="Q954" s="53" t="str">
        <f t="shared" si="47"/>
        <v/>
      </c>
    </row>
    <row r="955" spans="1:17" ht="19.5" customHeight="1">
      <c r="A955" s="38"/>
      <c r="B955" s="38"/>
      <c r="C955" s="38"/>
      <c r="D955" s="37"/>
      <c r="E955" s="37"/>
      <c r="F955" s="37"/>
      <c r="G955" s="37" t="str">
        <f>IF(F955="","",INDEX(站位样品信息!$B$3:INDEX(站位样品信息!$B:$B,COUNTA(站位样品信息!$B:$B)+1),MATCH($F955,站位样品信息!$A$3:INDEX(站位样品信息!$A:$A,COUNTA(站位样品信息!$A:$A)+1),),))</f>
        <v/>
      </c>
      <c r="H955" s="55" t="str">
        <f>IF(OR(A955&lt;&gt;"",B955&lt;&gt;"",C955&lt;&gt;""),IF($C955&lt;&gt;0,INDEX(生物种群!$A$3:INDEX(生物种群!$A:$A,COUNTA(生物种群!$A:$A)),MATCH($C955,生物种群!$F$3:INDEX(生物种群!$F:$F,COUNTA(生物种群!$F:$F)),),),IF($A955&lt;&gt;0,INDEX(生物种群!$A$3:INDEX(生物种群!$A:$A,COUNTA(生物种群!$A:$A)),MATCH($A955,生物种群!$C$3:INDEX(生物种群!$C:$C,COUNTA(生物种群!$C:$C)),),),INDEX(生物种群!$A$3:INDEX(生物种群!$A:$A,COUNTA(生物种群!$A:$A)),MATCH($B955,生物种群!$D$3:INDEX(生物种群!$D:$D,COUNTA(生物种群!$D:$D)),),))),"")</f>
        <v/>
      </c>
      <c r="I955" s="56" t="str">
        <f>IF(H955="","",INDEX(生物种群!$B$3:INDEX(生物种群!$B:$B,COUNTA(生物种群!$B:$B)),MATCH($H955,生物种群!$A$3:INDEX(生物种群!$A:$A,COUNTA(生物种群!$A:$A)),),))</f>
        <v/>
      </c>
      <c r="J955" s="55" t="str">
        <f>IF(H955="","",INDEX(生物种群!$I$3:INDEX(生物种群!$I:$I,COUNTA(生物种群!$I:$I)),MATCH($H955,生物种群!$A$3:INDEX(生物种群!$A:$A,COUNTA(生物种群!$A:$A)),),))</f>
        <v/>
      </c>
      <c r="K955" s="55" t="str">
        <f>IF(H955="","",INDEX(生物种群!$E$3:INDEX(生物种群!$E:$E,COUNTA(生物种群!$E:$E)),MATCH($H955,生物种群!$A$3:INDEX(生物种群!$A:$A,COUNTA(生物种群!$A:$A)),),))</f>
        <v/>
      </c>
      <c r="L955" s="46" t="str">
        <f t="shared" si="48"/>
        <v/>
      </c>
      <c r="M955" s="47" t="str">
        <f>IF(L955="","",ROUND((L955)/VLOOKUP($F955,IF({1,0},站位样品信息!$A$3:INDEX(站位样品信息!$A:$A,COUNTA(站位样品信息!$A:$A)+1),站位样品信息!$H$3:INDEX(站位样品信息!$H:$H,COUNTA(站位样品信息!$H:$H)+1)),2,0),2))</f>
        <v/>
      </c>
      <c r="O955" s="49"/>
      <c r="P955" s="53" t="str">
        <f t="shared" si="46"/>
        <v/>
      </c>
      <c r="Q955" s="53" t="str">
        <f t="shared" si="47"/>
        <v/>
      </c>
    </row>
    <row r="956" spans="1:17" ht="19.5" customHeight="1">
      <c r="A956" s="38"/>
      <c r="B956" s="38"/>
      <c r="C956" s="38"/>
      <c r="D956" s="37"/>
      <c r="E956" s="37"/>
      <c r="F956" s="37"/>
      <c r="G956" s="37" t="str">
        <f>IF(F956="","",INDEX(站位样品信息!$B$3:INDEX(站位样品信息!$B:$B,COUNTA(站位样品信息!$B:$B)+1),MATCH($F956,站位样品信息!$A$3:INDEX(站位样品信息!$A:$A,COUNTA(站位样品信息!$A:$A)+1),),))</f>
        <v/>
      </c>
      <c r="H956" s="55" t="str">
        <f>IF(OR(A956&lt;&gt;"",B956&lt;&gt;"",C956&lt;&gt;""),IF($C956&lt;&gt;0,INDEX(生物种群!$A$3:INDEX(生物种群!$A:$A,COUNTA(生物种群!$A:$A)),MATCH($C956,生物种群!$F$3:INDEX(生物种群!$F:$F,COUNTA(生物种群!$F:$F)),),),IF($A956&lt;&gt;0,INDEX(生物种群!$A$3:INDEX(生物种群!$A:$A,COUNTA(生物种群!$A:$A)),MATCH($A956,生物种群!$C$3:INDEX(生物种群!$C:$C,COUNTA(生物种群!$C:$C)),),),INDEX(生物种群!$A$3:INDEX(生物种群!$A:$A,COUNTA(生物种群!$A:$A)),MATCH($B956,生物种群!$D$3:INDEX(生物种群!$D:$D,COUNTA(生物种群!$D:$D)),),))),"")</f>
        <v/>
      </c>
      <c r="I956" s="56" t="str">
        <f>IF(H956="","",INDEX(生物种群!$B$3:INDEX(生物种群!$B:$B,COUNTA(生物种群!$B:$B)),MATCH($H956,生物种群!$A$3:INDEX(生物种群!$A:$A,COUNTA(生物种群!$A:$A)),),))</f>
        <v/>
      </c>
      <c r="J956" s="55" t="str">
        <f>IF(H956="","",INDEX(生物种群!$I$3:INDEX(生物种群!$I:$I,COUNTA(生物种群!$I:$I)),MATCH($H956,生物种群!$A$3:INDEX(生物种群!$A:$A,COUNTA(生物种群!$A:$A)),),))</f>
        <v/>
      </c>
      <c r="K956" s="55" t="str">
        <f>IF(H956="","",INDEX(生物种群!$E$3:INDEX(生物种群!$E:$E,COUNTA(生物种群!$E:$E)),MATCH($H956,生物种群!$A$3:INDEX(生物种群!$A:$A,COUNTA(生物种群!$A:$A)),),))</f>
        <v/>
      </c>
      <c r="L956" s="46" t="str">
        <f t="shared" si="48"/>
        <v/>
      </c>
      <c r="M956" s="47" t="str">
        <f>IF(L956="","",ROUND((L956)/VLOOKUP($F956,IF({1,0},站位样品信息!$A$3:INDEX(站位样品信息!$A:$A,COUNTA(站位样品信息!$A:$A)+1),站位样品信息!$H$3:INDEX(站位样品信息!$H:$H,COUNTA(站位样品信息!$H:$H)+1)),2,0),2))</f>
        <v/>
      </c>
      <c r="O956" s="49"/>
      <c r="P956" s="53" t="str">
        <f t="shared" si="46"/>
        <v/>
      </c>
      <c r="Q956" s="53" t="str">
        <f t="shared" si="47"/>
        <v/>
      </c>
    </row>
    <row r="957" spans="1:17" ht="19.5" customHeight="1">
      <c r="A957" s="38"/>
      <c r="B957" s="38"/>
      <c r="C957" s="38"/>
      <c r="D957" s="37"/>
      <c r="E957" s="37"/>
      <c r="F957" s="37"/>
      <c r="G957" s="37" t="str">
        <f>IF(F957="","",INDEX(站位样品信息!$B$3:INDEX(站位样品信息!$B:$B,COUNTA(站位样品信息!$B:$B)+1),MATCH($F957,站位样品信息!$A$3:INDEX(站位样品信息!$A:$A,COUNTA(站位样品信息!$A:$A)+1),),))</f>
        <v/>
      </c>
      <c r="H957" s="55" t="str">
        <f>IF(OR(A957&lt;&gt;"",B957&lt;&gt;"",C957&lt;&gt;""),IF($C957&lt;&gt;0,INDEX(生物种群!$A$3:INDEX(生物种群!$A:$A,COUNTA(生物种群!$A:$A)),MATCH($C957,生物种群!$F$3:INDEX(生物种群!$F:$F,COUNTA(生物种群!$F:$F)),),),IF($A957&lt;&gt;0,INDEX(生物种群!$A$3:INDEX(生物种群!$A:$A,COUNTA(生物种群!$A:$A)),MATCH($A957,生物种群!$C$3:INDEX(生物种群!$C:$C,COUNTA(生物种群!$C:$C)),),),INDEX(生物种群!$A$3:INDEX(生物种群!$A:$A,COUNTA(生物种群!$A:$A)),MATCH($B957,生物种群!$D$3:INDEX(生物种群!$D:$D,COUNTA(生物种群!$D:$D)),),))),"")</f>
        <v/>
      </c>
      <c r="I957" s="56" t="str">
        <f>IF(H957="","",INDEX(生物种群!$B$3:INDEX(生物种群!$B:$B,COUNTA(生物种群!$B:$B)),MATCH($H957,生物种群!$A$3:INDEX(生物种群!$A:$A,COUNTA(生物种群!$A:$A)),),))</f>
        <v/>
      </c>
      <c r="J957" s="55" t="str">
        <f>IF(H957="","",INDEX(生物种群!$I$3:INDEX(生物种群!$I:$I,COUNTA(生物种群!$I:$I)),MATCH($H957,生物种群!$A$3:INDEX(生物种群!$A:$A,COUNTA(生物种群!$A:$A)),),))</f>
        <v/>
      </c>
      <c r="K957" s="55" t="str">
        <f>IF(H957="","",INDEX(生物种群!$E$3:INDEX(生物种群!$E:$E,COUNTA(生物种群!$E:$E)),MATCH($H957,生物种群!$A$3:INDEX(生物种群!$A:$A,COUNTA(生物种群!$A:$A)),),))</f>
        <v/>
      </c>
      <c r="L957" s="46" t="str">
        <f t="shared" si="48"/>
        <v/>
      </c>
      <c r="M957" s="47" t="str">
        <f>IF(L957="","",ROUND((L957)/VLOOKUP($F957,IF({1,0},站位样品信息!$A$3:INDEX(站位样品信息!$A:$A,COUNTA(站位样品信息!$A:$A)+1),站位样品信息!$H$3:INDEX(站位样品信息!$H:$H,COUNTA(站位样品信息!$H:$H)+1)),2,0),2))</f>
        <v/>
      </c>
      <c r="O957" s="49"/>
      <c r="P957" s="53" t="str">
        <f t="shared" si="46"/>
        <v/>
      </c>
      <c r="Q957" s="53" t="str">
        <f t="shared" si="47"/>
        <v/>
      </c>
    </row>
    <row r="958" spans="1:17" ht="19.5" customHeight="1">
      <c r="A958" s="38"/>
      <c r="B958" s="38"/>
      <c r="C958" s="38"/>
      <c r="D958" s="37"/>
      <c r="E958" s="37"/>
      <c r="F958" s="37"/>
      <c r="G958" s="37" t="str">
        <f>IF(F958="","",INDEX(站位样品信息!$B$3:INDEX(站位样品信息!$B:$B,COUNTA(站位样品信息!$B:$B)+1),MATCH($F958,站位样品信息!$A$3:INDEX(站位样品信息!$A:$A,COUNTA(站位样品信息!$A:$A)+1),),))</f>
        <v/>
      </c>
      <c r="H958" s="55" t="str">
        <f>IF(OR(A958&lt;&gt;"",B958&lt;&gt;"",C958&lt;&gt;""),IF($C958&lt;&gt;0,INDEX(生物种群!$A$3:INDEX(生物种群!$A:$A,COUNTA(生物种群!$A:$A)),MATCH($C958,生物种群!$F$3:INDEX(生物种群!$F:$F,COUNTA(生物种群!$F:$F)),),),IF($A958&lt;&gt;0,INDEX(生物种群!$A$3:INDEX(生物种群!$A:$A,COUNTA(生物种群!$A:$A)),MATCH($A958,生物种群!$C$3:INDEX(生物种群!$C:$C,COUNTA(生物种群!$C:$C)),),),INDEX(生物种群!$A$3:INDEX(生物种群!$A:$A,COUNTA(生物种群!$A:$A)),MATCH($B958,生物种群!$D$3:INDEX(生物种群!$D:$D,COUNTA(生物种群!$D:$D)),),))),"")</f>
        <v/>
      </c>
      <c r="I958" s="56" t="str">
        <f>IF(H958="","",INDEX(生物种群!$B$3:INDEX(生物种群!$B:$B,COUNTA(生物种群!$B:$B)),MATCH($H958,生物种群!$A$3:INDEX(生物种群!$A:$A,COUNTA(生物种群!$A:$A)),),))</f>
        <v/>
      </c>
      <c r="J958" s="55" t="str">
        <f>IF(H958="","",INDEX(生物种群!$I$3:INDEX(生物种群!$I:$I,COUNTA(生物种群!$I:$I)),MATCH($H958,生物种群!$A$3:INDEX(生物种群!$A:$A,COUNTA(生物种群!$A:$A)),),))</f>
        <v/>
      </c>
      <c r="K958" s="55" t="str">
        <f>IF(H958="","",INDEX(生物种群!$E$3:INDEX(生物种群!$E:$E,COUNTA(生物种群!$E:$E)),MATCH($H958,生物种群!$A$3:INDEX(生物种群!$A:$A,COUNTA(生物种群!$A:$A)),),))</f>
        <v/>
      </c>
      <c r="L958" s="46" t="str">
        <f t="shared" si="48"/>
        <v/>
      </c>
      <c r="M958" s="47" t="str">
        <f>IF(L958="","",ROUND((L958)/VLOOKUP($F958,IF({1,0},站位样品信息!$A$3:INDEX(站位样品信息!$A:$A,COUNTA(站位样品信息!$A:$A)+1),站位样品信息!$H$3:INDEX(站位样品信息!$H:$H,COUNTA(站位样品信息!$H:$H)+1)),2,0),2))</f>
        <v/>
      </c>
      <c r="O958" s="49"/>
      <c r="P958" s="53" t="str">
        <f t="shared" si="46"/>
        <v/>
      </c>
      <c r="Q958" s="53" t="str">
        <f t="shared" si="47"/>
        <v/>
      </c>
    </row>
    <row r="959" spans="1:17" ht="19.5" customHeight="1">
      <c r="A959" s="38"/>
      <c r="B959" s="38"/>
      <c r="C959" s="38"/>
      <c r="D959" s="37"/>
      <c r="E959" s="37"/>
      <c r="F959" s="37"/>
      <c r="G959" s="37" t="str">
        <f>IF(F959="","",INDEX(站位样品信息!$B$3:INDEX(站位样品信息!$B:$B,COUNTA(站位样品信息!$B:$B)+1),MATCH($F959,站位样品信息!$A$3:INDEX(站位样品信息!$A:$A,COUNTA(站位样品信息!$A:$A)+1),),))</f>
        <v/>
      </c>
      <c r="H959" s="55" t="str">
        <f>IF(OR(A959&lt;&gt;"",B959&lt;&gt;"",C959&lt;&gt;""),IF($C959&lt;&gt;0,INDEX(生物种群!$A$3:INDEX(生物种群!$A:$A,COUNTA(生物种群!$A:$A)),MATCH($C959,生物种群!$F$3:INDEX(生物种群!$F:$F,COUNTA(生物种群!$F:$F)),),),IF($A959&lt;&gt;0,INDEX(生物种群!$A$3:INDEX(生物种群!$A:$A,COUNTA(生物种群!$A:$A)),MATCH($A959,生物种群!$C$3:INDEX(生物种群!$C:$C,COUNTA(生物种群!$C:$C)),),),INDEX(生物种群!$A$3:INDEX(生物种群!$A:$A,COUNTA(生物种群!$A:$A)),MATCH($B959,生物种群!$D$3:INDEX(生物种群!$D:$D,COUNTA(生物种群!$D:$D)),),))),"")</f>
        <v/>
      </c>
      <c r="I959" s="56" t="str">
        <f>IF(H959="","",INDEX(生物种群!$B$3:INDEX(生物种群!$B:$B,COUNTA(生物种群!$B:$B)),MATCH($H959,生物种群!$A$3:INDEX(生物种群!$A:$A,COUNTA(生物种群!$A:$A)),),))</f>
        <v/>
      </c>
      <c r="J959" s="55" t="str">
        <f>IF(H959="","",INDEX(生物种群!$I$3:INDEX(生物种群!$I:$I,COUNTA(生物种群!$I:$I)),MATCH($H959,生物种群!$A$3:INDEX(生物种群!$A:$A,COUNTA(生物种群!$A:$A)),),))</f>
        <v/>
      </c>
      <c r="K959" s="55" t="str">
        <f>IF(H959="","",INDEX(生物种群!$E$3:INDEX(生物种群!$E:$E,COUNTA(生物种群!$E:$E)),MATCH($H959,生物种群!$A$3:INDEX(生物种群!$A:$A,COUNTA(生物种群!$A:$A)),),))</f>
        <v/>
      </c>
      <c r="L959" s="46" t="str">
        <f t="shared" si="48"/>
        <v/>
      </c>
      <c r="M959" s="47" t="str">
        <f>IF(L959="","",ROUND((L959)/VLOOKUP($F959,IF({1,0},站位样品信息!$A$3:INDEX(站位样品信息!$A:$A,COUNTA(站位样品信息!$A:$A)+1),站位样品信息!$H$3:INDEX(站位样品信息!$H:$H,COUNTA(站位样品信息!$H:$H)+1)),2,0),2))</f>
        <v/>
      </c>
      <c r="O959" s="49"/>
      <c r="P959" s="53" t="str">
        <f t="shared" si="46"/>
        <v/>
      </c>
      <c r="Q959" s="53" t="str">
        <f t="shared" si="47"/>
        <v/>
      </c>
    </row>
    <row r="960" spans="1:17" ht="19.5" customHeight="1">
      <c r="A960" s="38"/>
      <c r="B960" s="38"/>
      <c r="C960" s="38"/>
      <c r="D960" s="37"/>
      <c r="E960" s="37"/>
      <c r="F960" s="37"/>
      <c r="G960" s="37" t="str">
        <f>IF(F960="","",INDEX(站位样品信息!$B$3:INDEX(站位样品信息!$B:$B,COUNTA(站位样品信息!$B:$B)+1),MATCH($F960,站位样品信息!$A$3:INDEX(站位样品信息!$A:$A,COUNTA(站位样品信息!$A:$A)+1),),))</f>
        <v/>
      </c>
      <c r="H960" s="55" t="str">
        <f>IF(OR(A960&lt;&gt;"",B960&lt;&gt;"",C960&lt;&gt;""),IF($C960&lt;&gt;0,INDEX(生物种群!$A$3:INDEX(生物种群!$A:$A,COUNTA(生物种群!$A:$A)),MATCH($C960,生物种群!$F$3:INDEX(生物种群!$F:$F,COUNTA(生物种群!$F:$F)),),),IF($A960&lt;&gt;0,INDEX(生物种群!$A$3:INDEX(生物种群!$A:$A,COUNTA(生物种群!$A:$A)),MATCH($A960,生物种群!$C$3:INDEX(生物种群!$C:$C,COUNTA(生物种群!$C:$C)),),),INDEX(生物种群!$A$3:INDEX(生物种群!$A:$A,COUNTA(生物种群!$A:$A)),MATCH($B960,生物种群!$D$3:INDEX(生物种群!$D:$D,COUNTA(生物种群!$D:$D)),),))),"")</f>
        <v/>
      </c>
      <c r="I960" s="56" t="str">
        <f>IF(H960="","",INDEX(生物种群!$B$3:INDEX(生物种群!$B:$B,COUNTA(生物种群!$B:$B)),MATCH($H960,生物种群!$A$3:INDEX(生物种群!$A:$A,COUNTA(生物种群!$A:$A)),),))</f>
        <v/>
      </c>
      <c r="J960" s="55" t="str">
        <f>IF(H960="","",INDEX(生物种群!$I$3:INDEX(生物种群!$I:$I,COUNTA(生物种群!$I:$I)),MATCH($H960,生物种群!$A$3:INDEX(生物种群!$A:$A,COUNTA(生物种群!$A:$A)),),))</f>
        <v/>
      </c>
      <c r="K960" s="55" t="str">
        <f>IF(H960="","",INDEX(生物种群!$E$3:INDEX(生物种群!$E:$E,COUNTA(生物种群!$E:$E)),MATCH($H960,生物种群!$A$3:INDEX(生物种群!$A:$A,COUNTA(生物种群!$A:$A)),),))</f>
        <v/>
      </c>
      <c r="L960" s="46" t="str">
        <f t="shared" si="48"/>
        <v/>
      </c>
      <c r="M960" s="47" t="str">
        <f>IF(L960="","",ROUND((L960)/VLOOKUP($F960,IF({1,0},站位样品信息!$A$3:INDEX(站位样品信息!$A:$A,COUNTA(站位样品信息!$A:$A)+1),站位样品信息!$H$3:INDEX(站位样品信息!$H:$H,COUNTA(站位样品信息!$H:$H)+1)),2,0),2))</f>
        <v/>
      </c>
      <c r="O960" s="49"/>
      <c r="P960" s="53" t="str">
        <f t="shared" si="46"/>
        <v/>
      </c>
      <c r="Q960" s="53" t="str">
        <f t="shared" si="47"/>
        <v/>
      </c>
    </row>
    <row r="961" spans="1:17" ht="19.5" customHeight="1">
      <c r="A961" s="38"/>
      <c r="B961" s="38"/>
      <c r="C961" s="38"/>
      <c r="D961" s="37"/>
      <c r="E961" s="37"/>
      <c r="F961" s="37"/>
      <c r="G961" s="37" t="str">
        <f>IF(F961="","",INDEX(站位样品信息!$B$3:INDEX(站位样品信息!$B:$B,COUNTA(站位样品信息!$B:$B)+1),MATCH($F961,站位样品信息!$A$3:INDEX(站位样品信息!$A:$A,COUNTA(站位样品信息!$A:$A)+1),),))</f>
        <v/>
      </c>
      <c r="H961" s="55" t="str">
        <f>IF(OR(A961&lt;&gt;"",B961&lt;&gt;"",C961&lt;&gt;""),IF($C961&lt;&gt;0,INDEX(生物种群!$A$3:INDEX(生物种群!$A:$A,COUNTA(生物种群!$A:$A)),MATCH($C961,生物种群!$F$3:INDEX(生物种群!$F:$F,COUNTA(生物种群!$F:$F)),),),IF($A961&lt;&gt;0,INDEX(生物种群!$A$3:INDEX(生物种群!$A:$A,COUNTA(生物种群!$A:$A)),MATCH($A961,生物种群!$C$3:INDEX(生物种群!$C:$C,COUNTA(生物种群!$C:$C)),),),INDEX(生物种群!$A$3:INDEX(生物种群!$A:$A,COUNTA(生物种群!$A:$A)),MATCH($B961,生物种群!$D$3:INDEX(生物种群!$D:$D,COUNTA(生物种群!$D:$D)),),))),"")</f>
        <v/>
      </c>
      <c r="I961" s="56" t="str">
        <f>IF(H961="","",INDEX(生物种群!$B$3:INDEX(生物种群!$B:$B,COUNTA(生物种群!$B:$B)),MATCH($H961,生物种群!$A$3:INDEX(生物种群!$A:$A,COUNTA(生物种群!$A:$A)),),))</f>
        <v/>
      </c>
      <c r="J961" s="55" t="str">
        <f>IF(H961="","",INDEX(生物种群!$I$3:INDEX(生物种群!$I:$I,COUNTA(生物种群!$I:$I)),MATCH($H961,生物种群!$A$3:INDEX(生物种群!$A:$A,COUNTA(生物种群!$A:$A)),),))</f>
        <v/>
      </c>
      <c r="K961" s="55" t="str">
        <f>IF(H961="","",INDEX(生物种群!$E$3:INDEX(生物种群!$E:$E,COUNTA(生物种群!$E:$E)),MATCH($H961,生物种群!$A$3:INDEX(生物种群!$A:$A,COUNTA(生物种群!$A:$A)),),))</f>
        <v/>
      </c>
      <c r="L961" s="46" t="str">
        <f t="shared" si="48"/>
        <v/>
      </c>
      <c r="M961" s="47" t="str">
        <f>IF(L961="","",ROUND((L961)/VLOOKUP($F961,IF({1,0},站位样品信息!$A$3:INDEX(站位样品信息!$A:$A,COUNTA(站位样品信息!$A:$A)+1),站位样品信息!$H$3:INDEX(站位样品信息!$H:$H,COUNTA(站位样品信息!$H:$H)+1)),2,0),2))</f>
        <v/>
      </c>
      <c r="O961" s="49"/>
      <c r="P961" s="53" t="str">
        <f t="shared" si="46"/>
        <v/>
      </c>
      <c r="Q961" s="53" t="str">
        <f t="shared" si="47"/>
        <v/>
      </c>
    </row>
    <row r="962" spans="1:17" ht="19.5" customHeight="1">
      <c r="A962" s="38"/>
      <c r="B962" s="38"/>
      <c r="C962" s="38"/>
      <c r="D962" s="37"/>
      <c r="E962" s="37"/>
      <c r="F962" s="37"/>
      <c r="G962" s="37" t="str">
        <f>IF(F962="","",INDEX(站位样品信息!$B$3:INDEX(站位样品信息!$B:$B,COUNTA(站位样品信息!$B:$B)+1),MATCH($F962,站位样品信息!$A$3:INDEX(站位样品信息!$A:$A,COUNTA(站位样品信息!$A:$A)+1),),))</f>
        <v/>
      </c>
      <c r="H962" s="55" t="str">
        <f>IF(OR(A962&lt;&gt;"",B962&lt;&gt;"",C962&lt;&gt;""),IF($C962&lt;&gt;0,INDEX(生物种群!$A$3:INDEX(生物种群!$A:$A,COUNTA(生物种群!$A:$A)),MATCH($C962,生物种群!$F$3:INDEX(生物种群!$F:$F,COUNTA(生物种群!$F:$F)),),),IF($A962&lt;&gt;0,INDEX(生物种群!$A$3:INDEX(生物种群!$A:$A,COUNTA(生物种群!$A:$A)),MATCH($A962,生物种群!$C$3:INDEX(生物种群!$C:$C,COUNTA(生物种群!$C:$C)),),),INDEX(生物种群!$A$3:INDEX(生物种群!$A:$A,COUNTA(生物种群!$A:$A)),MATCH($B962,生物种群!$D$3:INDEX(生物种群!$D:$D,COUNTA(生物种群!$D:$D)),),))),"")</f>
        <v/>
      </c>
      <c r="I962" s="56" t="str">
        <f>IF(H962="","",INDEX(生物种群!$B$3:INDEX(生物种群!$B:$B,COUNTA(生物种群!$B:$B)),MATCH($H962,生物种群!$A$3:INDEX(生物种群!$A:$A,COUNTA(生物种群!$A:$A)),),))</f>
        <v/>
      </c>
      <c r="J962" s="55" t="str">
        <f>IF(H962="","",INDEX(生物种群!$I$3:INDEX(生物种群!$I:$I,COUNTA(生物种群!$I:$I)),MATCH($H962,生物种群!$A$3:INDEX(生物种群!$A:$A,COUNTA(生物种群!$A:$A)),),))</f>
        <v/>
      </c>
      <c r="K962" s="55" t="str">
        <f>IF(H962="","",INDEX(生物种群!$E$3:INDEX(生物种群!$E:$E,COUNTA(生物种群!$E:$E)),MATCH($H962,生物种群!$A$3:INDEX(生物种群!$A:$A,COUNTA(生物种群!$A:$A)),),))</f>
        <v/>
      </c>
      <c r="L962" s="46" t="str">
        <f t="shared" si="48"/>
        <v/>
      </c>
      <c r="M962" s="47" t="str">
        <f>IF(L962="","",ROUND((L962)/VLOOKUP($F962,IF({1,0},站位样品信息!$A$3:INDEX(站位样品信息!$A:$A,COUNTA(站位样品信息!$A:$A)+1),站位样品信息!$H$3:INDEX(站位样品信息!$H:$H,COUNTA(站位样品信息!$H:$H)+1)),2,0),2))</f>
        <v/>
      </c>
      <c r="O962" s="49"/>
      <c r="P962" s="53" t="str">
        <f t="shared" si="46"/>
        <v/>
      </c>
      <c r="Q962" s="53" t="str">
        <f t="shared" si="47"/>
        <v/>
      </c>
    </row>
    <row r="963" spans="1:17" ht="19.5" customHeight="1">
      <c r="A963" s="38"/>
      <c r="B963" s="38"/>
      <c r="C963" s="38"/>
      <c r="D963" s="37"/>
      <c r="E963" s="37"/>
      <c r="F963" s="37"/>
      <c r="G963" s="37" t="str">
        <f>IF(F963="","",INDEX(站位样品信息!$B$3:INDEX(站位样品信息!$B:$B,COUNTA(站位样品信息!$B:$B)+1),MATCH($F963,站位样品信息!$A$3:INDEX(站位样品信息!$A:$A,COUNTA(站位样品信息!$A:$A)+1),),))</f>
        <v/>
      </c>
      <c r="H963" s="55" t="str">
        <f>IF(OR(A963&lt;&gt;"",B963&lt;&gt;"",C963&lt;&gt;""),IF($C963&lt;&gt;0,INDEX(生物种群!$A$3:INDEX(生物种群!$A:$A,COUNTA(生物种群!$A:$A)),MATCH($C963,生物种群!$F$3:INDEX(生物种群!$F:$F,COUNTA(生物种群!$F:$F)),),),IF($A963&lt;&gt;0,INDEX(生物种群!$A$3:INDEX(生物种群!$A:$A,COUNTA(生物种群!$A:$A)),MATCH($A963,生物种群!$C$3:INDEX(生物种群!$C:$C,COUNTA(生物种群!$C:$C)),),),INDEX(生物种群!$A$3:INDEX(生物种群!$A:$A,COUNTA(生物种群!$A:$A)),MATCH($B963,生物种群!$D$3:INDEX(生物种群!$D:$D,COUNTA(生物种群!$D:$D)),),))),"")</f>
        <v/>
      </c>
      <c r="I963" s="56" t="str">
        <f>IF(H963="","",INDEX(生物种群!$B$3:INDEX(生物种群!$B:$B,COUNTA(生物种群!$B:$B)),MATCH($H963,生物种群!$A$3:INDEX(生物种群!$A:$A,COUNTA(生物种群!$A:$A)),),))</f>
        <v/>
      </c>
      <c r="J963" s="55" t="str">
        <f>IF(H963="","",INDEX(生物种群!$I$3:INDEX(生物种群!$I:$I,COUNTA(生物种群!$I:$I)),MATCH($H963,生物种群!$A$3:INDEX(生物种群!$A:$A,COUNTA(生物种群!$A:$A)),),))</f>
        <v/>
      </c>
      <c r="K963" s="55" t="str">
        <f>IF(H963="","",INDEX(生物种群!$E$3:INDEX(生物种群!$E:$E,COUNTA(生物种群!$E:$E)),MATCH($H963,生物种群!$A$3:INDEX(生物种群!$A:$A,COUNTA(生物种群!$A:$A)),),))</f>
        <v/>
      </c>
      <c r="L963" s="46" t="str">
        <f t="shared" si="48"/>
        <v/>
      </c>
      <c r="M963" s="47" t="str">
        <f>IF(L963="","",ROUND((L963)/VLOOKUP($F963,IF({1,0},站位样品信息!$A$3:INDEX(站位样品信息!$A:$A,COUNTA(站位样品信息!$A:$A)+1),站位样品信息!$H$3:INDEX(站位样品信息!$H:$H,COUNTA(站位样品信息!$H:$H)+1)),2,0),2))</f>
        <v/>
      </c>
      <c r="O963" s="49"/>
      <c r="P963" s="53" t="str">
        <f t="shared" si="49" ref="P963:P998">IF(F963&gt;0,F963&amp;I963,"")</f>
        <v/>
      </c>
      <c r="Q963" s="53" t="str">
        <f t="shared" si="50" ref="Q963:Q998">IF(COUNTIF($P:$P,P963)=1,"",IF(A963&amp;B963&amp;C963="","","重复"))</f>
        <v/>
      </c>
    </row>
    <row r="964" spans="1:17" ht="19.5" customHeight="1">
      <c r="A964" s="38"/>
      <c r="B964" s="38"/>
      <c r="C964" s="38"/>
      <c r="D964" s="37"/>
      <c r="E964" s="37"/>
      <c r="F964" s="37"/>
      <c r="G964" s="37" t="str">
        <f>IF(F964="","",INDEX(站位样品信息!$B$3:INDEX(站位样品信息!$B:$B,COUNTA(站位样品信息!$B:$B)+1),MATCH($F964,站位样品信息!$A$3:INDEX(站位样品信息!$A:$A,COUNTA(站位样品信息!$A:$A)+1),),))</f>
        <v/>
      </c>
      <c r="H964" s="55" t="str">
        <f>IF(OR(A964&lt;&gt;"",B964&lt;&gt;"",C964&lt;&gt;""),IF($C964&lt;&gt;0,INDEX(生物种群!$A$3:INDEX(生物种群!$A:$A,COUNTA(生物种群!$A:$A)),MATCH($C964,生物种群!$F$3:INDEX(生物种群!$F:$F,COUNTA(生物种群!$F:$F)),),),IF($A964&lt;&gt;0,INDEX(生物种群!$A$3:INDEX(生物种群!$A:$A,COUNTA(生物种群!$A:$A)),MATCH($A964,生物种群!$C$3:INDEX(生物种群!$C:$C,COUNTA(生物种群!$C:$C)),),),INDEX(生物种群!$A$3:INDEX(生物种群!$A:$A,COUNTA(生物种群!$A:$A)),MATCH($B964,生物种群!$D$3:INDEX(生物种群!$D:$D,COUNTA(生物种群!$D:$D)),),))),"")</f>
        <v/>
      </c>
      <c r="I964" s="56" t="str">
        <f>IF(H964="","",INDEX(生物种群!$B$3:INDEX(生物种群!$B:$B,COUNTA(生物种群!$B:$B)),MATCH($H964,生物种群!$A$3:INDEX(生物种群!$A:$A,COUNTA(生物种群!$A:$A)),),))</f>
        <v/>
      </c>
      <c r="J964" s="55" t="str">
        <f>IF(H964="","",INDEX(生物种群!$I$3:INDEX(生物种群!$I:$I,COUNTA(生物种群!$I:$I)),MATCH($H964,生物种群!$A$3:INDEX(生物种群!$A:$A,COUNTA(生物种群!$A:$A)),),))</f>
        <v/>
      </c>
      <c r="K964" s="55" t="str">
        <f>IF(H964="","",INDEX(生物种群!$E$3:INDEX(生物种群!$E:$E,COUNTA(生物种群!$E:$E)),MATCH($H964,生物种群!$A$3:INDEX(生物种群!$A:$A,COUNTA(生物种群!$A:$A)),),))</f>
        <v/>
      </c>
      <c r="L964" s="46" t="str">
        <f t="shared" si="48"/>
        <v/>
      </c>
      <c r="M964" s="47" t="str">
        <f>IF(L964="","",ROUND((L964)/VLOOKUP($F964,IF({1,0},站位样品信息!$A$3:INDEX(站位样品信息!$A:$A,COUNTA(站位样品信息!$A:$A)+1),站位样品信息!$H$3:INDEX(站位样品信息!$H:$H,COUNTA(站位样品信息!$H:$H)+1)),2,0),2))</f>
        <v/>
      </c>
      <c r="O964" s="49"/>
      <c r="P964" s="53" t="str">
        <f t="shared" si="49"/>
        <v/>
      </c>
      <c r="Q964" s="53" t="str">
        <f t="shared" si="50"/>
        <v/>
      </c>
    </row>
    <row r="965" spans="1:17" ht="19.5" customHeight="1">
      <c r="A965" s="38"/>
      <c r="B965" s="38"/>
      <c r="C965" s="38"/>
      <c r="D965" s="37"/>
      <c r="E965" s="37"/>
      <c r="F965" s="37"/>
      <c r="G965" s="37" t="str">
        <f>IF(F965="","",INDEX(站位样品信息!$B$3:INDEX(站位样品信息!$B:$B,COUNTA(站位样品信息!$B:$B)+1),MATCH($F965,站位样品信息!$A$3:INDEX(站位样品信息!$A:$A,COUNTA(站位样品信息!$A:$A)+1),),))</f>
        <v/>
      </c>
      <c r="H965" s="55" t="str">
        <f>IF(OR(A965&lt;&gt;"",B965&lt;&gt;"",C965&lt;&gt;""),IF($C965&lt;&gt;0,INDEX(生物种群!$A$3:INDEX(生物种群!$A:$A,COUNTA(生物种群!$A:$A)),MATCH($C965,生物种群!$F$3:INDEX(生物种群!$F:$F,COUNTA(生物种群!$F:$F)),),),IF($A965&lt;&gt;0,INDEX(生物种群!$A$3:INDEX(生物种群!$A:$A,COUNTA(生物种群!$A:$A)),MATCH($A965,生物种群!$C$3:INDEX(生物种群!$C:$C,COUNTA(生物种群!$C:$C)),),),INDEX(生物种群!$A$3:INDEX(生物种群!$A:$A,COUNTA(生物种群!$A:$A)),MATCH($B965,生物种群!$D$3:INDEX(生物种群!$D:$D,COUNTA(生物种群!$D:$D)),),))),"")</f>
        <v/>
      </c>
      <c r="I965" s="56" t="str">
        <f>IF(H965="","",INDEX(生物种群!$B$3:INDEX(生物种群!$B:$B,COUNTA(生物种群!$B:$B)),MATCH($H965,生物种群!$A$3:INDEX(生物种群!$A:$A,COUNTA(生物种群!$A:$A)),),))</f>
        <v/>
      </c>
      <c r="J965" s="55" t="str">
        <f>IF(H965="","",INDEX(生物种群!$I$3:INDEX(生物种群!$I:$I,COUNTA(生物种群!$I:$I)),MATCH($H965,生物种群!$A$3:INDEX(生物种群!$A:$A,COUNTA(生物种群!$A:$A)),),))</f>
        <v/>
      </c>
      <c r="K965" s="55" t="str">
        <f>IF(H965="","",INDEX(生物种群!$E$3:INDEX(生物种群!$E:$E,COUNTA(生物种群!$E:$E)),MATCH($H965,生物种群!$A$3:INDEX(生物种群!$A:$A,COUNTA(生物种群!$A:$A)),),))</f>
        <v/>
      </c>
      <c r="L965" s="46" t="str">
        <f t="shared" si="48"/>
        <v/>
      </c>
      <c r="M965" s="47" t="str">
        <f>IF(L965="","",ROUND((L965)/VLOOKUP($F965,IF({1,0},站位样品信息!$A$3:INDEX(站位样品信息!$A:$A,COUNTA(站位样品信息!$A:$A)+1),站位样品信息!$H$3:INDEX(站位样品信息!$H:$H,COUNTA(站位样品信息!$H:$H)+1)),2,0),2))</f>
        <v/>
      </c>
      <c r="O965" s="49"/>
      <c r="P965" s="53" t="str">
        <f t="shared" si="49"/>
        <v/>
      </c>
      <c r="Q965" s="53" t="str">
        <f t="shared" si="50"/>
        <v/>
      </c>
    </row>
    <row r="966" spans="1:17" ht="19.5" customHeight="1">
      <c r="A966" s="38"/>
      <c r="B966" s="38"/>
      <c r="C966" s="38"/>
      <c r="D966" s="37"/>
      <c r="E966" s="37"/>
      <c r="F966" s="37"/>
      <c r="G966" s="37" t="str">
        <f>IF(F966="","",INDEX(站位样品信息!$B$3:INDEX(站位样品信息!$B:$B,COUNTA(站位样品信息!$B:$B)+1),MATCH($F966,站位样品信息!$A$3:INDEX(站位样品信息!$A:$A,COUNTA(站位样品信息!$A:$A)+1),),))</f>
        <v/>
      </c>
      <c r="H966" s="55" t="str">
        <f>IF(OR(A966&lt;&gt;"",B966&lt;&gt;"",C966&lt;&gt;""),IF($C966&lt;&gt;0,INDEX(生物种群!$A$3:INDEX(生物种群!$A:$A,COUNTA(生物种群!$A:$A)),MATCH($C966,生物种群!$F$3:INDEX(生物种群!$F:$F,COUNTA(生物种群!$F:$F)),),),IF($A966&lt;&gt;0,INDEX(生物种群!$A$3:INDEX(生物种群!$A:$A,COUNTA(生物种群!$A:$A)),MATCH($A966,生物种群!$C$3:INDEX(生物种群!$C:$C,COUNTA(生物种群!$C:$C)),),),INDEX(生物种群!$A$3:INDEX(生物种群!$A:$A,COUNTA(生物种群!$A:$A)),MATCH($B966,生物种群!$D$3:INDEX(生物种群!$D:$D,COUNTA(生物种群!$D:$D)),),))),"")</f>
        <v/>
      </c>
      <c r="I966" s="56" t="str">
        <f>IF(H966="","",INDEX(生物种群!$B$3:INDEX(生物种群!$B:$B,COUNTA(生物种群!$B:$B)),MATCH($H966,生物种群!$A$3:INDEX(生物种群!$A:$A,COUNTA(生物种群!$A:$A)),),))</f>
        <v/>
      </c>
      <c r="J966" s="55" t="str">
        <f>IF(H966="","",INDEX(生物种群!$I$3:INDEX(生物种群!$I:$I,COUNTA(生物种群!$I:$I)),MATCH($H966,生物种群!$A$3:INDEX(生物种群!$A:$A,COUNTA(生物种群!$A:$A)),),))</f>
        <v/>
      </c>
      <c r="K966" s="55" t="str">
        <f>IF(H966="","",INDEX(生物种群!$E$3:INDEX(生物种群!$E:$E,COUNTA(生物种群!$E:$E)),MATCH($H966,生物种群!$A$3:INDEX(生物种群!$A:$A,COUNTA(生物种群!$A:$A)),),))</f>
        <v/>
      </c>
      <c r="L966" s="46" t="str">
        <f t="shared" si="48"/>
        <v/>
      </c>
      <c r="M966" s="47" t="str">
        <f>IF(L966="","",ROUND((L966)/VLOOKUP($F966,IF({1,0},站位样品信息!$A$3:INDEX(站位样品信息!$A:$A,COUNTA(站位样品信息!$A:$A)+1),站位样品信息!$H$3:INDEX(站位样品信息!$H:$H,COUNTA(站位样品信息!$H:$H)+1)),2,0),2))</f>
        <v/>
      </c>
      <c r="O966" s="49"/>
      <c r="P966" s="53" t="str">
        <f t="shared" si="49"/>
        <v/>
      </c>
      <c r="Q966" s="53" t="str">
        <f t="shared" si="50"/>
        <v/>
      </c>
    </row>
    <row r="967" spans="1:17" ht="19.5" customHeight="1">
      <c r="A967" s="38"/>
      <c r="B967" s="38"/>
      <c r="C967" s="38"/>
      <c r="D967" s="37"/>
      <c r="E967" s="37"/>
      <c r="F967" s="37"/>
      <c r="G967" s="37" t="str">
        <f>IF(F967="","",INDEX(站位样品信息!$B$3:INDEX(站位样品信息!$B:$B,COUNTA(站位样品信息!$B:$B)+1),MATCH($F967,站位样品信息!$A$3:INDEX(站位样品信息!$A:$A,COUNTA(站位样品信息!$A:$A)+1),),))</f>
        <v/>
      </c>
      <c r="H967" s="55" t="str">
        <f>IF(OR(A967&lt;&gt;"",B967&lt;&gt;"",C967&lt;&gt;""),IF($C967&lt;&gt;0,INDEX(生物种群!$A$3:INDEX(生物种群!$A:$A,COUNTA(生物种群!$A:$A)),MATCH($C967,生物种群!$F$3:INDEX(生物种群!$F:$F,COUNTA(生物种群!$F:$F)),),),IF($A967&lt;&gt;0,INDEX(生物种群!$A$3:INDEX(生物种群!$A:$A,COUNTA(生物种群!$A:$A)),MATCH($A967,生物种群!$C$3:INDEX(生物种群!$C:$C,COUNTA(生物种群!$C:$C)),),),INDEX(生物种群!$A$3:INDEX(生物种群!$A:$A,COUNTA(生物种群!$A:$A)),MATCH($B967,生物种群!$D$3:INDEX(生物种群!$D:$D,COUNTA(生物种群!$D:$D)),),))),"")</f>
        <v/>
      </c>
      <c r="I967" s="56" t="str">
        <f>IF(H967="","",INDEX(生物种群!$B$3:INDEX(生物种群!$B:$B,COUNTA(生物种群!$B:$B)),MATCH($H967,生物种群!$A$3:INDEX(生物种群!$A:$A,COUNTA(生物种群!$A:$A)),),))</f>
        <v/>
      </c>
      <c r="J967" s="55" t="str">
        <f>IF(H967="","",INDEX(生物种群!$I$3:INDEX(生物种群!$I:$I,COUNTA(生物种群!$I:$I)),MATCH($H967,生物种群!$A$3:INDEX(生物种群!$A:$A,COUNTA(生物种群!$A:$A)),),))</f>
        <v/>
      </c>
      <c r="K967" s="55" t="str">
        <f>IF(H967="","",INDEX(生物种群!$E$3:INDEX(生物种群!$E:$E,COUNTA(生物种群!$E:$E)),MATCH($H967,生物种群!$A$3:INDEX(生物种群!$A:$A,COUNTA(生物种群!$A:$A)),),))</f>
        <v/>
      </c>
      <c r="L967" s="46" t="str">
        <f t="shared" si="48"/>
        <v/>
      </c>
      <c r="M967" s="47" t="str">
        <f>IF(L967="","",ROUND((L967)/VLOOKUP($F967,IF({1,0},站位样品信息!$A$3:INDEX(站位样品信息!$A:$A,COUNTA(站位样品信息!$A:$A)+1),站位样品信息!$H$3:INDEX(站位样品信息!$H:$H,COUNTA(站位样品信息!$H:$H)+1)),2,0),2))</f>
        <v/>
      </c>
      <c r="O967" s="49"/>
      <c r="P967" s="53" t="str">
        <f t="shared" si="49"/>
        <v/>
      </c>
      <c r="Q967" s="53" t="str">
        <f t="shared" si="50"/>
        <v/>
      </c>
    </row>
    <row r="968" spans="1:17" ht="19.5" customHeight="1">
      <c r="A968" s="38"/>
      <c r="B968" s="38"/>
      <c r="C968" s="38"/>
      <c r="D968" s="37"/>
      <c r="E968" s="37"/>
      <c r="F968" s="37"/>
      <c r="G968" s="37" t="str">
        <f>IF(F968="","",INDEX(站位样品信息!$B$3:INDEX(站位样品信息!$B:$B,COUNTA(站位样品信息!$B:$B)+1),MATCH($F968,站位样品信息!$A$3:INDEX(站位样品信息!$A:$A,COUNTA(站位样品信息!$A:$A)+1),),))</f>
        <v/>
      </c>
      <c r="H968" s="55" t="str">
        <f>IF(OR(A968&lt;&gt;"",B968&lt;&gt;"",C968&lt;&gt;""),IF($C968&lt;&gt;0,INDEX(生物种群!$A$3:INDEX(生物种群!$A:$A,COUNTA(生物种群!$A:$A)),MATCH($C968,生物种群!$F$3:INDEX(生物种群!$F:$F,COUNTA(生物种群!$F:$F)),),),IF($A968&lt;&gt;0,INDEX(生物种群!$A$3:INDEX(生物种群!$A:$A,COUNTA(生物种群!$A:$A)),MATCH($A968,生物种群!$C$3:INDEX(生物种群!$C:$C,COUNTA(生物种群!$C:$C)),),),INDEX(生物种群!$A$3:INDEX(生物种群!$A:$A,COUNTA(生物种群!$A:$A)),MATCH($B968,生物种群!$D$3:INDEX(生物种群!$D:$D,COUNTA(生物种群!$D:$D)),),))),"")</f>
        <v/>
      </c>
      <c r="I968" s="56" t="str">
        <f>IF(H968="","",INDEX(生物种群!$B$3:INDEX(生物种群!$B:$B,COUNTA(生物种群!$B:$B)),MATCH($H968,生物种群!$A$3:INDEX(生物种群!$A:$A,COUNTA(生物种群!$A:$A)),),))</f>
        <v/>
      </c>
      <c r="J968" s="55" t="str">
        <f>IF(H968="","",INDEX(生物种群!$I$3:INDEX(生物种群!$I:$I,COUNTA(生物种群!$I:$I)),MATCH($H968,生物种群!$A$3:INDEX(生物种群!$A:$A,COUNTA(生物种群!$A:$A)),),))</f>
        <v/>
      </c>
      <c r="K968" s="55" t="str">
        <f>IF(H968="","",INDEX(生物种群!$E$3:INDEX(生物种群!$E:$E,COUNTA(生物种群!$E:$E)),MATCH($H968,生物种群!$A$3:INDEX(生物种群!$A:$A,COUNTA(生物种群!$A:$A)),),))</f>
        <v/>
      </c>
      <c r="L968" s="46" t="str">
        <f t="shared" si="48"/>
        <v/>
      </c>
      <c r="M968" s="47" t="str">
        <f>IF(L968="","",ROUND((L968)/VLOOKUP($F968,IF({1,0},站位样品信息!$A$3:INDEX(站位样品信息!$A:$A,COUNTA(站位样品信息!$A:$A)+1),站位样品信息!$H$3:INDEX(站位样品信息!$H:$H,COUNTA(站位样品信息!$H:$H)+1)),2,0),2))</f>
        <v/>
      </c>
      <c r="O968" s="49"/>
      <c r="P968" s="53" t="str">
        <f t="shared" si="49"/>
        <v/>
      </c>
      <c r="Q968" s="53" t="str">
        <f t="shared" si="50"/>
        <v/>
      </c>
    </row>
    <row r="969" spans="1:17" ht="19.5" customHeight="1">
      <c r="A969" s="38"/>
      <c r="B969" s="38"/>
      <c r="C969" s="38"/>
      <c r="D969" s="37"/>
      <c r="E969" s="37"/>
      <c r="F969" s="37"/>
      <c r="G969" s="37" t="str">
        <f>IF(F969="","",INDEX(站位样品信息!$B$3:INDEX(站位样品信息!$B:$B,COUNTA(站位样品信息!$B:$B)+1),MATCH($F969,站位样品信息!$A$3:INDEX(站位样品信息!$A:$A,COUNTA(站位样品信息!$A:$A)+1),),))</f>
        <v/>
      </c>
      <c r="H969" s="55" t="str">
        <f>IF(OR(A969&lt;&gt;"",B969&lt;&gt;"",C969&lt;&gt;""),IF($C969&lt;&gt;0,INDEX(生物种群!$A$3:INDEX(生物种群!$A:$A,COUNTA(生物种群!$A:$A)),MATCH($C969,生物种群!$F$3:INDEX(生物种群!$F:$F,COUNTA(生物种群!$F:$F)),),),IF($A969&lt;&gt;0,INDEX(生物种群!$A$3:INDEX(生物种群!$A:$A,COUNTA(生物种群!$A:$A)),MATCH($A969,生物种群!$C$3:INDEX(生物种群!$C:$C,COUNTA(生物种群!$C:$C)),),),INDEX(生物种群!$A$3:INDEX(生物种群!$A:$A,COUNTA(生物种群!$A:$A)),MATCH($B969,生物种群!$D$3:INDEX(生物种群!$D:$D,COUNTA(生物种群!$D:$D)),),))),"")</f>
        <v/>
      </c>
      <c r="I969" s="56" t="str">
        <f>IF(H969="","",INDEX(生物种群!$B$3:INDEX(生物种群!$B:$B,COUNTA(生物种群!$B:$B)),MATCH($H969,生物种群!$A$3:INDEX(生物种群!$A:$A,COUNTA(生物种群!$A:$A)),),))</f>
        <v/>
      </c>
      <c r="J969" s="55" t="str">
        <f>IF(H969="","",INDEX(生物种群!$I$3:INDEX(生物种群!$I:$I,COUNTA(生物种群!$I:$I)),MATCH($H969,生物种群!$A$3:INDEX(生物种群!$A:$A,COUNTA(生物种群!$A:$A)),),))</f>
        <v/>
      </c>
      <c r="K969" s="55" t="str">
        <f>IF(H969="","",INDEX(生物种群!$E$3:INDEX(生物种群!$E:$E,COUNTA(生物种群!$E:$E)),MATCH($H969,生物种群!$A$3:INDEX(生物种群!$A:$A,COUNTA(生物种群!$A:$A)),),))</f>
        <v/>
      </c>
      <c r="L969" s="46" t="str">
        <f t="shared" si="48"/>
        <v/>
      </c>
      <c r="M969" s="47" t="str">
        <f>IF(L969="","",ROUND((L969)/VLOOKUP($F969,IF({1,0},站位样品信息!$A$3:INDEX(站位样品信息!$A:$A,COUNTA(站位样品信息!$A:$A)+1),站位样品信息!$H$3:INDEX(站位样品信息!$H:$H,COUNTA(站位样品信息!$H:$H)+1)),2,0),2))</f>
        <v/>
      </c>
      <c r="O969" s="49"/>
      <c r="P969" s="53" t="str">
        <f t="shared" si="49"/>
        <v/>
      </c>
      <c r="Q969" s="53" t="str">
        <f t="shared" si="50"/>
        <v/>
      </c>
    </row>
    <row r="970" spans="1:17" ht="19.5" customHeight="1">
      <c r="A970" s="38"/>
      <c r="B970" s="38"/>
      <c r="C970" s="38"/>
      <c r="D970" s="37"/>
      <c r="E970" s="37"/>
      <c r="F970" s="37"/>
      <c r="G970" s="37" t="str">
        <f>IF(F970="","",INDEX(站位样品信息!$B$3:INDEX(站位样品信息!$B:$B,COUNTA(站位样品信息!$B:$B)+1),MATCH($F970,站位样品信息!$A$3:INDEX(站位样品信息!$A:$A,COUNTA(站位样品信息!$A:$A)+1),),))</f>
        <v/>
      </c>
      <c r="H970" s="55" t="str">
        <f>IF(OR(A970&lt;&gt;"",B970&lt;&gt;"",C970&lt;&gt;""),IF($C970&lt;&gt;0,INDEX(生物种群!$A$3:INDEX(生物种群!$A:$A,COUNTA(生物种群!$A:$A)),MATCH($C970,生物种群!$F$3:INDEX(生物种群!$F:$F,COUNTA(生物种群!$F:$F)),),),IF($A970&lt;&gt;0,INDEX(生物种群!$A$3:INDEX(生物种群!$A:$A,COUNTA(生物种群!$A:$A)),MATCH($A970,生物种群!$C$3:INDEX(生物种群!$C:$C,COUNTA(生物种群!$C:$C)),),),INDEX(生物种群!$A$3:INDEX(生物种群!$A:$A,COUNTA(生物种群!$A:$A)),MATCH($B970,生物种群!$D$3:INDEX(生物种群!$D:$D,COUNTA(生物种群!$D:$D)),),))),"")</f>
        <v/>
      </c>
      <c r="I970" s="56" t="str">
        <f>IF(H970="","",INDEX(生物种群!$B$3:INDEX(生物种群!$B:$B,COUNTA(生物种群!$B:$B)),MATCH($H970,生物种群!$A$3:INDEX(生物种群!$A:$A,COUNTA(生物种群!$A:$A)),),))</f>
        <v/>
      </c>
      <c r="J970" s="55" t="str">
        <f>IF(H970="","",INDEX(生物种群!$I$3:INDEX(生物种群!$I:$I,COUNTA(生物种群!$I:$I)),MATCH($H970,生物种群!$A$3:INDEX(生物种群!$A:$A,COUNTA(生物种群!$A:$A)),),))</f>
        <v/>
      </c>
      <c r="K970" s="55" t="str">
        <f>IF(H970="","",INDEX(生物种群!$E$3:INDEX(生物种群!$E:$E,COUNTA(生物种群!$E:$E)),MATCH($H970,生物种群!$A$3:INDEX(生物种群!$A:$A,COUNTA(生物种群!$A:$A)),),))</f>
        <v/>
      </c>
      <c r="L970" s="46" t="str">
        <f t="shared" si="48"/>
        <v/>
      </c>
      <c r="M970" s="47" t="str">
        <f>IF(L970="","",ROUND((L970)/VLOOKUP($F970,IF({1,0},站位样品信息!$A$3:INDEX(站位样品信息!$A:$A,COUNTA(站位样品信息!$A:$A)+1),站位样品信息!$H$3:INDEX(站位样品信息!$H:$H,COUNTA(站位样品信息!$H:$H)+1)),2,0),2))</f>
        <v/>
      </c>
      <c r="O970" s="49"/>
      <c r="P970" s="53" t="str">
        <f t="shared" si="49"/>
        <v/>
      </c>
      <c r="Q970" s="53" t="str">
        <f t="shared" si="50"/>
        <v/>
      </c>
    </row>
    <row r="971" spans="1:17" ht="19.5" customHeight="1">
      <c r="A971" s="38"/>
      <c r="B971" s="38"/>
      <c r="C971" s="38"/>
      <c r="D971" s="37"/>
      <c r="E971" s="37"/>
      <c r="F971" s="37"/>
      <c r="G971" s="37" t="str">
        <f>IF(F971="","",INDEX(站位样品信息!$B$3:INDEX(站位样品信息!$B:$B,COUNTA(站位样品信息!$B:$B)+1),MATCH($F971,站位样品信息!$A$3:INDEX(站位样品信息!$A:$A,COUNTA(站位样品信息!$A:$A)+1),),))</f>
        <v/>
      </c>
      <c r="H971" s="55" t="str">
        <f>IF(OR(A971&lt;&gt;"",B971&lt;&gt;"",C971&lt;&gt;""),IF($C971&lt;&gt;0,INDEX(生物种群!$A$3:INDEX(生物种群!$A:$A,COUNTA(生物种群!$A:$A)),MATCH($C971,生物种群!$F$3:INDEX(生物种群!$F:$F,COUNTA(生物种群!$F:$F)),),),IF($A971&lt;&gt;0,INDEX(生物种群!$A$3:INDEX(生物种群!$A:$A,COUNTA(生物种群!$A:$A)),MATCH($A971,生物种群!$C$3:INDEX(生物种群!$C:$C,COUNTA(生物种群!$C:$C)),),),INDEX(生物种群!$A$3:INDEX(生物种群!$A:$A,COUNTA(生物种群!$A:$A)),MATCH($B971,生物种群!$D$3:INDEX(生物种群!$D:$D,COUNTA(生物种群!$D:$D)),),))),"")</f>
        <v/>
      </c>
      <c r="I971" s="56" t="str">
        <f>IF(H971="","",INDEX(生物种群!$B$3:INDEX(生物种群!$B:$B,COUNTA(生物种群!$B:$B)),MATCH($H971,生物种群!$A$3:INDEX(生物种群!$A:$A,COUNTA(生物种群!$A:$A)),),))</f>
        <v/>
      </c>
      <c r="J971" s="55" t="str">
        <f>IF(H971="","",INDEX(生物种群!$I$3:INDEX(生物种群!$I:$I,COUNTA(生物种群!$I:$I)),MATCH($H971,生物种群!$A$3:INDEX(生物种群!$A:$A,COUNTA(生物种群!$A:$A)),),))</f>
        <v/>
      </c>
      <c r="K971" s="55" t="str">
        <f>IF(H971="","",INDEX(生物种群!$E$3:INDEX(生物种群!$E:$E,COUNTA(生物种群!$E:$E)),MATCH($H971,生物种群!$A$3:INDEX(生物种群!$A:$A,COUNTA(生物种群!$A:$A)),),))</f>
        <v/>
      </c>
      <c r="L971" s="46" t="str">
        <f t="shared" si="48"/>
        <v/>
      </c>
      <c r="M971" s="47" t="str">
        <f>IF(L971="","",ROUND((L971)/VLOOKUP($F971,IF({1,0},站位样品信息!$A$3:INDEX(站位样品信息!$A:$A,COUNTA(站位样品信息!$A:$A)+1),站位样品信息!$H$3:INDEX(站位样品信息!$H:$H,COUNTA(站位样品信息!$H:$H)+1)),2,0),2))</f>
        <v/>
      </c>
      <c r="O971" s="49"/>
      <c r="P971" s="53" t="str">
        <f t="shared" si="49"/>
        <v/>
      </c>
      <c r="Q971" s="53" t="str">
        <f t="shared" si="50"/>
        <v/>
      </c>
    </row>
    <row r="972" spans="1:17" ht="19.5" customHeight="1">
      <c r="A972" s="38"/>
      <c r="B972" s="38"/>
      <c r="C972" s="38"/>
      <c r="D972" s="37"/>
      <c r="E972" s="37"/>
      <c r="F972" s="37"/>
      <c r="G972" s="37" t="str">
        <f>IF(F972="","",INDEX(站位样品信息!$B$3:INDEX(站位样品信息!$B:$B,COUNTA(站位样品信息!$B:$B)+1),MATCH($F972,站位样品信息!$A$3:INDEX(站位样品信息!$A:$A,COUNTA(站位样品信息!$A:$A)+1),),))</f>
        <v/>
      </c>
      <c r="H972" s="55" t="str">
        <f>IF(OR(A972&lt;&gt;"",B972&lt;&gt;"",C972&lt;&gt;""),IF($C972&lt;&gt;0,INDEX(生物种群!$A$3:INDEX(生物种群!$A:$A,COUNTA(生物种群!$A:$A)),MATCH($C972,生物种群!$F$3:INDEX(生物种群!$F:$F,COUNTA(生物种群!$F:$F)),),),IF($A972&lt;&gt;0,INDEX(生物种群!$A$3:INDEX(生物种群!$A:$A,COUNTA(生物种群!$A:$A)),MATCH($A972,生物种群!$C$3:INDEX(生物种群!$C:$C,COUNTA(生物种群!$C:$C)),),),INDEX(生物种群!$A$3:INDEX(生物种群!$A:$A,COUNTA(生物种群!$A:$A)),MATCH($B972,生物种群!$D$3:INDEX(生物种群!$D:$D,COUNTA(生物种群!$D:$D)),),))),"")</f>
        <v/>
      </c>
      <c r="I972" s="56" t="str">
        <f>IF(H972="","",INDEX(生物种群!$B$3:INDEX(生物种群!$B:$B,COUNTA(生物种群!$B:$B)),MATCH($H972,生物种群!$A$3:INDEX(生物种群!$A:$A,COUNTA(生物种群!$A:$A)),),))</f>
        <v/>
      </c>
      <c r="J972" s="55" t="str">
        <f>IF(H972="","",INDEX(生物种群!$I$3:INDEX(生物种群!$I:$I,COUNTA(生物种群!$I:$I)),MATCH($H972,生物种群!$A$3:INDEX(生物种群!$A:$A,COUNTA(生物种群!$A:$A)),),))</f>
        <v/>
      </c>
      <c r="K972" s="55" t="str">
        <f>IF(H972="","",INDEX(生物种群!$E$3:INDEX(生物种群!$E:$E,COUNTA(生物种群!$E:$E)),MATCH($H972,生物种群!$A$3:INDEX(生物种群!$A:$A,COUNTA(生物种群!$A:$A)),),))</f>
        <v/>
      </c>
      <c r="L972" s="46" t="str">
        <f t="shared" si="48"/>
        <v/>
      </c>
      <c r="M972" s="47" t="str">
        <f>IF(L972="","",ROUND((L972)/VLOOKUP($F972,IF({1,0},站位样品信息!$A$3:INDEX(站位样品信息!$A:$A,COUNTA(站位样品信息!$A:$A)+1),站位样品信息!$H$3:INDEX(站位样品信息!$H:$H,COUNTA(站位样品信息!$H:$H)+1)),2,0),2))</f>
        <v/>
      </c>
      <c r="O972" s="49"/>
      <c r="P972" s="53" t="str">
        <f t="shared" si="49"/>
        <v/>
      </c>
      <c r="Q972" s="53" t="str">
        <f t="shared" si="50"/>
        <v/>
      </c>
    </row>
    <row r="973" spans="1:17" ht="19.5" customHeight="1">
      <c r="A973" s="38"/>
      <c r="B973" s="38"/>
      <c r="C973" s="38"/>
      <c r="D973" s="37"/>
      <c r="E973" s="37"/>
      <c r="F973" s="37"/>
      <c r="G973" s="37" t="str">
        <f>IF(F973="","",INDEX(站位样品信息!$B$3:INDEX(站位样品信息!$B:$B,COUNTA(站位样品信息!$B:$B)+1),MATCH($F973,站位样品信息!$A$3:INDEX(站位样品信息!$A:$A,COUNTA(站位样品信息!$A:$A)+1),),))</f>
        <v/>
      </c>
      <c r="H973" s="55" t="str">
        <f>IF(OR(A973&lt;&gt;"",B973&lt;&gt;"",C973&lt;&gt;""),IF($C973&lt;&gt;0,INDEX(生物种群!$A$3:INDEX(生物种群!$A:$A,COUNTA(生物种群!$A:$A)),MATCH($C973,生物种群!$F$3:INDEX(生物种群!$F:$F,COUNTA(生物种群!$F:$F)),),),IF($A973&lt;&gt;0,INDEX(生物种群!$A$3:INDEX(生物种群!$A:$A,COUNTA(生物种群!$A:$A)),MATCH($A973,生物种群!$C$3:INDEX(生物种群!$C:$C,COUNTA(生物种群!$C:$C)),),),INDEX(生物种群!$A$3:INDEX(生物种群!$A:$A,COUNTA(生物种群!$A:$A)),MATCH($B973,生物种群!$D$3:INDEX(生物种群!$D:$D,COUNTA(生物种群!$D:$D)),),))),"")</f>
        <v/>
      </c>
      <c r="I973" s="56" t="str">
        <f>IF(H973="","",INDEX(生物种群!$B$3:INDEX(生物种群!$B:$B,COUNTA(生物种群!$B:$B)),MATCH($H973,生物种群!$A$3:INDEX(生物种群!$A:$A,COUNTA(生物种群!$A:$A)),),))</f>
        <v/>
      </c>
      <c r="J973" s="55" t="str">
        <f>IF(H973="","",INDEX(生物种群!$I$3:INDEX(生物种群!$I:$I,COUNTA(生物种群!$I:$I)),MATCH($H973,生物种群!$A$3:INDEX(生物种群!$A:$A,COUNTA(生物种群!$A:$A)),),))</f>
        <v/>
      </c>
      <c r="K973" s="55" t="str">
        <f>IF(H973="","",INDEX(生物种群!$E$3:INDEX(生物种群!$E:$E,COUNTA(生物种群!$E:$E)),MATCH($H973,生物种群!$A$3:INDEX(生物种群!$A:$A,COUNTA(生物种群!$A:$A)),),))</f>
        <v/>
      </c>
      <c r="L973" s="46" t="str">
        <f t="shared" si="51" ref="L973:L1000">IFERROR(IF(OR(D973="",E973=""),"",D973/E973*100),"")</f>
        <v/>
      </c>
      <c r="M973" s="47" t="str">
        <f>IF(L973="","",ROUND((L973)/VLOOKUP($F973,IF({1,0},站位样品信息!$A$3:INDEX(站位样品信息!$A:$A,COUNTA(站位样品信息!$A:$A)+1),站位样品信息!$H$3:INDEX(站位样品信息!$H:$H,COUNTA(站位样品信息!$H:$H)+1)),2,0),2))</f>
        <v/>
      </c>
      <c r="O973" s="49"/>
      <c r="P973" s="53" t="str">
        <f t="shared" si="49"/>
        <v/>
      </c>
      <c r="Q973" s="53" t="str">
        <f t="shared" si="50"/>
        <v/>
      </c>
    </row>
    <row r="974" spans="1:17" ht="19.5" customHeight="1">
      <c r="A974" s="38"/>
      <c r="B974" s="38"/>
      <c r="C974" s="38"/>
      <c r="D974" s="37"/>
      <c r="E974" s="37"/>
      <c r="F974" s="37"/>
      <c r="G974" s="37" t="str">
        <f>IF(F974="","",INDEX(站位样品信息!$B$3:INDEX(站位样品信息!$B:$B,COUNTA(站位样品信息!$B:$B)+1),MATCH($F974,站位样品信息!$A$3:INDEX(站位样品信息!$A:$A,COUNTA(站位样品信息!$A:$A)+1),),))</f>
        <v/>
      </c>
      <c r="H974" s="55" t="str">
        <f>IF(OR(A974&lt;&gt;"",B974&lt;&gt;"",C974&lt;&gt;""),IF($C974&lt;&gt;0,INDEX(生物种群!$A$3:INDEX(生物种群!$A:$A,COUNTA(生物种群!$A:$A)),MATCH($C974,生物种群!$F$3:INDEX(生物种群!$F:$F,COUNTA(生物种群!$F:$F)),),),IF($A974&lt;&gt;0,INDEX(生物种群!$A$3:INDEX(生物种群!$A:$A,COUNTA(生物种群!$A:$A)),MATCH($A974,生物种群!$C$3:INDEX(生物种群!$C:$C,COUNTA(生物种群!$C:$C)),),),INDEX(生物种群!$A$3:INDEX(生物种群!$A:$A,COUNTA(生物种群!$A:$A)),MATCH($B974,生物种群!$D$3:INDEX(生物种群!$D:$D,COUNTA(生物种群!$D:$D)),),))),"")</f>
        <v/>
      </c>
      <c r="I974" s="56" t="str">
        <f>IF(H974="","",INDEX(生物种群!$B$3:INDEX(生物种群!$B:$B,COUNTA(生物种群!$B:$B)),MATCH($H974,生物种群!$A$3:INDEX(生物种群!$A:$A,COUNTA(生物种群!$A:$A)),),))</f>
        <v/>
      </c>
      <c r="J974" s="55" t="str">
        <f>IF(H974="","",INDEX(生物种群!$I$3:INDEX(生物种群!$I:$I,COUNTA(生物种群!$I:$I)),MATCH($H974,生物种群!$A$3:INDEX(生物种群!$A:$A,COUNTA(生物种群!$A:$A)),),))</f>
        <v/>
      </c>
      <c r="K974" s="55" t="str">
        <f>IF(H974="","",INDEX(生物种群!$E$3:INDEX(生物种群!$E:$E,COUNTA(生物种群!$E:$E)),MATCH($H974,生物种群!$A$3:INDEX(生物种群!$A:$A,COUNTA(生物种群!$A:$A)),),))</f>
        <v/>
      </c>
      <c r="L974" s="46" t="str">
        <f t="shared" si="51"/>
        <v/>
      </c>
      <c r="M974" s="47" t="str">
        <f>IF(L974="","",ROUND((L974)/VLOOKUP($F974,IF({1,0},站位样品信息!$A$3:INDEX(站位样品信息!$A:$A,COUNTA(站位样品信息!$A:$A)+1),站位样品信息!$H$3:INDEX(站位样品信息!$H:$H,COUNTA(站位样品信息!$H:$H)+1)),2,0),2))</f>
        <v/>
      </c>
      <c r="O974" s="49"/>
      <c r="P974" s="53" t="str">
        <f t="shared" si="49"/>
        <v/>
      </c>
      <c r="Q974" s="53" t="str">
        <f t="shared" si="50"/>
        <v/>
      </c>
    </row>
    <row r="975" spans="1:17" ht="19.5" customHeight="1">
      <c r="A975" s="38"/>
      <c r="B975" s="38"/>
      <c r="C975" s="38"/>
      <c r="D975" s="37"/>
      <c r="E975" s="37"/>
      <c r="F975" s="37"/>
      <c r="G975" s="37" t="str">
        <f>IF(F975="","",INDEX(站位样品信息!$B$3:INDEX(站位样品信息!$B:$B,COUNTA(站位样品信息!$B:$B)+1),MATCH($F975,站位样品信息!$A$3:INDEX(站位样品信息!$A:$A,COUNTA(站位样品信息!$A:$A)+1),),))</f>
        <v/>
      </c>
      <c r="H975" s="55" t="str">
        <f>IF(OR(A975&lt;&gt;"",B975&lt;&gt;"",C975&lt;&gt;""),IF($C975&lt;&gt;0,INDEX(生物种群!$A$3:INDEX(生物种群!$A:$A,COUNTA(生物种群!$A:$A)),MATCH($C975,生物种群!$F$3:INDEX(生物种群!$F:$F,COUNTA(生物种群!$F:$F)),),),IF($A975&lt;&gt;0,INDEX(生物种群!$A$3:INDEX(生物种群!$A:$A,COUNTA(生物种群!$A:$A)),MATCH($A975,生物种群!$C$3:INDEX(生物种群!$C:$C,COUNTA(生物种群!$C:$C)),),),INDEX(生物种群!$A$3:INDEX(生物种群!$A:$A,COUNTA(生物种群!$A:$A)),MATCH($B975,生物种群!$D$3:INDEX(生物种群!$D:$D,COUNTA(生物种群!$D:$D)),),))),"")</f>
        <v/>
      </c>
      <c r="I975" s="56" t="str">
        <f>IF(H975="","",INDEX(生物种群!$B$3:INDEX(生物种群!$B:$B,COUNTA(生物种群!$B:$B)),MATCH($H975,生物种群!$A$3:INDEX(生物种群!$A:$A,COUNTA(生物种群!$A:$A)),),))</f>
        <v/>
      </c>
      <c r="J975" s="55" t="str">
        <f>IF(H975="","",INDEX(生物种群!$I$3:INDEX(生物种群!$I:$I,COUNTA(生物种群!$I:$I)),MATCH($H975,生物种群!$A$3:INDEX(生物种群!$A:$A,COUNTA(生物种群!$A:$A)),),))</f>
        <v/>
      </c>
      <c r="K975" s="55" t="str">
        <f>IF(H975="","",INDEX(生物种群!$E$3:INDEX(生物种群!$E:$E,COUNTA(生物种群!$E:$E)),MATCH($H975,生物种群!$A$3:INDEX(生物种群!$A:$A,COUNTA(生物种群!$A:$A)),),))</f>
        <v/>
      </c>
      <c r="L975" s="46" t="str">
        <f t="shared" si="51"/>
        <v/>
      </c>
      <c r="M975" s="47" t="str">
        <f>IF(L975="","",ROUND((L975)/VLOOKUP($F975,IF({1,0},站位样品信息!$A$3:INDEX(站位样品信息!$A:$A,COUNTA(站位样品信息!$A:$A)+1),站位样品信息!$H$3:INDEX(站位样品信息!$H:$H,COUNTA(站位样品信息!$H:$H)+1)),2,0),2))</f>
        <v/>
      </c>
      <c r="O975" s="49"/>
      <c r="P975" s="53" t="str">
        <f t="shared" si="49"/>
        <v/>
      </c>
      <c r="Q975" s="53" t="str">
        <f t="shared" si="50"/>
        <v/>
      </c>
    </row>
    <row r="976" spans="1:17" ht="19.5" customHeight="1">
      <c r="A976" s="38"/>
      <c r="B976" s="38"/>
      <c r="C976" s="38"/>
      <c r="D976" s="37"/>
      <c r="E976" s="37"/>
      <c r="F976" s="37"/>
      <c r="G976" s="37" t="str">
        <f>IF(F976="","",INDEX(站位样品信息!$B$3:INDEX(站位样品信息!$B:$B,COUNTA(站位样品信息!$B:$B)+1),MATCH($F976,站位样品信息!$A$3:INDEX(站位样品信息!$A:$A,COUNTA(站位样品信息!$A:$A)+1),),))</f>
        <v/>
      </c>
      <c r="H976" s="55" t="str">
        <f>IF(OR(A976&lt;&gt;"",B976&lt;&gt;"",C976&lt;&gt;""),IF($C976&lt;&gt;0,INDEX(生物种群!$A$3:INDEX(生物种群!$A:$A,COUNTA(生物种群!$A:$A)),MATCH($C976,生物种群!$F$3:INDEX(生物种群!$F:$F,COUNTA(生物种群!$F:$F)),),),IF($A976&lt;&gt;0,INDEX(生物种群!$A$3:INDEX(生物种群!$A:$A,COUNTA(生物种群!$A:$A)),MATCH($A976,生物种群!$C$3:INDEX(生物种群!$C:$C,COUNTA(生物种群!$C:$C)),),),INDEX(生物种群!$A$3:INDEX(生物种群!$A:$A,COUNTA(生物种群!$A:$A)),MATCH($B976,生物种群!$D$3:INDEX(生物种群!$D:$D,COUNTA(生物种群!$D:$D)),),))),"")</f>
        <v/>
      </c>
      <c r="I976" s="56" t="str">
        <f>IF(H976="","",INDEX(生物种群!$B$3:INDEX(生物种群!$B:$B,COUNTA(生物种群!$B:$B)),MATCH($H976,生物种群!$A$3:INDEX(生物种群!$A:$A,COUNTA(生物种群!$A:$A)),),))</f>
        <v/>
      </c>
      <c r="J976" s="55" t="str">
        <f>IF(H976="","",INDEX(生物种群!$I$3:INDEX(生物种群!$I:$I,COUNTA(生物种群!$I:$I)),MATCH($H976,生物种群!$A$3:INDEX(生物种群!$A:$A,COUNTA(生物种群!$A:$A)),),))</f>
        <v/>
      </c>
      <c r="K976" s="55" t="str">
        <f>IF(H976="","",INDEX(生物种群!$E$3:INDEX(生物种群!$E:$E,COUNTA(生物种群!$E:$E)),MATCH($H976,生物种群!$A$3:INDEX(生物种群!$A:$A,COUNTA(生物种群!$A:$A)),),))</f>
        <v/>
      </c>
      <c r="L976" s="46" t="str">
        <f t="shared" si="51"/>
        <v/>
      </c>
      <c r="M976" s="47" t="str">
        <f>IF(L976="","",ROUND((L976)/VLOOKUP($F976,IF({1,0},站位样品信息!$A$3:INDEX(站位样品信息!$A:$A,COUNTA(站位样品信息!$A:$A)+1),站位样品信息!$H$3:INDEX(站位样品信息!$H:$H,COUNTA(站位样品信息!$H:$H)+1)),2,0),2))</f>
        <v/>
      </c>
      <c r="O976" s="49"/>
      <c r="P976" s="53" t="str">
        <f t="shared" si="49"/>
        <v/>
      </c>
      <c r="Q976" s="53" t="str">
        <f t="shared" si="50"/>
        <v/>
      </c>
    </row>
    <row r="977" spans="1:17" ht="19.5" customHeight="1">
      <c r="A977" s="38"/>
      <c r="B977" s="38"/>
      <c r="C977" s="38"/>
      <c r="D977" s="37"/>
      <c r="E977" s="37"/>
      <c r="F977" s="37"/>
      <c r="G977" s="37" t="str">
        <f>IF(F977="","",INDEX(站位样品信息!$B$3:INDEX(站位样品信息!$B:$B,COUNTA(站位样品信息!$B:$B)+1),MATCH($F977,站位样品信息!$A$3:INDEX(站位样品信息!$A:$A,COUNTA(站位样品信息!$A:$A)+1),),))</f>
        <v/>
      </c>
      <c r="H977" s="55" t="str">
        <f>IF(OR(A977&lt;&gt;"",B977&lt;&gt;"",C977&lt;&gt;""),IF($C977&lt;&gt;0,INDEX(生物种群!$A$3:INDEX(生物种群!$A:$A,COUNTA(生物种群!$A:$A)),MATCH($C977,生物种群!$F$3:INDEX(生物种群!$F:$F,COUNTA(生物种群!$F:$F)),),),IF($A977&lt;&gt;0,INDEX(生物种群!$A$3:INDEX(生物种群!$A:$A,COUNTA(生物种群!$A:$A)),MATCH($A977,生物种群!$C$3:INDEX(生物种群!$C:$C,COUNTA(生物种群!$C:$C)),),),INDEX(生物种群!$A$3:INDEX(生物种群!$A:$A,COUNTA(生物种群!$A:$A)),MATCH($B977,生物种群!$D$3:INDEX(生物种群!$D:$D,COUNTA(生物种群!$D:$D)),),))),"")</f>
        <v/>
      </c>
      <c r="I977" s="56" t="str">
        <f>IF(H977="","",INDEX(生物种群!$B$3:INDEX(生物种群!$B:$B,COUNTA(生物种群!$B:$B)),MATCH($H977,生物种群!$A$3:INDEX(生物种群!$A:$A,COUNTA(生物种群!$A:$A)),),))</f>
        <v/>
      </c>
      <c r="J977" s="55" t="str">
        <f>IF(H977="","",INDEX(生物种群!$I$3:INDEX(生物种群!$I:$I,COUNTA(生物种群!$I:$I)),MATCH($H977,生物种群!$A$3:INDEX(生物种群!$A:$A,COUNTA(生物种群!$A:$A)),),))</f>
        <v/>
      </c>
      <c r="K977" s="55" t="str">
        <f>IF(H977="","",INDEX(生物种群!$E$3:INDEX(生物种群!$E:$E,COUNTA(生物种群!$E:$E)),MATCH($H977,生物种群!$A$3:INDEX(生物种群!$A:$A,COUNTA(生物种群!$A:$A)),),))</f>
        <v/>
      </c>
      <c r="L977" s="46" t="str">
        <f t="shared" si="51"/>
        <v/>
      </c>
      <c r="M977" s="47" t="str">
        <f>IF(L977="","",ROUND((L977)/VLOOKUP($F977,IF({1,0},站位样品信息!$A$3:INDEX(站位样品信息!$A:$A,COUNTA(站位样品信息!$A:$A)+1),站位样品信息!$H$3:INDEX(站位样品信息!$H:$H,COUNTA(站位样品信息!$H:$H)+1)),2,0),2))</f>
        <v/>
      </c>
      <c r="O977" s="49"/>
      <c r="P977" s="53" t="str">
        <f t="shared" si="49"/>
        <v/>
      </c>
      <c r="Q977" s="53" t="str">
        <f t="shared" si="50"/>
        <v/>
      </c>
    </row>
    <row r="978" spans="1:17" ht="19.5" customHeight="1">
      <c r="A978" s="38"/>
      <c r="B978" s="38"/>
      <c r="C978" s="38"/>
      <c r="D978" s="37"/>
      <c r="E978" s="37"/>
      <c r="F978" s="37"/>
      <c r="G978" s="37" t="str">
        <f>IF(F978="","",INDEX(站位样品信息!$B$3:INDEX(站位样品信息!$B:$B,COUNTA(站位样品信息!$B:$B)+1),MATCH($F978,站位样品信息!$A$3:INDEX(站位样品信息!$A:$A,COUNTA(站位样品信息!$A:$A)+1),),))</f>
        <v/>
      </c>
      <c r="H978" s="55" t="str">
        <f>IF(OR(A978&lt;&gt;"",B978&lt;&gt;"",C978&lt;&gt;""),IF($C978&lt;&gt;0,INDEX(生物种群!$A$3:INDEX(生物种群!$A:$A,COUNTA(生物种群!$A:$A)),MATCH($C978,生物种群!$F$3:INDEX(生物种群!$F:$F,COUNTA(生物种群!$F:$F)),),),IF($A978&lt;&gt;0,INDEX(生物种群!$A$3:INDEX(生物种群!$A:$A,COUNTA(生物种群!$A:$A)),MATCH($A978,生物种群!$C$3:INDEX(生物种群!$C:$C,COUNTA(生物种群!$C:$C)),),),INDEX(生物种群!$A$3:INDEX(生物种群!$A:$A,COUNTA(生物种群!$A:$A)),MATCH($B978,生物种群!$D$3:INDEX(生物种群!$D:$D,COUNTA(生物种群!$D:$D)),),))),"")</f>
        <v/>
      </c>
      <c r="I978" s="56" t="str">
        <f>IF(H978="","",INDEX(生物种群!$B$3:INDEX(生物种群!$B:$B,COUNTA(生物种群!$B:$B)),MATCH($H978,生物种群!$A$3:INDEX(生物种群!$A:$A,COUNTA(生物种群!$A:$A)),),))</f>
        <v/>
      </c>
      <c r="J978" s="55" t="str">
        <f>IF(H978="","",INDEX(生物种群!$I$3:INDEX(生物种群!$I:$I,COUNTA(生物种群!$I:$I)),MATCH($H978,生物种群!$A$3:INDEX(生物种群!$A:$A,COUNTA(生物种群!$A:$A)),),))</f>
        <v/>
      </c>
      <c r="K978" s="55" t="str">
        <f>IF(H978="","",INDEX(生物种群!$E$3:INDEX(生物种群!$E:$E,COUNTA(生物种群!$E:$E)),MATCH($H978,生物种群!$A$3:INDEX(生物种群!$A:$A,COUNTA(生物种群!$A:$A)),),))</f>
        <v/>
      </c>
      <c r="L978" s="46" t="str">
        <f t="shared" si="51"/>
        <v/>
      </c>
      <c r="M978" s="47" t="str">
        <f>IF(L978="","",ROUND((L978)/VLOOKUP($F978,IF({1,0},站位样品信息!$A$3:INDEX(站位样品信息!$A:$A,COUNTA(站位样品信息!$A:$A)+1),站位样品信息!$H$3:INDEX(站位样品信息!$H:$H,COUNTA(站位样品信息!$H:$H)+1)),2,0),2))</f>
        <v/>
      </c>
      <c r="O978" s="49"/>
      <c r="P978" s="53" t="str">
        <f t="shared" si="49"/>
        <v/>
      </c>
      <c r="Q978" s="53" t="str">
        <f t="shared" si="50"/>
        <v/>
      </c>
    </row>
    <row r="979" spans="1:17" ht="19.5" customHeight="1">
      <c r="A979" s="38"/>
      <c r="B979" s="38"/>
      <c r="C979" s="38"/>
      <c r="D979" s="37"/>
      <c r="E979" s="37"/>
      <c r="F979" s="37"/>
      <c r="G979" s="37" t="str">
        <f>IF(F979="","",INDEX(站位样品信息!$B$3:INDEX(站位样品信息!$B:$B,COUNTA(站位样品信息!$B:$B)+1),MATCH($F979,站位样品信息!$A$3:INDEX(站位样品信息!$A:$A,COUNTA(站位样品信息!$A:$A)+1),),))</f>
        <v/>
      </c>
      <c r="H979" s="55" t="str">
        <f>IF(OR(A979&lt;&gt;"",B979&lt;&gt;"",C979&lt;&gt;""),IF($C979&lt;&gt;0,INDEX(生物种群!$A$3:INDEX(生物种群!$A:$A,COUNTA(生物种群!$A:$A)),MATCH($C979,生物种群!$F$3:INDEX(生物种群!$F:$F,COUNTA(生物种群!$F:$F)),),),IF($A979&lt;&gt;0,INDEX(生物种群!$A$3:INDEX(生物种群!$A:$A,COUNTA(生物种群!$A:$A)),MATCH($A979,生物种群!$C$3:INDEX(生物种群!$C:$C,COUNTA(生物种群!$C:$C)),),),INDEX(生物种群!$A$3:INDEX(生物种群!$A:$A,COUNTA(生物种群!$A:$A)),MATCH($B979,生物种群!$D$3:INDEX(生物种群!$D:$D,COUNTA(生物种群!$D:$D)),),))),"")</f>
        <v/>
      </c>
      <c r="I979" s="56" t="str">
        <f>IF(H979="","",INDEX(生物种群!$B$3:INDEX(生物种群!$B:$B,COUNTA(生物种群!$B:$B)),MATCH($H979,生物种群!$A$3:INDEX(生物种群!$A:$A,COUNTA(生物种群!$A:$A)),),))</f>
        <v/>
      </c>
      <c r="J979" s="55" t="str">
        <f>IF(H979="","",INDEX(生物种群!$I$3:INDEX(生物种群!$I:$I,COUNTA(生物种群!$I:$I)),MATCH($H979,生物种群!$A$3:INDEX(生物种群!$A:$A,COUNTA(生物种群!$A:$A)),),))</f>
        <v/>
      </c>
      <c r="K979" s="55" t="str">
        <f>IF(H979="","",INDEX(生物种群!$E$3:INDEX(生物种群!$E:$E,COUNTA(生物种群!$E:$E)),MATCH($H979,生物种群!$A$3:INDEX(生物种群!$A:$A,COUNTA(生物种群!$A:$A)),),))</f>
        <v/>
      </c>
      <c r="L979" s="46" t="str">
        <f t="shared" si="51"/>
        <v/>
      </c>
      <c r="M979" s="47" t="str">
        <f>IF(L979="","",ROUND((L979)/VLOOKUP($F979,IF({1,0},站位样品信息!$A$3:INDEX(站位样品信息!$A:$A,COUNTA(站位样品信息!$A:$A)+1),站位样品信息!$H$3:INDEX(站位样品信息!$H:$H,COUNTA(站位样品信息!$H:$H)+1)),2,0),2))</f>
        <v/>
      </c>
      <c r="O979" s="49"/>
      <c r="P979" s="53" t="str">
        <f t="shared" si="49"/>
        <v/>
      </c>
      <c r="Q979" s="53" t="str">
        <f t="shared" si="50"/>
        <v/>
      </c>
    </row>
    <row r="980" spans="1:17" ht="19.5" customHeight="1">
      <c r="A980" s="38"/>
      <c r="B980" s="38"/>
      <c r="C980" s="38"/>
      <c r="D980" s="37"/>
      <c r="E980" s="37"/>
      <c r="F980" s="37"/>
      <c r="G980" s="37" t="str">
        <f>IF(F980="","",INDEX(站位样品信息!$B$3:INDEX(站位样品信息!$B:$B,COUNTA(站位样品信息!$B:$B)+1),MATCH($F980,站位样品信息!$A$3:INDEX(站位样品信息!$A:$A,COUNTA(站位样品信息!$A:$A)+1),),))</f>
        <v/>
      </c>
      <c r="H980" s="55" t="str">
        <f>IF(OR(A980&lt;&gt;"",B980&lt;&gt;"",C980&lt;&gt;""),IF($C980&lt;&gt;0,INDEX(生物种群!$A$3:INDEX(生物种群!$A:$A,COUNTA(生物种群!$A:$A)),MATCH($C980,生物种群!$F$3:INDEX(生物种群!$F:$F,COUNTA(生物种群!$F:$F)),),),IF($A980&lt;&gt;0,INDEX(生物种群!$A$3:INDEX(生物种群!$A:$A,COUNTA(生物种群!$A:$A)),MATCH($A980,生物种群!$C$3:INDEX(生物种群!$C:$C,COUNTA(生物种群!$C:$C)),),),INDEX(生物种群!$A$3:INDEX(生物种群!$A:$A,COUNTA(生物种群!$A:$A)),MATCH($B980,生物种群!$D$3:INDEX(生物种群!$D:$D,COUNTA(生物种群!$D:$D)),),))),"")</f>
        <v/>
      </c>
      <c r="I980" s="56" t="str">
        <f>IF(H980="","",INDEX(生物种群!$B$3:INDEX(生物种群!$B:$B,COUNTA(生物种群!$B:$B)),MATCH($H980,生物种群!$A$3:INDEX(生物种群!$A:$A,COUNTA(生物种群!$A:$A)),),))</f>
        <v/>
      </c>
      <c r="J980" s="55" t="str">
        <f>IF(H980="","",INDEX(生物种群!$I$3:INDEX(生物种群!$I:$I,COUNTA(生物种群!$I:$I)),MATCH($H980,生物种群!$A$3:INDEX(生物种群!$A:$A,COUNTA(生物种群!$A:$A)),),))</f>
        <v/>
      </c>
      <c r="K980" s="55" t="str">
        <f>IF(H980="","",INDEX(生物种群!$E$3:INDEX(生物种群!$E:$E,COUNTA(生物种群!$E:$E)),MATCH($H980,生物种群!$A$3:INDEX(生物种群!$A:$A,COUNTA(生物种群!$A:$A)),),))</f>
        <v/>
      </c>
      <c r="L980" s="46" t="str">
        <f t="shared" si="51"/>
        <v/>
      </c>
      <c r="M980" s="47" t="str">
        <f>IF(L980="","",ROUND((L980)/VLOOKUP($F980,IF({1,0},站位样品信息!$A$3:INDEX(站位样品信息!$A:$A,COUNTA(站位样品信息!$A:$A)+1),站位样品信息!$H$3:INDEX(站位样品信息!$H:$H,COUNTA(站位样品信息!$H:$H)+1)),2,0),2))</f>
        <v/>
      </c>
      <c r="O980" s="49"/>
      <c r="P980" s="53" t="str">
        <f t="shared" si="49"/>
        <v/>
      </c>
      <c r="Q980" s="53" t="str">
        <f t="shared" si="50"/>
        <v/>
      </c>
    </row>
    <row r="981" spans="1:17" ht="19.5" customHeight="1">
      <c r="A981" s="38"/>
      <c r="B981" s="38"/>
      <c r="C981" s="38"/>
      <c r="D981" s="37"/>
      <c r="E981" s="37"/>
      <c r="F981" s="37"/>
      <c r="G981" s="37" t="str">
        <f>IF(F981="","",INDEX(站位样品信息!$B$3:INDEX(站位样品信息!$B:$B,COUNTA(站位样品信息!$B:$B)+1),MATCH($F981,站位样品信息!$A$3:INDEX(站位样品信息!$A:$A,COUNTA(站位样品信息!$A:$A)+1),),))</f>
        <v/>
      </c>
      <c r="H981" s="55" t="str">
        <f>IF(OR(A981&lt;&gt;"",B981&lt;&gt;"",C981&lt;&gt;""),IF($C981&lt;&gt;0,INDEX(生物种群!$A$3:INDEX(生物种群!$A:$A,COUNTA(生物种群!$A:$A)),MATCH($C981,生物种群!$F$3:INDEX(生物种群!$F:$F,COUNTA(生物种群!$F:$F)),),),IF($A981&lt;&gt;0,INDEX(生物种群!$A$3:INDEX(生物种群!$A:$A,COUNTA(生物种群!$A:$A)),MATCH($A981,生物种群!$C$3:INDEX(生物种群!$C:$C,COUNTA(生物种群!$C:$C)),),),INDEX(生物种群!$A$3:INDEX(生物种群!$A:$A,COUNTA(生物种群!$A:$A)),MATCH($B981,生物种群!$D$3:INDEX(生物种群!$D:$D,COUNTA(生物种群!$D:$D)),),))),"")</f>
        <v/>
      </c>
      <c r="I981" s="56" t="str">
        <f>IF(H981="","",INDEX(生物种群!$B$3:INDEX(生物种群!$B:$B,COUNTA(生物种群!$B:$B)),MATCH($H981,生物种群!$A$3:INDEX(生物种群!$A:$A,COUNTA(生物种群!$A:$A)),),))</f>
        <v/>
      </c>
      <c r="J981" s="55" t="str">
        <f>IF(H981="","",INDEX(生物种群!$I$3:INDEX(生物种群!$I:$I,COUNTA(生物种群!$I:$I)),MATCH($H981,生物种群!$A$3:INDEX(生物种群!$A:$A,COUNTA(生物种群!$A:$A)),),))</f>
        <v/>
      </c>
      <c r="K981" s="55" t="str">
        <f>IF(H981="","",INDEX(生物种群!$E$3:INDEX(生物种群!$E:$E,COUNTA(生物种群!$E:$E)),MATCH($H981,生物种群!$A$3:INDEX(生物种群!$A:$A,COUNTA(生物种群!$A:$A)),),))</f>
        <v/>
      </c>
      <c r="L981" s="46" t="str">
        <f t="shared" si="51"/>
        <v/>
      </c>
      <c r="M981" s="47" t="str">
        <f>IF(L981="","",ROUND((L981)/VLOOKUP($F981,IF({1,0},站位样品信息!$A$3:INDEX(站位样品信息!$A:$A,COUNTA(站位样品信息!$A:$A)+1),站位样品信息!$H$3:INDEX(站位样品信息!$H:$H,COUNTA(站位样品信息!$H:$H)+1)),2,0),2))</f>
        <v/>
      </c>
      <c r="O981" s="49"/>
      <c r="P981" s="53" t="str">
        <f t="shared" si="49"/>
        <v/>
      </c>
      <c r="Q981" s="53" t="str">
        <f t="shared" si="50"/>
        <v/>
      </c>
    </row>
    <row r="982" spans="1:17" ht="19.5" customHeight="1">
      <c r="A982" s="38"/>
      <c r="B982" s="38"/>
      <c r="C982" s="38"/>
      <c r="D982" s="37"/>
      <c r="E982" s="37"/>
      <c r="F982" s="37"/>
      <c r="G982" s="37" t="str">
        <f>IF(F982="","",INDEX(站位样品信息!$B$3:INDEX(站位样品信息!$B:$B,COUNTA(站位样品信息!$B:$B)+1),MATCH($F982,站位样品信息!$A$3:INDEX(站位样品信息!$A:$A,COUNTA(站位样品信息!$A:$A)+1),),))</f>
        <v/>
      </c>
      <c r="H982" s="55" t="str">
        <f>IF(OR(A982&lt;&gt;"",B982&lt;&gt;"",C982&lt;&gt;""),IF($C982&lt;&gt;0,INDEX(生物种群!$A$3:INDEX(生物种群!$A:$A,COUNTA(生物种群!$A:$A)),MATCH($C982,生物种群!$F$3:INDEX(生物种群!$F:$F,COUNTA(生物种群!$F:$F)),),),IF($A982&lt;&gt;0,INDEX(生物种群!$A$3:INDEX(生物种群!$A:$A,COUNTA(生物种群!$A:$A)),MATCH($A982,生物种群!$C$3:INDEX(生物种群!$C:$C,COUNTA(生物种群!$C:$C)),),),INDEX(生物种群!$A$3:INDEX(生物种群!$A:$A,COUNTA(生物种群!$A:$A)),MATCH($B982,生物种群!$D$3:INDEX(生物种群!$D:$D,COUNTA(生物种群!$D:$D)),),))),"")</f>
        <v/>
      </c>
      <c r="I982" s="56" t="str">
        <f>IF(H982="","",INDEX(生物种群!$B$3:INDEX(生物种群!$B:$B,COUNTA(生物种群!$B:$B)),MATCH($H982,生物种群!$A$3:INDEX(生物种群!$A:$A,COUNTA(生物种群!$A:$A)),),))</f>
        <v/>
      </c>
      <c r="J982" s="55" t="str">
        <f>IF(H982="","",INDEX(生物种群!$I$3:INDEX(生物种群!$I:$I,COUNTA(生物种群!$I:$I)),MATCH($H982,生物种群!$A$3:INDEX(生物种群!$A:$A,COUNTA(生物种群!$A:$A)),),))</f>
        <v/>
      </c>
      <c r="K982" s="55" t="str">
        <f>IF(H982="","",INDEX(生物种群!$E$3:INDEX(生物种群!$E:$E,COUNTA(生物种群!$E:$E)),MATCH($H982,生物种群!$A$3:INDEX(生物种群!$A:$A,COUNTA(生物种群!$A:$A)),),))</f>
        <v/>
      </c>
      <c r="L982" s="46" t="str">
        <f t="shared" si="51"/>
        <v/>
      </c>
      <c r="M982" s="47" t="str">
        <f>IF(L982="","",ROUND((L982)/VLOOKUP($F982,IF({1,0},站位样品信息!$A$3:INDEX(站位样品信息!$A:$A,COUNTA(站位样品信息!$A:$A)+1),站位样品信息!$H$3:INDEX(站位样品信息!$H:$H,COUNTA(站位样品信息!$H:$H)+1)),2,0),2))</f>
        <v/>
      </c>
      <c r="O982" s="49"/>
      <c r="P982" s="53" t="str">
        <f t="shared" si="49"/>
        <v/>
      </c>
      <c r="Q982" s="53" t="str">
        <f t="shared" si="50"/>
        <v/>
      </c>
    </row>
    <row r="983" spans="1:17" ht="19.5" customHeight="1">
      <c r="A983" s="38"/>
      <c r="B983" s="38"/>
      <c r="C983" s="38"/>
      <c r="D983" s="37"/>
      <c r="E983" s="37"/>
      <c r="F983" s="37"/>
      <c r="G983" s="37" t="str">
        <f>IF(F983="","",INDEX(站位样品信息!$B$3:INDEX(站位样品信息!$B:$B,COUNTA(站位样品信息!$B:$B)+1),MATCH($F983,站位样品信息!$A$3:INDEX(站位样品信息!$A:$A,COUNTA(站位样品信息!$A:$A)+1),),))</f>
        <v/>
      </c>
      <c r="H983" s="55" t="str">
        <f>IF(OR(A983&lt;&gt;"",B983&lt;&gt;"",C983&lt;&gt;""),IF($C983&lt;&gt;0,INDEX(生物种群!$A$3:INDEX(生物种群!$A:$A,COUNTA(生物种群!$A:$A)),MATCH($C983,生物种群!$F$3:INDEX(生物种群!$F:$F,COUNTA(生物种群!$F:$F)),),),IF($A983&lt;&gt;0,INDEX(生物种群!$A$3:INDEX(生物种群!$A:$A,COUNTA(生物种群!$A:$A)),MATCH($A983,生物种群!$C$3:INDEX(生物种群!$C:$C,COUNTA(生物种群!$C:$C)),),),INDEX(生物种群!$A$3:INDEX(生物种群!$A:$A,COUNTA(生物种群!$A:$A)),MATCH($B983,生物种群!$D$3:INDEX(生物种群!$D:$D,COUNTA(生物种群!$D:$D)),),))),"")</f>
        <v/>
      </c>
      <c r="I983" s="56" t="str">
        <f>IF(H983="","",INDEX(生物种群!$B$3:INDEX(生物种群!$B:$B,COUNTA(生物种群!$B:$B)),MATCH($H983,生物种群!$A$3:INDEX(生物种群!$A:$A,COUNTA(生物种群!$A:$A)),),))</f>
        <v/>
      </c>
      <c r="J983" s="55" t="str">
        <f>IF(H983="","",INDEX(生物种群!$I$3:INDEX(生物种群!$I:$I,COUNTA(生物种群!$I:$I)),MATCH($H983,生物种群!$A$3:INDEX(生物种群!$A:$A,COUNTA(生物种群!$A:$A)),),))</f>
        <v/>
      </c>
      <c r="K983" s="55" t="str">
        <f>IF(H983="","",INDEX(生物种群!$E$3:INDEX(生物种群!$E:$E,COUNTA(生物种群!$E:$E)),MATCH($H983,生物种群!$A$3:INDEX(生物种群!$A:$A,COUNTA(生物种群!$A:$A)),),))</f>
        <v/>
      </c>
      <c r="L983" s="46" t="str">
        <f t="shared" si="51"/>
        <v/>
      </c>
      <c r="M983" s="47" t="str">
        <f>IF(L983="","",ROUND((L983)/VLOOKUP($F983,IF({1,0},站位样品信息!$A$3:INDEX(站位样品信息!$A:$A,COUNTA(站位样品信息!$A:$A)+1),站位样品信息!$H$3:INDEX(站位样品信息!$H:$H,COUNTA(站位样品信息!$H:$H)+1)),2,0),2))</f>
        <v/>
      </c>
      <c r="O983" s="49"/>
      <c r="P983" s="53" t="str">
        <f t="shared" si="49"/>
        <v/>
      </c>
      <c r="Q983" s="53" t="str">
        <f t="shared" si="50"/>
        <v/>
      </c>
    </row>
    <row r="984" spans="1:17" ht="19.5" customHeight="1">
      <c r="A984" s="38"/>
      <c r="B984" s="38"/>
      <c r="C984" s="38"/>
      <c r="D984" s="37"/>
      <c r="E984" s="37"/>
      <c r="F984" s="37"/>
      <c r="G984" s="37" t="str">
        <f>IF(F984="","",INDEX(站位样品信息!$B$3:INDEX(站位样品信息!$B:$B,COUNTA(站位样品信息!$B:$B)+1),MATCH($F984,站位样品信息!$A$3:INDEX(站位样品信息!$A:$A,COUNTA(站位样品信息!$A:$A)+1),),))</f>
        <v/>
      </c>
      <c r="H984" s="55" t="str">
        <f>IF(OR(A984&lt;&gt;"",B984&lt;&gt;"",C984&lt;&gt;""),IF($C984&lt;&gt;0,INDEX(生物种群!$A$3:INDEX(生物种群!$A:$A,COUNTA(生物种群!$A:$A)),MATCH($C984,生物种群!$F$3:INDEX(生物种群!$F:$F,COUNTA(生物种群!$F:$F)),),),IF($A984&lt;&gt;0,INDEX(生物种群!$A$3:INDEX(生物种群!$A:$A,COUNTA(生物种群!$A:$A)),MATCH($A984,生物种群!$C$3:INDEX(生物种群!$C:$C,COUNTA(生物种群!$C:$C)),),),INDEX(生物种群!$A$3:INDEX(生物种群!$A:$A,COUNTA(生物种群!$A:$A)),MATCH($B984,生物种群!$D$3:INDEX(生物种群!$D:$D,COUNTA(生物种群!$D:$D)),),))),"")</f>
        <v/>
      </c>
      <c r="I984" s="56" t="str">
        <f>IF(H984="","",INDEX(生物种群!$B$3:INDEX(生物种群!$B:$B,COUNTA(生物种群!$B:$B)),MATCH($H984,生物种群!$A$3:INDEX(生物种群!$A:$A,COUNTA(生物种群!$A:$A)),),))</f>
        <v/>
      </c>
      <c r="J984" s="55" t="str">
        <f>IF(H984="","",INDEX(生物种群!$I$3:INDEX(生物种群!$I:$I,COUNTA(生物种群!$I:$I)),MATCH($H984,生物种群!$A$3:INDEX(生物种群!$A:$A,COUNTA(生物种群!$A:$A)),),))</f>
        <v/>
      </c>
      <c r="K984" s="55" t="str">
        <f>IF(H984="","",INDEX(生物种群!$E$3:INDEX(生物种群!$E:$E,COUNTA(生物种群!$E:$E)),MATCH($H984,生物种群!$A$3:INDEX(生物种群!$A:$A,COUNTA(生物种群!$A:$A)),),))</f>
        <v/>
      </c>
      <c r="L984" s="46" t="str">
        <f t="shared" si="51"/>
        <v/>
      </c>
      <c r="M984" s="47" t="str">
        <f>IF(L984="","",ROUND((L984)/VLOOKUP($F984,IF({1,0},站位样品信息!$A$3:INDEX(站位样品信息!$A:$A,COUNTA(站位样品信息!$A:$A)+1),站位样品信息!$H$3:INDEX(站位样品信息!$H:$H,COUNTA(站位样品信息!$H:$H)+1)),2,0),2))</f>
        <v/>
      </c>
      <c r="O984" s="49"/>
      <c r="P984" s="53" t="str">
        <f t="shared" si="49"/>
        <v/>
      </c>
      <c r="Q984" s="53" t="str">
        <f t="shared" si="50"/>
        <v/>
      </c>
    </row>
    <row r="985" spans="1:17" ht="19.5" customHeight="1">
      <c r="A985" s="38"/>
      <c r="B985" s="38"/>
      <c r="C985" s="38"/>
      <c r="D985" s="37"/>
      <c r="E985" s="37"/>
      <c r="F985" s="37"/>
      <c r="G985" s="37" t="str">
        <f>IF(F985="","",INDEX(站位样品信息!$B$3:INDEX(站位样品信息!$B:$B,COUNTA(站位样品信息!$B:$B)+1),MATCH($F985,站位样品信息!$A$3:INDEX(站位样品信息!$A:$A,COUNTA(站位样品信息!$A:$A)+1),),))</f>
        <v/>
      </c>
      <c r="H985" s="55" t="str">
        <f>IF(OR(A985&lt;&gt;"",B985&lt;&gt;"",C985&lt;&gt;""),IF($C985&lt;&gt;0,INDEX(生物种群!$A$3:INDEX(生物种群!$A:$A,COUNTA(生物种群!$A:$A)),MATCH($C985,生物种群!$F$3:INDEX(生物种群!$F:$F,COUNTA(生物种群!$F:$F)),),),IF($A985&lt;&gt;0,INDEX(生物种群!$A$3:INDEX(生物种群!$A:$A,COUNTA(生物种群!$A:$A)),MATCH($A985,生物种群!$C$3:INDEX(生物种群!$C:$C,COUNTA(生物种群!$C:$C)),),),INDEX(生物种群!$A$3:INDEX(生物种群!$A:$A,COUNTA(生物种群!$A:$A)),MATCH($B985,生物种群!$D$3:INDEX(生物种群!$D:$D,COUNTA(生物种群!$D:$D)),),))),"")</f>
        <v/>
      </c>
      <c r="I985" s="56" t="str">
        <f>IF(H985="","",INDEX(生物种群!$B$3:INDEX(生物种群!$B:$B,COUNTA(生物种群!$B:$B)),MATCH($H985,生物种群!$A$3:INDEX(生物种群!$A:$A,COUNTA(生物种群!$A:$A)),),))</f>
        <v/>
      </c>
      <c r="J985" s="55" t="str">
        <f>IF(H985="","",INDEX(生物种群!$I$3:INDEX(生物种群!$I:$I,COUNTA(生物种群!$I:$I)),MATCH($H985,生物种群!$A$3:INDEX(生物种群!$A:$A,COUNTA(生物种群!$A:$A)),),))</f>
        <v/>
      </c>
      <c r="K985" s="55" t="str">
        <f>IF(H985="","",INDEX(生物种群!$E$3:INDEX(生物种群!$E:$E,COUNTA(生物种群!$E:$E)),MATCH($H985,生物种群!$A$3:INDEX(生物种群!$A:$A,COUNTA(生物种群!$A:$A)),),))</f>
        <v/>
      </c>
      <c r="L985" s="46" t="str">
        <f t="shared" si="51"/>
        <v/>
      </c>
      <c r="M985" s="47" t="str">
        <f>IF(L985="","",ROUND((L985)/VLOOKUP($F985,IF({1,0},站位样品信息!$A$3:INDEX(站位样品信息!$A:$A,COUNTA(站位样品信息!$A:$A)+1),站位样品信息!$H$3:INDEX(站位样品信息!$H:$H,COUNTA(站位样品信息!$H:$H)+1)),2,0),2))</f>
        <v/>
      </c>
      <c r="O985" s="49"/>
      <c r="P985" s="53" t="str">
        <f t="shared" si="49"/>
        <v/>
      </c>
      <c r="Q985" s="53" t="str">
        <f t="shared" si="50"/>
        <v/>
      </c>
    </row>
    <row r="986" spans="1:17" ht="19.5" customHeight="1">
      <c r="A986" s="38"/>
      <c r="B986" s="38"/>
      <c r="C986" s="38"/>
      <c r="D986" s="37"/>
      <c r="E986" s="37"/>
      <c r="F986" s="37"/>
      <c r="G986" s="37" t="str">
        <f>IF(F986="","",INDEX(站位样品信息!$B$3:INDEX(站位样品信息!$B:$B,COUNTA(站位样品信息!$B:$B)+1),MATCH($F986,站位样品信息!$A$3:INDEX(站位样品信息!$A:$A,COUNTA(站位样品信息!$A:$A)+1),),))</f>
        <v/>
      </c>
      <c r="H986" s="55" t="str">
        <f>IF(OR(A986&lt;&gt;"",B986&lt;&gt;"",C986&lt;&gt;""),IF($C986&lt;&gt;0,INDEX(生物种群!$A$3:INDEX(生物种群!$A:$A,COUNTA(生物种群!$A:$A)),MATCH($C986,生物种群!$F$3:INDEX(生物种群!$F:$F,COUNTA(生物种群!$F:$F)),),),IF($A986&lt;&gt;0,INDEX(生物种群!$A$3:INDEX(生物种群!$A:$A,COUNTA(生物种群!$A:$A)),MATCH($A986,生物种群!$C$3:INDEX(生物种群!$C:$C,COUNTA(生物种群!$C:$C)),),),INDEX(生物种群!$A$3:INDEX(生物种群!$A:$A,COUNTA(生物种群!$A:$A)),MATCH($B986,生物种群!$D$3:INDEX(生物种群!$D:$D,COUNTA(生物种群!$D:$D)),),))),"")</f>
        <v/>
      </c>
      <c r="I986" s="56" t="str">
        <f>IF(H986="","",INDEX(生物种群!$B$3:INDEX(生物种群!$B:$B,COUNTA(生物种群!$B:$B)),MATCH($H986,生物种群!$A$3:INDEX(生物种群!$A:$A,COUNTA(生物种群!$A:$A)),),))</f>
        <v/>
      </c>
      <c r="J986" s="55" t="str">
        <f>IF(H986="","",INDEX(生物种群!$I$3:INDEX(生物种群!$I:$I,COUNTA(生物种群!$I:$I)),MATCH($H986,生物种群!$A$3:INDEX(生物种群!$A:$A,COUNTA(生物种群!$A:$A)),),))</f>
        <v/>
      </c>
      <c r="K986" s="55" t="str">
        <f>IF(H986="","",INDEX(生物种群!$E$3:INDEX(生物种群!$E:$E,COUNTA(生物种群!$E:$E)),MATCH($H986,生物种群!$A$3:INDEX(生物种群!$A:$A,COUNTA(生物种群!$A:$A)),),))</f>
        <v/>
      </c>
      <c r="L986" s="46" t="str">
        <f t="shared" si="51"/>
        <v/>
      </c>
      <c r="M986" s="47" t="str">
        <f>IF(L986="","",ROUND((L986)/VLOOKUP($F986,IF({1,0},站位样品信息!$A$3:INDEX(站位样品信息!$A:$A,COUNTA(站位样品信息!$A:$A)+1),站位样品信息!$H$3:INDEX(站位样品信息!$H:$H,COUNTA(站位样品信息!$H:$H)+1)),2,0),2))</f>
        <v/>
      </c>
      <c r="O986" s="49"/>
      <c r="P986" s="53" t="str">
        <f t="shared" si="49"/>
        <v/>
      </c>
      <c r="Q986" s="53" t="str">
        <f t="shared" si="50"/>
        <v/>
      </c>
    </row>
    <row r="987" spans="1:17" ht="19.5" customHeight="1">
      <c r="A987" s="38"/>
      <c r="B987" s="38"/>
      <c r="C987" s="38"/>
      <c r="D987" s="37"/>
      <c r="E987" s="37"/>
      <c r="F987" s="37"/>
      <c r="G987" s="37" t="str">
        <f>IF(F987="","",INDEX(站位样品信息!$B$3:INDEX(站位样品信息!$B:$B,COUNTA(站位样品信息!$B:$B)+1),MATCH($F987,站位样品信息!$A$3:INDEX(站位样品信息!$A:$A,COUNTA(站位样品信息!$A:$A)+1),),))</f>
        <v/>
      </c>
      <c r="H987" s="55" t="str">
        <f>IF(OR(A987&lt;&gt;"",B987&lt;&gt;"",C987&lt;&gt;""),IF($C987&lt;&gt;0,INDEX(生物种群!$A$3:INDEX(生物种群!$A:$A,COUNTA(生物种群!$A:$A)),MATCH($C987,生物种群!$F$3:INDEX(生物种群!$F:$F,COUNTA(生物种群!$F:$F)),),),IF($A987&lt;&gt;0,INDEX(生物种群!$A$3:INDEX(生物种群!$A:$A,COUNTA(生物种群!$A:$A)),MATCH($A987,生物种群!$C$3:INDEX(生物种群!$C:$C,COUNTA(生物种群!$C:$C)),),),INDEX(生物种群!$A$3:INDEX(生物种群!$A:$A,COUNTA(生物种群!$A:$A)),MATCH($B987,生物种群!$D$3:INDEX(生物种群!$D:$D,COUNTA(生物种群!$D:$D)),),))),"")</f>
        <v/>
      </c>
      <c r="I987" s="56" t="str">
        <f>IF(H987="","",INDEX(生物种群!$B$3:INDEX(生物种群!$B:$B,COUNTA(生物种群!$B:$B)),MATCH($H987,生物种群!$A$3:INDEX(生物种群!$A:$A,COUNTA(生物种群!$A:$A)),),))</f>
        <v/>
      </c>
      <c r="J987" s="55" t="str">
        <f>IF(H987="","",INDEX(生物种群!$I$3:INDEX(生物种群!$I:$I,COUNTA(生物种群!$I:$I)),MATCH($H987,生物种群!$A$3:INDEX(生物种群!$A:$A,COUNTA(生物种群!$A:$A)),),))</f>
        <v/>
      </c>
      <c r="K987" s="55" t="str">
        <f>IF(H987="","",INDEX(生物种群!$E$3:INDEX(生物种群!$E:$E,COUNTA(生物种群!$E:$E)),MATCH($H987,生物种群!$A$3:INDEX(生物种群!$A:$A,COUNTA(生物种群!$A:$A)),),))</f>
        <v/>
      </c>
      <c r="L987" s="46" t="str">
        <f t="shared" si="51"/>
        <v/>
      </c>
      <c r="M987" s="47" t="str">
        <f>IF(L987="","",ROUND((L987)/VLOOKUP($F987,IF({1,0},站位样品信息!$A$3:INDEX(站位样品信息!$A:$A,COUNTA(站位样品信息!$A:$A)+1),站位样品信息!$H$3:INDEX(站位样品信息!$H:$H,COUNTA(站位样品信息!$H:$H)+1)),2,0),2))</f>
        <v/>
      </c>
      <c r="O987" s="49"/>
      <c r="P987" s="53" t="str">
        <f t="shared" si="49"/>
        <v/>
      </c>
      <c r="Q987" s="53" t="str">
        <f t="shared" si="50"/>
        <v/>
      </c>
    </row>
    <row r="988" spans="1:17" ht="19.5" customHeight="1">
      <c r="A988" s="38"/>
      <c r="B988" s="38"/>
      <c r="C988" s="38"/>
      <c r="D988" s="37"/>
      <c r="E988" s="37"/>
      <c r="F988" s="37"/>
      <c r="G988" s="37" t="str">
        <f>IF(F988="","",INDEX(站位样品信息!$B$3:INDEX(站位样品信息!$B:$B,COUNTA(站位样品信息!$B:$B)+1),MATCH($F988,站位样品信息!$A$3:INDEX(站位样品信息!$A:$A,COUNTA(站位样品信息!$A:$A)+1),),))</f>
        <v/>
      </c>
      <c r="H988" s="55" t="str">
        <f>IF(OR(A988&lt;&gt;"",B988&lt;&gt;"",C988&lt;&gt;""),IF($C988&lt;&gt;0,INDEX(生物种群!$A$3:INDEX(生物种群!$A:$A,COUNTA(生物种群!$A:$A)),MATCH($C988,生物种群!$F$3:INDEX(生物种群!$F:$F,COUNTA(生物种群!$F:$F)),),),IF($A988&lt;&gt;0,INDEX(生物种群!$A$3:INDEX(生物种群!$A:$A,COUNTA(生物种群!$A:$A)),MATCH($A988,生物种群!$C$3:INDEX(生物种群!$C:$C,COUNTA(生物种群!$C:$C)),),),INDEX(生物种群!$A$3:INDEX(生物种群!$A:$A,COUNTA(生物种群!$A:$A)),MATCH($B988,生物种群!$D$3:INDEX(生物种群!$D:$D,COUNTA(生物种群!$D:$D)),),))),"")</f>
        <v/>
      </c>
      <c r="I988" s="56" t="str">
        <f>IF(H988="","",INDEX(生物种群!$B$3:INDEX(生物种群!$B:$B,COUNTA(生物种群!$B:$B)),MATCH($H988,生物种群!$A$3:INDEX(生物种群!$A:$A,COUNTA(生物种群!$A:$A)),),))</f>
        <v/>
      </c>
      <c r="J988" s="55" t="str">
        <f>IF(H988="","",INDEX(生物种群!$I$3:INDEX(生物种群!$I:$I,COUNTA(生物种群!$I:$I)),MATCH($H988,生物种群!$A$3:INDEX(生物种群!$A:$A,COUNTA(生物种群!$A:$A)),),))</f>
        <v/>
      </c>
      <c r="K988" s="55" t="str">
        <f>IF(H988="","",INDEX(生物种群!$E$3:INDEX(生物种群!$E:$E,COUNTA(生物种群!$E:$E)),MATCH($H988,生物种群!$A$3:INDEX(生物种群!$A:$A,COUNTA(生物种群!$A:$A)),),))</f>
        <v/>
      </c>
      <c r="L988" s="46" t="str">
        <f t="shared" si="51"/>
        <v/>
      </c>
      <c r="M988" s="47" t="str">
        <f>IF(L988="","",ROUND((L988)/VLOOKUP($F988,IF({1,0},站位样品信息!$A$3:INDEX(站位样品信息!$A:$A,COUNTA(站位样品信息!$A:$A)+1),站位样品信息!$H$3:INDEX(站位样品信息!$H:$H,COUNTA(站位样品信息!$H:$H)+1)),2,0),2))</f>
        <v/>
      </c>
      <c r="O988" s="49"/>
      <c r="P988" s="53" t="str">
        <f t="shared" si="49"/>
        <v/>
      </c>
      <c r="Q988" s="53" t="str">
        <f t="shared" si="50"/>
        <v/>
      </c>
    </row>
    <row r="989" spans="1:17" ht="19.5" customHeight="1">
      <c r="A989" s="38"/>
      <c r="B989" s="38"/>
      <c r="C989" s="38"/>
      <c r="D989" s="37"/>
      <c r="E989" s="37"/>
      <c r="F989" s="37"/>
      <c r="G989" s="37" t="str">
        <f>IF(F989="","",INDEX(站位样品信息!$B$3:INDEX(站位样品信息!$B:$B,COUNTA(站位样品信息!$B:$B)+1),MATCH($F989,站位样品信息!$A$3:INDEX(站位样品信息!$A:$A,COUNTA(站位样品信息!$A:$A)+1),),))</f>
        <v/>
      </c>
      <c r="H989" s="55" t="str">
        <f>IF(OR(A989&lt;&gt;"",B989&lt;&gt;"",C989&lt;&gt;""),IF($C989&lt;&gt;0,INDEX(生物种群!$A$3:INDEX(生物种群!$A:$A,COUNTA(生物种群!$A:$A)),MATCH($C989,生物种群!$F$3:INDEX(生物种群!$F:$F,COUNTA(生物种群!$F:$F)),),),IF($A989&lt;&gt;0,INDEX(生物种群!$A$3:INDEX(生物种群!$A:$A,COUNTA(生物种群!$A:$A)),MATCH($A989,生物种群!$C$3:INDEX(生物种群!$C:$C,COUNTA(生物种群!$C:$C)),),),INDEX(生物种群!$A$3:INDEX(生物种群!$A:$A,COUNTA(生物种群!$A:$A)),MATCH($B989,生物种群!$D$3:INDEX(生物种群!$D:$D,COUNTA(生物种群!$D:$D)),),))),"")</f>
        <v/>
      </c>
      <c r="I989" s="56" t="str">
        <f>IF(H989="","",INDEX(生物种群!$B$3:INDEX(生物种群!$B:$B,COUNTA(生物种群!$B:$B)),MATCH($H989,生物种群!$A$3:INDEX(生物种群!$A:$A,COUNTA(生物种群!$A:$A)),),))</f>
        <v/>
      </c>
      <c r="J989" s="55" t="str">
        <f>IF(H989="","",INDEX(生物种群!$I$3:INDEX(生物种群!$I:$I,COUNTA(生物种群!$I:$I)),MATCH($H989,生物种群!$A$3:INDEX(生物种群!$A:$A,COUNTA(生物种群!$A:$A)),),))</f>
        <v/>
      </c>
      <c r="K989" s="55" t="str">
        <f>IF(H989="","",INDEX(生物种群!$E$3:INDEX(生物种群!$E:$E,COUNTA(生物种群!$E:$E)),MATCH($H989,生物种群!$A$3:INDEX(生物种群!$A:$A,COUNTA(生物种群!$A:$A)),),))</f>
        <v/>
      </c>
      <c r="L989" s="46" t="str">
        <f t="shared" si="51"/>
        <v/>
      </c>
      <c r="M989" s="47" t="str">
        <f>IF(L989="","",ROUND((L989)/VLOOKUP($F989,IF({1,0},站位样品信息!$A$3:INDEX(站位样品信息!$A:$A,COUNTA(站位样品信息!$A:$A)+1),站位样品信息!$H$3:INDEX(站位样品信息!$H:$H,COUNTA(站位样品信息!$H:$H)+1)),2,0),2))</f>
        <v/>
      </c>
      <c r="O989" s="49"/>
      <c r="P989" s="53" t="str">
        <f t="shared" si="49"/>
        <v/>
      </c>
      <c r="Q989" s="53" t="str">
        <f t="shared" si="50"/>
        <v/>
      </c>
    </row>
    <row r="990" spans="1:17" ht="19.5" customHeight="1">
      <c r="A990" s="38"/>
      <c r="B990" s="38"/>
      <c r="C990" s="38"/>
      <c r="D990" s="37"/>
      <c r="E990" s="37"/>
      <c r="F990" s="37"/>
      <c r="G990" s="37" t="str">
        <f>IF(F990="","",INDEX(站位样品信息!$B$3:INDEX(站位样品信息!$B:$B,COUNTA(站位样品信息!$B:$B)+1),MATCH($F990,站位样品信息!$A$3:INDEX(站位样品信息!$A:$A,COUNTA(站位样品信息!$A:$A)+1),),))</f>
        <v/>
      </c>
      <c r="H990" s="55" t="str">
        <f>IF(OR(A990&lt;&gt;"",B990&lt;&gt;"",C990&lt;&gt;""),IF($C990&lt;&gt;0,INDEX(生物种群!$A$3:INDEX(生物种群!$A:$A,COUNTA(生物种群!$A:$A)),MATCH($C990,生物种群!$F$3:INDEX(生物种群!$F:$F,COUNTA(生物种群!$F:$F)),),),IF($A990&lt;&gt;0,INDEX(生物种群!$A$3:INDEX(生物种群!$A:$A,COUNTA(生物种群!$A:$A)),MATCH($A990,生物种群!$C$3:INDEX(生物种群!$C:$C,COUNTA(生物种群!$C:$C)),),),INDEX(生物种群!$A$3:INDEX(生物种群!$A:$A,COUNTA(生物种群!$A:$A)),MATCH($B990,生物种群!$D$3:INDEX(生物种群!$D:$D,COUNTA(生物种群!$D:$D)),),))),"")</f>
        <v/>
      </c>
      <c r="I990" s="56" t="str">
        <f>IF(H990="","",INDEX(生物种群!$B$3:INDEX(生物种群!$B:$B,COUNTA(生物种群!$B:$B)),MATCH($H990,生物种群!$A$3:INDEX(生物种群!$A:$A,COUNTA(生物种群!$A:$A)),),))</f>
        <v/>
      </c>
      <c r="J990" s="55" t="str">
        <f>IF(H990="","",INDEX(生物种群!$I$3:INDEX(生物种群!$I:$I,COUNTA(生物种群!$I:$I)),MATCH($H990,生物种群!$A$3:INDEX(生物种群!$A:$A,COUNTA(生物种群!$A:$A)),),))</f>
        <v/>
      </c>
      <c r="K990" s="55" t="str">
        <f>IF(H990="","",INDEX(生物种群!$E$3:INDEX(生物种群!$E:$E,COUNTA(生物种群!$E:$E)),MATCH($H990,生物种群!$A$3:INDEX(生物种群!$A:$A,COUNTA(生物种群!$A:$A)),),))</f>
        <v/>
      </c>
      <c r="L990" s="46" t="str">
        <f t="shared" si="51"/>
        <v/>
      </c>
      <c r="M990" s="47" t="str">
        <f>IF(L990="","",ROUND((L990)/VLOOKUP($F990,IF({1,0},站位样品信息!$A$3:INDEX(站位样品信息!$A:$A,COUNTA(站位样品信息!$A:$A)+1),站位样品信息!$H$3:INDEX(站位样品信息!$H:$H,COUNTA(站位样品信息!$H:$H)+1)),2,0),2))</f>
        <v/>
      </c>
      <c r="O990" s="49"/>
      <c r="P990" s="53" t="str">
        <f t="shared" si="49"/>
        <v/>
      </c>
      <c r="Q990" s="53" t="str">
        <f t="shared" si="50"/>
        <v/>
      </c>
    </row>
    <row r="991" spans="1:17" ht="19.5" customHeight="1">
      <c r="A991" s="38"/>
      <c r="B991" s="38"/>
      <c r="C991" s="38"/>
      <c r="D991" s="37"/>
      <c r="E991" s="37"/>
      <c r="F991" s="37"/>
      <c r="G991" s="37" t="str">
        <f>IF(F991="","",INDEX(站位样品信息!$B$3:INDEX(站位样品信息!$B:$B,COUNTA(站位样品信息!$B:$B)+1),MATCH($F991,站位样品信息!$A$3:INDEX(站位样品信息!$A:$A,COUNTA(站位样品信息!$A:$A)+1),),))</f>
        <v/>
      </c>
      <c r="H991" s="55" t="str">
        <f>IF(OR(A991&lt;&gt;"",B991&lt;&gt;"",C991&lt;&gt;""),IF($C991&lt;&gt;0,INDEX(生物种群!$A$3:INDEX(生物种群!$A:$A,COUNTA(生物种群!$A:$A)),MATCH($C991,生物种群!$F$3:INDEX(生物种群!$F:$F,COUNTA(生物种群!$F:$F)),),),IF($A991&lt;&gt;0,INDEX(生物种群!$A$3:INDEX(生物种群!$A:$A,COUNTA(生物种群!$A:$A)),MATCH($A991,生物种群!$C$3:INDEX(生物种群!$C:$C,COUNTA(生物种群!$C:$C)),),),INDEX(生物种群!$A$3:INDEX(生物种群!$A:$A,COUNTA(生物种群!$A:$A)),MATCH($B991,生物种群!$D$3:INDEX(生物种群!$D:$D,COUNTA(生物种群!$D:$D)),),))),"")</f>
        <v/>
      </c>
      <c r="I991" s="56" t="str">
        <f>IF(H991="","",INDEX(生物种群!$B$3:INDEX(生物种群!$B:$B,COUNTA(生物种群!$B:$B)),MATCH($H991,生物种群!$A$3:INDEX(生物种群!$A:$A,COUNTA(生物种群!$A:$A)),),))</f>
        <v/>
      </c>
      <c r="J991" s="55" t="str">
        <f>IF(H991="","",INDEX(生物种群!$I$3:INDEX(生物种群!$I:$I,COUNTA(生物种群!$I:$I)),MATCH($H991,生物种群!$A$3:INDEX(生物种群!$A:$A,COUNTA(生物种群!$A:$A)),),))</f>
        <v/>
      </c>
      <c r="K991" s="55" t="str">
        <f>IF(H991="","",INDEX(生物种群!$E$3:INDEX(生物种群!$E:$E,COUNTA(生物种群!$E:$E)),MATCH($H991,生物种群!$A$3:INDEX(生物种群!$A:$A,COUNTA(生物种群!$A:$A)),),))</f>
        <v/>
      </c>
      <c r="L991" s="46" t="str">
        <f t="shared" si="51"/>
        <v/>
      </c>
      <c r="M991" s="47" t="str">
        <f>IF(L991="","",ROUND((L991)/VLOOKUP($F991,IF({1,0},站位样品信息!$A$3:INDEX(站位样品信息!$A:$A,COUNTA(站位样品信息!$A:$A)+1),站位样品信息!$H$3:INDEX(站位样品信息!$H:$H,COUNTA(站位样品信息!$H:$H)+1)),2,0),2))</f>
        <v/>
      </c>
      <c r="O991" s="49"/>
      <c r="P991" s="53" t="str">
        <f t="shared" si="49"/>
        <v/>
      </c>
      <c r="Q991" s="53" t="str">
        <f t="shared" si="50"/>
        <v/>
      </c>
    </row>
    <row r="992" spans="1:17" ht="19.5" customHeight="1">
      <c r="A992" s="38"/>
      <c r="B992" s="38"/>
      <c r="C992" s="38"/>
      <c r="D992" s="37"/>
      <c r="E992" s="37"/>
      <c r="F992" s="37"/>
      <c r="G992" s="37" t="str">
        <f>IF(F992="","",INDEX(站位样品信息!$B$3:INDEX(站位样品信息!$B:$B,COUNTA(站位样品信息!$B:$B)+1),MATCH($F992,站位样品信息!$A$3:INDEX(站位样品信息!$A:$A,COUNTA(站位样品信息!$A:$A)+1),),))</f>
        <v/>
      </c>
      <c r="H992" s="55" t="str">
        <f>IF(OR(A992&lt;&gt;"",B992&lt;&gt;"",C992&lt;&gt;""),IF($C992&lt;&gt;0,INDEX(生物种群!$A$3:INDEX(生物种群!$A:$A,COUNTA(生物种群!$A:$A)),MATCH($C992,生物种群!$F$3:INDEX(生物种群!$F:$F,COUNTA(生物种群!$F:$F)),),),IF($A992&lt;&gt;0,INDEX(生物种群!$A$3:INDEX(生物种群!$A:$A,COUNTA(生物种群!$A:$A)),MATCH($A992,生物种群!$C$3:INDEX(生物种群!$C:$C,COUNTA(生物种群!$C:$C)),),),INDEX(生物种群!$A$3:INDEX(生物种群!$A:$A,COUNTA(生物种群!$A:$A)),MATCH($B992,生物种群!$D$3:INDEX(生物种群!$D:$D,COUNTA(生物种群!$D:$D)),),))),"")</f>
        <v/>
      </c>
      <c r="I992" s="56" t="str">
        <f>IF(H992="","",INDEX(生物种群!$B$3:INDEX(生物种群!$B:$B,COUNTA(生物种群!$B:$B)),MATCH($H992,生物种群!$A$3:INDEX(生物种群!$A:$A,COUNTA(生物种群!$A:$A)),),))</f>
        <v/>
      </c>
      <c r="J992" s="55" t="str">
        <f>IF(H992="","",INDEX(生物种群!$I$3:INDEX(生物种群!$I:$I,COUNTA(生物种群!$I:$I)),MATCH($H992,生物种群!$A$3:INDEX(生物种群!$A:$A,COUNTA(生物种群!$A:$A)),),))</f>
        <v/>
      </c>
      <c r="K992" s="55" t="str">
        <f>IF(H992="","",INDEX(生物种群!$E$3:INDEX(生物种群!$E:$E,COUNTA(生物种群!$E:$E)),MATCH($H992,生物种群!$A$3:INDEX(生物种群!$A:$A,COUNTA(生物种群!$A:$A)),),))</f>
        <v/>
      </c>
      <c r="L992" s="46" t="str">
        <f t="shared" si="51"/>
        <v/>
      </c>
      <c r="M992" s="47" t="str">
        <f>IF(L992="","",ROUND((L992)/VLOOKUP($F992,IF({1,0},站位样品信息!$A$3:INDEX(站位样品信息!$A:$A,COUNTA(站位样品信息!$A:$A)+1),站位样品信息!$H$3:INDEX(站位样品信息!$H:$H,COUNTA(站位样品信息!$H:$H)+1)),2,0),2))</f>
        <v/>
      </c>
      <c r="O992" s="49"/>
      <c r="P992" s="53" t="str">
        <f t="shared" si="49"/>
        <v/>
      </c>
      <c r="Q992" s="53" t="str">
        <f t="shared" si="50"/>
        <v/>
      </c>
    </row>
    <row r="993" spans="1:17" ht="19.5" customHeight="1">
      <c r="A993" s="38"/>
      <c r="B993" s="38"/>
      <c r="C993" s="38"/>
      <c r="D993" s="37"/>
      <c r="E993" s="37"/>
      <c r="F993" s="37"/>
      <c r="G993" s="37" t="str">
        <f>IF(F993="","",INDEX(站位样品信息!$B$3:INDEX(站位样品信息!$B:$B,COUNTA(站位样品信息!$B:$B)+1),MATCH($F993,站位样品信息!$A$3:INDEX(站位样品信息!$A:$A,COUNTA(站位样品信息!$A:$A)+1),),))</f>
        <v/>
      </c>
      <c r="H993" s="55" t="str">
        <f>IF(OR(A993&lt;&gt;"",B993&lt;&gt;"",C993&lt;&gt;""),IF($C993&lt;&gt;0,INDEX(生物种群!$A$3:INDEX(生物种群!$A:$A,COUNTA(生物种群!$A:$A)),MATCH($C993,生物种群!$F$3:INDEX(生物种群!$F:$F,COUNTA(生物种群!$F:$F)),),),IF($A993&lt;&gt;0,INDEX(生物种群!$A$3:INDEX(生物种群!$A:$A,COUNTA(生物种群!$A:$A)),MATCH($A993,生物种群!$C$3:INDEX(生物种群!$C:$C,COUNTA(生物种群!$C:$C)),),),INDEX(生物种群!$A$3:INDEX(生物种群!$A:$A,COUNTA(生物种群!$A:$A)),MATCH($B993,生物种群!$D$3:INDEX(生物种群!$D:$D,COUNTA(生物种群!$D:$D)),),))),"")</f>
        <v/>
      </c>
      <c r="I993" s="56" t="str">
        <f>IF(H993="","",INDEX(生物种群!$B$3:INDEX(生物种群!$B:$B,COUNTA(生物种群!$B:$B)),MATCH($H993,生物种群!$A$3:INDEX(生物种群!$A:$A,COUNTA(生物种群!$A:$A)),),))</f>
        <v/>
      </c>
      <c r="J993" s="55" t="str">
        <f>IF(H993="","",INDEX(生物种群!$I$3:INDEX(生物种群!$I:$I,COUNTA(生物种群!$I:$I)),MATCH($H993,生物种群!$A$3:INDEX(生物种群!$A:$A,COUNTA(生物种群!$A:$A)),),))</f>
        <v/>
      </c>
      <c r="K993" s="55" t="str">
        <f>IF(H993="","",INDEX(生物种群!$E$3:INDEX(生物种群!$E:$E,COUNTA(生物种群!$E:$E)),MATCH($H993,生物种群!$A$3:INDEX(生物种群!$A:$A,COUNTA(生物种群!$A:$A)),),))</f>
        <v/>
      </c>
      <c r="L993" s="46" t="str">
        <f t="shared" si="51"/>
        <v/>
      </c>
      <c r="M993" s="47" t="str">
        <f>IF(L993="","",ROUND((L993)/VLOOKUP($F993,IF({1,0},站位样品信息!$A$3:INDEX(站位样品信息!$A:$A,COUNTA(站位样品信息!$A:$A)+1),站位样品信息!$H$3:INDEX(站位样品信息!$H:$H,COUNTA(站位样品信息!$H:$H)+1)),2,0),2))</f>
        <v/>
      </c>
      <c r="O993" s="49"/>
      <c r="P993" s="53" t="str">
        <f t="shared" si="49"/>
        <v/>
      </c>
      <c r="Q993" s="53" t="str">
        <f t="shared" si="50"/>
        <v/>
      </c>
    </row>
    <row r="994" spans="1:17" ht="19.5" customHeight="1">
      <c r="A994" s="38"/>
      <c r="B994" s="38"/>
      <c r="C994" s="38"/>
      <c r="D994" s="37"/>
      <c r="E994" s="37"/>
      <c r="F994" s="37"/>
      <c r="G994" s="37" t="str">
        <f>IF(F994="","",INDEX(站位样品信息!$B$3:INDEX(站位样品信息!$B:$B,COUNTA(站位样品信息!$B:$B)+1),MATCH($F994,站位样品信息!$A$3:INDEX(站位样品信息!$A:$A,COUNTA(站位样品信息!$A:$A)+1),),))</f>
        <v/>
      </c>
      <c r="H994" s="55" t="str">
        <f>IF(OR(A994&lt;&gt;"",B994&lt;&gt;"",C994&lt;&gt;""),IF($C994&lt;&gt;0,INDEX(生物种群!$A$3:INDEX(生物种群!$A:$A,COUNTA(生物种群!$A:$A)),MATCH($C994,生物种群!$F$3:INDEX(生物种群!$F:$F,COUNTA(生物种群!$F:$F)),),),IF($A994&lt;&gt;0,INDEX(生物种群!$A$3:INDEX(生物种群!$A:$A,COUNTA(生物种群!$A:$A)),MATCH($A994,生物种群!$C$3:INDEX(生物种群!$C:$C,COUNTA(生物种群!$C:$C)),),),INDEX(生物种群!$A$3:INDEX(生物种群!$A:$A,COUNTA(生物种群!$A:$A)),MATCH($B994,生物种群!$D$3:INDEX(生物种群!$D:$D,COUNTA(生物种群!$D:$D)),),))),"")</f>
        <v/>
      </c>
      <c r="I994" s="56" t="str">
        <f>IF(H994="","",INDEX(生物种群!$B$3:INDEX(生物种群!$B:$B,COUNTA(生物种群!$B:$B)),MATCH($H994,生物种群!$A$3:INDEX(生物种群!$A:$A,COUNTA(生物种群!$A:$A)),),))</f>
        <v/>
      </c>
      <c r="J994" s="55" t="str">
        <f>IF(H994="","",INDEX(生物种群!$I$3:INDEX(生物种群!$I:$I,COUNTA(生物种群!$I:$I)),MATCH($H994,生物种群!$A$3:INDEX(生物种群!$A:$A,COUNTA(生物种群!$A:$A)),),))</f>
        <v/>
      </c>
      <c r="K994" s="55" t="str">
        <f>IF(H994="","",INDEX(生物种群!$E$3:INDEX(生物种群!$E:$E,COUNTA(生物种群!$E:$E)),MATCH($H994,生物种群!$A$3:INDEX(生物种群!$A:$A,COUNTA(生物种群!$A:$A)),),))</f>
        <v/>
      </c>
      <c r="L994" s="46" t="str">
        <f t="shared" si="51"/>
        <v/>
      </c>
      <c r="M994" s="47" t="str">
        <f>IF(L994="","",ROUND((L994)/VLOOKUP($F994,IF({1,0},站位样品信息!$A$3:INDEX(站位样品信息!$A:$A,COUNTA(站位样品信息!$A:$A)+1),站位样品信息!$H$3:INDEX(站位样品信息!$H:$H,COUNTA(站位样品信息!$H:$H)+1)),2,0),2))</f>
        <v/>
      </c>
      <c r="O994" s="49"/>
      <c r="P994" s="53" t="str">
        <f t="shared" si="49"/>
        <v/>
      </c>
      <c r="Q994" s="53" t="str">
        <f t="shared" si="50"/>
        <v/>
      </c>
    </row>
    <row r="995" spans="1:17" ht="19.5" customHeight="1">
      <c r="A995" s="38"/>
      <c r="B995" s="38"/>
      <c r="C995" s="38"/>
      <c r="D995" s="37"/>
      <c r="E995" s="37"/>
      <c r="F995" s="37"/>
      <c r="G995" s="37" t="str">
        <f>IF(F995="","",INDEX(站位样品信息!$B$3:INDEX(站位样品信息!$B:$B,COUNTA(站位样品信息!$B:$B)+1),MATCH($F995,站位样品信息!$A$3:INDEX(站位样品信息!$A:$A,COUNTA(站位样品信息!$A:$A)+1),),))</f>
        <v/>
      </c>
      <c r="H995" s="55" t="str">
        <f>IF(OR(A995&lt;&gt;"",B995&lt;&gt;"",C995&lt;&gt;""),IF($C995&lt;&gt;0,INDEX(生物种群!$A$3:INDEX(生物种群!$A:$A,COUNTA(生物种群!$A:$A)),MATCH($C995,生物种群!$F$3:INDEX(生物种群!$F:$F,COUNTA(生物种群!$F:$F)),),),IF($A995&lt;&gt;0,INDEX(生物种群!$A$3:INDEX(生物种群!$A:$A,COUNTA(生物种群!$A:$A)),MATCH($A995,生物种群!$C$3:INDEX(生物种群!$C:$C,COUNTA(生物种群!$C:$C)),),),INDEX(生物种群!$A$3:INDEX(生物种群!$A:$A,COUNTA(生物种群!$A:$A)),MATCH($B995,生物种群!$D$3:INDEX(生物种群!$D:$D,COUNTA(生物种群!$D:$D)),),))),"")</f>
        <v/>
      </c>
      <c r="I995" s="56" t="str">
        <f>IF(H995="","",INDEX(生物种群!$B$3:INDEX(生物种群!$B:$B,COUNTA(生物种群!$B:$B)),MATCH($H995,生物种群!$A$3:INDEX(生物种群!$A:$A,COUNTA(生物种群!$A:$A)),),))</f>
        <v/>
      </c>
      <c r="J995" s="55" t="str">
        <f>IF(H995="","",INDEX(生物种群!$I$3:INDEX(生物种群!$I:$I,COUNTA(生物种群!$I:$I)),MATCH($H995,生物种群!$A$3:INDEX(生物种群!$A:$A,COUNTA(生物种群!$A:$A)),),))</f>
        <v/>
      </c>
      <c r="K995" s="55" t="str">
        <f>IF(H995="","",INDEX(生物种群!$E$3:INDEX(生物种群!$E:$E,COUNTA(生物种群!$E:$E)),MATCH($H995,生物种群!$A$3:INDEX(生物种群!$A:$A,COUNTA(生物种群!$A:$A)),),))</f>
        <v/>
      </c>
      <c r="L995" s="46" t="str">
        <f t="shared" si="51"/>
        <v/>
      </c>
      <c r="M995" s="47" t="str">
        <f>IF(L995="","",ROUND((L995)/VLOOKUP($F995,IF({1,0},站位样品信息!$A$3:INDEX(站位样品信息!$A:$A,COUNTA(站位样品信息!$A:$A)+1),站位样品信息!$H$3:INDEX(站位样品信息!$H:$H,COUNTA(站位样品信息!$H:$H)+1)),2,0),2))</f>
        <v/>
      </c>
      <c r="O995" s="49"/>
      <c r="P995" s="53" t="str">
        <f t="shared" si="49"/>
        <v/>
      </c>
      <c r="Q995" s="53" t="str">
        <f t="shared" si="50"/>
        <v/>
      </c>
    </row>
    <row r="996" spans="1:17" ht="19.5" customHeight="1">
      <c r="A996" s="38"/>
      <c r="B996" s="38"/>
      <c r="C996" s="38"/>
      <c r="D996" s="37"/>
      <c r="E996" s="37"/>
      <c r="F996" s="37"/>
      <c r="G996" s="37" t="str">
        <f>IF(F996="","",INDEX(站位样品信息!$B$3:INDEX(站位样品信息!$B:$B,COUNTA(站位样品信息!$B:$B)+1),MATCH($F996,站位样品信息!$A$3:INDEX(站位样品信息!$A:$A,COUNTA(站位样品信息!$A:$A)+1),),))</f>
        <v/>
      </c>
      <c r="H996" s="55" t="str">
        <f>IF(OR(A996&lt;&gt;"",B996&lt;&gt;"",C996&lt;&gt;""),IF($C996&lt;&gt;0,INDEX(生物种群!$A$3:INDEX(生物种群!$A:$A,COUNTA(生物种群!$A:$A)),MATCH($C996,生物种群!$F$3:INDEX(生物种群!$F:$F,COUNTA(生物种群!$F:$F)),),),IF($A996&lt;&gt;0,INDEX(生物种群!$A$3:INDEX(生物种群!$A:$A,COUNTA(生物种群!$A:$A)),MATCH($A996,生物种群!$C$3:INDEX(生物种群!$C:$C,COUNTA(生物种群!$C:$C)),),),INDEX(生物种群!$A$3:INDEX(生物种群!$A:$A,COUNTA(生物种群!$A:$A)),MATCH($B996,生物种群!$D$3:INDEX(生物种群!$D:$D,COUNTA(生物种群!$D:$D)),),))),"")</f>
        <v/>
      </c>
      <c r="I996" s="56" t="str">
        <f>IF(H996="","",INDEX(生物种群!$B$3:INDEX(生物种群!$B:$B,COUNTA(生物种群!$B:$B)),MATCH($H996,生物种群!$A$3:INDEX(生物种群!$A:$A,COUNTA(生物种群!$A:$A)),),))</f>
        <v/>
      </c>
      <c r="J996" s="55" t="str">
        <f>IF(H996="","",INDEX(生物种群!$I$3:INDEX(生物种群!$I:$I,COUNTA(生物种群!$I:$I)),MATCH($H996,生物种群!$A$3:INDEX(生物种群!$A:$A,COUNTA(生物种群!$A:$A)),),))</f>
        <v/>
      </c>
      <c r="K996" s="55" t="str">
        <f>IF(H996="","",INDEX(生物种群!$E$3:INDEX(生物种群!$E:$E,COUNTA(生物种群!$E:$E)),MATCH($H996,生物种群!$A$3:INDEX(生物种群!$A:$A,COUNTA(生物种群!$A:$A)),),))</f>
        <v/>
      </c>
      <c r="L996" s="46" t="str">
        <f t="shared" si="51"/>
        <v/>
      </c>
      <c r="M996" s="47" t="str">
        <f>IF(L996="","",ROUND((L996)/VLOOKUP($F996,IF({1,0},站位样品信息!$A$3:INDEX(站位样品信息!$A:$A,COUNTA(站位样品信息!$A:$A)+1),站位样品信息!$H$3:INDEX(站位样品信息!$H:$H,COUNTA(站位样品信息!$H:$H)+1)),2,0),2))</f>
        <v/>
      </c>
      <c r="O996" s="49"/>
      <c r="P996" s="53" t="str">
        <f t="shared" si="49"/>
        <v/>
      </c>
      <c r="Q996" s="53" t="str">
        <f t="shared" si="50"/>
        <v/>
      </c>
    </row>
    <row r="997" spans="1:17" ht="19.5" customHeight="1">
      <c r="A997" s="38"/>
      <c r="B997" s="38"/>
      <c r="C997" s="38"/>
      <c r="D997" s="37"/>
      <c r="E997" s="37"/>
      <c r="F997" s="37"/>
      <c r="G997" s="37" t="str">
        <f>IF(F997="","",INDEX(站位样品信息!$B$3:INDEX(站位样品信息!$B:$B,COUNTA(站位样品信息!$B:$B)+1),MATCH($F997,站位样品信息!$A$3:INDEX(站位样品信息!$A:$A,COUNTA(站位样品信息!$A:$A)+1),),))</f>
        <v/>
      </c>
      <c r="H997" s="55" t="str">
        <f>IF(OR(A997&lt;&gt;"",B997&lt;&gt;"",C997&lt;&gt;""),IF($C997&lt;&gt;0,INDEX(生物种群!$A$3:INDEX(生物种群!$A:$A,COUNTA(生物种群!$A:$A)),MATCH($C997,生物种群!$F$3:INDEX(生物种群!$F:$F,COUNTA(生物种群!$F:$F)),),),IF($A997&lt;&gt;0,INDEX(生物种群!$A$3:INDEX(生物种群!$A:$A,COUNTA(生物种群!$A:$A)),MATCH($A997,生物种群!$C$3:INDEX(生物种群!$C:$C,COUNTA(生物种群!$C:$C)),),),INDEX(生物种群!$A$3:INDEX(生物种群!$A:$A,COUNTA(生物种群!$A:$A)),MATCH($B997,生物种群!$D$3:INDEX(生物种群!$D:$D,COUNTA(生物种群!$D:$D)),),))),"")</f>
        <v/>
      </c>
      <c r="I997" s="56" t="str">
        <f>IF(H997="","",INDEX(生物种群!$B$3:INDEX(生物种群!$B:$B,COUNTA(生物种群!$B:$B)),MATCH($H997,生物种群!$A$3:INDEX(生物种群!$A:$A,COUNTA(生物种群!$A:$A)),),))</f>
        <v/>
      </c>
      <c r="J997" s="55" t="str">
        <f>IF(H997="","",INDEX(生物种群!$I$3:INDEX(生物种群!$I:$I,COUNTA(生物种群!$I:$I)),MATCH($H997,生物种群!$A$3:INDEX(生物种群!$A:$A,COUNTA(生物种群!$A:$A)),),))</f>
        <v/>
      </c>
      <c r="K997" s="55" t="str">
        <f>IF(H997="","",INDEX(生物种群!$E$3:INDEX(生物种群!$E:$E,COUNTA(生物种群!$E:$E)),MATCH($H997,生物种群!$A$3:INDEX(生物种群!$A:$A,COUNTA(生物种群!$A:$A)),),))</f>
        <v/>
      </c>
      <c r="L997" s="46" t="str">
        <f t="shared" si="51"/>
        <v/>
      </c>
      <c r="M997" s="47" t="str">
        <f>IF(L997="","",ROUND((L997)/VLOOKUP($F997,IF({1,0},站位样品信息!$A$3:INDEX(站位样品信息!$A:$A,COUNTA(站位样品信息!$A:$A)+1),站位样品信息!$H$3:INDEX(站位样品信息!$H:$H,COUNTA(站位样品信息!$H:$H)+1)),2,0),2))</f>
        <v/>
      </c>
      <c r="O997" s="49"/>
      <c r="P997" s="53" t="str">
        <f t="shared" si="49"/>
        <v/>
      </c>
      <c r="Q997" s="53" t="str">
        <f t="shared" si="50"/>
        <v/>
      </c>
    </row>
    <row r="998" spans="1:17" ht="19.5" customHeight="1">
      <c r="A998" s="38"/>
      <c r="B998" s="38"/>
      <c r="C998" s="38"/>
      <c r="D998" s="37"/>
      <c r="E998" s="37"/>
      <c r="F998" s="37"/>
      <c r="G998" s="37" t="str">
        <f>IF(F998="","",INDEX(站位样品信息!$B$3:INDEX(站位样品信息!$B:$B,COUNTA(站位样品信息!$B:$B)+1),MATCH($F998,站位样品信息!$A$3:INDEX(站位样品信息!$A:$A,COUNTA(站位样品信息!$A:$A)+1),),))</f>
        <v/>
      </c>
      <c r="H998" s="55" t="str">
        <f>IF(OR(A998&lt;&gt;"",B998&lt;&gt;"",C998&lt;&gt;""),IF($C998&lt;&gt;0,INDEX(生物种群!$A$3:INDEX(生物种群!$A:$A,COUNTA(生物种群!$A:$A)),MATCH($C998,生物种群!$F$3:INDEX(生物种群!$F:$F,COUNTA(生物种群!$F:$F)),),),IF($A998&lt;&gt;0,INDEX(生物种群!$A$3:INDEX(生物种群!$A:$A,COUNTA(生物种群!$A:$A)),MATCH($A998,生物种群!$C$3:INDEX(生物种群!$C:$C,COUNTA(生物种群!$C:$C)),),),INDEX(生物种群!$A$3:INDEX(生物种群!$A:$A,COUNTA(生物种群!$A:$A)),MATCH($B998,生物种群!$D$3:INDEX(生物种群!$D:$D,COUNTA(生物种群!$D:$D)),),))),"")</f>
        <v/>
      </c>
      <c r="I998" s="56" t="str">
        <f>IF(H998="","",INDEX(生物种群!$B$3:INDEX(生物种群!$B:$B,COUNTA(生物种群!$B:$B)),MATCH($H998,生物种群!$A$3:INDEX(生物种群!$A:$A,COUNTA(生物种群!$A:$A)),),))</f>
        <v/>
      </c>
      <c r="J998" s="55" t="str">
        <f>IF(H998="","",INDEX(生物种群!$I$3:INDEX(生物种群!$I:$I,COUNTA(生物种群!$I:$I)),MATCH($H998,生物种群!$A$3:INDEX(生物种群!$A:$A,COUNTA(生物种群!$A:$A)),),))</f>
        <v/>
      </c>
      <c r="K998" s="55" t="str">
        <f>IF(H998="","",INDEX(生物种群!$E$3:INDEX(生物种群!$E:$E,COUNTA(生物种群!$E:$E)),MATCH($H998,生物种群!$A$3:INDEX(生物种群!$A:$A,COUNTA(生物种群!$A:$A)),),))</f>
        <v/>
      </c>
      <c r="L998" s="46" t="str">
        <f t="shared" si="51"/>
        <v/>
      </c>
      <c r="M998" s="47" t="str">
        <f>IF(L998="","",ROUND((L998)/VLOOKUP($F998,IF({1,0},站位样品信息!$A$3:INDEX(站位样品信息!$A:$A,COUNTA(站位样品信息!$A:$A)+1),站位样品信息!$H$3:INDEX(站位样品信息!$H:$H,COUNTA(站位样品信息!$H:$H)+1)),2,0),2))</f>
        <v/>
      </c>
      <c r="O998" s="49"/>
      <c r="P998" s="53" t="str">
        <f t="shared" si="49"/>
        <v/>
      </c>
      <c r="Q998" s="53" t="str">
        <f t="shared" si="50"/>
        <v/>
      </c>
    </row>
    <row r="999" spans="1:17" ht="19.5" customHeight="1">
      <c r="A999" s="38"/>
      <c r="B999" s="38"/>
      <c r="C999" s="38"/>
      <c r="D999" s="37"/>
      <c r="E999" s="37"/>
      <c r="F999" s="37"/>
      <c r="G999" s="37" t="str">
        <f>IF(F999="","",INDEX(站位样品信息!$B$3:INDEX(站位样品信息!$B:$B,COUNTA(站位样品信息!$B:$B)+1),MATCH($F999,站位样品信息!$A$3:INDEX(站位样品信息!$A:$A,COUNTA(站位样品信息!$A:$A)+1),),))</f>
        <v/>
      </c>
      <c r="H999" s="55" t="str">
        <f>IF(OR(A999&lt;&gt;"",B999&lt;&gt;"",C999&lt;&gt;""),IF($C999&lt;&gt;0,INDEX(生物种群!$A$3:INDEX(生物种群!$A:$A,COUNTA(生物种群!$A:$A)),MATCH($C999,生物种群!$F$3:INDEX(生物种群!$F:$F,COUNTA(生物种群!$F:$F)),),),IF($A999&lt;&gt;0,INDEX(生物种群!$A$3:INDEX(生物种群!$A:$A,COUNTA(生物种群!$A:$A)),MATCH($A999,生物种群!$C$3:INDEX(生物种群!$C:$C,COUNTA(生物种群!$C:$C)),),),INDEX(生物种群!$A$3:INDEX(生物种群!$A:$A,COUNTA(生物种群!$A:$A)),MATCH($B999,生物种群!$D$3:INDEX(生物种群!$D:$D,COUNTA(生物种群!$D:$D)),),))),"")</f>
        <v/>
      </c>
      <c r="I999" s="56" t="str">
        <f>IF(H999="","",INDEX(生物种群!$B$3:INDEX(生物种群!$B:$B,COUNTA(生物种群!$B:$B)),MATCH($H999,生物种群!$A$3:INDEX(生物种群!$A:$A,COUNTA(生物种群!$A:$A)),),))</f>
        <v/>
      </c>
      <c r="J999" s="55" t="str">
        <f>IF(H999="","",INDEX(生物种群!$I$3:INDEX(生物种群!$I:$I,COUNTA(生物种群!$I:$I)),MATCH($H999,生物种群!$A$3:INDEX(生物种群!$A:$A,COUNTA(生物种群!$A:$A)),),))</f>
        <v/>
      </c>
      <c r="K999" s="55" t="str">
        <f>IF(H999="","",INDEX(生物种群!$E$3:INDEX(生物种群!$E:$E,COUNTA(生物种群!$E:$E)),MATCH($H999,生物种群!$A$3:INDEX(生物种群!$A:$A,COUNTA(生物种群!$A:$A)),),))</f>
        <v/>
      </c>
      <c r="L999" s="46" t="str">
        <f t="shared" si="51"/>
        <v/>
      </c>
      <c r="M999" s="47" t="str">
        <f>IF(L999="","",ROUND((L999)/VLOOKUP($F999,IF({1,0},站位样品信息!$A$3:INDEX(站位样品信息!$A:$A,COUNTA(站位样品信息!$A:$A)+1),站位样品信息!$H$3:INDEX(站位样品信息!$H:$H,COUNTA(站位样品信息!$H:$H)+1)),2,0),2))</f>
        <v/>
      </c>
      <c r="O999" s="49"/>
      <c r="P999" s="49"/>
      <c r="Q999" s="49"/>
    </row>
    <row r="1000" spans="7:13" ht="19.5" customHeight="1">
      <c r="G1000" s="37" t="str">
        <f>IF(F1000="","",INDEX(站位样品信息!$B$3:INDEX(站位样品信息!$B:$B,COUNTA(站位样品信息!$B:$B)+1),MATCH($F1000,站位样品信息!$A$3:INDEX(站位样品信息!$A:$A,COUNTA(站位样品信息!$A:$A)+1),),))</f>
        <v/>
      </c>
      <c r="H1000" s="55" t="str">
        <f>IF(OR(A1000&lt;&gt;"",B1000&lt;&gt;"",C1000&lt;&gt;""),IF($C1000&lt;&gt;0,INDEX(生物种群!$A$3:INDEX(生物种群!$A:$A,COUNTA(生物种群!$A:$A)),MATCH($C1000,生物种群!$F$3:INDEX(生物种群!$F:$F,COUNTA(生物种群!$F:$F)),),),IF($A1000&lt;&gt;0,INDEX(生物种群!$A$3:INDEX(生物种群!$A:$A,COUNTA(生物种群!$A:$A)),MATCH($A1000,生物种群!$C$3:INDEX(生物种群!$C:$C,COUNTA(生物种群!$C:$C)),),),INDEX(生物种群!$A$3:INDEX(生物种群!$A:$A,COUNTA(生物种群!$A:$A)),MATCH($B1000,生物种群!$D$3:INDEX(生物种群!$D:$D,COUNTA(生物种群!$D:$D)),),))),"")</f>
        <v/>
      </c>
      <c r="I1000" s="56" t="str">
        <f>IF(H1000="","",INDEX(生物种群!$B$3:INDEX(生物种群!$B:$B,COUNTA(生物种群!$B:$B)),MATCH($H1000,生物种群!$A$3:INDEX(生物种群!$A:$A,COUNTA(生物种群!$A:$A)),),))</f>
        <v/>
      </c>
      <c r="J1000" s="55" t="str">
        <f>IF(H1000="","",INDEX(生物种群!$I$3:INDEX(生物种群!$I:$I,COUNTA(生物种群!$I:$I)),MATCH($H1000,生物种群!$A$3:INDEX(生物种群!$A:$A,COUNTA(生物种群!$A:$A)),),))</f>
        <v/>
      </c>
      <c r="K1000" s="55" t="str">
        <f>IF(H1000="","",INDEX(生物种群!$E$3:INDEX(生物种群!$E:$E,COUNTA(生物种群!$E:$E)),MATCH($H1000,生物种群!$A$3:INDEX(生物种群!$A:$A,COUNTA(生物种群!$A:$A)),),))</f>
        <v/>
      </c>
      <c r="L1000" s="46" t="str">
        <f t="shared" si="51"/>
        <v/>
      </c>
      <c r="M1000" s="47" t="str">
        <f>IF(L1000="","",ROUND((L1000)/VLOOKUP($F1000,IF({1,0},站位样品信息!$A$3:INDEX(站位样品信息!$A:$A,COUNTA(站位样品信息!$A:$A)+1),站位样品信息!$H$3:INDEX(站位样品信息!$H:$H,COUNTA(站位样品信息!$H:$H)+1)),2,0),2))</f>
        <v/>
      </c>
    </row>
  </sheetData>
  <sheetProtection formatCells="0" formatColumns="0" formatRows="0" sort="0" autoFilter="0" pivotTables="0"/>
  <conditionalFormatting sqref="C3:C26">
    <cfRule type="expression" priority="3" dxfId="0" stopIfTrue="1">
      <formula>MOD(ROW(),5)=0</formula>
    </cfRule>
  </conditionalFormatting>
  <conditionalFormatting sqref="C27:C49">
    <cfRule type="expression" priority="2" dxfId="0" stopIfTrue="1">
      <formula>MOD(ROW(),5)=0</formula>
    </cfRule>
  </conditionalFormatting>
  <conditionalFormatting sqref="C50">
    <cfRule type="expression" priority="1" dxfId="0" stopIfTrue="1">
      <formula>MOD(ROW(),5)=0</formula>
    </cfRule>
  </conditionalFormatting>
  <dataValidations count="3">
    <dataValidation type="list" allowBlank="1" showInputMessage="1" showErrorMessage="1" sqref="N1:N1048576">
      <formula1>"①,②,③,④,⑤,⑥,⑦,⑧,⑨,⑩"</formula1>
    </dataValidation>
    <dataValidation type="list" allowBlank="1" showInputMessage="1" showErrorMessage="1" sqref="F51:F1048576">
      <formula1>OFFSET(站位样品信息!$A$3,,,SUMPRODUCT(N(LEN(站位样品信息!$A:$A)&gt;0)),)</formula1>
    </dataValidation>
    <dataValidation type="list" allowBlank="1" showInputMessage="1" showErrorMessage="1" sqref="A1:Q1">
      <formula1>OFFSET(站位样品信息!$A$3,,,SUMPRODUCT(N(LEN(站位样品信息!$A:$A)&gt;0)),)</formula1>
    </dataValidation>
  </dataValidations>
  <pageMargins left="0.7" right="0.7" top="0.75" bottom="0.75" header="0.3" footer="0.3"/>
  <pageSetup orientation="portrait" paperSize="9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U1001"/>
  <sheetViews>
    <sheetView workbookViewId="0" topLeftCell="A1">
      <pane xSplit="1" ySplit="2" topLeftCell="B15" activePane="bottomRight" state="frozen"/>
      <selection pane="topLeft" activeCell="A1" sqref="A1"/>
      <selection pane="bottomLeft" activeCell="A3" sqref="A3"/>
      <selection pane="topRight" activeCell="B1" sqref="B1"/>
      <selection pane="bottomRight" activeCell="A3" sqref="A3:XFD3"/>
    </sheetView>
  </sheetViews>
  <sheetFormatPr defaultColWidth="8.875" defaultRowHeight="19.9" customHeight="1"/>
  <cols>
    <col min="1" max="1" width="16.125" style="42" customWidth="1"/>
    <col min="2" max="2" width="14.5" style="42" customWidth="1"/>
    <col min="3" max="3" width="10.875" style="40" customWidth="1"/>
    <col min="4" max="4" width="9.625" style="42" customWidth="1"/>
    <col min="5" max="5" width="9.5" style="42" customWidth="1"/>
    <col min="6" max="6" width="18.875" style="40" customWidth="1"/>
    <col min="7" max="7" width="13" style="42" customWidth="1"/>
    <col min="8" max="8" width="10" style="61" customWidth="1"/>
    <col min="9" max="9" width="22" style="40" customWidth="1"/>
    <col min="10" max="10" width="12" style="40" customWidth="1"/>
    <col min="11" max="11" width="12" style="41" customWidth="1"/>
    <col min="12" max="12" width="14.75" style="63" customWidth="1"/>
    <col min="13" max="13" width="9.875" style="69" customWidth="1"/>
    <col min="14" max="14" width="11.125" style="69" customWidth="1"/>
    <col min="15" max="15" width="11" style="69" customWidth="1"/>
    <col min="16" max="16" width="9.5" style="71" customWidth="1"/>
    <col min="17" max="17" width="15" style="75" customWidth="1"/>
    <col min="18" max="18" width="16.375" style="75" customWidth="1"/>
    <col min="19" max="19" width="15.875" style="75" customWidth="1"/>
    <col min="20" max="20" width="7.875" style="75" customWidth="1"/>
    <col min="21" max="21" width="14.875" style="72" customWidth="1"/>
    <col min="22" max="16384" width="8.875" style="35"/>
  </cols>
  <sheetData>
    <row r="1" spans="1:21" ht="19.9" customHeight="1">
      <c r="A1" s="66" t="s">
        <v>5315</v>
      </c>
      <c r="B1" s="66"/>
      <c r="C1" s="66"/>
      <c r="D1" s="66"/>
      <c r="E1" s="68"/>
      <c r="F1" s="66"/>
      <c r="G1" s="66"/>
      <c r="H1" s="66"/>
      <c r="I1" s="66"/>
      <c r="J1" s="67"/>
      <c r="K1" s="67"/>
      <c r="L1" s="67"/>
      <c r="M1" s="67"/>
      <c r="N1" s="67"/>
      <c r="O1" s="67"/>
      <c r="P1" s="79"/>
      <c r="Q1" s="76" t="s">
        <v>5341</v>
      </c>
      <c r="R1" s="77"/>
      <c r="S1" s="77"/>
      <c r="T1" s="77"/>
      <c r="U1" s="73"/>
    </row>
    <row r="2" spans="1:21" ht="45.75" customHeight="1">
      <c r="A2" s="64" t="s">
        <v>5309</v>
      </c>
      <c r="B2" s="64" t="s">
        <v>5316</v>
      </c>
      <c r="C2" s="65" t="s">
        <v>5320</v>
      </c>
      <c r="D2" s="65" t="s">
        <v>5321</v>
      </c>
      <c r="E2" s="64" t="s">
        <v>8</v>
      </c>
      <c r="F2" s="64" t="s">
        <v>5324</v>
      </c>
      <c r="G2" s="64" t="s">
        <v>5333</v>
      </c>
      <c r="H2" s="64" t="s">
        <v>5325</v>
      </c>
      <c r="I2" s="64" t="s">
        <v>5318</v>
      </c>
      <c r="J2" s="64" t="s">
        <v>5326</v>
      </c>
      <c r="K2" s="64" t="s">
        <v>5319</v>
      </c>
      <c r="L2" s="64" t="s">
        <v>5334</v>
      </c>
      <c r="M2" s="70" t="s">
        <v>5336</v>
      </c>
      <c r="N2" s="70" t="s">
        <v>5337</v>
      </c>
      <c r="O2" s="70" t="s">
        <v>5335</v>
      </c>
      <c r="P2" s="80" t="s">
        <v>5338</v>
      </c>
      <c r="Q2" s="83" t="s">
        <v>5345</v>
      </c>
      <c r="R2" s="83" t="s">
        <v>5346</v>
      </c>
      <c r="S2" s="70" t="s">
        <v>5342</v>
      </c>
      <c r="T2" s="82" t="s">
        <v>5343</v>
      </c>
      <c r="U2" s="70" t="s">
        <v>5344</v>
      </c>
    </row>
    <row r="3" spans="1:21" ht="19.9" customHeight="1">
      <c r="A3" s="53" t="s">
        <v>10236</v>
      </c>
      <c r="B3" s="53" t="s">
        <v>10239</v>
      </c>
      <c r="C3" s="106">
        <v>21</v>
      </c>
      <c r="D3" s="106">
        <v>19</v>
      </c>
      <c r="E3" s="53" t="s">
        <v>25</v>
      </c>
      <c r="F3" s="49" t="s">
        <v>10240</v>
      </c>
      <c r="G3" s="37">
        <f>IF(F3="浅水Ⅰ型浮游生物网",0.2,IF(F3="浅水Ⅱ型浮游生物网",0.08,IF(F3="浅水Ⅲ型浮游生物网",0.1,IF(F3="小型浮游生物网",0.1,IF(F3="大型浮游生物网",0.5,IF(F3="WP2网",0.25,""))))))</f>
        <v>0.20</v>
      </c>
      <c r="H3" s="60" t="str">
        <f t="shared" si="0" ref="H3:H26">BaoLiuXiaoShuWei(IF(D3="","",D3*G3),2)</f>
        <v>3.80</v>
      </c>
      <c r="I3" s="49" t="s">
        <v>10237</v>
      </c>
      <c r="J3" s="49" t="s">
        <v>10238</v>
      </c>
      <c r="K3" s="104" t="s">
        <v>10234</v>
      </c>
      <c r="L3" s="105" t="s">
        <v>10235</v>
      </c>
      <c r="M3" s="69">
        <f>IF(AND(A3="",B3=""),"",COUNTIF(数据!$F$3:$F$999,A3))</f>
        <v>2</v>
      </c>
      <c r="N3" s="69">
        <f>IF(AND(A3="",B3=""),"",SUMIF(数据!$F$3:$F$999,A3,数据!$D$3:$D$999))</f>
        <v>2</v>
      </c>
      <c r="O3" s="69">
        <f>IF(AND(A3="",B3=""),"",SUMIF(数据!$F$3:$F$999,A3,数据!$L$3:$L$999))</f>
        <v>200</v>
      </c>
      <c r="P3" s="81">
        <f>IF(AND(A3="",B3=""),"",SUMIF(数据!$F$3:$F$999,A3,数据!$M$3:$M$999))</f>
        <v>52.64</v>
      </c>
      <c r="Q3" s="78"/>
      <c r="S3" s="74" t="str">
        <f>IFERROR(IF(Q3="","",Q3-R3),"")</f>
        <v/>
      </c>
      <c r="T3" s="75" t="str">
        <f>IF(H3="","",H3)</f>
        <v>3.80</v>
      </c>
      <c r="U3" s="74" t="str">
        <f>IFERROR(IF(OR(T3="",S3=""),"",S3/T3),"")</f>
        <v/>
      </c>
    </row>
    <row r="4" spans="1:21" s="43" customFormat="1" ht="19.9" customHeight="1">
      <c r="A4" s="53" t="s">
        <v>10241</v>
      </c>
      <c r="B4" s="53" t="s">
        <v>10242</v>
      </c>
      <c r="C4" s="106">
        <v>9.50</v>
      </c>
      <c r="D4" s="106">
        <v>7.50</v>
      </c>
      <c r="E4" s="53" t="s">
        <v>25</v>
      </c>
      <c r="F4" s="49" t="s">
        <v>10240</v>
      </c>
      <c r="G4" s="37">
        <f>IF(F4="浅水Ⅰ型浮游生物网",0.2,IF(F4="浅水Ⅱ型浮游生物网",0.08,IF(F4="浅水Ⅲ型浮游生物网",0.1,IF(F4="小型浮游生物网",0.1,IF(F4="大型浮游生物网",0.5,IF(F4="WP2网",0.25,""))))))</f>
        <v>0.20</v>
      </c>
      <c r="H4" s="60" t="str">
        <f t="shared" si="0"/>
        <v>1.50</v>
      </c>
      <c r="I4" s="49" t="s">
        <v>10237</v>
      </c>
      <c r="J4" s="49" t="s">
        <v>10238</v>
      </c>
      <c r="K4" s="104" t="s">
        <v>10234</v>
      </c>
      <c r="L4" s="105" t="s">
        <v>10235</v>
      </c>
      <c r="M4" s="69">
        <f>IF(AND(A4="",B4=""),"",COUNTIF(数据!$F$3:$F$999,A4))</f>
        <v>2</v>
      </c>
      <c r="N4" s="69">
        <f>IF(AND(A4="",B4=""),"",SUMIF(数据!$F$3:$F$999,A4,数据!$D$3:$D$999))</f>
        <v>4</v>
      </c>
      <c r="O4" s="69">
        <f>IF(AND(A4="",B4=""),"",SUMIF(数据!$F$3:$F$999,A4,数据!$L$3:$L$999))</f>
        <v>200</v>
      </c>
      <c r="P4" s="81">
        <f>IF(AND(A4="",B4=""),"",SUMIF(数据!$F$3:$F$999,A4,数据!$M$3:$M$999))</f>
        <v>133.34</v>
      </c>
      <c r="Q4" s="78"/>
      <c r="R4" s="75"/>
      <c r="S4" s="74" t="str">
        <f t="shared" si="1" ref="S4:S67">IFERROR(IF(Q4="","",Q4-R4),"")</f>
        <v/>
      </c>
      <c r="T4" s="75" t="str">
        <f t="shared" si="2" ref="T4:T67">IF(H4="","",H4)</f>
        <v>1.50</v>
      </c>
      <c r="U4" s="74" t="str">
        <f t="shared" si="3" ref="U4:U67">IFERROR(IF(OR(T4="",S4=""),"",S4/T4),"")</f>
        <v/>
      </c>
    </row>
    <row r="5" spans="1:21" ht="19.9" customHeight="1">
      <c r="A5" s="53" t="s">
        <v>10243</v>
      </c>
      <c r="B5" s="53" t="s">
        <v>10244</v>
      </c>
      <c r="C5" s="106">
        <v>7</v>
      </c>
      <c r="D5" s="106">
        <v>5</v>
      </c>
      <c r="E5" s="53" t="s">
        <v>25</v>
      </c>
      <c r="F5" s="49" t="s">
        <v>10240</v>
      </c>
      <c r="G5" s="37">
        <f t="shared" si="4" ref="G5:G68">IF(F5="浅水Ⅰ型浮游生物网",0.2,IF(F5="浅水Ⅱ型浮游生物网",0.08,IF(F5="浅水Ⅲ型浮游生物网",0.1,IF(F5="小型浮游生物网",0.1,IF(F5="大型浮游生物网",0.5,IF(F5="WP2网",0.25,""))))))</f>
        <v>0.20</v>
      </c>
      <c r="H5" s="60" t="str">
        <f t="shared" si="0"/>
        <v>1.00</v>
      </c>
      <c r="I5" s="49" t="s">
        <v>10237</v>
      </c>
      <c r="J5" s="49" t="s">
        <v>10238</v>
      </c>
      <c r="K5" s="104" t="s">
        <v>10234</v>
      </c>
      <c r="L5" s="105" t="s">
        <v>10235</v>
      </c>
      <c r="M5" s="69">
        <f>IF(AND(A5="",B5=""),"",COUNTIF(数据!$F$3:$F$999,A5))</f>
        <v>2</v>
      </c>
      <c r="N5" s="69">
        <f>IF(AND(A5="",B5=""),"",SUMIF(数据!$F$3:$F$999,A5,数据!$D$3:$D$999))</f>
        <v>6</v>
      </c>
      <c r="O5" s="69">
        <f>IF(AND(A5="",B5=""),"",SUMIF(数据!$F$3:$F$999,A5,数据!$L$3:$L$999))</f>
        <v>200</v>
      </c>
      <c r="P5" s="81">
        <f>IF(AND(A5="",B5=""),"",SUMIF(数据!$F$3:$F$999,A5,数据!$M$3:$M$999))</f>
        <v>200</v>
      </c>
      <c r="Q5" s="78"/>
      <c r="S5" s="74" t="str">
        <f t="shared" si="1"/>
        <v/>
      </c>
      <c r="T5" s="75" t="str">
        <f t="shared" si="2"/>
        <v>1.00</v>
      </c>
      <c r="U5" s="74" t="str">
        <f t="shared" si="3"/>
        <v/>
      </c>
    </row>
    <row r="6" spans="1:21" ht="19.9" customHeight="1">
      <c r="A6" s="53" t="s">
        <v>10245</v>
      </c>
      <c r="B6" s="53" t="s">
        <v>10246</v>
      </c>
      <c r="C6" s="106">
        <v>18</v>
      </c>
      <c r="D6" s="106">
        <v>16</v>
      </c>
      <c r="E6" s="53" t="s">
        <v>25</v>
      </c>
      <c r="F6" s="49" t="s">
        <v>10240</v>
      </c>
      <c r="G6" s="37">
        <f t="shared" si="4"/>
        <v>0.20</v>
      </c>
      <c r="H6" s="60" t="str">
        <f t="shared" si="0"/>
        <v>3.20</v>
      </c>
      <c r="I6" s="49" t="s">
        <v>10237</v>
      </c>
      <c r="J6" s="49" t="s">
        <v>10238</v>
      </c>
      <c r="K6" s="104" t="s">
        <v>10234</v>
      </c>
      <c r="L6" s="105" t="s">
        <v>10235</v>
      </c>
      <c r="M6" s="69">
        <f>IF(AND(A6="",B6=""),"",COUNTIF(数据!$F$3:$F$999,A6))</f>
        <v>2</v>
      </c>
      <c r="N6" s="69">
        <f>IF(AND(A6="",B6=""),"",SUMIF(数据!$F$3:$F$999,A6,数据!$D$3:$D$999))</f>
        <v>8</v>
      </c>
      <c r="O6" s="69">
        <f>IF(AND(A6="",B6=""),"",SUMIF(数据!$F$3:$F$999,A6,数据!$L$3:$L$999))</f>
        <v>200</v>
      </c>
      <c r="P6" s="81">
        <f>IF(AND(A6="",B6=""),"",SUMIF(数据!$F$3:$F$999,A6,数据!$M$3:$M$999))</f>
        <v>62.50</v>
      </c>
      <c r="Q6" s="78"/>
      <c r="S6" s="74" t="str">
        <f t="shared" si="1"/>
        <v/>
      </c>
      <c r="T6" s="75" t="str">
        <f t="shared" si="2"/>
        <v>3.20</v>
      </c>
      <c r="U6" s="74" t="str">
        <f t="shared" si="3"/>
        <v/>
      </c>
    </row>
    <row r="7" spans="1:21" ht="19.9" customHeight="1">
      <c r="A7" s="53" t="s">
        <v>10247</v>
      </c>
      <c r="B7" s="53" t="s">
        <v>10248</v>
      </c>
      <c r="C7" s="106">
        <v>14.80</v>
      </c>
      <c r="D7" s="106">
        <v>12.80</v>
      </c>
      <c r="E7" s="53" t="s">
        <v>25</v>
      </c>
      <c r="F7" s="49" t="s">
        <v>10240</v>
      </c>
      <c r="G7" s="37">
        <f t="shared" si="4"/>
        <v>0.20</v>
      </c>
      <c r="H7" s="60" t="str">
        <f t="shared" si="0"/>
        <v>2.56</v>
      </c>
      <c r="I7" s="49" t="s">
        <v>10237</v>
      </c>
      <c r="J7" s="49" t="s">
        <v>10238</v>
      </c>
      <c r="K7" s="104" t="s">
        <v>10234</v>
      </c>
      <c r="L7" s="105" t="s">
        <v>10235</v>
      </c>
      <c r="M7" s="69">
        <f>IF(AND(A7="",B7=""),"",COUNTIF(数据!$F$3:$F$999,A7))</f>
        <v>2</v>
      </c>
      <c r="N7" s="69">
        <f>IF(AND(A7="",B7=""),"",SUMIF(数据!$F$3:$F$999,A7,数据!$D$3:$D$999))</f>
        <v>10</v>
      </c>
      <c r="O7" s="69">
        <f>IF(AND(A7="",B7=""),"",SUMIF(数据!$F$3:$F$999,A7,数据!$L$3:$L$999))</f>
        <v>200</v>
      </c>
      <c r="P7" s="81">
        <f>IF(AND(A7="",B7=""),"",SUMIF(数据!$F$3:$F$999,A7,数据!$M$3:$M$999))</f>
        <v>78.12</v>
      </c>
      <c r="Q7" s="78"/>
      <c r="S7" s="74" t="str">
        <f t="shared" si="1"/>
        <v/>
      </c>
      <c r="T7" s="75" t="str">
        <f t="shared" si="2"/>
        <v>2.56</v>
      </c>
      <c r="U7" s="74" t="str">
        <f t="shared" si="3"/>
        <v/>
      </c>
    </row>
    <row r="8" spans="1:21" ht="19.9" customHeight="1">
      <c r="A8" s="53" t="s">
        <v>10250</v>
      </c>
      <c r="B8" s="53" t="s">
        <v>10251</v>
      </c>
      <c r="C8" s="106">
        <v>8</v>
      </c>
      <c r="D8" s="106">
        <v>6</v>
      </c>
      <c r="E8" s="53" t="s">
        <v>25</v>
      </c>
      <c r="F8" s="49" t="s">
        <v>10240</v>
      </c>
      <c r="G8" s="37">
        <f t="shared" si="4"/>
        <v>0.20</v>
      </c>
      <c r="H8" s="60" t="str">
        <f t="shared" si="0"/>
        <v>1.20</v>
      </c>
      <c r="I8" s="49" t="s">
        <v>10237</v>
      </c>
      <c r="J8" s="49" t="s">
        <v>10238</v>
      </c>
      <c r="K8" s="104" t="s">
        <v>10249</v>
      </c>
      <c r="L8" s="105" t="s">
        <v>10235</v>
      </c>
      <c r="M8" s="69">
        <f>IF(AND(A8="",B8=""),"",COUNTIF(数据!$F$3:$F$999,A8))</f>
        <v>2</v>
      </c>
      <c r="N8" s="69">
        <f>IF(AND(A8="",B8=""),"",SUMIF(数据!$F$3:$F$999,A8,数据!$D$3:$D$999))</f>
        <v>12</v>
      </c>
      <c r="O8" s="69">
        <f>IF(AND(A8="",B8=""),"",SUMIF(数据!$F$3:$F$999,A8,数据!$L$3:$L$999))</f>
        <v>200</v>
      </c>
      <c r="P8" s="81">
        <f>IF(AND(A8="",B8=""),"",SUMIF(数据!$F$3:$F$999,A8,数据!$M$3:$M$999))</f>
        <v>166.66</v>
      </c>
      <c r="Q8" s="78"/>
      <c r="S8" s="74" t="str">
        <f t="shared" si="1"/>
        <v/>
      </c>
      <c r="T8" s="75" t="str">
        <f t="shared" si="2"/>
        <v>1.20</v>
      </c>
      <c r="U8" s="74" t="str">
        <f t="shared" si="3"/>
        <v/>
      </c>
    </row>
    <row r="9" spans="1:21" ht="19.9" customHeight="1">
      <c r="A9" s="53" t="s">
        <v>10252</v>
      </c>
      <c r="B9" s="53" t="s">
        <v>10253</v>
      </c>
      <c r="C9" s="106">
        <v>25</v>
      </c>
      <c r="D9" s="106">
        <v>23</v>
      </c>
      <c r="E9" s="53" t="s">
        <v>25</v>
      </c>
      <c r="F9" s="49" t="s">
        <v>10240</v>
      </c>
      <c r="G9" s="37">
        <f t="shared" si="4"/>
        <v>0.20</v>
      </c>
      <c r="H9" s="60" t="str">
        <f t="shared" si="0"/>
        <v>4.60</v>
      </c>
      <c r="I9" s="49" t="s">
        <v>10237</v>
      </c>
      <c r="J9" s="49" t="s">
        <v>10238</v>
      </c>
      <c r="K9" s="104" t="s">
        <v>10249</v>
      </c>
      <c r="L9" s="105" t="s">
        <v>10235</v>
      </c>
      <c r="M9" s="69">
        <f>IF(AND(A9="",B9=""),"",COUNTIF(数据!$F$3:$F$999,A9))</f>
        <v>2</v>
      </c>
      <c r="N9" s="69">
        <f>IF(AND(A9="",B9=""),"",SUMIF(数据!$F$3:$F$999,A9,数据!$D$3:$D$999))</f>
        <v>14</v>
      </c>
      <c r="O9" s="69">
        <f>IF(AND(A9="",B9=""),"",SUMIF(数据!$F$3:$F$999,A9,数据!$L$3:$L$999))</f>
        <v>200</v>
      </c>
      <c r="P9" s="81">
        <f>IF(AND(A9="",B9=""),"",SUMIF(数据!$F$3:$F$999,A9,数据!$M$3:$M$999))</f>
        <v>43.48</v>
      </c>
      <c r="Q9" s="78"/>
      <c r="S9" s="74" t="str">
        <f t="shared" si="1"/>
        <v/>
      </c>
      <c r="T9" s="75" t="str">
        <f t="shared" si="2"/>
        <v>4.60</v>
      </c>
      <c r="U9" s="74" t="str">
        <f t="shared" si="3"/>
        <v/>
      </c>
    </row>
    <row r="10" spans="1:21" ht="19.9" customHeight="1">
      <c r="A10" s="53" t="s">
        <v>10254</v>
      </c>
      <c r="B10" s="53" t="s">
        <v>10255</v>
      </c>
      <c r="C10" s="106">
        <v>14.80</v>
      </c>
      <c r="D10" s="106">
        <v>12.80</v>
      </c>
      <c r="E10" s="53" t="s">
        <v>25</v>
      </c>
      <c r="F10" s="49" t="s">
        <v>10240</v>
      </c>
      <c r="G10" s="37">
        <f t="shared" si="4"/>
        <v>0.20</v>
      </c>
      <c r="H10" s="60" t="str">
        <f t="shared" si="0"/>
        <v>2.56</v>
      </c>
      <c r="I10" s="49" t="s">
        <v>10237</v>
      </c>
      <c r="J10" s="49" t="s">
        <v>10238</v>
      </c>
      <c r="K10" s="104" t="s">
        <v>10249</v>
      </c>
      <c r="L10" s="105" t="s">
        <v>10235</v>
      </c>
      <c r="M10" s="69">
        <f>IF(AND(A10="",B10=""),"",COUNTIF(数据!$F$3:$F$999,A10))</f>
        <v>2</v>
      </c>
      <c r="N10" s="69">
        <f>IF(AND(A10="",B10=""),"",SUMIF(数据!$F$3:$F$999,A10,数据!$D$3:$D$999))</f>
        <v>16</v>
      </c>
      <c r="O10" s="69">
        <f>IF(AND(A10="",B10=""),"",SUMIF(数据!$F$3:$F$999,A10,数据!$L$3:$L$999))</f>
        <v>200</v>
      </c>
      <c r="P10" s="81">
        <f>IF(AND(A10="",B10=""),"",SUMIF(数据!$F$3:$F$999,A10,数据!$M$3:$M$999))</f>
        <v>78.12</v>
      </c>
      <c r="Q10" s="78"/>
      <c r="S10" s="74" t="str">
        <f t="shared" si="1"/>
        <v/>
      </c>
      <c r="T10" s="75" t="str">
        <f t="shared" si="2"/>
        <v>2.56</v>
      </c>
      <c r="U10" s="74" t="str">
        <f t="shared" si="3"/>
        <v/>
      </c>
    </row>
    <row r="11" spans="1:21" ht="19.9" customHeight="1">
      <c r="A11" s="53" t="s">
        <v>10256</v>
      </c>
      <c r="B11" s="53" t="s">
        <v>10257</v>
      </c>
      <c r="C11" s="106">
        <v>8</v>
      </c>
      <c r="D11" s="106">
        <v>6</v>
      </c>
      <c r="E11" s="53" t="s">
        <v>25</v>
      </c>
      <c r="F11" s="49" t="s">
        <v>10240</v>
      </c>
      <c r="G11" s="37">
        <f t="shared" si="4"/>
        <v>0.20</v>
      </c>
      <c r="H11" s="60" t="str">
        <f t="shared" si="0"/>
        <v>1.20</v>
      </c>
      <c r="I11" s="49" t="s">
        <v>10237</v>
      </c>
      <c r="J11" s="49" t="s">
        <v>10238</v>
      </c>
      <c r="K11" s="104" t="s">
        <v>10249</v>
      </c>
      <c r="L11" s="105" t="s">
        <v>10235</v>
      </c>
      <c r="M11" s="69">
        <f>IF(AND(A11="",B11=""),"",COUNTIF(数据!$F$3:$F$999,A11))</f>
        <v>2</v>
      </c>
      <c r="N11" s="69">
        <f>IF(AND(A11="",B11=""),"",SUMIF(数据!$F$3:$F$999,A11,数据!$D$3:$D$999))</f>
        <v>18</v>
      </c>
      <c r="O11" s="69">
        <f>IF(AND(A11="",B11=""),"",SUMIF(数据!$F$3:$F$999,A11,数据!$L$3:$L$999))</f>
        <v>200</v>
      </c>
      <c r="P11" s="81">
        <f>IF(AND(A11="",B11=""),"",SUMIF(数据!$F$3:$F$999,A11,数据!$M$3:$M$999))</f>
        <v>166.66</v>
      </c>
      <c r="Q11" s="78"/>
      <c r="S11" s="74" t="str">
        <f t="shared" si="1"/>
        <v/>
      </c>
      <c r="T11" s="75" t="str">
        <f t="shared" si="2"/>
        <v>1.20</v>
      </c>
      <c r="U11" s="74" t="str">
        <f t="shared" si="3"/>
        <v/>
      </c>
    </row>
    <row r="12" spans="1:21" ht="19.9" customHeight="1">
      <c r="A12" s="53" t="s">
        <v>10258</v>
      </c>
      <c r="B12" s="53" t="s">
        <v>10259</v>
      </c>
      <c r="C12" s="106">
        <v>7</v>
      </c>
      <c r="D12" s="106">
        <v>5</v>
      </c>
      <c r="E12" s="53" t="s">
        <v>25</v>
      </c>
      <c r="F12" s="49" t="s">
        <v>10240</v>
      </c>
      <c r="G12" s="37">
        <f t="shared" si="4"/>
        <v>0.20</v>
      </c>
      <c r="H12" s="60" t="str">
        <f t="shared" si="0"/>
        <v>1.00</v>
      </c>
      <c r="I12" s="49" t="s">
        <v>10237</v>
      </c>
      <c r="J12" s="49" t="s">
        <v>10238</v>
      </c>
      <c r="K12" s="104" t="s">
        <v>10249</v>
      </c>
      <c r="L12" s="105" t="s">
        <v>10235</v>
      </c>
      <c r="M12" s="69">
        <f>IF(AND(A12="",B12=""),"",COUNTIF(数据!$F$3:$F$999,A12))</f>
        <v>2</v>
      </c>
      <c r="N12" s="69">
        <f>IF(AND(A12="",B12=""),"",SUMIF(数据!$F$3:$F$999,A12,数据!$D$3:$D$999))</f>
        <v>20</v>
      </c>
      <c r="O12" s="69">
        <f>IF(AND(A12="",B12=""),"",SUMIF(数据!$F$3:$F$999,A12,数据!$L$3:$L$999))</f>
        <v>200</v>
      </c>
      <c r="P12" s="81">
        <f>IF(AND(A12="",B12=""),"",SUMIF(数据!$F$3:$F$999,A12,数据!$M$3:$M$999))</f>
        <v>200</v>
      </c>
      <c r="Q12" s="78"/>
      <c r="S12" s="74" t="str">
        <f t="shared" si="1"/>
        <v/>
      </c>
      <c r="T12" s="75" t="str">
        <f t="shared" si="2"/>
        <v>1.00</v>
      </c>
      <c r="U12" s="74" t="str">
        <f t="shared" si="3"/>
        <v/>
      </c>
    </row>
    <row r="13" spans="1:21" ht="19.9" customHeight="1">
      <c r="A13" s="53" t="s">
        <v>10261</v>
      </c>
      <c r="B13" s="53" t="s">
        <v>10262</v>
      </c>
      <c r="C13" s="106">
        <v>30</v>
      </c>
      <c r="D13" s="53">
        <v>5</v>
      </c>
      <c r="E13" s="53" t="s">
        <v>25</v>
      </c>
      <c r="F13" s="49" t="s">
        <v>10263</v>
      </c>
      <c r="G13" s="37">
        <f t="shared" si="4"/>
        <v>0.50</v>
      </c>
      <c r="H13" s="60" t="str">
        <f t="shared" si="0"/>
        <v>2.50</v>
      </c>
      <c r="I13" s="49" t="s">
        <v>10237</v>
      </c>
      <c r="J13" s="49" t="s">
        <v>10238</v>
      </c>
      <c r="K13" s="104" t="s">
        <v>10260</v>
      </c>
      <c r="L13" s="105" t="s">
        <v>10235</v>
      </c>
      <c r="M13" s="69">
        <f>IF(AND(A13="",B13=""),"",COUNTIF(数据!$F$3:$F$999,A13))</f>
        <v>2</v>
      </c>
      <c r="N13" s="69">
        <f>IF(AND(A13="",B13=""),"",SUMIF(数据!$F$3:$F$999,A13,数据!$D$3:$D$999))</f>
        <v>22</v>
      </c>
      <c r="O13" s="69">
        <f>IF(AND(A13="",B13=""),"",SUMIF(数据!$F$3:$F$999,A13,数据!$L$3:$L$999))</f>
        <v>200</v>
      </c>
      <c r="P13" s="81">
        <f>IF(AND(A13="",B13=""),"",SUMIF(数据!$F$3:$F$999,A13,数据!$M$3:$M$999))</f>
        <v>80</v>
      </c>
      <c r="Q13" s="78"/>
      <c r="S13" s="74" t="str">
        <f t="shared" si="1"/>
        <v/>
      </c>
      <c r="T13" s="75" t="str">
        <f t="shared" si="2"/>
        <v>2.50</v>
      </c>
      <c r="U13" s="74" t="str">
        <f t="shared" si="3"/>
        <v/>
      </c>
    </row>
    <row r="14" spans="1:21" ht="19.9" customHeight="1">
      <c r="A14" s="53" t="s">
        <v>10265</v>
      </c>
      <c r="B14" s="53" t="s">
        <v>10266</v>
      </c>
      <c r="C14" s="106">
        <v>22</v>
      </c>
      <c r="D14" s="106">
        <v>20</v>
      </c>
      <c r="E14" s="53" t="s">
        <v>25</v>
      </c>
      <c r="F14" s="49" t="s">
        <v>10240</v>
      </c>
      <c r="G14" s="37">
        <f t="shared" si="4"/>
        <v>0.20</v>
      </c>
      <c r="H14" s="60" t="str">
        <f t="shared" si="0"/>
        <v>4.00</v>
      </c>
      <c r="I14" s="49" t="s">
        <v>10237</v>
      </c>
      <c r="J14" s="49" t="s">
        <v>10238</v>
      </c>
      <c r="K14" s="104" t="s">
        <v>10264</v>
      </c>
      <c r="L14" s="105" t="s">
        <v>10235</v>
      </c>
      <c r="M14" s="69">
        <f>IF(AND(A14="",B14=""),"",COUNTIF(数据!$F$3:$F$999,A14))</f>
        <v>2</v>
      </c>
      <c r="N14" s="69">
        <f>IF(AND(A14="",B14=""),"",SUMIF(数据!$F$3:$F$999,A14,数据!$D$3:$D$999))</f>
        <v>24</v>
      </c>
      <c r="O14" s="69">
        <f>IF(AND(A14="",B14=""),"",SUMIF(数据!$F$3:$F$999,A14,数据!$L$3:$L$999))</f>
        <v>200</v>
      </c>
      <c r="P14" s="81">
        <f>IF(AND(A14="",B14=""),"",SUMIF(数据!$F$3:$F$999,A14,数据!$M$3:$M$999))</f>
        <v>50</v>
      </c>
      <c r="Q14" s="78"/>
      <c r="S14" s="74" t="str">
        <f t="shared" si="1"/>
        <v/>
      </c>
      <c r="T14" s="75" t="str">
        <f t="shared" si="2"/>
        <v>4.00</v>
      </c>
      <c r="U14" s="74" t="str">
        <f t="shared" si="3"/>
        <v/>
      </c>
    </row>
    <row r="15" spans="1:21" ht="19.9" customHeight="1">
      <c r="A15" s="53" t="s">
        <v>10267</v>
      </c>
      <c r="B15" s="53" t="s">
        <v>10268</v>
      </c>
      <c r="C15" s="106">
        <v>11</v>
      </c>
      <c r="D15" s="106">
        <v>9</v>
      </c>
      <c r="E15" s="53" t="s">
        <v>25</v>
      </c>
      <c r="F15" s="49" t="s">
        <v>10240</v>
      </c>
      <c r="G15" s="37">
        <f t="shared" si="4"/>
        <v>0.20</v>
      </c>
      <c r="H15" s="60" t="str">
        <f t="shared" si="0"/>
        <v>1.80</v>
      </c>
      <c r="I15" s="49" t="s">
        <v>10237</v>
      </c>
      <c r="J15" s="49" t="s">
        <v>10238</v>
      </c>
      <c r="K15" s="104" t="s">
        <v>10264</v>
      </c>
      <c r="L15" s="105" t="s">
        <v>10235</v>
      </c>
      <c r="M15" s="69">
        <f>IF(AND(A15="",B15=""),"",COUNTIF(数据!$F$3:$F$999,A15))</f>
        <v>2</v>
      </c>
      <c r="N15" s="69">
        <f>IF(AND(A15="",B15=""),"",SUMIF(数据!$F$3:$F$999,A15,数据!$D$3:$D$999))</f>
        <v>26</v>
      </c>
      <c r="O15" s="69">
        <f>IF(AND(A15="",B15=""),"",SUMIF(数据!$F$3:$F$999,A15,数据!$L$3:$L$999))</f>
        <v>200</v>
      </c>
      <c r="P15" s="81">
        <f>IF(AND(A15="",B15=""),"",SUMIF(数据!$F$3:$F$999,A15,数据!$M$3:$M$999))</f>
        <v>111.12</v>
      </c>
      <c r="Q15" s="78"/>
      <c r="S15" s="74" t="str">
        <f t="shared" si="1"/>
        <v/>
      </c>
      <c r="T15" s="75" t="str">
        <f t="shared" si="2"/>
        <v>1.80</v>
      </c>
      <c r="U15" s="74" t="str">
        <f t="shared" si="3"/>
        <v/>
      </c>
    </row>
    <row r="16" spans="1:21" ht="19.9" customHeight="1">
      <c r="A16" s="53" t="s">
        <v>10270</v>
      </c>
      <c r="B16" s="53" t="s">
        <v>10271</v>
      </c>
      <c r="C16" s="106">
        <v>8.50</v>
      </c>
      <c r="D16" s="106">
        <v>6.50</v>
      </c>
      <c r="E16" s="53" t="s">
        <v>25</v>
      </c>
      <c r="F16" s="49" t="s">
        <v>10240</v>
      </c>
      <c r="G16" s="37">
        <f t="shared" si="4"/>
        <v>0.20</v>
      </c>
      <c r="H16" s="60" t="str">
        <f t="shared" si="0"/>
        <v>1.30</v>
      </c>
      <c r="I16" s="49" t="s">
        <v>10237</v>
      </c>
      <c r="J16" s="49" t="s">
        <v>10238</v>
      </c>
      <c r="K16" s="104" t="s">
        <v>10269</v>
      </c>
      <c r="L16" s="105" t="s">
        <v>10235</v>
      </c>
      <c r="M16" s="69">
        <f>IF(AND(A16="",B16=""),"",COUNTIF(数据!$F$3:$F$999,A16))</f>
        <v>2</v>
      </c>
      <c r="N16" s="69">
        <f>IF(AND(A16="",B16=""),"",SUMIF(数据!$F$3:$F$999,A16,数据!$D$3:$D$999))</f>
        <v>28</v>
      </c>
      <c r="O16" s="69">
        <f>IF(AND(A16="",B16=""),"",SUMIF(数据!$F$3:$F$999,A16,数据!$L$3:$L$999))</f>
        <v>200</v>
      </c>
      <c r="P16" s="81">
        <f>IF(AND(A16="",B16=""),"",SUMIF(数据!$F$3:$F$999,A16,数据!$M$3:$M$999))</f>
        <v>153.84</v>
      </c>
      <c r="Q16" s="78"/>
      <c r="S16" s="74" t="str">
        <f t="shared" si="1"/>
        <v/>
      </c>
      <c r="T16" s="75" t="str">
        <f t="shared" si="2"/>
        <v>1.30</v>
      </c>
      <c r="U16" s="74" t="str">
        <f t="shared" si="3"/>
        <v/>
      </c>
    </row>
    <row r="17" spans="1:21" ht="19.9" customHeight="1">
      <c r="A17" s="53" t="s">
        <v>10272</v>
      </c>
      <c r="B17" s="53" t="s">
        <v>10273</v>
      </c>
      <c r="C17" s="106">
        <v>8</v>
      </c>
      <c r="D17" s="106">
        <v>6</v>
      </c>
      <c r="E17" s="53" t="s">
        <v>25</v>
      </c>
      <c r="F17" s="49" t="s">
        <v>10240</v>
      </c>
      <c r="G17" s="37">
        <f t="shared" si="4"/>
        <v>0.20</v>
      </c>
      <c r="H17" s="60" t="str">
        <f t="shared" si="0"/>
        <v>1.20</v>
      </c>
      <c r="I17" s="49" t="s">
        <v>10237</v>
      </c>
      <c r="J17" s="49" t="s">
        <v>10238</v>
      </c>
      <c r="K17" s="104" t="s">
        <v>10269</v>
      </c>
      <c r="L17" s="105" t="s">
        <v>10235</v>
      </c>
      <c r="M17" s="69">
        <f>IF(AND(A17="",B17=""),"",COUNTIF(数据!$F$3:$F$999,A17))</f>
        <v>2</v>
      </c>
      <c r="N17" s="69">
        <f>IF(AND(A17="",B17=""),"",SUMIF(数据!$F$3:$F$999,A17,数据!$D$3:$D$999))</f>
        <v>30</v>
      </c>
      <c r="O17" s="69">
        <f>IF(AND(A17="",B17=""),"",SUMIF(数据!$F$3:$F$999,A17,数据!$L$3:$L$999))</f>
        <v>200</v>
      </c>
      <c r="P17" s="81">
        <f>IF(AND(A17="",B17=""),"",SUMIF(数据!$F$3:$F$999,A17,数据!$M$3:$M$999))</f>
        <v>166.66</v>
      </c>
      <c r="Q17" s="78"/>
      <c r="S17" s="74" t="str">
        <f t="shared" si="1"/>
        <v/>
      </c>
      <c r="T17" s="75" t="str">
        <f t="shared" si="2"/>
        <v>1.20</v>
      </c>
      <c r="U17" s="74" t="str">
        <f t="shared" si="3"/>
        <v/>
      </c>
    </row>
    <row r="18" spans="1:21" ht="19.9" customHeight="1">
      <c r="A18" s="53" t="s">
        <v>10274</v>
      </c>
      <c r="B18" s="53" t="s">
        <v>10275</v>
      </c>
      <c r="C18" s="106">
        <v>9</v>
      </c>
      <c r="D18" s="106">
        <v>7</v>
      </c>
      <c r="E18" s="53" t="s">
        <v>25</v>
      </c>
      <c r="F18" s="49" t="s">
        <v>10240</v>
      </c>
      <c r="G18" s="37">
        <f t="shared" si="4"/>
        <v>0.20</v>
      </c>
      <c r="H18" s="60" t="str">
        <f t="shared" si="0"/>
        <v>1.40</v>
      </c>
      <c r="I18" s="49" t="s">
        <v>10237</v>
      </c>
      <c r="J18" s="49" t="s">
        <v>10238</v>
      </c>
      <c r="K18" s="104" t="s">
        <v>10269</v>
      </c>
      <c r="L18" s="105" t="s">
        <v>10235</v>
      </c>
      <c r="M18" s="69">
        <f>IF(AND(A18="",B18=""),"",COUNTIF(数据!$F$3:$F$999,A18))</f>
        <v>2</v>
      </c>
      <c r="N18" s="69">
        <f>IF(AND(A18="",B18=""),"",SUMIF(数据!$F$3:$F$999,A18,数据!$D$3:$D$999))</f>
        <v>32</v>
      </c>
      <c r="O18" s="69">
        <f>IF(AND(A18="",B18=""),"",SUMIF(数据!$F$3:$F$999,A18,数据!$L$3:$L$999))</f>
        <v>200</v>
      </c>
      <c r="P18" s="81">
        <f>IF(AND(A18="",B18=""),"",SUMIF(数据!$F$3:$F$999,A18,数据!$M$3:$M$999))</f>
        <v>142.86000000000001</v>
      </c>
      <c r="Q18" s="78"/>
      <c r="S18" s="74" t="str">
        <f t="shared" si="1"/>
        <v/>
      </c>
      <c r="T18" s="75" t="str">
        <f t="shared" si="2"/>
        <v>1.40</v>
      </c>
      <c r="U18" s="74" t="str">
        <f t="shared" si="3"/>
        <v/>
      </c>
    </row>
    <row r="19" spans="1:21" ht="19.9" customHeight="1">
      <c r="A19" s="53" t="s">
        <v>10277</v>
      </c>
      <c r="B19" s="53" t="s">
        <v>10278</v>
      </c>
      <c r="C19" s="106">
        <v>8.50</v>
      </c>
      <c r="D19" s="106">
        <v>6.50</v>
      </c>
      <c r="E19" s="53" t="s">
        <v>25</v>
      </c>
      <c r="F19" s="49" t="s">
        <v>10240</v>
      </c>
      <c r="G19" s="37">
        <f t="shared" si="4"/>
        <v>0.20</v>
      </c>
      <c r="H19" s="60" t="str">
        <f t="shared" si="0"/>
        <v>1.30</v>
      </c>
      <c r="I19" s="49" t="s">
        <v>10237</v>
      </c>
      <c r="J19" s="49" t="s">
        <v>10238</v>
      </c>
      <c r="K19" s="104" t="s">
        <v>10276</v>
      </c>
      <c r="L19" s="105" t="s">
        <v>10235</v>
      </c>
      <c r="M19" s="69">
        <f>IF(AND(A19="",B19=""),"",COUNTIF(数据!$F$3:$F$999,A19))</f>
        <v>2</v>
      </c>
      <c r="N19" s="69">
        <f>IF(AND(A19="",B19=""),"",SUMIF(数据!$F$3:$F$999,A19,数据!$D$3:$D$999))</f>
        <v>34</v>
      </c>
      <c r="O19" s="69">
        <f>IF(AND(A19="",B19=""),"",SUMIF(数据!$F$3:$F$999,A19,数据!$L$3:$L$999))</f>
        <v>200</v>
      </c>
      <c r="P19" s="81">
        <f>IF(AND(A19="",B19=""),"",SUMIF(数据!$F$3:$F$999,A19,数据!$M$3:$M$999))</f>
        <v>153.84</v>
      </c>
      <c r="Q19" s="78"/>
      <c r="S19" s="74" t="str">
        <f t="shared" si="1"/>
        <v/>
      </c>
      <c r="T19" s="75" t="str">
        <f t="shared" si="2"/>
        <v>1.30</v>
      </c>
      <c r="U19" s="74" t="str">
        <f t="shared" si="3"/>
        <v/>
      </c>
    </row>
    <row r="20" spans="1:21" ht="19.9" customHeight="1">
      <c r="A20" s="53" t="s">
        <v>10279</v>
      </c>
      <c r="B20" s="53" t="s">
        <v>10280</v>
      </c>
      <c r="C20" s="106">
        <v>4.50</v>
      </c>
      <c r="D20" s="106">
        <v>2.50</v>
      </c>
      <c r="E20" s="53" t="s">
        <v>25</v>
      </c>
      <c r="F20" s="49" t="s">
        <v>10240</v>
      </c>
      <c r="G20" s="37">
        <f t="shared" si="4"/>
        <v>0.20</v>
      </c>
      <c r="H20" s="60" t="str">
        <f t="shared" si="0"/>
        <v>0.50</v>
      </c>
      <c r="I20" s="49" t="s">
        <v>10237</v>
      </c>
      <c r="J20" s="49" t="s">
        <v>10238</v>
      </c>
      <c r="K20" s="104" t="s">
        <v>10276</v>
      </c>
      <c r="L20" s="105" t="s">
        <v>10235</v>
      </c>
      <c r="M20" s="69">
        <f>IF(AND(A20="",B20=""),"",COUNTIF(数据!$F$3:$F$999,A20))</f>
        <v>2</v>
      </c>
      <c r="N20" s="69">
        <f>IF(AND(A20="",B20=""),"",SUMIF(数据!$F$3:$F$999,A20,数据!$D$3:$D$999))</f>
        <v>36</v>
      </c>
      <c r="O20" s="69">
        <f>IF(AND(A20="",B20=""),"",SUMIF(数据!$F$3:$F$999,A20,数据!$L$3:$L$999))</f>
        <v>200</v>
      </c>
      <c r="P20" s="81">
        <f>IF(AND(A20="",B20=""),"",SUMIF(数据!$F$3:$F$999,A20,数据!$M$3:$M$999))</f>
        <v>400</v>
      </c>
      <c r="Q20" s="78"/>
      <c r="S20" s="74" t="str">
        <f t="shared" si="1"/>
        <v/>
      </c>
      <c r="T20" s="75" t="str">
        <f t="shared" si="2"/>
        <v>0.50</v>
      </c>
      <c r="U20" s="74" t="str">
        <f t="shared" si="3"/>
        <v/>
      </c>
    </row>
    <row r="21" spans="1:21" ht="19.9" customHeight="1">
      <c r="A21" s="53" t="s">
        <v>10281</v>
      </c>
      <c r="B21" s="53" t="s">
        <v>10282</v>
      </c>
      <c r="C21" s="106">
        <v>7</v>
      </c>
      <c r="D21" s="106">
        <v>5</v>
      </c>
      <c r="E21" s="53" t="s">
        <v>25</v>
      </c>
      <c r="F21" s="49" t="s">
        <v>10240</v>
      </c>
      <c r="G21" s="37">
        <f t="shared" si="4"/>
        <v>0.20</v>
      </c>
      <c r="H21" s="60" t="str">
        <f t="shared" si="0"/>
        <v>1.00</v>
      </c>
      <c r="I21" s="49" t="s">
        <v>10237</v>
      </c>
      <c r="J21" s="49" t="s">
        <v>10238</v>
      </c>
      <c r="K21" s="104" t="s">
        <v>10276</v>
      </c>
      <c r="L21" s="105" t="s">
        <v>10235</v>
      </c>
      <c r="M21" s="69">
        <f>IF(AND(A21="",B21=""),"",COUNTIF(数据!$F$3:$F$999,A21))</f>
        <v>2</v>
      </c>
      <c r="N21" s="69">
        <f>IF(AND(A21="",B21=""),"",SUMIF(数据!$F$3:$F$999,A21,数据!$D$3:$D$999))</f>
        <v>38</v>
      </c>
      <c r="O21" s="69">
        <f>IF(AND(A21="",B21=""),"",SUMIF(数据!$F$3:$F$999,A21,数据!$L$3:$L$999))</f>
        <v>200</v>
      </c>
      <c r="P21" s="81">
        <f>IF(AND(A21="",B21=""),"",SUMIF(数据!$F$3:$F$999,A21,数据!$M$3:$M$999))</f>
        <v>200</v>
      </c>
      <c r="Q21" s="78"/>
      <c r="S21" s="74" t="str">
        <f t="shared" si="1"/>
        <v/>
      </c>
      <c r="T21" s="75" t="str">
        <f t="shared" si="2"/>
        <v>1.00</v>
      </c>
      <c r="U21" s="74" t="str">
        <f t="shared" si="3"/>
        <v/>
      </c>
    </row>
    <row r="22" spans="1:21" ht="19.9" customHeight="1">
      <c r="A22" s="53" t="s">
        <v>10283</v>
      </c>
      <c r="B22" s="53" t="s">
        <v>10284</v>
      </c>
      <c r="C22" s="106">
        <v>14.50</v>
      </c>
      <c r="D22" s="106">
        <v>12.50</v>
      </c>
      <c r="E22" s="53" t="s">
        <v>25</v>
      </c>
      <c r="F22" s="49" t="s">
        <v>10240</v>
      </c>
      <c r="G22" s="37">
        <f t="shared" si="4"/>
        <v>0.20</v>
      </c>
      <c r="H22" s="60" t="str">
        <f t="shared" si="0"/>
        <v>2.50</v>
      </c>
      <c r="I22" s="49" t="s">
        <v>10237</v>
      </c>
      <c r="J22" s="49" t="s">
        <v>10238</v>
      </c>
      <c r="K22" s="104" t="s">
        <v>10276</v>
      </c>
      <c r="L22" s="105" t="s">
        <v>10235</v>
      </c>
      <c r="M22" s="69">
        <f>IF(AND(A22="",B22=""),"",COUNTIF(数据!$F$3:$F$999,A22))</f>
        <v>2</v>
      </c>
      <c r="N22" s="69">
        <f>IF(AND(A22="",B22=""),"",SUMIF(数据!$F$3:$F$999,A22,数据!$D$3:$D$999))</f>
        <v>40</v>
      </c>
      <c r="O22" s="69">
        <f>IF(AND(A22="",B22=""),"",SUMIF(数据!$F$3:$F$999,A22,数据!$L$3:$L$999))</f>
        <v>200</v>
      </c>
      <c r="P22" s="81">
        <f>IF(AND(A22="",B22=""),"",SUMIF(数据!$F$3:$F$999,A22,数据!$M$3:$M$999))</f>
        <v>80</v>
      </c>
      <c r="Q22" s="78"/>
      <c r="S22" s="74" t="str">
        <f t="shared" si="1"/>
        <v/>
      </c>
      <c r="T22" s="75" t="str">
        <f t="shared" si="2"/>
        <v>2.50</v>
      </c>
      <c r="U22" s="74" t="str">
        <f t="shared" si="3"/>
        <v/>
      </c>
    </row>
    <row r="23" spans="1:21" ht="19.9" customHeight="1">
      <c r="A23" s="53" t="s">
        <v>10285</v>
      </c>
      <c r="B23" s="53" t="s">
        <v>10286</v>
      </c>
      <c r="C23" s="106">
        <v>6.50</v>
      </c>
      <c r="D23" s="106">
        <v>4.50</v>
      </c>
      <c r="E23" s="53" t="s">
        <v>25</v>
      </c>
      <c r="F23" s="49" t="s">
        <v>10240</v>
      </c>
      <c r="G23" s="37">
        <f t="shared" si="4"/>
        <v>0.20</v>
      </c>
      <c r="H23" s="60" t="str">
        <f t="shared" si="0"/>
        <v>0.90</v>
      </c>
      <c r="I23" s="49" t="s">
        <v>10237</v>
      </c>
      <c r="J23" s="49" t="s">
        <v>10238</v>
      </c>
      <c r="K23" s="104" t="s">
        <v>10276</v>
      </c>
      <c r="L23" s="105" t="s">
        <v>10235</v>
      </c>
      <c r="M23" s="69">
        <f>IF(AND(A23="",B23=""),"",COUNTIF(数据!$F$3:$F$999,A23))</f>
        <v>2</v>
      </c>
      <c r="N23" s="69">
        <f>IF(AND(A23="",B23=""),"",SUMIF(数据!$F$3:$F$999,A23,数据!$D$3:$D$999))</f>
        <v>42</v>
      </c>
      <c r="O23" s="69">
        <f>IF(AND(A23="",B23=""),"",SUMIF(数据!$F$3:$F$999,A23,数据!$L$3:$L$999))</f>
        <v>200</v>
      </c>
      <c r="P23" s="81">
        <f>IF(AND(A23="",B23=""),"",SUMIF(数据!$F$3:$F$999,A23,数据!$M$3:$M$999))</f>
        <v>222.22</v>
      </c>
      <c r="Q23" s="78"/>
      <c r="S23" s="74" t="str">
        <f t="shared" si="1"/>
        <v/>
      </c>
      <c r="T23" s="75" t="str">
        <f t="shared" si="2"/>
        <v>0.90</v>
      </c>
      <c r="U23" s="74" t="str">
        <f t="shared" si="3"/>
        <v/>
      </c>
    </row>
    <row r="24" spans="1:21" ht="19.9" customHeight="1">
      <c r="A24" s="53" t="s">
        <v>10288</v>
      </c>
      <c r="B24" s="53" t="s">
        <v>10289</v>
      </c>
      <c r="C24" s="106">
        <v>21</v>
      </c>
      <c r="D24" s="106">
        <v>19</v>
      </c>
      <c r="E24" s="53" t="s">
        <v>25</v>
      </c>
      <c r="F24" s="49" t="s">
        <v>10240</v>
      </c>
      <c r="G24" s="37">
        <f t="shared" si="4"/>
        <v>0.20</v>
      </c>
      <c r="H24" s="60" t="str">
        <f t="shared" si="0"/>
        <v>3.80</v>
      </c>
      <c r="I24" s="49" t="s">
        <v>10237</v>
      </c>
      <c r="J24" s="49" t="s">
        <v>10238</v>
      </c>
      <c r="K24" s="104" t="s">
        <v>10287</v>
      </c>
      <c r="L24" s="105" t="s">
        <v>10235</v>
      </c>
      <c r="M24" s="69">
        <f>IF(AND(A24="",B24=""),"",COUNTIF(数据!$F$3:$F$999,A24))</f>
        <v>2</v>
      </c>
      <c r="N24" s="69">
        <f>IF(AND(A24="",B24=""),"",SUMIF(数据!$F$3:$F$999,A24,数据!$D$3:$D$999))</f>
        <v>44</v>
      </c>
      <c r="O24" s="69">
        <f>IF(AND(A24="",B24=""),"",SUMIF(数据!$F$3:$F$999,A24,数据!$L$3:$L$999))</f>
        <v>200</v>
      </c>
      <c r="P24" s="81">
        <f>IF(AND(A24="",B24=""),"",SUMIF(数据!$F$3:$F$999,A24,数据!$M$3:$M$999))</f>
        <v>52.64</v>
      </c>
      <c r="Q24" s="78"/>
      <c r="S24" s="74" t="str">
        <f t="shared" si="1"/>
        <v/>
      </c>
      <c r="T24" s="75" t="str">
        <f t="shared" si="2"/>
        <v>3.80</v>
      </c>
      <c r="U24" s="74" t="str">
        <f t="shared" si="3"/>
        <v/>
      </c>
    </row>
    <row r="25" spans="1:21" ht="19.9" customHeight="1">
      <c r="A25" s="53" t="s">
        <v>10290</v>
      </c>
      <c r="B25" s="53" t="s">
        <v>10291</v>
      </c>
      <c r="C25" s="106">
        <v>13</v>
      </c>
      <c r="D25" s="106">
        <v>11</v>
      </c>
      <c r="E25" s="53" t="s">
        <v>25</v>
      </c>
      <c r="F25" s="49" t="s">
        <v>10240</v>
      </c>
      <c r="G25" s="37">
        <f t="shared" si="4"/>
        <v>0.20</v>
      </c>
      <c r="H25" s="60" t="str">
        <f t="shared" si="0"/>
        <v>2.20</v>
      </c>
      <c r="I25" s="49" t="s">
        <v>10237</v>
      </c>
      <c r="J25" s="49" t="s">
        <v>10238</v>
      </c>
      <c r="K25" s="104" t="s">
        <v>10287</v>
      </c>
      <c r="L25" s="105" t="s">
        <v>10235</v>
      </c>
      <c r="M25" s="69">
        <f>IF(AND(A25="",B25=""),"",COUNTIF(数据!$F$3:$F$999,A25))</f>
        <v>2</v>
      </c>
      <c r="N25" s="69">
        <f>IF(AND(A25="",B25=""),"",SUMIF(数据!$F$3:$F$999,A25,数据!$D$3:$D$999))</f>
        <v>46</v>
      </c>
      <c r="O25" s="69">
        <f>IF(AND(A25="",B25=""),"",SUMIF(数据!$F$3:$F$999,A25,数据!$L$3:$L$999))</f>
        <v>200</v>
      </c>
      <c r="P25" s="81">
        <f>IF(AND(A25="",B25=""),"",SUMIF(数据!$F$3:$F$999,A25,数据!$M$3:$M$999))</f>
        <v>90.90</v>
      </c>
      <c r="Q25" s="78"/>
      <c r="S25" s="74" t="str">
        <f t="shared" si="1"/>
        <v/>
      </c>
      <c r="T25" s="75" t="str">
        <f t="shared" si="2"/>
        <v>2.20</v>
      </c>
      <c r="U25" s="74" t="str">
        <f t="shared" si="3"/>
        <v/>
      </c>
    </row>
    <row r="26" spans="1:21" ht="19.9" customHeight="1">
      <c r="A26" s="53" t="s">
        <v>10292</v>
      </c>
      <c r="B26" s="53" t="s">
        <v>10293</v>
      </c>
      <c r="C26" s="106">
        <v>18</v>
      </c>
      <c r="D26" s="106">
        <v>16</v>
      </c>
      <c r="E26" s="53" t="s">
        <v>25</v>
      </c>
      <c r="F26" s="49" t="s">
        <v>10240</v>
      </c>
      <c r="G26" s="37">
        <f t="shared" si="4"/>
        <v>0.20</v>
      </c>
      <c r="H26" s="60" t="str">
        <f t="shared" si="0"/>
        <v>3.20</v>
      </c>
      <c r="I26" s="53" t="s">
        <v>10237</v>
      </c>
      <c r="J26" s="53" t="s">
        <v>10238</v>
      </c>
      <c r="K26" s="104" t="s">
        <v>10287</v>
      </c>
      <c r="L26" s="105" t="s">
        <v>10235</v>
      </c>
      <c r="M26" s="69">
        <f>IF(AND(A26="",B26=""),"",COUNTIF(数据!$F$3:$F$999,A26))</f>
        <v>2</v>
      </c>
      <c r="N26" s="69">
        <f>IF(AND(A26="",B26=""),"",SUMIF(数据!$F$3:$F$999,A26,数据!$D$3:$D$999))</f>
        <v>48</v>
      </c>
      <c r="O26" s="69">
        <f>IF(AND(A26="",B26=""),"",SUMIF(数据!$F$3:$F$999,A26,数据!$L$3:$L$999))</f>
        <v>200</v>
      </c>
      <c r="P26" s="81">
        <f>IF(AND(A26="",B26=""),"",SUMIF(数据!$F$3:$F$999,A26,数据!$M$3:$M$999))</f>
        <v>62.50</v>
      </c>
      <c r="Q26" s="78"/>
      <c r="S26" s="74" t="str">
        <f t="shared" si="1"/>
        <v/>
      </c>
      <c r="T26" s="75" t="str">
        <f t="shared" si="2"/>
        <v>3.20</v>
      </c>
      <c r="U26" s="74" t="str">
        <f t="shared" si="3"/>
        <v/>
      </c>
    </row>
    <row r="27" spans="1:21" ht="19.9" customHeight="1">
      <c r="A27" s="37"/>
      <c r="B27" s="37"/>
      <c r="C27" s="37"/>
      <c r="D27" s="37"/>
      <c r="E27" s="37" t="str">
        <f t="shared" si="5" ref="E27:E67">IF(D27&gt;0,"-"&amp;D27&amp;"-0","")</f>
        <v/>
      </c>
      <c r="F27" s="38"/>
      <c r="G27" s="37" t="str">
        <f t="shared" si="4"/>
        <v/>
      </c>
      <c r="H27" s="60" t="str">
        <f t="shared" si="6" ref="H27:H67">BaoLiuXiaoShuWei(IF(D27="","",D27*G27),2)</f>
        <v/>
      </c>
      <c r="I27" s="37"/>
      <c r="J27" s="37"/>
      <c r="K27" s="39"/>
      <c r="L27" s="62"/>
      <c r="M27" s="69" t="str">
        <f>IF(AND(A27="",B27=""),"",COUNTIF(数据!$F$3:$F$999,A27))</f>
        <v/>
      </c>
      <c r="N27" s="69" t="str">
        <f>IF(AND(A27="",B27=""),"",SUMIF(数据!$F$3:$F$999,A27,数据!$D$3:$D$999))</f>
        <v/>
      </c>
      <c r="O27" s="69" t="str">
        <f>IF(AND(A27="",B27=""),"",SUMIF(数据!$F$3:$F$999,A27,数据!$L$3:$L$999))</f>
        <v/>
      </c>
      <c r="P27" s="81" t="str">
        <f>IF(AND(A27="",B27=""),"",SUMIF(数据!$F$3:$F$999,A27,数据!$M$3:$M$999))</f>
        <v/>
      </c>
      <c r="Q27" s="78"/>
      <c r="S27" s="74" t="str">
        <f t="shared" si="1"/>
        <v/>
      </c>
      <c r="T27" s="75" t="str">
        <f t="shared" si="2"/>
        <v/>
      </c>
      <c r="U27" s="74" t="str">
        <f t="shared" si="3"/>
        <v/>
      </c>
    </row>
    <row r="28" spans="1:21" ht="19.9" customHeight="1">
      <c r="A28" s="37"/>
      <c r="B28" s="37"/>
      <c r="C28" s="38"/>
      <c r="D28" s="37"/>
      <c r="E28" s="37" t="str">
        <f t="shared" si="5"/>
        <v/>
      </c>
      <c r="F28" s="38"/>
      <c r="G28" s="37" t="str">
        <f t="shared" si="4"/>
        <v/>
      </c>
      <c r="H28" s="60" t="str">
        <f t="shared" si="6"/>
        <v/>
      </c>
      <c r="I28" s="38"/>
      <c r="J28" s="38"/>
      <c r="K28" s="39"/>
      <c r="L28" s="62"/>
      <c r="M28" s="69" t="str">
        <f>IF(AND(A28="",B28=""),"",COUNTIF(数据!$F$3:$F$999,A28))</f>
        <v/>
      </c>
      <c r="N28" s="69" t="str">
        <f>IF(AND(A28="",B28=""),"",SUMIF(数据!$F$3:$F$999,A28,数据!$D$3:$D$999))</f>
        <v/>
      </c>
      <c r="O28" s="69" t="str">
        <f>IF(AND(A28="",B28=""),"",SUMIF(数据!$F$3:$F$999,A28,数据!$L$3:$L$999))</f>
        <v/>
      </c>
      <c r="P28" s="81" t="str">
        <f>IF(AND(A28="",B28=""),"",SUMIF(数据!$F$3:$F$999,A28,数据!$M$3:$M$999))</f>
        <v/>
      </c>
      <c r="Q28" s="78"/>
      <c r="S28" s="74" t="str">
        <f t="shared" si="1"/>
        <v/>
      </c>
      <c r="T28" s="75" t="str">
        <f t="shared" si="2"/>
        <v/>
      </c>
      <c r="U28" s="74" t="str">
        <f t="shared" si="3"/>
        <v/>
      </c>
    </row>
    <row r="29" spans="1:21" ht="19.9" customHeight="1">
      <c r="A29" s="37"/>
      <c r="B29" s="37"/>
      <c r="C29" s="38"/>
      <c r="D29" s="37"/>
      <c r="E29" s="37" t="str">
        <f t="shared" si="5"/>
        <v/>
      </c>
      <c r="F29" s="38"/>
      <c r="G29" s="37" t="str">
        <f t="shared" si="4"/>
        <v/>
      </c>
      <c r="H29" s="60" t="str">
        <f t="shared" si="6"/>
        <v/>
      </c>
      <c r="I29" s="38"/>
      <c r="J29" s="38"/>
      <c r="K29" s="39"/>
      <c r="L29" s="62"/>
      <c r="M29" s="69" t="str">
        <f>IF(AND(A29="",B29=""),"",COUNTIF(数据!$F$3:$F$999,A29))</f>
        <v/>
      </c>
      <c r="N29" s="69" t="str">
        <f>IF(AND(A29="",B29=""),"",SUMIF(数据!$F$3:$F$999,A29,数据!$D$3:$D$999))</f>
        <v/>
      </c>
      <c r="O29" s="69" t="str">
        <f>IF(AND(A29="",B29=""),"",SUMIF(数据!$F$3:$F$999,A29,数据!$L$3:$L$999))</f>
        <v/>
      </c>
      <c r="P29" s="81" t="str">
        <f>IF(AND(A29="",B29=""),"",SUMIF(数据!$F$3:$F$999,A29,数据!$M$3:$M$999))</f>
        <v/>
      </c>
      <c r="Q29" s="78"/>
      <c r="S29" s="74" t="str">
        <f t="shared" si="1"/>
        <v/>
      </c>
      <c r="T29" s="75" t="str">
        <f t="shared" si="2"/>
        <v/>
      </c>
      <c r="U29" s="74" t="str">
        <f t="shared" si="3"/>
        <v/>
      </c>
    </row>
    <row r="30" spans="1:21" ht="19.9" customHeight="1">
      <c r="A30" s="37"/>
      <c r="B30" s="37"/>
      <c r="C30" s="38"/>
      <c r="D30" s="37"/>
      <c r="E30" s="37" t="str">
        <f t="shared" si="5"/>
        <v/>
      </c>
      <c r="F30" s="38"/>
      <c r="G30" s="37" t="str">
        <f t="shared" si="4"/>
        <v/>
      </c>
      <c r="H30" s="60" t="str">
        <f t="shared" si="6"/>
        <v/>
      </c>
      <c r="I30" s="38"/>
      <c r="J30" s="38"/>
      <c r="K30" s="39"/>
      <c r="L30" s="62"/>
      <c r="M30" s="69" t="str">
        <f>IF(AND(A30="",B30=""),"",COUNTIF(数据!$F$3:$F$999,A30))</f>
        <v/>
      </c>
      <c r="N30" s="69" t="str">
        <f>IF(AND(A30="",B30=""),"",SUMIF(数据!$F$3:$F$999,A30,数据!$D$3:$D$999))</f>
        <v/>
      </c>
      <c r="O30" s="69" t="str">
        <f>IF(AND(A30="",B30=""),"",SUMIF(数据!$F$3:$F$999,A30,数据!$L$3:$L$999))</f>
        <v/>
      </c>
      <c r="P30" s="81" t="str">
        <f>IF(AND(A30="",B30=""),"",SUMIF(数据!$F$3:$F$999,A30,数据!$M$3:$M$999))</f>
        <v/>
      </c>
      <c r="Q30" s="78"/>
      <c r="S30" s="74" t="str">
        <f t="shared" si="1"/>
        <v/>
      </c>
      <c r="T30" s="75" t="str">
        <f t="shared" si="2"/>
        <v/>
      </c>
      <c r="U30" s="74" t="str">
        <f t="shared" si="3"/>
        <v/>
      </c>
    </row>
    <row r="31" spans="1:21" ht="19.9" customHeight="1">
      <c r="A31" s="37"/>
      <c r="B31" s="37"/>
      <c r="C31" s="38"/>
      <c r="D31" s="37"/>
      <c r="E31" s="37" t="str">
        <f t="shared" si="5"/>
        <v/>
      </c>
      <c r="F31" s="38"/>
      <c r="G31" s="37" t="str">
        <f t="shared" si="4"/>
        <v/>
      </c>
      <c r="H31" s="60" t="str">
        <f t="shared" si="6"/>
        <v/>
      </c>
      <c r="I31" s="38"/>
      <c r="J31" s="38"/>
      <c r="K31" s="39"/>
      <c r="L31" s="62"/>
      <c r="M31" s="69" t="str">
        <f>IF(AND(A31="",B31=""),"",COUNTIF(数据!$F$3:$F$999,A31))</f>
        <v/>
      </c>
      <c r="N31" s="69" t="str">
        <f>IF(AND(A31="",B31=""),"",SUMIF(数据!$F$3:$F$999,A31,数据!$D$3:$D$999))</f>
        <v/>
      </c>
      <c r="O31" s="69" t="str">
        <f>IF(AND(A31="",B31=""),"",SUMIF(数据!$F$3:$F$999,A31,数据!$L$3:$L$999))</f>
        <v/>
      </c>
      <c r="P31" s="81" t="str">
        <f>IF(AND(A31="",B31=""),"",SUMIF(数据!$F$3:$F$999,A31,数据!$M$3:$M$999))</f>
        <v/>
      </c>
      <c r="Q31" s="78"/>
      <c r="S31" s="74" t="str">
        <f t="shared" si="1"/>
        <v/>
      </c>
      <c r="T31" s="75" t="str">
        <f t="shared" si="2"/>
        <v/>
      </c>
      <c r="U31" s="74" t="str">
        <f t="shared" si="3"/>
        <v/>
      </c>
    </row>
    <row r="32" spans="1:21" ht="19.9" customHeight="1">
      <c r="A32" s="37"/>
      <c r="B32" s="37"/>
      <c r="C32" s="38"/>
      <c r="D32" s="37"/>
      <c r="E32" s="37" t="str">
        <f t="shared" si="5"/>
        <v/>
      </c>
      <c r="F32" s="38"/>
      <c r="G32" s="37" t="str">
        <f t="shared" si="4"/>
        <v/>
      </c>
      <c r="H32" s="60" t="str">
        <f t="shared" si="6"/>
        <v/>
      </c>
      <c r="I32" s="38"/>
      <c r="J32" s="38"/>
      <c r="K32" s="39"/>
      <c r="L32" s="62"/>
      <c r="M32" s="69" t="str">
        <f>IF(AND(A32="",B32=""),"",COUNTIF(数据!$F$3:$F$999,A32))</f>
        <v/>
      </c>
      <c r="N32" s="69" t="str">
        <f>IF(AND(A32="",B32=""),"",SUMIF(数据!$F$3:$F$999,A32,数据!$D$3:$D$999))</f>
        <v/>
      </c>
      <c r="O32" s="69" t="str">
        <f>IF(AND(A32="",B32=""),"",SUMIF(数据!$F$3:$F$999,A32,数据!$L$3:$L$999))</f>
        <v/>
      </c>
      <c r="P32" s="81" t="str">
        <f>IF(AND(A32="",B32=""),"",SUMIF(数据!$F$3:$F$999,A32,数据!$M$3:$M$999))</f>
        <v/>
      </c>
      <c r="Q32" s="78"/>
      <c r="S32" s="74" t="str">
        <f t="shared" si="1"/>
        <v/>
      </c>
      <c r="T32" s="75" t="str">
        <f t="shared" si="2"/>
        <v/>
      </c>
      <c r="U32" s="74" t="str">
        <f t="shared" si="3"/>
        <v/>
      </c>
    </row>
    <row r="33" spans="1:21" ht="19.9" customHeight="1">
      <c r="A33" s="37"/>
      <c r="B33" s="37"/>
      <c r="C33" s="38"/>
      <c r="D33" s="37"/>
      <c r="E33" s="37" t="str">
        <f t="shared" si="5"/>
        <v/>
      </c>
      <c r="F33" s="38"/>
      <c r="G33" s="37" t="str">
        <f t="shared" si="4"/>
        <v/>
      </c>
      <c r="H33" s="60" t="str">
        <f t="shared" si="6"/>
        <v/>
      </c>
      <c r="I33" s="38"/>
      <c r="J33" s="38"/>
      <c r="K33" s="39"/>
      <c r="L33" s="62"/>
      <c r="M33" s="69" t="str">
        <f>IF(AND(A33="",B33=""),"",COUNTIF(数据!$F$3:$F$999,A33))</f>
        <v/>
      </c>
      <c r="N33" s="69" t="str">
        <f>IF(AND(A33="",B33=""),"",SUMIF(数据!$F$3:$F$999,A33,数据!$D$3:$D$999))</f>
        <v/>
      </c>
      <c r="O33" s="69" t="str">
        <f>IF(AND(A33="",B33=""),"",SUMIF(数据!$F$3:$F$999,A33,数据!$L$3:$L$999))</f>
        <v/>
      </c>
      <c r="P33" s="81" t="str">
        <f>IF(AND(A33="",B33=""),"",SUMIF(数据!$F$3:$F$999,A33,数据!$M$3:$M$999))</f>
        <v/>
      </c>
      <c r="Q33" s="78"/>
      <c r="S33" s="74" t="str">
        <f t="shared" si="1"/>
        <v/>
      </c>
      <c r="T33" s="75" t="str">
        <f t="shared" si="2"/>
        <v/>
      </c>
      <c r="U33" s="74" t="str">
        <f t="shared" si="3"/>
        <v/>
      </c>
    </row>
    <row r="34" spans="1:21" ht="19.9" customHeight="1">
      <c r="A34" s="37"/>
      <c r="B34" s="37"/>
      <c r="C34" s="38"/>
      <c r="D34" s="37"/>
      <c r="E34" s="37" t="str">
        <f t="shared" si="5"/>
        <v/>
      </c>
      <c r="F34" s="38"/>
      <c r="G34" s="37" t="str">
        <f t="shared" si="4"/>
        <v/>
      </c>
      <c r="H34" s="60" t="str">
        <f t="shared" si="6"/>
        <v/>
      </c>
      <c r="I34" s="38"/>
      <c r="J34" s="38"/>
      <c r="K34" s="39"/>
      <c r="L34" s="62"/>
      <c r="M34" s="69" t="str">
        <f>IF(AND(A34="",B34=""),"",COUNTIF(数据!$F$3:$F$999,A34))</f>
        <v/>
      </c>
      <c r="N34" s="69" t="str">
        <f>IF(AND(A34="",B34=""),"",SUMIF(数据!$F$3:$F$999,A34,数据!$D$3:$D$999))</f>
        <v/>
      </c>
      <c r="O34" s="69" t="str">
        <f>IF(AND(A34="",B34=""),"",SUMIF(数据!$F$3:$F$999,A34,数据!$L$3:$L$999))</f>
        <v/>
      </c>
      <c r="P34" s="81" t="str">
        <f>IF(AND(A34="",B34=""),"",SUMIF(数据!$F$3:$F$999,A34,数据!$M$3:$M$999))</f>
        <v/>
      </c>
      <c r="Q34" s="78"/>
      <c r="S34" s="74" t="str">
        <f t="shared" si="1"/>
        <v/>
      </c>
      <c r="T34" s="75" t="str">
        <f t="shared" si="2"/>
        <v/>
      </c>
      <c r="U34" s="74" t="str">
        <f t="shared" si="3"/>
        <v/>
      </c>
    </row>
    <row r="35" spans="1:21" ht="19.9" customHeight="1">
      <c r="A35" s="37"/>
      <c r="B35" s="37"/>
      <c r="C35" s="38"/>
      <c r="D35" s="37"/>
      <c r="E35" s="37" t="str">
        <f t="shared" si="5"/>
        <v/>
      </c>
      <c r="F35" s="38"/>
      <c r="G35" s="37" t="str">
        <f t="shared" si="4"/>
        <v/>
      </c>
      <c r="H35" s="60" t="str">
        <f t="shared" si="6"/>
        <v/>
      </c>
      <c r="I35" s="38"/>
      <c r="J35" s="38"/>
      <c r="K35" s="39"/>
      <c r="L35" s="62"/>
      <c r="M35" s="69" t="str">
        <f>IF(AND(A35="",B35=""),"",COUNTIF(数据!$F$3:$F$999,A35))</f>
        <v/>
      </c>
      <c r="N35" s="69" t="str">
        <f>IF(AND(A35="",B35=""),"",SUMIF(数据!$F$3:$F$999,A35,数据!$D$3:$D$999))</f>
        <v/>
      </c>
      <c r="O35" s="69" t="str">
        <f>IF(AND(A35="",B35=""),"",SUMIF(数据!$F$3:$F$999,A35,数据!$L$3:$L$999))</f>
        <v/>
      </c>
      <c r="P35" s="81" t="str">
        <f>IF(AND(A35="",B35=""),"",SUMIF(数据!$F$3:$F$999,A35,数据!$M$3:$M$999))</f>
        <v/>
      </c>
      <c r="Q35" s="78"/>
      <c r="S35" s="74" t="str">
        <f t="shared" si="1"/>
        <v/>
      </c>
      <c r="T35" s="75" t="str">
        <f t="shared" si="2"/>
        <v/>
      </c>
      <c r="U35" s="74" t="str">
        <f t="shared" si="3"/>
        <v/>
      </c>
    </row>
    <row r="36" spans="1:21" ht="19.9" customHeight="1">
      <c r="A36" s="37"/>
      <c r="B36" s="37"/>
      <c r="C36" s="38"/>
      <c r="D36" s="37"/>
      <c r="E36" s="37" t="str">
        <f t="shared" si="5"/>
        <v/>
      </c>
      <c r="F36" s="38"/>
      <c r="G36" s="37" t="str">
        <f t="shared" si="4"/>
        <v/>
      </c>
      <c r="H36" s="60" t="str">
        <f t="shared" si="6"/>
        <v/>
      </c>
      <c r="I36" s="38"/>
      <c r="J36" s="38"/>
      <c r="K36" s="39"/>
      <c r="L36" s="62"/>
      <c r="M36" s="69" t="str">
        <f>IF(AND(A36="",B36=""),"",COUNTIF(数据!$F$3:$F$999,A36))</f>
        <v/>
      </c>
      <c r="N36" s="69" t="str">
        <f>IF(AND(A36="",B36=""),"",SUMIF(数据!$F$3:$F$999,A36,数据!$D$3:$D$999))</f>
        <v/>
      </c>
      <c r="O36" s="69" t="str">
        <f>IF(AND(A36="",B36=""),"",SUMIF(数据!$F$3:$F$999,A36,数据!$L$3:$L$999))</f>
        <v/>
      </c>
      <c r="P36" s="81" t="str">
        <f>IF(AND(A36="",B36=""),"",SUMIF(数据!$F$3:$F$999,A36,数据!$M$3:$M$999))</f>
        <v/>
      </c>
      <c r="Q36" s="78"/>
      <c r="S36" s="74" t="str">
        <f t="shared" si="1"/>
        <v/>
      </c>
      <c r="T36" s="75" t="str">
        <f t="shared" si="2"/>
        <v/>
      </c>
      <c r="U36" s="74" t="str">
        <f t="shared" si="3"/>
        <v/>
      </c>
    </row>
    <row r="37" spans="1:21" ht="19.9" customHeight="1">
      <c r="A37" s="37"/>
      <c r="B37" s="37"/>
      <c r="C37" s="38"/>
      <c r="D37" s="37"/>
      <c r="E37" s="37" t="str">
        <f t="shared" si="5"/>
        <v/>
      </c>
      <c r="F37" s="38"/>
      <c r="G37" s="37" t="str">
        <f t="shared" si="4"/>
        <v/>
      </c>
      <c r="H37" s="60" t="str">
        <f t="shared" si="6"/>
        <v/>
      </c>
      <c r="I37" s="38"/>
      <c r="J37" s="38"/>
      <c r="K37" s="39"/>
      <c r="L37" s="62"/>
      <c r="M37" s="69" t="str">
        <f>IF(AND(A37="",B37=""),"",COUNTIF(数据!$F$3:$F$999,A37))</f>
        <v/>
      </c>
      <c r="N37" s="69" t="str">
        <f>IF(AND(A37="",B37=""),"",SUMIF(数据!$F$3:$F$999,A37,数据!$D$3:$D$999))</f>
        <v/>
      </c>
      <c r="O37" s="69" t="str">
        <f>IF(AND(A37="",B37=""),"",SUMIF(数据!$F$3:$F$999,A37,数据!$L$3:$L$999))</f>
        <v/>
      </c>
      <c r="P37" s="81" t="str">
        <f>IF(AND(A37="",B37=""),"",SUMIF(数据!$F$3:$F$999,A37,数据!$M$3:$M$999))</f>
        <v/>
      </c>
      <c r="Q37" s="78"/>
      <c r="S37" s="74" t="str">
        <f t="shared" si="1"/>
        <v/>
      </c>
      <c r="T37" s="75" t="str">
        <f t="shared" si="2"/>
        <v/>
      </c>
      <c r="U37" s="74" t="str">
        <f t="shared" si="3"/>
        <v/>
      </c>
    </row>
    <row r="38" spans="1:21" ht="19.9" customHeight="1">
      <c r="A38" s="37"/>
      <c r="B38" s="37"/>
      <c r="C38" s="38"/>
      <c r="D38" s="37"/>
      <c r="E38" s="37" t="str">
        <f t="shared" si="5"/>
        <v/>
      </c>
      <c r="F38" s="38"/>
      <c r="G38" s="37" t="str">
        <f t="shared" si="4"/>
        <v/>
      </c>
      <c r="H38" s="60" t="str">
        <f t="shared" si="6"/>
        <v/>
      </c>
      <c r="I38" s="38"/>
      <c r="J38" s="38"/>
      <c r="K38" s="39"/>
      <c r="L38" s="62"/>
      <c r="M38" s="69" t="str">
        <f>IF(AND(A38="",B38=""),"",COUNTIF(数据!$F$3:$F$999,A38))</f>
        <v/>
      </c>
      <c r="N38" s="69" t="str">
        <f>IF(AND(A38="",B38=""),"",SUMIF(数据!$F$3:$F$999,A38,数据!$D$3:$D$999))</f>
        <v/>
      </c>
      <c r="O38" s="69" t="str">
        <f>IF(AND(A38="",B38=""),"",SUMIF(数据!$F$3:$F$999,A38,数据!$L$3:$L$999))</f>
        <v/>
      </c>
      <c r="P38" s="81" t="str">
        <f>IF(AND(A38="",B38=""),"",SUMIF(数据!$F$3:$F$999,A38,数据!$M$3:$M$999))</f>
        <v/>
      </c>
      <c r="Q38" s="78"/>
      <c r="S38" s="74" t="str">
        <f t="shared" si="1"/>
        <v/>
      </c>
      <c r="T38" s="75" t="str">
        <f t="shared" si="2"/>
        <v/>
      </c>
      <c r="U38" s="74" t="str">
        <f t="shared" si="3"/>
        <v/>
      </c>
    </row>
    <row r="39" spans="1:21" ht="19.9" customHeight="1">
      <c r="A39" s="37"/>
      <c r="B39" s="37"/>
      <c r="C39" s="38"/>
      <c r="D39" s="37"/>
      <c r="E39" s="37" t="str">
        <f t="shared" si="5"/>
        <v/>
      </c>
      <c r="F39" s="38"/>
      <c r="G39" s="37" t="str">
        <f t="shared" si="4"/>
        <v/>
      </c>
      <c r="H39" s="60" t="str">
        <f t="shared" si="6"/>
        <v/>
      </c>
      <c r="I39" s="38"/>
      <c r="J39" s="38"/>
      <c r="K39" s="39"/>
      <c r="L39" s="62"/>
      <c r="M39" s="69" t="str">
        <f>IF(AND(A39="",B39=""),"",COUNTIF(数据!$F$3:$F$999,A39))</f>
        <v/>
      </c>
      <c r="N39" s="69" t="str">
        <f>IF(AND(A39="",B39=""),"",SUMIF(数据!$F$3:$F$999,A39,数据!$D$3:$D$999))</f>
        <v/>
      </c>
      <c r="O39" s="69" t="str">
        <f>IF(AND(A39="",B39=""),"",SUMIF(数据!$F$3:$F$999,A39,数据!$L$3:$L$999))</f>
        <v/>
      </c>
      <c r="P39" s="81" t="str">
        <f>IF(AND(A39="",B39=""),"",SUMIF(数据!$F$3:$F$999,A39,数据!$M$3:$M$999))</f>
        <v/>
      </c>
      <c r="Q39" s="78"/>
      <c r="S39" s="74" t="str">
        <f t="shared" si="1"/>
        <v/>
      </c>
      <c r="T39" s="75" t="str">
        <f t="shared" si="2"/>
        <v/>
      </c>
      <c r="U39" s="74" t="str">
        <f t="shared" si="3"/>
        <v/>
      </c>
    </row>
    <row r="40" spans="1:21" ht="19.9" customHeight="1">
      <c r="A40" s="37"/>
      <c r="B40" s="37"/>
      <c r="C40" s="38"/>
      <c r="D40" s="37"/>
      <c r="E40" s="37" t="str">
        <f t="shared" si="5"/>
        <v/>
      </c>
      <c r="F40" s="38"/>
      <c r="G40" s="37" t="str">
        <f t="shared" si="4"/>
        <v/>
      </c>
      <c r="H40" s="60" t="str">
        <f t="shared" si="6"/>
        <v/>
      </c>
      <c r="I40" s="38"/>
      <c r="J40" s="38"/>
      <c r="K40" s="39"/>
      <c r="L40" s="62"/>
      <c r="M40" s="69" t="str">
        <f>IF(AND(A40="",B40=""),"",COUNTIF(数据!$F$3:$F$999,A40))</f>
        <v/>
      </c>
      <c r="N40" s="69" t="str">
        <f>IF(AND(A40="",B40=""),"",SUMIF(数据!$F$3:$F$999,A40,数据!$D$3:$D$999))</f>
        <v/>
      </c>
      <c r="O40" s="69" t="str">
        <f>IF(AND(A40="",B40=""),"",SUMIF(数据!$F$3:$F$999,A40,数据!$L$3:$L$999))</f>
        <v/>
      </c>
      <c r="P40" s="81" t="str">
        <f>IF(AND(A40="",B40=""),"",SUMIF(数据!$F$3:$F$999,A40,数据!$M$3:$M$999))</f>
        <v/>
      </c>
      <c r="Q40" s="78"/>
      <c r="S40" s="74" t="str">
        <f t="shared" si="1"/>
        <v/>
      </c>
      <c r="T40" s="75" t="str">
        <f t="shared" si="2"/>
        <v/>
      </c>
      <c r="U40" s="74" t="str">
        <f t="shared" si="3"/>
        <v/>
      </c>
    </row>
    <row r="41" spans="1:21" ht="19.9" customHeight="1">
      <c r="A41" s="37"/>
      <c r="B41" s="37"/>
      <c r="C41" s="38"/>
      <c r="D41" s="37"/>
      <c r="E41" s="37" t="str">
        <f t="shared" si="5"/>
        <v/>
      </c>
      <c r="F41" s="38"/>
      <c r="G41" s="37" t="str">
        <f t="shared" si="4"/>
        <v/>
      </c>
      <c r="H41" s="60" t="str">
        <f t="shared" si="6"/>
        <v/>
      </c>
      <c r="I41" s="38"/>
      <c r="J41" s="38"/>
      <c r="K41" s="39"/>
      <c r="L41" s="62"/>
      <c r="M41" s="69" t="str">
        <f>IF(AND(A41="",B41=""),"",COUNTIF(数据!$F$3:$F$999,A41))</f>
        <v/>
      </c>
      <c r="N41" s="69" t="str">
        <f>IF(AND(A41="",B41=""),"",SUMIF(数据!$F$3:$F$999,A41,数据!$D$3:$D$999))</f>
        <v/>
      </c>
      <c r="O41" s="69" t="str">
        <f>IF(AND(A41="",B41=""),"",SUMIF(数据!$F$3:$F$999,A41,数据!$L$3:$L$999))</f>
        <v/>
      </c>
      <c r="P41" s="81" t="str">
        <f>IF(AND(A41="",B41=""),"",SUMIF(数据!$F$3:$F$999,A41,数据!$M$3:$M$999))</f>
        <v/>
      </c>
      <c r="Q41" s="78"/>
      <c r="S41" s="74" t="str">
        <f t="shared" si="1"/>
        <v/>
      </c>
      <c r="T41" s="75" t="str">
        <f t="shared" si="2"/>
        <v/>
      </c>
      <c r="U41" s="74" t="str">
        <f t="shared" si="3"/>
        <v/>
      </c>
    </row>
    <row r="42" spans="1:21" ht="19.9" customHeight="1">
      <c r="A42" s="37"/>
      <c r="B42" s="37"/>
      <c r="C42" s="38"/>
      <c r="D42" s="37"/>
      <c r="E42" s="37" t="str">
        <f t="shared" si="5"/>
        <v/>
      </c>
      <c r="F42" s="38"/>
      <c r="G42" s="37" t="str">
        <f t="shared" si="4"/>
        <v/>
      </c>
      <c r="H42" s="60" t="str">
        <f t="shared" si="6"/>
        <v/>
      </c>
      <c r="I42" s="38"/>
      <c r="J42" s="38"/>
      <c r="K42" s="39"/>
      <c r="L42" s="62"/>
      <c r="M42" s="69" t="str">
        <f>IF(AND(A42="",B42=""),"",COUNTIF(数据!$F$3:$F$999,A42))</f>
        <v/>
      </c>
      <c r="N42" s="69" t="str">
        <f>IF(AND(A42="",B42=""),"",SUMIF(数据!$F$3:$F$999,A42,数据!$D$3:$D$999))</f>
        <v/>
      </c>
      <c r="O42" s="69" t="str">
        <f>IF(AND(A42="",B42=""),"",SUMIF(数据!$F$3:$F$999,A42,数据!$L$3:$L$999))</f>
        <v/>
      </c>
      <c r="P42" s="81" t="str">
        <f>IF(AND(A42="",B42=""),"",SUMIF(数据!$F$3:$F$999,A42,数据!$M$3:$M$999))</f>
        <v/>
      </c>
      <c r="Q42" s="78"/>
      <c r="S42" s="74" t="str">
        <f t="shared" si="1"/>
        <v/>
      </c>
      <c r="T42" s="75" t="str">
        <f t="shared" si="2"/>
        <v/>
      </c>
      <c r="U42" s="74" t="str">
        <f t="shared" si="3"/>
        <v/>
      </c>
    </row>
    <row r="43" spans="1:21" ht="19.9" customHeight="1">
      <c r="A43" s="37"/>
      <c r="B43" s="37"/>
      <c r="C43" s="38"/>
      <c r="D43" s="37"/>
      <c r="E43" s="37" t="str">
        <f t="shared" si="5"/>
        <v/>
      </c>
      <c r="F43" s="38"/>
      <c r="G43" s="37" t="str">
        <f t="shared" si="4"/>
        <v/>
      </c>
      <c r="H43" s="60" t="str">
        <f t="shared" si="6"/>
        <v/>
      </c>
      <c r="I43" s="38"/>
      <c r="J43" s="38"/>
      <c r="K43" s="39"/>
      <c r="L43" s="62"/>
      <c r="M43" s="69" t="str">
        <f>IF(AND(A43="",B43=""),"",COUNTIF(数据!$F$3:$F$999,A43))</f>
        <v/>
      </c>
      <c r="N43" s="69" t="str">
        <f>IF(AND(A43="",B43=""),"",SUMIF(数据!$F$3:$F$999,A43,数据!$D$3:$D$999))</f>
        <v/>
      </c>
      <c r="O43" s="69" t="str">
        <f>IF(AND(A43="",B43=""),"",SUMIF(数据!$F$3:$F$999,A43,数据!$L$3:$L$999))</f>
        <v/>
      </c>
      <c r="P43" s="81" t="str">
        <f>IF(AND(A43="",B43=""),"",SUMIF(数据!$F$3:$F$999,A43,数据!$M$3:$M$999))</f>
        <v/>
      </c>
      <c r="Q43" s="78"/>
      <c r="S43" s="74" t="str">
        <f t="shared" si="1"/>
        <v/>
      </c>
      <c r="T43" s="75" t="str">
        <f t="shared" si="2"/>
        <v/>
      </c>
      <c r="U43" s="74" t="str">
        <f t="shared" si="3"/>
        <v/>
      </c>
    </row>
    <row r="44" spans="1:21" ht="19.9" customHeight="1">
      <c r="A44" s="37"/>
      <c r="B44" s="37"/>
      <c r="C44" s="38"/>
      <c r="D44" s="37"/>
      <c r="E44" s="37" t="str">
        <f t="shared" si="5"/>
        <v/>
      </c>
      <c r="F44" s="38"/>
      <c r="G44" s="37" t="str">
        <f t="shared" si="4"/>
        <v/>
      </c>
      <c r="H44" s="60" t="str">
        <f t="shared" si="6"/>
        <v/>
      </c>
      <c r="I44" s="38"/>
      <c r="J44" s="38"/>
      <c r="K44" s="39"/>
      <c r="L44" s="62"/>
      <c r="M44" s="69" t="str">
        <f>IF(AND(A44="",B44=""),"",COUNTIF(数据!$F$3:$F$999,A44))</f>
        <v/>
      </c>
      <c r="N44" s="69" t="str">
        <f>IF(AND(A44="",B44=""),"",SUMIF(数据!$F$3:$F$999,A44,数据!$D$3:$D$999))</f>
        <v/>
      </c>
      <c r="O44" s="69" t="str">
        <f>IF(AND(A44="",B44=""),"",SUMIF(数据!$F$3:$F$999,A44,数据!$L$3:$L$999))</f>
        <v/>
      </c>
      <c r="P44" s="81" t="str">
        <f>IF(AND(A44="",B44=""),"",SUMIF(数据!$F$3:$F$999,A44,数据!$M$3:$M$999))</f>
        <v/>
      </c>
      <c r="Q44" s="78"/>
      <c r="S44" s="74" t="str">
        <f t="shared" si="1"/>
        <v/>
      </c>
      <c r="T44" s="75" t="str">
        <f t="shared" si="2"/>
        <v/>
      </c>
      <c r="U44" s="74" t="str">
        <f t="shared" si="3"/>
        <v/>
      </c>
    </row>
    <row r="45" spans="1:21" ht="19.9" customHeight="1">
      <c r="A45" s="37"/>
      <c r="B45" s="37"/>
      <c r="C45" s="38"/>
      <c r="D45" s="37"/>
      <c r="E45" s="37" t="str">
        <f t="shared" si="5"/>
        <v/>
      </c>
      <c r="F45" s="38"/>
      <c r="G45" s="37" t="str">
        <f t="shared" si="4"/>
        <v/>
      </c>
      <c r="H45" s="60" t="str">
        <f t="shared" si="6"/>
        <v/>
      </c>
      <c r="I45" s="38"/>
      <c r="J45" s="38"/>
      <c r="K45" s="39"/>
      <c r="L45" s="62"/>
      <c r="M45" s="69" t="str">
        <f>IF(AND(A45="",B45=""),"",COUNTIF(数据!$F$3:$F$999,A45))</f>
        <v/>
      </c>
      <c r="N45" s="69" t="str">
        <f>IF(AND(A45="",B45=""),"",SUMIF(数据!$F$3:$F$999,A45,数据!$D$3:$D$999))</f>
        <v/>
      </c>
      <c r="O45" s="69" t="str">
        <f>IF(AND(A45="",B45=""),"",SUMIF(数据!$F$3:$F$999,A45,数据!$L$3:$L$999))</f>
        <v/>
      </c>
      <c r="P45" s="81" t="str">
        <f>IF(AND(A45="",B45=""),"",SUMIF(数据!$F$3:$F$999,A45,数据!$M$3:$M$999))</f>
        <v/>
      </c>
      <c r="Q45" s="78"/>
      <c r="S45" s="74" t="str">
        <f t="shared" si="1"/>
        <v/>
      </c>
      <c r="T45" s="75" t="str">
        <f t="shared" si="2"/>
        <v/>
      </c>
      <c r="U45" s="74" t="str">
        <f t="shared" si="3"/>
        <v/>
      </c>
    </row>
    <row r="46" spans="1:21" ht="19.9" customHeight="1">
      <c r="A46" s="37"/>
      <c r="B46" s="37"/>
      <c r="C46" s="38"/>
      <c r="D46" s="37"/>
      <c r="E46" s="37" t="str">
        <f t="shared" si="5"/>
        <v/>
      </c>
      <c r="F46" s="38"/>
      <c r="G46" s="37" t="str">
        <f t="shared" si="4"/>
        <v/>
      </c>
      <c r="H46" s="60" t="str">
        <f t="shared" si="6"/>
        <v/>
      </c>
      <c r="I46" s="38"/>
      <c r="J46" s="38"/>
      <c r="K46" s="39"/>
      <c r="L46" s="62"/>
      <c r="M46" s="69" t="str">
        <f>IF(AND(A46="",B46=""),"",COUNTIF(数据!$F$3:$F$999,A46))</f>
        <v/>
      </c>
      <c r="N46" s="69" t="str">
        <f>IF(AND(A46="",B46=""),"",SUMIF(数据!$F$3:$F$999,A46,数据!$D$3:$D$999))</f>
        <v/>
      </c>
      <c r="O46" s="69" t="str">
        <f>IF(AND(A46="",B46=""),"",SUMIF(数据!$F$3:$F$999,A46,数据!$L$3:$L$999))</f>
        <v/>
      </c>
      <c r="P46" s="81" t="str">
        <f>IF(AND(A46="",B46=""),"",SUMIF(数据!$F$3:$F$999,A46,数据!$M$3:$M$999))</f>
        <v/>
      </c>
      <c r="Q46" s="78"/>
      <c r="S46" s="74" t="str">
        <f t="shared" si="1"/>
        <v/>
      </c>
      <c r="T46" s="75" t="str">
        <f t="shared" si="2"/>
        <v/>
      </c>
      <c r="U46" s="74" t="str">
        <f t="shared" si="3"/>
        <v/>
      </c>
    </row>
    <row r="47" spans="1:21" ht="19.9" customHeight="1">
      <c r="A47" s="37"/>
      <c r="B47" s="37"/>
      <c r="C47" s="38"/>
      <c r="D47" s="37"/>
      <c r="E47" s="37" t="str">
        <f t="shared" si="5"/>
        <v/>
      </c>
      <c r="F47" s="38"/>
      <c r="G47" s="37" t="str">
        <f t="shared" si="4"/>
        <v/>
      </c>
      <c r="H47" s="60" t="str">
        <f t="shared" si="6"/>
        <v/>
      </c>
      <c r="I47" s="38"/>
      <c r="J47" s="38"/>
      <c r="K47" s="39"/>
      <c r="L47" s="62"/>
      <c r="M47" s="69" t="str">
        <f>IF(AND(A47="",B47=""),"",COUNTIF(数据!$F$3:$F$999,A47))</f>
        <v/>
      </c>
      <c r="N47" s="69" t="str">
        <f>IF(AND(A47="",B47=""),"",SUMIF(数据!$F$3:$F$999,A47,数据!$D$3:$D$999))</f>
        <v/>
      </c>
      <c r="O47" s="69" t="str">
        <f>IF(AND(A47="",B47=""),"",SUMIF(数据!$F$3:$F$999,A47,数据!$L$3:$L$999))</f>
        <v/>
      </c>
      <c r="P47" s="81" t="str">
        <f>IF(AND(A47="",B47=""),"",SUMIF(数据!$F$3:$F$999,A47,数据!$M$3:$M$999))</f>
        <v/>
      </c>
      <c r="Q47" s="78"/>
      <c r="S47" s="74" t="str">
        <f t="shared" si="1"/>
        <v/>
      </c>
      <c r="T47" s="75" t="str">
        <f t="shared" si="2"/>
        <v/>
      </c>
      <c r="U47" s="74" t="str">
        <f t="shared" si="3"/>
        <v/>
      </c>
    </row>
    <row r="48" spans="1:21" ht="19.9" customHeight="1">
      <c r="A48" s="37"/>
      <c r="B48" s="37"/>
      <c r="C48" s="38"/>
      <c r="D48" s="37"/>
      <c r="E48" s="37" t="str">
        <f t="shared" si="5"/>
        <v/>
      </c>
      <c r="F48" s="38"/>
      <c r="G48" s="37" t="str">
        <f t="shared" si="4"/>
        <v/>
      </c>
      <c r="H48" s="60" t="str">
        <f t="shared" si="6"/>
        <v/>
      </c>
      <c r="I48" s="38"/>
      <c r="J48" s="38"/>
      <c r="K48" s="39"/>
      <c r="L48" s="62"/>
      <c r="M48" s="69" t="str">
        <f>IF(AND(A48="",B48=""),"",COUNTIF(数据!$F$3:$F$999,A48))</f>
        <v/>
      </c>
      <c r="N48" s="69" t="str">
        <f>IF(AND(A48="",B48=""),"",SUMIF(数据!$F$3:$F$999,A48,数据!$D$3:$D$999))</f>
        <v/>
      </c>
      <c r="O48" s="69" t="str">
        <f>IF(AND(A48="",B48=""),"",SUMIF(数据!$F$3:$F$999,A48,数据!$L$3:$L$999))</f>
        <v/>
      </c>
      <c r="P48" s="81" t="str">
        <f>IF(AND(A48="",B48=""),"",SUMIF(数据!$F$3:$F$999,A48,数据!$M$3:$M$999))</f>
        <v/>
      </c>
      <c r="Q48" s="78"/>
      <c r="S48" s="74" t="str">
        <f t="shared" si="1"/>
        <v/>
      </c>
      <c r="T48" s="75" t="str">
        <f t="shared" si="2"/>
        <v/>
      </c>
      <c r="U48" s="74" t="str">
        <f t="shared" si="3"/>
        <v/>
      </c>
    </row>
    <row r="49" spans="1:21" ht="19.9" customHeight="1">
      <c r="A49" s="37"/>
      <c r="B49" s="37"/>
      <c r="C49" s="38"/>
      <c r="D49" s="37"/>
      <c r="E49" s="37" t="str">
        <f t="shared" si="5"/>
        <v/>
      </c>
      <c r="F49" s="38"/>
      <c r="G49" s="37" t="str">
        <f t="shared" si="4"/>
        <v/>
      </c>
      <c r="H49" s="60" t="str">
        <f t="shared" si="6"/>
        <v/>
      </c>
      <c r="I49" s="38"/>
      <c r="J49" s="38"/>
      <c r="K49" s="39"/>
      <c r="L49" s="62"/>
      <c r="M49" s="69" t="str">
        <f>IF(AND(A49="",B49=""),"",COUNTIF(数据!$F$3:$F$999,A49))</f>
        <v/>
      </c>
      <c r="N49" s="69" t="str">
        <f>IF(AND(A49="",B49=""),"",SUMIF(数据!$F$3:$F$999,A49,数据!$D$3:$D$999))</f>
        <v/>
      </c>
      <c r="O49" s="69" t="str">
        <f>IF(AND(A49="",B49=""),"",SUMIF(数据!$F$3:$F$999,A49,数据!$L$3:$L$999))</f>
        <v/>
      </c>
      <c r="P49" s="81" t="str">
        <f>IF(AND(A49="",B49=""),"",SUMIF(数据!$F$3:$F$999,A49,数据!$M$3:$M$999))</f>
        <v/>
      </c>
      <c r="Q49" s="78"/>
      <c r="S49" s="74" t="str">
        <f t="shared" si="1"/>
        <v/>
      </c>
      <c r="T49" s="75" t="str">
        <f t="shared" si="2"/>
        <v/>
      </c>
      <c r="U49" s="74" t="str">
        <f t="shared" si="3"/>
        <v/>
      </c>
    </row>
    <row r="50" spans="1:21" ht="19.9" customHeight="1">
      <c r="A50" s="37"/>
      <c r="B50" s="37"/>
      <c r="C50" s="38"/>
      <c r="D50" s="37"/>
      <c r="E50" s="37" t="str">
        <f t="shared" si="5"/>
        <v/>
      </c>
      <c r="F50" s="38"/>
      <c r="G50" s="37" t="str">
        <f t="shared" si="4"/>
        <v/>
      </c>
      <c r="H50" s="60" t="str">
        <f t="shared" si="6"/>
        <v/>
      </c>
      <c r="I50" s="38"/>
      <c r="J50" s="38"/>
      <c r="K50" s="39"/>
      <c r="L50" s="62"/>
      <c r="M50" s="69" t="str">
        <f>IF(AND(A50="",B50=""),"",COUNTIF(数据!$F$3:$F$999,A50))</f>
        <v/>
      </c>
      <c r="N50" s="69" t="str">
        <f>IF(AND(A50="",B50=""),"",SUMIF(数据!$F$3:$F$999,A50,数据!$D$3:$D$999))</f>
        <v/>
      </c>
      <c r="O50" s="69" t="str">
        <f>IF(AND(A50="",B50=""),"",SUMIF(数据!$F$3:$F$999,A50,数据!$L$3:$L$999))</f>
        <v/>
      </c>
      <c r="P50" s="81" t="str">
        <f>IF(AND(A50="",B50=""),"",SUMIF(数据!$F$3:$F$999,A50,数据!$M$3:$M$999))</f>
        <v/>
      </c>
      <c r="Q50" s="78"/>
      <c r="S50" s="74" t="str">
        <f t="shared" si="1"/>
        <v/>
      </c>
      <c r="T50" s="75" t="str">
        <f t="shared" si="2"/>
        <v/>
      </c>
      <c r="U50" s="74" t="str">
        <f t="shared" si="3"/>
        <v/>
      </c>
    </row>
    <row r="51" spans="1:21" ht="19.9" customHeight="1">
      <c r="A51" s="37"/>
      <c r="B51" s="37"/>
      <c r="C51" s="38"/>
      <c r="D51" s="37"/>
      <c r="E51" s="37" t="str">
        <f t="shared" si="5"/>
        <v/>
      </c>
      <c r="F51" s="38"/>
      <c r="G51" s="37" t="str">
        <f t="shared" si="4"/>
        <v/>
      </c>
      <c r="H51" s="60" t="str">
        <f t="shared" si="6"/>
        <v/>
      </c>
      <c r="I51" s="38"/>
      <c r="J51" s="38"/>
      <c r="K51" s="39"/>
      <c r="L51" s="62"/>
      <c r="M51" s="69" t="str">
        <f>IF(AND(A51="",B51=""),"",COUNTIF(数据!$F$3:$F$999,A51))</f>
        <v/>
      </c>
      <c r="N51" s="69" t="str">
        <f>IF(AND(A51="",B51=""),"",SUMIF(数据!$F$3:$F$999,A51,数据!$D$3:$D$999))</f>
        <v/>
      </c>
      <c r="O51" s="69" t="str">
        <f>IF(AND(A51="",B51=""),"",SUMIF(数据!$F$3:$F$999,A51,数据!$L$3:$L$999))</f>
        <v/>
      </c>
      <c r="P51" s="81" t="str">
        <f>IF(AND(A51="",B51=""),"",SUMIF(数据!$F$3:$F$999,A51,数据!$M$3:$M$999))</f>
        <v/>
      </c>
      <c r="Q51" s="78"/>
      <c r="S51" s="74" t="str">
        <f t="shared" si="1"/>
        <v/>
      </c>
      <c r="T51" s="75" t="str">
        <f t="shared" si="2"/>
        <v/>
      </c>
      <c r="U51" s="74" t="str">
        <f t="shared" si="3"/>
        <v/>
      </c>
    </row>
    <row r="52" spans="1:21" ht="19.9" customHeight="1">
      <c r="A52" s="37"/>
      <c r="B52" s="37"/>
      <c r="C52" s="38"/>
      <c r="D52" s="37"/>
      <c r="E52" s="37" t="str">
        <f t="shared" si="5"/>
        <v/>
      </c>
      <c r="F52" s="38"/>
      <c r="G52" s="37" t="str">
        <f t="shared" si="4"/>
        <v/>
      </c>
      <c r="H52" s="60" t="str">
        <f t="shared" si="6"/>
        <v/>
      </c>
      <c r="I52" s="38"/>
      <c r="J52" s="38"/>
      <c r="K52" s="39"/>
      <c r="L52" s="62"/>
      <c r="M52" s="69" t="str">
        <f>IF(AND(A52="",B52=""),"",COUNTIF(数据!$F$3:$F$999,A52))</f>
        <v/>
      </c>
      <c r="N52" s="69" t="str">
        <f>IF(AND(A52="",B52=""),"",SUMIF(数据!$F$3:$F$999,A52,数据!$D$3:$D$999))</f>
        <v/>
      </c>
      <c r="O52" s="69" t="str">
        <f>IF(AND(A52="",B52=""),"",SUMIF(数据!$F$3:$F$999,A52,数据!$L$3:$L$999))</f>
        <v/>
      </c>
      <c r="P52" s="81" t="str">
        <f>IF(AND(A52="",B52=""),"",SUMIF(数据!$F$3:$F$999,A52,数据!$M$3:$M$999))</f>
        <v/>
      </c>
      <c r="Q52" s="78"/>
      <c r="S52" s="74" t="str">
        <f t="shared" si="1"/>
        <v/>
      </c>
      <c r="T52" s="75" t="str">
        <f t="shared" si="2"/>
        <v/>
      </c>
      <c r="U52" s="74" t="str">
        <f t="shared" si="3"/>
        <v/>
      </c>
    </row>
    <row r="53" spans="1:21" ht="19.9" customHeight="1">
      <c r="A53" s="37"/>
      <c r="B53" s="37"/>
      <c r="C53" s="38"/>
      <c r="D53" s="37"/>
      <c r="E53" s="37" t="str">
        <f t="shared" si="5"/>
        <v/>
      </c>
      <c r="F53" s="38"/>
      <c r="G53" s="37" t="str">
        <f t="shared" si="4"/>
        <v/>
      </c>
      <c r="H53" s="60" t="str">
        <f t="shared" si="6"/>
        <v/>
      </c>
      <c r="I53" s="38"/>
      <c r="J53" s="38"/>
      <c r="K53" s="39"/>
      <c r="L53" s="62"/>
      <c r="M53" s="69" t="str">
        <f>IF(AND(A53="",B53=""),"",COUNTIF(数据!$F$3:$F$999,A53))</f>
        <v/>
      </c>
      <c r="N53" s="69" t="str">
        <f>IF(AND(A53="",B53=""),"",SUMIF(数据!$F$3:$F$999,A53,数据!$D$3:$D$999))</f>
        <v/>
      </c>
      <c r="O53" s="69" t="str">
        <f>IF(AND(A53="",B53=""),"",SUMIF(数据!$F$3:$F$999,A53,数据!$L$3:$L$999))</f>
        <v/>
      </c>
      <c r="P53" s="81" t="str">
        <f>IF(AND(A53="",B53=""),"",SUMIF(数据!$F$3:$F$999,A53,数据!$M$3:$M$999))</f>
        <v/>
      </c>
      <c r="Q53" s="78"/>
      <c r="S53" s="74" t="str">
        <f t="shared" si="1"/>
        <v/>
      </c>
      <c r="T53" s="75" t="str">
        <f t="shared" si="2"/>
        <v/>
      </c>
      <c r="U53" s="74" t="str">
        <f t="shared" si="3"/>
        <v/>
      </c>
    </row>
    <row r="54" spans="1:21" ht="19.9" customHeight="1">
      <c r="A54" s="37"/>
      <c r="B54" s="37"/>
      <c r="C54" s="38"/>
      <c r="D54" s="37"/>
      <c r="E54" s="37" t="str">
        <f t="shared" si="5"/>
        <v/>
      </c>
      <c r="F54" s="38"/>
      <c r="G54" s="37" t="str">
        <f t="shared" si="4"/>
        <v/>
      </c>
      <c r="H54" s="60" t="str">
        <f t="shared" si="6"/>
        <v/>
      </c>
      <c r="I54" s="38"/>
      <c r="J54" s="38"/>
      <c r="K54" s="39"/>
      <c r="L54" s="62"/>
      <c r="M54" s="69" t="str">
        <f>IF(AND(A54="",B54=""),"",COUNTIF(数据!$F$3:$F$999,A54))</f>
        <v/>
      </c>
      <c r="N54" s="69" t="str">
        <f>IF(AND(A54="",B54=""),"",SUMIF(数据!$F$3:$F$999,A54,数据!$D$3:$D$999))</f>
        <v/>
      </c>
      <c r="O54" s="69" t="str">
        <f>IF(AND(A54="",B54=""),"",SUMIF(数据!$F$3:$F$999,A54,数据!$L$3:$L$999))</f>
        <v/>
      </c>
      <c r="P54" s="81" t="str">
        <f>IF(AND(A54="",B54=""),"",SUMIF(数据!$F$3:$F$999,A54,数据!$M$3:$M$999))</f>
        <v/>
      </c>
      <c r="Q54" s="78"/>
      <c r="S54" s="74" t="str">
        <f t="shared" si="1"/>
        <v/>
      </c>
      <c r="T54" s="75" t="str">
        <f t="shared" si="2"/>
        <v/>
      </c>
      <c r="U54" s="74" t="str">
        <f t="shared" si="3"/>
        <v/>
      </c>
    </row>
    <row r="55" spans="1:21" ht="19.9" customHeight="1">
      <c r="A55" s="37"/>
      <c r="B55" s="37"/>
      <c r="C55" s="38"/>
      <c r="D55" s="37"/>
      <c r="E55" s="37" t="str">
        <f t="shared" si="5"/>
        <v/>
      </c>
      <c r="F55" s="38"/>
      <c r="G55" s="37" t="str">
        <f t="shared" si="4"/>
        <v/>
      </c>
      <c r="H55" s="60" t="str">
        <f t="shared" si="6"/>
        <v/>
      </c>
      <c r="I55" s="38"/>
      <c r="J55" s="38"/>
      <c r="K55" s="39"/>
      <c r="L55" s="62"/>
      <c r="M55" s="69" t="str">
        <f>IF(AND(A55="",B55=""),"",COUNTIF(数据!$F$3:$F$999,A55))</f>
        <v/>
      </c>
      <c r="N55" s="69" t="str">
        <f>IF(AND(A55="",B55=""),"",SUMIF(数据!$F$3:$F$999,A55,数据!$D$3:$D$999))</f>
        <v/>
      </c>
      <c r="O55" s="69" t="str">
        <f>IF(AND(A55="",B55=""),"",SUMIF(数据!$F$3:$F$999,A55,数据!$L$3:$L$999))</f>
        <v/>
      </c>
      <c r="P55" s="81" t="str">
        <f>IF(AND(A55="",B55=""),"",SUMIF(数据!$F$3:$F$999,A55,数据!$M$3:$M$999))</f>
        <v/>
      </c>
      <c r="Q55" s="78"/>
      <c r="S55" s="74" t="str">
        <f t="shared" si="1"/>
        <v/>
      </c>
      <c r="T55" s="75" t="str">
        <f t="shared" si="2"/>
        <v/>
      </c>
      <c r="U55" s="74" t="str">
        <f t="shared" si="3"/>
        <v/>
      </c>
    </row>
    <row r="56" spans="1:21" ht="19.9" customHeight="1">
      <c r="A56" s="37"/>
      <c r="B56" s="37"/>
      <c r="C56" s="38"/>
      <c r="D56" s="37"/>
      <c r="E56" s="37" t="str">
        <f t="shared" si="5"/>
        <v/>
      </c>
      <c r="F56" s="38"/>
      <c r="G56" s="37" t="str">
        <f t="shared" si="4"/>
        <v/>
      </c>
      <c r="H56" s="60" t="str">
        <f t="shared" si="6"/>
        <v/>
      </c>
      <c r="I56" s="38"/>
      <c r="J56" s="38"/>
      <c r="K56" s="39"/>
      <c r="L56" s="62"/>
      <c r="M56" s="69" t="str">
        <f>IF(AND(A56="",B56=""),"",COUNTIF(数据!$F$3:$F$999,A56))</f>
        <v/>
      </c>
      <c r="N56" s="69" t="str">
        <f>IF(AND(A56="",B56=""),"",SUMIF(数据!$F$3:$F$999,A56,数据!$D$3:$D$999))</f>
        <v/>
      </c>
      <c r="O56" s="69" t="str">
        <f>IF(AND(A56="",B56=""),"",SUMIF(数据!$F$3:$F$999,A56,数据!$L$3:$L$999))</f>
        <v/>
      </c>
      <c r="P56" s="81" t="str">
        <f>IF(AND(A56="",B56=""),"",SUMIF(数据!$F$3:$F$999,A56,数据!$M$3:$M$999))</f>
        <v/>
      </c>
      <c r="Q56" s="78"/>
      <c r="S56" s="74" t="str">
        <f t="shared" si="1"/>
        <v/>
      </c>
      <c r="T56" s="75" t="str">
        <f t="shared" si="2"/>
        <v/>
      </c>
      <c r="U56" s="74" t="str">
        <f t="shared" si="3"/>
        <v/>
      </c>
    </row>
    <row r="57" spans="1:21" ht="19.9" customHeight="1">
      <c r="A57" s="37"/>
      <c r="B57" s="37"/>
      <c r="C57" s="38"/>
      <c r="D57" s="37"/>
      <c r="E57" s="37" t="str">
        <f t="shared" si="5"/>
        <v/>
      </c>
      <c r="F57" s="38"/>
      <c r="G57" s="37" t="str">
        <f t="shared" si="4"/>
        <v/>
      </c>
      <c r="H57" s="60" t="str">
        <f t="shared" si="6"/>
        <v/>
      </c>
      <c r="I57" s="38"/>
      <c r="J57" s="38"/>
      <c r="K57" s="39"/>
      <c r="L57" s="62"/>
      <c r="M57" s="69" t="str">
        <f>IF(AND(A57="",B57=""),"",COUNTIF(数据!$F$3:$F$999,A57))</f>
        <v/>
      </c>
      <c r="N57" s="69" t="str">
        <f>IF(AND(A57="",B57=""),"",SUMIF(数据!$F$3:$F$999,A57,数据!$D$3:$D$999))</f>
        <v/>
      </c>
      <c r="O57" s="69" t="str">
        <f>IF(AND(A57="",B57=""),"",SUMIF(数据!$F$3:$F$999,A57,数据!$L$3:$L$999))</f>
        <v/>
      </c>
      <c r="P57" s="81" t="str">
        <f>IF(AND(A57="",B57=""),"",SUMIF(数据!$F$3:$F$999,A57,数据!$M$3:$M$999))</f>
        <v/>
      </c>
      <c r="Q57" s="78"/>
      <c r="S57" s="74" t="str">
        <f t="shared" si="1"/>
        <v/>
      </c>
      <c r="T57" s="75" t="str">
        <f t="shared" si="2"/>
        <v/>
      </c>
      <c r="U57" s="74" t="str">
        <f t="shared" si="3"/>
        <v/>
      </c>
    </row>
    <row r="58" spans="1:21" ht="19.9" customHeight="1">
      <c r="A58" s="37"/>
      <c r="B58" s="37"/>
      <c r="C58" s="38"/>
      <c r="D58" s="37"/>
      <c r="E58" s="37" t="str">
        <f t="shared" si="5"/>
        <v/>
      </c>
      <c r="F58" s="38"/>
      <c r="G58" s="37" t="str">
        <f t="shared" si="4"/>
        <v/>
      </c>
      <c r="H58" s="60" t="str">
        <f t="shared" si="6"/>
        <v/>
      </c>
      <c r="I58" s="38"/>
      <c r="J58" s="38"/>
      <c r="K58" s="39"/>
      <c r="L58" s="62"/>
      <c r="M58" s="69" t="str">
        <f>IF(AND(A58="",B58=""),"",COUNTIF(数据!$F$3:$F$999,A58))</f>
        <v/>
      </c>
      <c r="N58" s="69" t="str">
        <f>IF(AND(A58="",B58=""),"",SUMIF(数据!$F$3:$F$999,A58,数据!$D$3:$D$999))</f>
        <v/>
      </c>
      <c r="O58" s="69" t="str">
        <f>IF(AND(A58="",B58=""),"",SUMIF(数据!$F$3:$F$999,A58,数据!$L$3:$L$999))</f>
        <v/>
      </c>
      <c r="P58" s="81" t="str">
        <f>IF(AND(A58="",B58=""),"",SUMIF(数据!$F$3:$F$999,A58,数据!$M$3:$M$999))</f>
        <v/>
      </c>
      <c r="Q58" s="78"/>
      <c r="S58" s="74" t="str">
        <f t="shared" si="1"/>
        <v/>
      </c>
      <c r="T58" s="75" t="str">
        <f t="shared" si="2"/>
        <v/>
      </c>
      <c r="U58" s="74" t="str">
        <f t="shared" si="3"/>
        <v/>
      </c>
    </row>
    <row r="59" spans="1:21" ht="19.9" customHeight="1">
      <c r="A59" s="37"/>
      <c r="B59" s="37"/>
      <c r="C59" s="38"/>
      <c r="D59" s="37"/>
      <c r="E59" s="37" t="str">
        <f t="shared" si="5"/>
        <v/>
      </c>
      <c r="F59" s="38"/>
      <c r="G59" s="37" t="str">
        <f t="shared" si="4"/>
        <v/>
      </c>
      <c r="H59" s="60" t="str">
        <f t="shared" si="6"/>
        <v/>
      </c>
      <c r="I59" s="38"/>
      <c r="J59" s="38"/>
      <c r="K59" s="39"/>
      <c r="L59" s="62"/>
      <c r="M59" s="69" t="str">
        <f>IF(AND(A59="",B59=""),"",COUNTIF(数据!$F$3:$F$999,A59))</f>
        <v/>
      </c>
      <c r="N59" s="69" t="str">
        <f>IF(AND(A59="",B59=""),"",SUMIF(数据!$F$3:$F$999,A59,数据!$D$3:$D$999))</f>
        <v/>
      </c>
      <c r="O59" s="69" t="str">
        <f>IF(AND(A59="",B59=""),"",SUMIF(数据!$F$3:$F$999,A59,数据!$L$3:$L$999))</f>
        <v/>
      </c>
      <c r="P59" s="81" t="str">
        <f>IF(AND(A59="",B59=""),"",SUMIF(数据!$F$3:$F$999,A59,数据!$M$3:$M$999))</f>
        <v/>
      </c>
      <c r="Q59" s="78"/>
      <c r="S59" s="74" t="str">
        <f t="shared" si="1"/>
        <v/>
      </c>
      <c r="T59" s="75" t="str">
        <f t="shared" si="2"/>
        <v/>
      </c>
      <c r="U59" s="74" t="str">
        <f t="shared" si="3"/>
        <v/>
      </c>
    </row>
    <row r="60" spans="1:21" ht="19.9" customHeight="1">
      <c r="A60" s="37"/>
      <c r="B60" s="37"/>
      <c r="C60" s="38"/>
      <c r="D60" s="37"/>
      <c r="E60" s="37" t="str">
        <f t="shared" si="5"/>
        <v/>
      </c>
      <c r="F60" s="38"/>
      <c r="G60" s="37" t="str">
        <f t="shared" si="4"/>
        <v/>
      </c>
      <c r="H60" s="60" t="str">
        <f t="shared" si="6"/>
        <v/>
      </c>
      <c r="I60" s="38"/>
      <c r="J60" s="38"/>
      <c r="K60" s="39"/>
      <c r="L60" s="62"/>
      <c r="M60" s="69" t="str">
        <f>IF(AND(A60="",B60=""),"",COUNTIF(数据!$F$3:$F$999,A60))</f>
        <v/>
      </c>
      <c r="N60" s="69" t="str">
        <f>IF(AND(A60="",B60=""),"",SUMIF(数据!$F$3:$F$999,A60,数据!$D$3:$D$999))</f>
        <v/>
      </c>
      <c r="O60" s="69" t="str">
        <f>IF(AND(A60="",B60=""),"",SUMIF(数据!$F$3:$F$999,A60,数据!$L$3:$L$999))</f>
        <v/>
      </c>
      <c r="P60" s="81" t="str">
        <f>IF(AND(A60="",B60=""),"",SUMIF(数据!$F$3:$F$999,A60,数据!$M$3:$M$999))</f>
        <v/>
      </c>
      <c r="Q60" s="78"/>
      <c r="S60" s="74" t="str">
        <f t="shared" si="1"/>
        <v/>
      </c>
      <c r="T60" s="75" t="str">
        <f t="shared" si="2"/>
        <v/>
      </c>
      <c r="U60" s="74" t="str">
        <f t="shared" si="3"/>
        <v/>
      </c>
    </row>
    <row r="61" spans="1:21" ht="19.9" customHeight="1">
      <c r="A61" s="37"/>
      <c r="B61" s="37"/>
      <c r="C61" s="38"/>
      <c r="D61" s="37"/>
      <c r="E61" s="37" t="str">
        <f t="shared" si="5"/>
        <v/>
      </c>
      <c r="F61" s="38"/>
      <c r="G61" s="37" t="str">
        <f t="shared" si="4"/>
        <v/>
      </c>
      <c r="H61" s="60" t="str">
        <f t="shared" si="6"/>
        <v/>
      </c>
      <c r="I61" s="38"/>
      <c r="J61" s="38"/>
      <c r="K61" s="39"/>
      <c r="L61" s="62"/>
      <c r="M61" s="69" t="str">
        <f>IF(AND(A61="",B61=""),"",COUNTIF(数据!$F$3:$F$999,A61))</f>
        <v/>
      </c>
      <c r="N61" s="69" t="str">
        <f>IF(AND(A61="",B61=""),"",SUMIF(数据!$F$3:$F$999,A61,数据!$D$3:$D$999))</f>
        <v/>
      </c>
      <c r="O61" s="69" t="str">
        <f>IF(AND(A61="",B61=""),"",SUMIF(数据!$F$3:$F$999,A61,数据!$L$3:$L$999))</f>
        <v/>
      </c>
      <c r="P61" s="81" t="str">
        <f>IF(AND(A61="",B61=""),"",SUMIF(数据!$F$3:$F$999,A61,数据!$M$3:$M$999))</f>
        <v/>
      </c>
      <c r="Q61" s="78"/>
      <c r="S61" s="74" t="str">
        <f t="shared" si="1"/>
        <v/>
      </c>
      <c r="T61" s="75" t="str">
        <f t="shared" si="2"/>
        <v/>
      </c>
      <c r="U61" s="74" t="str">
        <f t="shared" si="3"/>
        <v/>
      </c>
    </row>
    <row r="62" spans="1:21" ht="19.9" customHeight="1">
      <c r="A62" s="37"/>
      <c r="B62" s="37"/>
      <c r="C62" s="38"/>
      <c r="D62" s="37"/>
      <c r="E62" s="37" t="str">
        <f t="shared" si="5"/>
        <v/>
      </c>
      <c r="F62" s="38"/>
      <c r="G62" s="37" t="str">
        <f t="shared" si="4"/>
        <v/>
      </c>
      <c r="H62" s="60" t="str">
        <f t="shared" si="6"/>
        <v/>
      </c>
      <c r="I62" s="38"/>
      <c r="J62" s="38"/>
      <c r="K62" s="39"/>
      <c r="L62" s="62"/>
      <c r="M62" s="69" t="str">
        <f>IF(AND(A62="",B62=""),"",COUNTIF(数据!$F$3:$F$999,A62))</f>
        <v/>
      </c>
      <c r="N62" s="69" t="str">
        <f>IF(AND(A62="",B62=""),"",SUMIF(数据!$F$3:$F$999,A62,数据!$D$3:$D$999))</f>
        <v/>
      </c>
      <c r="O62" s="69" t="str">
        <f>IF(AND(A62="",B62=""),"",SUMIF(数据!$F$3:$F$999,A62,数据!$L$3:$L$999))</f>
        <v/>
      </c>
      <c r="P62" s="81" t="str">
        <f>IF(AND(A62="",B62=""),"",SUMIF(数据!$F$3:$F$999,A62,数据!$M$3:$M$999))</f>
        <v/>
      </c>
      <c r="Q62" s="78"/>
      <c r="S62" s="74" t="str">
        <f t="shared" si="1"/>
        <v/>
      </c>
      <c r="T62" s="75" t="str">
        <f t="shared" si="2"/>
        <v/>
      </c>
      <c r="U62" s="74" t="str">
        <f t="shared" si="3"/>
        <v/>
      </c>
    </row>
    <row r="63" spans="1:21" ht="19.9" customHeight="1">
      <c r="A63" s="37"/>
      <c r="B63" s="37"/>
      <c r="C63" s="38"/>
      <c r="D63" s="37"/>
      <c r="E63" s="37" t="str">
        <f t="shared" si="5"/>
        <v/>
      </c>
      <c r="F63" s="38"/>
      <c r="G63" s="37" t="str">
        <f t="shared" si="4"/>
        <v/>
      </c>
      <c r="H63" s="60" t="str">
        <f t="shared" si="6"/>
        <v/>
      </c>
      <c r="I63" s="38"/>
      <c r="J63" s="38"/>
      <c r="K63" s="39"/>
      <c r="L63" s="62"/>
      <c r="M63" s="69" t="str">
        <f>IF(AND(A63="",B63=""),"",COUNTIF(数据!$F$3:$F$999,A63))</f>
        <v/>
      </c>
      <c r="N63" s="69" t="str">
        <f>IF(AND(A63="",B63=""),"",SUMIF(数据!$F$3:$F$999,A63,数据!$D$3:$D$999))</f>
        <v/>
      </c>
      <c r="O63" s="69" t="str">
        <f>IF(AND(A63="",B63=""),"",SUMIF(数据!$F$3:$F$999,A63,数据!$L$3:$L$999))</f>
        <v/>
      </c>
      <c r="P63" s="81" t="str">
        <f>IF(AND(A63="",B63=""),"",SUMIF(数据!$F$3:$F$999,A63,数据!$M$3:$M$999))</f>
        <v/>
      </c>
      <c r="Q63" s="78"/>
      <c r="S63" s="74" t="str">
        <f t="shared" si="1"/>
        <v/>
      </c>
      <c r="T63" s="75" t="str">
        <f t="shared" si="2"/>
        <v/>
      </c>
      <c r="U63" s="74" t="str">
        <f t="shared" si="3"/>
        <v/>
      </c>
    </row>
    <row r="64" spans="1:21" ht="19.9" customHeight="1">
      <c r="A64" s="37"/>
      <c r="B64" s="37"/>
      <c r="C64" s="38"/>
      <c r="D64" s="37"/>
      <c r="E64" s="37" t="str">
        <f t="shared" si="5"/>
        <v/>
      </c>
      <c r="F64" s="38"/>
      <c r="G64" s="37" t="str">
        <f t="shared" si="4"/>
        <v/>
      </c>
      <c r="H64" s="60" t="str">
        <f t="shared" si="6"/>
        <v/>
      </c>
      <c r="I64" s="38"/>
      <c r="J64" s="38"/>
      <c r="K64" s="39"/>
      <c r="L64" s="62"/>
      <c r="M64" s="69" t="str">
        <f>IF(AND(A64="",B64=""),"",COUNTIF(数据!$F$3:$F$999,A64))</f>
        <v/>
      </c>
      <c r="N64" s="69" t="str">
        <f>IF(AND(A64="",B64=""),"",SUMIF(数据!$F$3:$F$999,A64,数据!$D$3:$D$999))</f>
        <v/>
      </c>
      <c r="O64" s="69" t="str">
        <f>IF(AND(A64="",B64=""),"",SUMIF(数据!$F$3:$F$999,A64,数据!$L$3:$L$999))</f>
        <v/>
      </c>
      <c r="P64" s="81" t="str">
        <f>IF(AND(A64="",B64=""),"",SUMIF(数据!$F$3:$F$999,A64,数据!$M$3:$M$999))</f>
        <v/>
      </c>
      <c r="Q64" s="78"/>
      <c r="S64" s="74" t="str">
        <f t="shared" si="1"/>
        <v/>
      </c>
      <c r="T64" s="75" t="str">
        <f t="shared" si="2"/>
        <v/>
      </c>
      <c r="U64" s="74" t="str">
        <f t="shared" si="3"/>
        <v/>
      </c>
    </row>
    <row r="65" spans="1:21" ht="19.9" customHeight="1">
      <c r="A65" s="37"/>
      <c r="B65" s="37"/>
      <c r="C65" s="38"/>
      <c r="D65" s="37"/>
      <c r="E65" s="37" t="str">
        <f t="shared" si="5"/>
        <v/>
      </c>
      <c r="F65" s="38"/>
      <c r="G65" s="37" t="str">
        <f t="shared" si="4"/>
        <v/>
      </c>
      <c r="H65" s="60" t="str">
        <f t="shared" si="6"/>
        <v/>
      </c>
      <c r="I65" s="38"/>
      <c r="J65" s="38"/>
      <c r="K65" s="39"/>
      <c r="L65" s="62"/>
      <c r="M65" s="69" t="str">
        <f>IF(AND(A65="",B65=""),"",COUNTIF(数据!$F$3:$F$999,A65))</f>
        <v/>
      </c>
      <c r="N65" s="69" t="str">
        <f>IF(AND(A65="",B65=""),"",SUMIF(数据!$F$3:$F$999,A65,数据!$D$3:$D$999))</f>
        <v/>
      </c>
      <c r="O65" s="69" t="str">
        <f>IF(AND(A65="",B65=""),"",SUMIF(数据!$F$3:$F$999,A65,数据!$L$3:$L$999))</f>
        <v/>
      </c>
      <c r="P65" s="81" t="str">
        <f>IF(AND(A65="",B65=""),"",SUMIF(数据!$F$3:$F$999,A65,数据!$M$3:$M$999))</f>
        <v/>
      </c>
      <c r="Q65" s="78"/>
      <c r="S65" s="74" t="str">
        <f t="shared" si="1"/>
        <v/>
      </c>
      <c r="T65" s="75" t="str">
        <f t="shared" si="2"/>
        <v/>
      </c>
      <c r="U65" s="74" t="str">
        <f t="shared" si="3"/>
        <v/>
      </c>
    </row>
    <row r="66" spans="1:21" ht="19.9" customHeight="1">
      <c r="A66" s="37"/>
      <c r="B66" s="37"/>
      <c r="C66" s="38"/>
      <c r="D66" s="37"/>
      <c r="E66" s="37" t="str">
        <f t="shared" si="5"/>
        <v/>
      </c>
      <c r="F66" s="38"/>
      <c r="G66" s="37" t="str">
        <f t="shared" si="4"/>
        <v/>
      </c>
      <c r="H66" s="60" t="str">
        <f t="shared" si="6"/>
        <v/>
      </c>
      <c r="I66" s="38"/>
      <c r="J66" s="38"/>
      <c r="K66" s="39"/>
      <c r="L66" s="62"/>
      <c r="M66" s="69" t="str">
        <f>IF(AND(A66="",B66=""),"",COUNTIF(数据!$F$3:$F$999,A66))</f>
        <v/>
      </c>
      <c r="N66" s="69" t="str">
        <f>IF(AND(A66="",B66=""),"",SUMIF(数据!$F$3:$F$999,A66,数据!$D$3:$D$999))</f>
        <v/>
      </c>
      <c r="O66" s="69" t="str">
        <f>IF(AND(A66="",B66=""),"",SUMIF(数据!$F$3:$F$999,A66,数据!$L$3:$L$999))</f>
        <v/>
      </c>
      <c r="P66" s="81" t="str">
        <f>IF(AND(A66="",B66=""),"",SUMIF(数据!$F$3:$F$999,A66,数据!$M$3:$M$999))</f>
        <v/>
      </c>
      <c r="Q66" s="78"/>
      <c r="S66" s="74" t="str">
        <f t="shared" si="1"/>
        <v/>
      </c>
      <c r="T66" s="75" t="str">
        <f t="shared" si="2"/>
        <v/>
      </c>
      <c r="U66" s="74" t="str">
        <f t="shared" si="3"/>
        <v/>
      </c>
    </row>
    <row r="67" spans="1:21" ht="19.9" customHeight="1">
      <c r="A67" s="37"/>
      <c r="B67" s="37"/>
      <c r="C67" s="38"/>
      <c r="D67" s="37"/>
      <c r="E67" s="37" t="str">
        <f t="shared" si="5"/>
        <v/>
      </c>
      <c r="F67" s="38"/>
      <c r="G67" s="37" t="str">
        <f t="shared" si="4"/>
        <v/>
      </c>
      <c r="H67" s="60" t="str">
        <f t="shared" si="6"/>
        <v/>
      </c>
      <c r="I67" s="38"/>
      <c r="J67" s="38"/>
      <c r="K67" s="39"/>
      <c r="L67" s="62"/>
      <c r="M67" s="69" t="str">
        <f>IF(AND(A67="",B67=""),"",COUNTIF(数据!$F$3:$F$999,A67))</f>
        <v/>
      </c>
      <c r="N67" s="69" t="str">
        <f>IF(AND(A67="",B67=""),"",SUMIF(数据!$F$3:$F$999,A67,数据!$D$3:$D$999))</f>
        <v/>
      </c>
      <c r="O67" s="69" t="str">
        <f>IF(AND(A67="",B67=""),"",SUMIF(数据!$F$3:$F$999,A67,数据!$L$3:$L$999))</f>
        <v/>
      </c>
      <c r="P67" s="81" t="str">
        <f>IF(AND(A67="",B67=""),"",SUMIF(数据!$F$3:$F$999,A67,数据!$M$3:$M$999))</f>
        <v/>
      </c>
      <c r="Q67" s="78"/>
      <c r="S67" s="74" t="str">
        <f t="shared" si="1"/>
        <v/>
      </c>
      <c r="T67" s="75" t="str">
        <f t="shared" si="2"/>
        <v/>
      </c>
      <c r="U67" s="74" t="str">
        <f t="shared" si="3"/>
        <v/>
      </c>
    </row>
    <row r="68" spans="1:21" ht="19.9" customHeight="1">
      <c r="A68" s="37"/>
      <c r="B68" s="37"/>
      <c r="C68" s="38"/>
      <c r="D68" s="37"/>
      <c r="E68" s="37" t="str">
        <f t="shared" si="7" ref="E68:E131">IF(D68&gt;0,"-"&amp;D68&amp;"-0","")</f>
        <v/>
      </c>
      <c r="F68" s="38"/>
      <c r="G68" s="37" t="str">
        <f t="shared" si="4"/>
        <v/>
      </c>
      <c r="H68" s="60" t="str">
        <f t="shared" si="8" ref="H68:H131">BaoLiuXiaoShuWei(IF(D68="","",D68*G68),2)</f>
        <v/>
      </c>
      <c r="I68" s="38"/>
      <c r="J68" s="38"/>
      <c r="K68" s="39"/>
      <c r="L68" s="62"/>
      <c r="M68" s="69" t="str">
        <f>IF(AND(A68="",B68=""),"",COUNTIF(数据!$F$3:$F$999,A68))</f>
        <v/>
      </c>
      <c r="N68" s="69" t="str">
        <f>IF(AND(A68="",B68=""),"",SUMIF(数据!$F$3:$F$999,A68,数据!$D$3:$D$999))</f>
        <v/>
      </c>
      <c r="O68" s="69" t="str">
        <f>IF(AND(A68="",B68=""),"",SUMIF(数据!$F$3:$F$999,A68,数据!$L$3:$L$999))</f>
        <v/>
      </c>
      <c r="P68" s="81" t="str">
        <f>IF(AND(A68="",B68=""),"",SUMIF(数据!$F$3:$F$999,A68,数据!$M$3:$M$999))</f>
        <v/>
      </c>
      <c r="Q68" s="78"/>
      <c r="S68" s="74" t="str">
        <f t="shared" si="9" ref="S68:S131">IFERROR(IF(Q68="","",Q68-R68),"")</f>
        <v/>
      </c>
      <c r="T68" s="75" t="str">
        <f t="shared" si="10" ref="T68:T131">IF(H68="","",H68)</f>
        <v/>
      </c>
      <c r="U68" s="74" t="str">
        <f t="shared" si="11" ref="U68:U131">IFERROR(IF(OR(T68="",S68=""),"",S68/T68),"")</f>
        <v/>
      </c>
    </row>
    <row r="69" spans="1:21" ht="19.9" customHeight="1">
      <c r="A69" s="37"/>
      <c r="B69" s="37"/>
      <c r="C69" s="38"/>
      <c r="D69" s="37"/>
      <c r="E69" s="37" t="str">
        <f t="shared" si="7"/>
        <v/>
      </c>
      <c r="F69" s="38"/>
      <c r="G69" s="37" t="str">
        <f t="shared" si="12" ref="G69:G132">IF(F69="浅水Ⅰ型浮游生物网",0.2,IF(F69="浅水Ⅱ型浮游生物网",0.08,IF(F69="浅水Ⅲ型浮游生物网",0.1,IF(F69="小型浮游生物网",0.1,IF(F69="大型浮游生物网",0.5,IF(F69="WP2网",0.25,""))))))</f>
        <v/>
      </c>
      <c r="H69" s="60" t="str">
        <f t="shared" si="8"/>
        <v/>
      </c>
      <c r="I69" s="38"/>
      <c r="J69" s="38"/>
      <c r="K69" s="39"/>
      <c r="L69" s="62"/>
      <c r="M69" s="69" t="str">
        <f>IF(AND(A69="",B69=""),"",COUNTIF(数据!$F$3:$F$999,A69))</f>
        <v/>
      </c>
      <c r="N69" s="69" t="str">
        <f>IF(AND(A69="",B69=""),"",SUMIF(数据!$F$3:$F$999,A69,数据!$D$3:$D$999))</f>
        <v/>
      </c>
      <c r="O69" s="69" t="str">
        <f>IF(AND(A69="",B69=""),"",SUMIF(数据!$F$3:$F$999,A69,数据!$L$3:$L$999))</f>
        <v/>
      </c>
      <c r="P69" s="81" t="str">
        <f>IF(AND(A69="",B69=""),"",SUMIF(数据!$F$3:$F$999,A69,数据!$M$3:$M$999))</f>
        <v/>
      </c>
      <c r="Q69" s="78"/>
      <c r="S69" s="74" t="str">
        <f t="shared" si="9"/>
        <v/>
      </c>
      <c r="T69" s="75" t="str">
        <f t="shared" si="10"/>
        <v/>
      </c>
      <c r="U69" s="74" t="str">
        <f t="shared" si="11"/>
        <v/>
      </c>
    </row>
    <row r="70" spans="1:21" ht="19.9" customHeight="1">
      <c r="A70" s="37"/>
      <c r="B70" s="37"/>
      <c r="C70" s="38"/>
      <c r="D70" s="37"/>
      <c r="E70" s="37" t="str">
        <f t="shared" si="7"/>
        <v/>
      </c>
      <c r="F70" s="38"/>
      <c r="G70" s="37" t="str">
        <f t="shared" si="12"/>
        <v/>
      </c>
      <c r="H70" s="60" t="str">
        <f t="shared" si="8"/>
        <v/>
      </c>
      <c r="I70" s="38"/>
      <c r="J70" s="38"/>
      <c r="K70" s="39"/>
      <c r="L70" s="62"/>
      <c r="M70" s="69" t="str">
        <f>IF(AND(A70="",B70=""),"",COUNTIF(数据!$F$3:$F$999,A70))</f>
        <v/>
      </c>
      <c r="N70" s="69" t="str">
        <f>IF(AND(A70="",B70=""),"",SUMIF(数据!$F$3:$F$999,A70,数据!$D$3:$D$999))</f>
        <v/>
      </c>
      <c r="O70" s="69" t="str">
        <f>IF(AND(A70="",B70=""),"",SUMIF(数据!$F$3:$F$999,A70,数据!$L$3:$L$999))</f>
        <v/>
      </c>
      <c r="P70" s="81" t="str">
        <f>IF(AND(A70="",B70=""),"",SUMIF(数据!$F$3:$F$999,A70,数据!$M$3:$M$999))</f>
        <v/>
      </c>
      <c r="Q70" s="78"/>
      <c r="S70" s="74" t="str">
        <f t="shared" si="9"/>
        <v/>
      </c>
      <c r="T70" s="75" t="str">
        <f t="shared" si="10"/>
        <v/>
      </c>
      <c r="U70" s="74" t="str">
        <f t="shared" si="11"/>
        <v/>
      </c>
    </row>
    <row r="71" spans="1:21" ht="19.9" customHeight="1">
      <c r="A71" s="37"/>
      <c r="B71" s="37"/>
      <c r="C71" s="38"/>
      <c r="D71" s="37"/>
      <c r="E71" s="37" t="str">
        <f t="shared" si="7"/>
        <v/>
      </c>
      <c r="F71" s="38"/>
      <c r="G71" s="37" t="str">
        <f t="shared" si="12"/>
        <v/>
      </c>
      <c r="H71" s="60" t="str">
        <f t="shared" si="8"/>
        <v/>
      </c>
      <c r="I71" s="38"/>
      <c r="J71" s="38"/>
      <c r="K71" s="39"/>
      <c r="L71" s="62"/>
      <c r="M71" s="69" t="str">
        <f>IF(AND(A71="",B71=""),"",COUNTIF(数据!$F$3:$F$999,A71))</f>
        <v/>
      </c>
      <c r="N71" s="69" t="str">
        <f>IF(AND(A71="",B71=""),"",SUMIF(数据!$F$3:$F$999,A71,数据!$D$3:$D$999))</f>
        <v/>
      </c>
      <c r="O71" s="69" t="str">
        <f>IF(AND(A71="",B71=""),"",SUMIF(数据!$F$3:$F$999,A71,数据!$L$3:$L$999))</f>
        <v/>
      </c>
      <c r="P71" s="81" t="str">
        <f>IF(AND(A71="",B71=""),"",SUMIF(数据!$F$3:$F$999,A71,数据!$M$3:$M$999))</f>
        <v/>
      </c>
      <c r="Q71" s="78"/>
      <c r="S71" s="74" t="str">
        <f t="shared" si="9"/>
        <v/>
      </c>
      <c r="T71" s="75" t="str">
        <f t="shared" si="10"/>
        <v/>
      </c>
      <c r="U71" s="74" t="str">
        <f t="shared" si="11"/>
        <v/>
      </c>
    </row>
    <row r="72" spans="1:21" ht="19.9" customHeight="1">
      <c r="A72" s="37"/>
      <c r="B72" s="37"/>
      <c r="C72" s="38"/>
      <c r="D72" s="37"/>
      <c r="E72" s="37" t="str">
        <f t="shared" si="7"/>
        <v/>
      </c>
      <c r="F72" s="38"/>
      <c r="G72" s="37" t="str">
        <f t="shared" si="12"/>
        <v/>
      </c>
      <c r="H72" s="60" t="str">
        <f t="shared" si="8"/>
        <v/>
      </c>
      <c r="I72" s="38"/>
      <c r="J72" s="38"/>
      <c r="K72" s="39"/>
      <c r="L72" s="62"/>
      <c r="M72" s="69" t="str">
        <f>IF(AND(A72="",B72=""),"",COUNTIF(数据!$F$3:$F$999,A72))</f>
        <v/>
      </c>
      <c r="N72" s="69" t="str">
        <f>IF(AND(A72="",B72=""),"",SUMIF(数据!$F$3:$F$999,A72,数据!$D$3:$D$999))</f>
        <v/>
      </c>
      <c r="O72" s="69" t="str">
        <f>IF(AND(A72="",B72=""),"",SUMIF(数据!$F$3:$F$999,A72,数据!$L$3:$L$999))</f>
        <v/>
      </c>
      <c r="P72" s="81" t="str">
        <f>IF(AND(A72="",B72=""),"",SUMIF(数据!$F$3:$F$999,A72,数据!$M$3:$M$999))</f>
        <v/>
      </c>
      <c r="Q72" s="78"/>
      <c r="S72" s="74" t="str">
        <f t="shared" si="9"/>
        <v/>
      </c>
      <c r="T72" s="75" t="str">
        <f t="shared" si="10"/>
        <v/>
      </c>
      <c r="U72" s="74" t="str">
        <f t="shared" si="11"/>
        <v/>
      </c>
    </row>
    <row r="73" spans="1:21" ht="19.9" customHeight="1">
      <c r="A73" s="37"/>
      <c r="B73" s="37"/>
      <c r="C73" s="38"/>
      <c r="D73" s="37"/>
      <c r="E73" s="37" t="str">
        <f t="shared" si="7"/>
        <v/>
      </c>
      <c r="F73" s="38"/>
      <c r="G73" s="37" t="str">
        <f t="shared" si="12"/>
        <v/>
      </c>
      <c r="H73" s="60" t="str">
        <f t="shared" si="8"/>
        <v/>
      </c>
      <c r="I73" s="38"/>
      <c r="J73" s="38"/>
      <c r="K73" s="39"/>
      <c r="L73" s="62"/>
      <c r="M73" s="69" t="str">
        <f>IF(AND(A73="",B73=""),"",COUNTIF(数据!$F$3:$F$999,A73))</f>
        <v/>
      </c>
      <c r="N73" s="69" t="str">
        <f>IF(AND(A73="",B73=""),"",SUMIF(数据!$F$3:$F$999,A73,数据!$D$3:$D$999))</f>
        <v/>
      </c>
      <c r="O73" s="69" t="str">
        <f>IF(AND(A73="",B73=""),"",SUMIF(数据!$F$3:$F$999,A73,数据!$L$3:$L$999))</f>
        <v/>
      </c>
      <c r="P73" s="81" t="str">
        <f>IF(AND(A73="",B73=""),"",SUMIF(数据!$F$3:$F$999,A73,数据!$M$3:$M$999))</f>
        <v/>
      </c>
      <c r="Q73" s="78"/>
      <c r="S73" s="74" t="str">
        <f t="shared" si="9"/>
        <v/>
      </c>
      <c r="T73" s="75" t="str">
        <f t="shared" si="10"/>
        <v/>
      </c>
      <c r="U73" s="74" t="str">
        <f t="shared" si="11"/>
        <v/>
      </c>
    </row>
    <row r="74" spans="1:21" ht="19.9" customHeight="1">
      <c r="A74" s="37"/>
      <c r="B74" s="37"/>
      <c r="C74" s="38"/>
      <c r="D74" s="37"/>
      <c r="E74" s="37" t="str">
        <f t="shared" si="7"/>
        <v/>
      </c>
      <c r="F74" s="38"/>
      <c r="G74" s="37" t="str">
        <f t="shared" si="12"/>
        <v/>
      </c>
      <c r="H74" s="60" t="str">
        <f t="shared" si="8"/>
        <v/>
      </c>
      <c r="I74" s="38"/>
      <c r="J74" s="38"/>
      <c r="K74" s="39"/>
      <c r="L74" s="62"/>
      <c r="M74" s="69" t="str">
        <f>IF(AND(A74="",B74=""),"",COUNTIF(数据!$F$3:$F$999,A74))</f>
        <v/>
      </c>
      <c r="N74" s="69" t="str">
        <f>IF(AND(A74="",B74=""),"",SUMIF(数据!$F$3:$F$999,A74,数据!$D$3:$D$999))</f>
        <v/>
      </c>
      <c r="O74" s="69" t="str">
        <f>IF(AND(A74="",B74=""),"",SUMIF(数据!$F$3:$F$999,A74,数据!$L$3:$L$999))</f>
        <v/>
      </c>
      <c r="P74" s="81" t="str">
        <f>IF(AND(A74="",B74=""),"",SUMIF(数据!$F$3:$F$999,A74,数据!$M$3:$M$999))</f>
        <v/>
      </c>
      <c r="Q74" s="78"/>
      <c r="S74" s="74" t="str">
        <f t="shared" si="9"/>
        <v/>
      </c>
      <c r="T74" s="75" t="str">
        <f t="shared" si="10"/>
        <v/>
      </c>
      <c r="U74" s="74" t="str">
        <f t="shared" si="11"/>
        <v/>
      </c>
    </row>
    <row r="75" spans="1:21" ht="19.9" customHeight="1">
      <c r="A75" s="37"/>
      <c r="B75" s="37"/>
      <c r="C75" s="38"/>
      <c r="D75" s="37"/>
      <c r="E75" s="37" t="str">
        <f t="shared" si="7"/>
        <v/>
      </c>
      <c r="F75" s="38"/>
      <c r="G75" s="37" t="str">
        <f t="shared" si="12"/>
        <v/>
      </c>
      <c r="H75" s="60" t="str">
        <f t="shared" si="8"/>
        <v/>
      </c>
      <c r="I75" s="38"/>
      <c r="J75" s="38"/>
      <c r="K75" s="39"/>
      <c r="L75" s="62"/>
      <c r="M75" s="69" t="str">
        <f>IF(AND(A75="",B75=""),"",COUNTIF(数据!$F$3:$F$999,A75))</f>
        <v/>
      </c>
      <c r="N75" s="69" t="str">
        <f>IF(AND(A75="",B75=""),"",SUMIF(数据!$F$3:$F$999,A75,数据!$D$3:$D$999))</f>
        <v/>
      </c>
      <c r="O75" s="69" t="str">
        <f>IF(AND(A75="",B75=""),"",SUMIF(数据!$F$3:$F$999,A75,数据!$L$3:$L$999))</f>
        <v/>
      </c>
      <c r="P75" s="81" t="str">
        <f>IF(AND(A75="",B75=""),"",SUMIF(数据!$F$3:$F$999,A75,数据!$M$3:$M$999))</f>
        <v/>
      </c>
      <c r="Q75" s="78"/>
      <c r="S75" s="74" t="str">
        <f t="shared" si="9"/>
        <v/>
      </c>
      <c r="T75" s="75" t="str">
        <f t="shared" si="10"/>
        <v/>
      </c>
      <c r="U75" s="74" t="str">
        <f t="shared" si="11"/>
        <v/>
      </c>
    </row>
    <row r="76" spans="1:21" ht="19.9" customHeight="1">
      <c r="A76" s="37"/>
      <c r="B76" s="37"/>
      <c r="C76" s="38"/>
      <c r="D76" s="37"/>
      <c r="E76" s="37" t="str">
        <f t="shared" si="7"/>
        <v/>
      </c>
      <c r="F76" s="38"/>
      <c r="G76" s="37" t="str">
        <f t="shared" si="12"/>
        <v/>
      </c>
      <c r="H76" s="60" t="str">
        <f t="shared" si="8"/>
        <v/>
      </c>
      <c r="I76" s="38"/>
      <c r="J76" s="38"/>
      <c r="K76" s="39"/>
      <c r="L76" s="62"/>
      <c r="M76" s="69" t="str">
        <f>IF(AND(A76="",B76=""),"",COUNTIF(数据!$F$3:$F$999,A76))</f>
        <v/>
      </c>
      <c r="N76" s="69" t="str">
        <f>IF(AND(A76="",B76=""),"",SUMIF(数据!$F$3:$F$999,A76,数据!$D$3:$D$999))</f>
        <v/>
      </c>
      <c r="O76" s="69" t="str">
        <f>IF(AND(A76="",B76=""),"",SUMIF(数据!$F$3:$F$999,A76,数据!$L$3:$L$999))</f>
        <v/>
      </c>
      <c r="P76" s="81" t="str">
        <f>IF(AND(A76="",B76=""),"",SUMIF(数据!$F$3:$F$999,A76,数据!$M$3:$M$999))</f>
        <v/>
      </c>
      <c r="Q76" s="78"/>
      <c r="S76" s="74" t="str">
        <f t="shared" si="9"/>
        <v/>
      </c>
      <c r="T76" s="75" t="str">
        <f t="shared" si="10"/>
        <v/>
      </c>
      <c r="U76" s="74" t="str">
        <f t="shared" si="11"/>
        <v/>
      </c>
    </row>
    <row r="77" spans="1:21" ht="19.9" customHeight="1">
      <c r="A77" s="37"/>
      <c r="B77" s="37"/>
      <c r="C77" s="38"/>
      <c r="D77" s="37"/>
      <c r="E77" s="37" t="str">
        <f t="shared" si="7"/>
        <v/>
      </c>
      <c r="F77" s="38"/>
      <c r="G77" s="37" t="str">
        <f t="shared" si="12"/>
        <v/>
      </c>
      <c r="H77" s="60" t="str">
        <f t="shared" si="8"/>
        <v/>
      </c>
      <c r="I77" s="38"/>
      <c r="J77" s="38"/>
      <c r="K77" s="39"/>
      <c r="L77" s="62"/>
      <c r="M77" s="69" t="str">
        <f>IF(AND(A77="",B77=""),"",COUNTIF(数据!$F$3:$F$999,A77))</f>
        <v/>
      </c>
      <c r="N77" s="69" t="str">
        <f>IF(AND(A77="",B77=""),"",SUMIF(数据!$F$3:$F$999,A77,数据!$D$3:$D$999))</f>
        <v/>
      </c>
      <c r="O77" s="69" t="str">
        <f>IF(AND(A77="",B77=""),"",SUMIF(数据!$F$3:$F$999,A77,数据!$L$3:$L$999))</f>
        <v/>
      </c>
      <c r="P77" s="81" t="str">
        <f>IF(AND(A77="",B77=""),"",SUMIF(数据!$F$3:$F$999,A77,数据!$M$3:$M$999))</f>
        <v/>
      </c>
      <c r="Q77" s="78"/>
      <c r="S77" s="74" t="str">
        <f t="shared" si="9"/>
        <v/>
      </c>
      <c r="T77" s="75" t="str">
        <f t="shared" si="10"/>
        <v/>
      </c>
      <c r="U77" s="74" t="str">
        <f t="shared" si="11"/>
        <v/>
      </c>
    </row>
    <row r="78" spans="1:21" ht="19.9" customHeight="1">
      <c r="A78" s="37"/>
      <c r="B78" s="37"/>
      <c r="C78" s="38"/>
      <c r="D78" s="37"/>
      <c r="E78" s="37" t="str">
        <f t="shared" si="7"/>
        <v/>
      </c>
      <c r="F78" s="38"/>
      <c r="G78" s="37" t="str">
        <f t="shared" si="12"/>
        <v/>
      </c>
      <c r="H78" s="60" t="str">
        <f t="shared" si="8"/>
        <v/>
      </c>
      <c r="I78" s="38"/>
      <c r="J78" s="38"/>
      <c r="K78" s="39"/>
      <c r="L78" s="62"/>
      <c r="M78" s="69" t="str">
        <f>IF(AND(A78="",B78=""),"",COUNTIF(数据!$F$3:$F$999,A78))</f>
        <v/>
      </c>
      <c r="N78" s="69" t="str">
        <f>IF(AND(A78="",B78=""),"",SUMIF(数据!$F$3:$F$999,A78,数据!$D$3:$D$999))</f>
        <v/>
      </c>
      <c r="O78" s="69" t="str">
        <f>IF(AND(A78="",B78=""),"",SUMIF(数据!$F$3:$F$999,A78,数据!$L$3:$L$999))</f>
        <v/>
      </c>
      <c r="P78" s="81" t="str">
        <f>IF(AND(A78="",B78=""),"",SUMIF(数据!$F$3:$F$999,A78,数据!$M$3:$M$999))</f>
        <v/>
      </c>
      <c r="Q78" s="78"/>
      <c r="S78" s="74" t="str">
        <f t="shared" si="9"/>
        <v/>
      </c>
      <c r="T78" s="75" t="str">
        <f t="shared" si="10"/>
        <v/>
      </c>
      <c r="U78" s="74" t="str">
        <f t="shared" si="11"/>
        <v/>
      </c>
    </row>
    <row r="79" spans="1:21" ht="19.9" customHeight="1">
      <c r="A79" s="37"/>
      <c r="B79" s="37"/>
      <c r="C79" s="38"/>
      <c r="D79" s="37"/>
      <c r="E79" s="37" t="str">
        <f t="shared" si="7"/>
        <v/>
      </c>
      <c r="F79" s="38"/>
      <c r="G79" s="37" t="str">
        <f t="shared" si="12"/>
        <v/>
      </c>
      <c r="H79" s="60" t="str">
        <f t="shared" si="8"/>
        <v/>
      </c>
      <c r="I79" s="38"/>
      <c r="J79" s="38"/>
      <c r="K79" s="39"/>
      <c r="L79" s="62"/>
      <c r="M79" s="69" t="str">
        <f>IF(AND(A79="",B79=""),"",COUNTIF(数据!$F$3:$F$999,A79))</f>
        <v/>
      </c>
      <c r="N79" s="69" t="str">
        <f>IF(AND(A79="",B79=""),"",SUMIF(数据!$F$3:$F$999,A79,数据!$D$3:$D$999))</f>
        <v/>
      </c>
      <c r="O79" s="69" t="str">
        <f>IF(AND(A79="",B79=""),"",SUMIF(数据!$F$3:$F$999,A79,数据!$L$3:$L$999))</f>
        <v/>
      </c>
      <c r="P79" s="81" t="str">
        <f>IF(AND(A79="",B79=""),"",SUMIF(数据!$F$3:$F$999,A79,数据!$M$3:$M$999))</f>
        <v/>
      </c>
      <c r="Q79" s="78"/>
      <c r="S79" s="74" t="str">
        <f t="shared" si="9"/>
        <v/>
      </c>
      <c r="T79" s="75" t="str">
        <f t="shared" si="10"/>
        <v/>
      </c>
      <c r="U79" s="74" t="str">
        <f t="shared" si="11"/>
        <v/>
      </c>
    </row>
    <row r="80" spans="1:21" ht="19.9" customHeight="1">
      <c r="A80" s="37"/>
      <c r="B80" s="37"/>
      <c r="C80" s="38"/>
      <c r="D80" s="37"/>
      <c r="E80" s="37" t="str">
        <f t="shared" si="7"/>
        <v/>
      </c>
      <c r="F80" s="38"/>
      <c r="G80" s="37" t="str">
        <f t="shared" si="12"/>
        <v/>
      </c>
      <c r="H80" s="60" t="str">
        <f t="shared" si="8"/>
        <v/>
      </c>
      <c r="I80" s="38"/>
      <c r="J80" s="38"/>
      <c r="K80" s="39"/>
      <c r="L80" s="62"/>
      <c r="M80" s="69" t="str">
        <f>IF(AND(A80="",B80=""),"",COUNTIF(数据!$F$3:$F$999,A80))</f>
        <v/>
      </c>
      <c r="N80" s="69" t="str">
        <f>IF(AND(A80="",B80=""),"",SUMIF(数据!$F$3:$F$999,A80,数据!$D$3:$D$999))</f>
        <v/>
      </c>
      <c r="O80" s="69" t="str">
        <f>IF(AND(A80="",B80=""),"",SUMIF(数据!$F$3:$F$999,A80,数据!$L$3:$L$999))</f>
        <v/>
      </c>
      <c r="P80" s="81" t="str">
        <f>IF(AND(A80="",B80=""),"",SUMIF(数据!$F$3:$F$999,A80,数据!$M$3:$M$999))</f>
        <v/>
      </c>
      <c r="Q80" s="78"/>
      <c r="S80" s="74" t="str">
        <f t="shared" si="9"/>
        <v/>
      </c>
      <c r="T80" s="75" t="str">
        <f t="shared" si="10"/>
        <v/>
      </c>
      <c r="U80" s="74" t="str">
        <f t="shared" si="11"/>
        <v/>
      </c>
    </row>
    <row r="81" spans="1:21" ht="19.9" customHeight="1">
      <c r="A81" s="37"/>
      <c r="B81" s="37"/>
      <c r="C81" s="38"/>
      <c r="D81" s="37"/>
      <c r="E81" s="37" t="str">
        <f t="shared" si="7"/>
        <v/>
      </c>
      <c r="F81" s="38"/>
      <c r="G81" s="37" t="str">
        <f t="shared" si="12"/>
        <v/>
      </c>
      <c r="H81" s="60" t="str">
        <f t="shared" si="8"/>
        <v/>
      </c>
      <c r="I81" s="38"/>
      <c r="J81" s="38"/>
      <c r="K81" s="39"/>
      <c r="L81" s="62"/>
      <c r="M81" s="69" t="str">
        <f>IF(AND(A81="",B81=""),"",COUNTIF(数据!$F$3:$F$999,A81))</f>
        <v/>
      </c>
      <c r="N81" s="69" t="str">
        <f>IF(AND(A81="",B81=""),"",SUMIF(数据!$F$3:$F$999,A81,数据!$D$3:$D$999))</f>
        <v/>
      </c>
      <c r="O81" s="69" t="str">
        <f>IF(AND(A81="",B81=""),"",SUMIF(数据!$F$3:$F$999,A81,数据!$L$3:$L$999))</f>
        <v/>
      </c>
      <c r="P81" s="81" t="str">
        <f>IF(AND(A81="",B81=""),"",SUMIF(数据!$F$3:$F$999,A81,数据!$M$3:$M$999))</f>
        <v/>
      </c>
      <c r="Q81" s="78"/>
      <c r="S81" s="74" t="str">
        <f t="shared" si="9"/>
        <v/>
      </c>
      <c r="T81" s="75" t="str">
        <f t="shared" si="10"/>
        <v/>
      </c>
      <c r="U81" s="74" t="str">
        <f t="shared" si="11"/>
        <v/>
      </c>
    </row>
    <row r="82" spans="1:21" ht="19.9" customHeight="1">
      <c r="A82" s="37"/>
      <c r="B82" s="37"/>
      <c r="C82" s="38"/>
      <c r="D82" s="37"/>
      <c r="E82" s="37" t="str">
        <f t="shared" si="7"/>
        <v/>
      </c>
      <c r="F82" s="38"/>
      <c r="G82" s="37" t="str">
        <f t="shared" si="12"/>
        <v/>
      </c>
      <c r="H82" s="60" t="str">
        <f t="shared" si="8"/>
        <v/>
      </c>
      <c r="I82" s="38"/>
      <c r="J82" s="38"/>
      <c r="K82" s="39"/>
      <c r="L82" s="62"/>
      <c r="M82" s="69" t="str">
        <f>IF(AND(A82="",B82=""),"",COUNTIF(数据!$F$3:$F$999,A82))</f>
        <v/>
      </c>
      <c r="N82" s="69" t="str">
        <f>IF(AND(A82="",B82=""),"",SUMIF(数据!$F$3:$F$999,A82,数据!$D$3:$D$999))</f>
        <v/>
      </c>
      <c r="O82" s="69" t="str">
        <f>IF(AND(A82="",B82=""),"",SUMIF(数据!$F$3:$F$999,A82,数据!$L$3:$L$999))</f>
        <v/>
      </c>
      <c r="P82" s="81" t="str">
        <f>IF(AND(A82="",B82=""),"",SUMIF(数据!$F$3:$F$999,A82,数据!$M$3:$M$999))</f>
        <v/>
      </c>
      <c r="Q82" s="78"/>
      <c r="S82" s="74" t="str">
        <f t="shared" si="9"/>
        <v/>
      </c>
      <c r="T82" s="75" t="str">
        <f t="shared" si="10"/>
        <v/>
      </c>
      <c r="U82" s="74" t="str">
        <f t="shared" si="11"/>
        <v/>
      </c>
    </row>
    <row r="83" spans="1:21" ht="19.9" customHeight="1">
      <c r="A83" s="37"/>
      <c r="B83" s="37"/>
      <c r="C83" s="38"/>
      <c r="D83" s="37"/>
      <c r="E83" s="37" t="str">
        <f t="shared" si="7"/>
        <v/>
      </c>
      <c r="F83" s="38"/>
      <c r="G83" s="37" t="str">
        <f t="shared" si="12"/>
        <v/>
      </c>
      <c r="H83" s="60" t="str">
        <f t="shared" si="8"/>
        <v/>
      </c>
      <c r="I83" s="38"/>
      <c r="J83" s="38"/>
      <c r="K83" s="39"/>
      <c r="L83" s="62"/>
      <c r="M83" s="69" t="str">
        <f>IF(AND(A83="",B83=""),"",COUNTIF(数据!$F$3:$F$999,A83))</f>
        <v/>
      </c>
      <c r="N83" s="69" t="str">
        <f>IF(AND(A83="",B83=""),"",SUMIF(数据!$F$3:$F$999,A83,数据!$D$3:$D$999))</f>
        <v/>
      </c>
      <c r="O83" s="69" t="str">
        <f>IF(AND(A83="",B83=""),"",SUMIF(数据!$F$3:$F$999,A83,数据!$L$3:$L$999))</f>
        <v/>
      </c>
      <c r="P83" s="81" t="str">
        <f>IF(AND(A83="",B83=""),"",SUMIF(数据!$F$3:$F$999,A83,数据!$M$3:$M$999))</f>
        <v/>
      </c>
      <c r="Q83" s="78"/>
      <c r="S83" s="74" t="str">
        <f t="shared" si="9"/>
        <v/>
      </c>
      <c r="T83" s="75" t="str">
        <f t="shared" si="10"/>
        <v/>
      </c>
      <c r="U83" s="74" t="str">
        <f t="shared" si="11"/>
        <v/>
      </c>
    </row>
    <row r="84" spans="1:21" ht="19.9" customHeight="1">
      <c r="A84" s="37"/>
      <c r="B84" s="37"/>
      <c r="C84" s="38"/>
      <c r="D84" s="37"/>
      <c r="E84" s="37" t="str">
        <f t="shared" si="7"/>
        <v/>
      </c>
      <c r="F84" s="38"/>
      <c r="G84" s="37" t="str">
        <f t="shared" si="12"/>
        <v/>
      </c>
      <c r="H84" s="60" t="str">
        <f t="shared" si="8"/>
        <v/>
      </c>
      <c r="I84" s="38"/>
      <c r="J84" s="38"/>
      <c r="K84" s="39"/>
      <c r="L84" s="62"/>
      <c r="M84" s="69" t="str">
        <f>IF(AND(A84="",B84=""),"",COUNTIF(数据!$F$3:$F$999,A84))</f>
        <v/>
      </c>
      <c r="N84" s="69" t="str">
        <f>IF(AND(A84="",B84=""),"",SUMIF(数据!$F$3:$F$999,A84,数据!$D$3:$D$999))</f>
        <v/>
      </c>
      <c r="O84" s="69" t="str">
        <f>IF(AND(A84="",B84=""),"",SUMIF(数据!$F$3:$F$999,A84,数据!$L$3:$L$999))</f>
        <v/>
      </c>
      <c r="P84" s="81" t="str">
        <f>IF(AND(A84="",B84=""),"",SUMIF(数据!$F$3:$F$999,A84,数据!$M$3:$M$999))</f>
        <v/>
      </c>
      <c r="Q84" s="78"/>
      <c r="S84" s="74" t="str">
        <f t="shared" si="9"/>
        <v/>
      </c>
      <c r="T84" s="75" t="str">
        <f t="shared" si="10"/>
        <v/>
      </c>
      <c r="U84" s="74" t="str">
        <f t="shared" si="11"/>
        <v/>
      </c>
    </row>
    <row r="85" spans="1:21" ht="19.9" customHeight="1">
      <c r="A85" s="37"/>
      <c r="B85" s="37"/>
      <c r="C85" s="38"/>
      <c r="D85" s="37"/>
      <c r="E85" s="37" t="str">
        <f t="shared" si="7"/>
        <v/>
      </c>
      <c r="F85" s="38"/>
      <c r="G85" s="37" t="str">
        <f t="shared" si="12"/>
        <v/>
      </c>
      <c r="H85" s="60" t="str">
        <f t="shared" si="8"/>
        <v/>
      </c>
      <c r="I85" s="38"/>
      <c r="J85" s="38"/>
      <c r="K85" s="39"/>
      <c r="L85" s="62"/>
      <c r="M85" s="69" t="str">
        <f>IF(AND(A85="",B85=""),"",COUNTIF(数据!$F$3:$F$999,A85))</f>
        <v/>
      </c>
      <c r="N85" s="69" t="str">
        <f>IF(AND(A85="",B85=""),"",SUMIF(数据!$F$3:$F$999,A85,数据!$D$3:$D$999))</f>
        <v/>
      </c>
      <c r="O85" s="69" t="str">
        <f>IF(AND(A85="",B85=""),"",SUMIF(数据!$F$3:$F$999,A85,数据!$L$3:$L$999))</f>
        <v/>
      </c>
      <c r="P85" s="81" t="str">
        <f>IF(AND(A85="",B85=""),"",SUMIF(数据!$F$3:$F$999,A85,数据!$M$3:$M$999))</f>
        <v/>
      </c>
      <c r="Q85" s="78"/>
      <c r="S85" s="74" t="str">
        <f t="shared" si="9"/>
        <v/>
      </c>
      <c r="T85" s="75" t="str">
        <f t="shared" si="10"/>
        <v/>
      </c>
      <c r="U85" s="74" t="str">
        <f t="shared" si="11"/>
        <v/>
      </c>
    </row>
    <row r="86" spans="1:21" ht="19.9" customHeight="1">
      <c r="A86" s="37"/>
      <c r="B86" s="37"/>
      <c r="C86" s="38"/>
      <c r="D86" s="37"/>
      <c r="E86" s="37" t="str">
        <f t="shared" si="7"/>
        <v/>
      </c>
      <c r="F86" s="38"/>
      <c r="G86" s="37" t="str">
        <f t="shared" si="12"/>
        <v/>
      </c>
      <c r="H86" s="60" t="str">
        <f t="shared" si="8"/>
        <v/>
      </c>
      <c r="I86" s="38"/>
      <c r="J86" s="38"/>
      <c r="K86" s="39"/>
      <c r="L86" s="62"/>
      <c r="M86" s="69" t="str">
        <f>IF(AND(A86="",B86=""),"",COUNTIF(数据!$F$3:$F$999,A86))</f>
        <v/>
      </c>
      <c r="N86" s="69" t="str">
        <f>IF(AND(A86="",B86=""),"",SUMIF(数据!$F$3:$F$999,A86,数据!$D$3:$D$999))</f>
        <v/>
      </c>
      <c r="O86" s="69" t="str">
        <f>IF(AND(A86="",B86=""),"",SUMIF(数据!$F$3:$F$999,A86,数据!$L$3:$L$999))</f>
        <v/>
      </c>
      <c r="P86" s="81" t="str">
        <f>IF(AND(A86="",B86=""),"",SUMIF(数据!$F$3:$F$999,A86,数据!$M$3:$M$999))</f>
        <v/>
      </c>
      <c r="Q86" s="78"/>
      <c r="S86" s="74" t="str">
        <f t="shared" si="9"/>
        <v/>
      </c>
      <c r="T86" s="75" t="str">
        <f t="shared" si="10"/>
        <v/>
      </c>
      <c r="U86" s="74" t="str">
        <f t="shared" si="11"/>
        <v/>
      </c>
    </row>
    <row r="87" spans="1:21" ht="19.9" customHeight="1">
      <c r="A87" s="37"/>
      <c r="B87" s="37"/>
      <c r="C87" s="38"/>
      <c r="D87" s="37"/>
      <c r="E87" s="37" t="str">
        <f t="shared" si="7"/>
        <v/>
      </c>
      <c r="F87" s="38"/>
      <c r="G87" s="37" t="str">
        <f t="shared" si="12"/>
        <v/>
      </c>
      <c r="H87" s="60" t="str">
        <f t="shared" si="8"/>
        <v/>
      </c>
      <c r="I87" s="38"/>
      <c r="J87" s="38"/>
      <c r="K87" s="39"/>
      <c r="L87" s="62"/>
      <c r="M87" s="69" t="str">
        <f>IF(AND(A87="",B87=""),"",COUNTIF(数据!$F$3:$F$999,A87))</f>
        <v/>
      </c>
      <c r="N87" s="69" t="str">
        <f>IF(AND(A87="",B87=""),"",SUMIF(数据!$F$3:$F$999,A87,数据!$D$3:$D$999))</f>
        <v/>
      </c>
      <c r="O87" s="69" t="str">
        <f>IF(AND(A87="",B87=""),"",SUMIF(数据!$F$3:$F$999,A87,数据!$L$3:$L$999))</f>
        <v/>
      </c>
      <c r="P87" s="81" t="str">
        <f>IF(AND(A87="",B87=""),"",SUMIF(数据!$F$3:$F$999,A87,数据!$M$3:$M$999))</f>
        <v/>
      </c>
      <c r="Q87" s="78"/>
      <c r="S87" s="74" t="str">
        <f t="shared" si="9"/>
        <v/>
      </c>
      <c r="T87" s="75" t="str">
        <f t="shared" si="10"/>
        <v/>
      </c>
      <c r="U87" s="74" t="str">
        <f t="shared" si="11"/>
        <v/>
      </c>
    </row>
    <row r="88" spans="1:21" ht="19.9" customHeight="1">
      <c r="A88" s="37"/>
      <c r="B88" s="37"/>
      <c r="C88" s="38"/>
      <c r="D88" s="37"/>
      <c r="E88" s="37" t="str">
        <f t="shared" si="7"/>
        <v/>
      </c>
      <c r="F88" s="38"/>
      <c r="G88" s="37" t="str">
        <f t="shared" si="12"/>
        <v/>
      </c>
      <c r="H88" s="60" t="str">
        <f t="shared" si="8"/>
        <v/>
      </c>
      <c r="I88" s="38"/>
      <c r="J88" s="38"/>
      <c r="K88" s="39"/>
      <c r="L88" s="62"/>
      <c r="M88" s="69" t="str">
        <f>IF(AND(A88="",B88=""),"",COUNTIF(数据!$F$3:$F$999,A88))</f>
        <v/>
      </c>
      <c r="N88" s="69" t="str">
        <f>IF(AND(A88="",B88=""),"",SUMIF(数据!$F$3:$F$999,A88,数据!$D$3:$D$999))</f>
        <v/>
      </c>
      <c r="O88" s="69" t="str">
        <f>IF(AND(A88="",B88=""),"",SUMIF(数据!$F$3:$F$999,A88,数据!$L$3:$L$999))</f>
        <v/>
      </c>
      <c r="P88" s="81" t="str">
        <f>IF(AND(A88="",B88=""),"",SUMIF(数据!$F$3:$F$999,A88,数据!$M$3:$M$999))</f>
        <v/>
      </c>
      <c r="Q88" s="78"/>
      <c r="S88" s="74" t="str">
        <f t="shared" si="9"/>
        <v/>
      </c>
      <c r="T88" s="75" t="str">
        <f t="shared" si="10"/>
        <v/>
      </c>
      <c r="U88" s="74" t="str">
        <f t="shared" si="11"/>
        <v/>
      </c>
    </row>
    <row r="89" spans="1:21" ht="19.9" customHeight="1">
      <c r="A89" s="37"/>
      <c r="B89" s="37"/>
      <c r="C89" s="38"/>
      <c r="D89" s="37"/>
      <c r="E89" s="37" t="str">
        <f t="shared" si="7"/>
        <v/>
      </c>
      <c r="F89" s="38"/>
      <c r="G89" s="37" t="str">
        <f t="shared" si="12"/>
        <v/>
      </c>
      <c r="H89" s="60" t="str">
        <f t="shared" si="8"/>
        <v/>
      </c>
      <c r="I89" s="38"/>
      <c r="J89" s="38"/>
      <c r="K89" s="39"/>
      <c r="L89" s="62"/>
      <c r="M89" s="69" t="str">
        <f>IF(AND(A89="",B89=""),"",COUNTIF(数据!$F$3:$F$999,A89))</f>
        <v/>
      </c>
      <c r="N89" s="69" t="str">
        <f>IF(AND(A89="",B89=""),"",SUMIF(数据!$F$3:$F$999,A89,数据!$D$3:$D$999))</f>
        <v/>
      </c>
      <c r="O89" s="69" t="str">
        <f>IF(AND(A89="",B89=""),"",SUMIF(数据!$F$3:$F$999,A89,数据!$L$3:$L$999))</f>
        <v/>
      </c>
      <c r="P89" s="81" t="str">
        <f>IF(AND(A89="",B89=""),"",SUMIF(数据!$F$3:$F$999,A89,数据!$M$3:$M$999))</f>
        <v/>
      </c>
      <c r="Q89" s="78"/>
      <c r="S89" s="74" t="str">
        <f t="shared" si="9"/>
        <v/>
      </c>
      <c r="T89" s="75" t="str">
        <f t="shared" si="10"/>
        <v/>
      </c>
      <c r="U89" s="74" t="str">
        <f t="shared" si="11"/>
        <v/>
      </c>
    </row>
    <row r="90" spans="1:21" ht="19.9" customHeight="1">
      <c r="A90" s="37"/>
      <c r="B90" s="37"/>
      <c r="C90" s="38"/>
      <c r="D90" s="37"/>
      <c r="E90" s="37" t="str">
        <f t="shared" si="7"/>
        <v/>
      </c>
      <c r="F90" s="38"/>
      <c r="G90" s="37" t="str">
        <f t="shared" si="12"/>
        <v/>
      </c>
      <c r="H90" s="60" t="str">
        <f t="shared" si="8"/>
        <v/>
      </c>
      <c r="I90" s="38"/>
      <c r="J90" s="38"/>
      <c r="K90" s="39"/>
      <c r="L90" s="62"/>
      <c r="M90" s="69" t="str">
        <f>IF(AND(A90="",B90=""),"",COUNTIF(数据!$F$3:$F$999,A90))</f>
        <v/>
      </c>
      <c r="N90" s="69" t="str">
        <f>IF(AND(A90="",B90=""),"",SUMIF(数据!$F$3:$F$999,A90,数据!$D$3:$D$999))</f>
        <v/>
      </c>
      <c r="O90" s="69" t="str">
        <f>IF(AND(A90="",B90=""),"",SUMIF(数据!$F$3:$F$999,A90,数据!$L$3:$L$999))</f>
        <v/>
      </c>
      <c r="P90" s="81" t="str">
        <f>IF(AND(A90="",B90=""),"",SUMIF(数据!$F$3:$F$999,A90,数据!$M$3:$M$999))</f>
        <v/>
      </c>
      <c r="Q90" s="78"/>
      <c r="S90" s="74" t="str">
        <f t="shared" si="9"/>
        <v/>
      </c>
      <c r="T90" s="75" t="str">
        <f t="shared" si="10"/>
        <v/>
      </c>
      <c r="U90" s="74" t="str">
        <f t="shared" si="11"/>
        <v/>
      </c>
    </row>
    <row r="91" spans="1:21" ht="19.9" customHeight="1">
      <c r="A91" s="37"/>
      <c r="B91" s="37"/>
      <c r="C91" s="38"/>
      <c r="D91" s="37"/>
      <c r="E91" s="37" t="str">
        <f t="shared" si="7"/>
        <v/>
      </c>
      <c r="F91" s="38"/>
      <c r="G91" s="37" t="str">
        <f t="shared" si="12"/>
        <v/>
      </c>
      <c r="H91" s="60" t="str">
        <f t="shared" si="8"/>
        <v/>
      </c>
      <c r="I91" s="38"/>
      <c r="J91" s="38"/>
      <c r="K91" s="39"/>
      <c r="L91" s="62"/>
      <c r="M91" s="69" t="str">
        <f>IF(AND(A91="",B91=""),"",COUNTIF(数据!$F$3:$F$999,A91))</f>
        <v/>
      </c>
      <c r="N91" s="69" t="str">
        <f>IF(AND(A91="",B91=""),"",SUMIF(数据!$F$3:$F$999,A91,数据!$D$3:$D$999))</f>
        <v/>
      </c>
      <c r="O91" s="69" t="str">
        <f>IF(AND(A91="",B91=""),"",SUMIF(数据!$F$3:$F$999,A91,数据!$L$3:$L$999))</f>
        <v/>
      </c>
      <c r="P91" s="81" t="str">
        <f>IF(AND(A91="",B91=""),"",SUMIF(数据!$F$3:$F$999,A91,数据!$M$3:$M$999))</f>
        <v/>
      </c>
      <c r="Q91" s="78"/>
      <c r="S91" s="74" t="str">
        <f t="shared" si="9"/>
        <v/>
      </c>
      <c r="T91" s="75" t="str">
        <f t="shared" si="10"/>
        <v/>
      </c>
      <c r="U91" s="74" t="str">
        <f t="shared" si="11"/>
        <v/>
      </c>
    </row>
    <row r="92" spans="1:21" ht="19.9" customHeight="1">
      <c r="A92" s="37"/>
      <c r="B92" s="37"/>
      <c r="C92" s="38"/>
      <c r="D92" s="37"/>
      <c r="E92" s="37" t="str">
        <f t="shared" si="7"/>
        <v/>
      </c>
      <c r="F92" s="38"/>
      <c r="G92" s="37" t="str">
        <f t="shared" si="12"/>
        <v/>
      </c>
      <c r="H92" s="60" t="str">
        <f t="shared" si="8"/>
        <v/>
      </c>
      <c r="I92" s="38"/>
      <c r="J92" s="38"/>
      <c r="K92" s="39"/>
      <c r="L92" s="62"/>
      <c r="M92" s="69" t="str">
        <f>IF(AND(A92="",B92=""),"",COUNTIF(数据!$F$3:$F$999,A92))</f>
        <v/>
      </c>
      <c r="N92" s="69" t="str">
        <f>IF(AND(A92="",B92=""),"",SUMIF(数据!$F$3:$F$999,A92,数据!$D$3:$D$999))</f>
        <v/>
      </c>
      <c r="O92" s="69" t="str">
        <f>IF(AND(A92="",B92=""),"",SUMIF(数据!$F$3:$F$999,A92,数据!$L$3:$L$999))</f>
        <v/>
      </c>
      <c r="P92" s="81" t="str">
        <f>IF(AND(A92="",B92=""),"",SUMIF(数据!$F$3:$F$999,A92,数据!$M$3:$M$999))</f>
        <v/>
      </c>
      <c r="Q92" s="78"/>
      <c r="S92" s="74" t="str">
        <f t="shared" si="9"/>
        <v/>
      </c>
      <c r="T92" s="75" t="str">
        <f t="shared" si="10"/>
        <v/>
      </c>
      <c r="U92" s="74" t="str">
        <f t="shared" si="11"/>
        <v/>
      </c>
    </row>
    <row r="93" spans="1:21" ht="19.9" customHeight="1">
      <c r="A93" s="37"/>
      <c r="B93" s="37"/>
      <c r="C93" s="38"/>
      <c r="D93" s="37"/>
      <c r="E93" s="37" t="str">
        <f t="shared" si="7"/>
        <v/>
      </c>
      <c r="F93" s="38"/>
      <c r="G93" s="37" t="str">
        <f t="shared" si="12"/>
        <v/>
      </c>
      <c r="H93" s="60" t="str">
        <f t="shared" si="8"/>
        <v/>
      </c>
      <c r="I93" s="38"/>
      <c r="J93" s="38"/>
      <c r="K93" s="39"/>
      <c r="L93" s="62"/>
      <c r="M93" s="69" t="str">
        <f>IF(AND(A93="",B93=""),"",COUNTIF(数据!$F$3:$F$999,A93))</f>
        <v/>
      </c>
      <c r="N93" s="69" t="str">
        <f>IF(AND(A93="",B93=""),"",SUMIF(数据!$F$3:$F$999,A93,数据!$D$3:$D$999))</f>
        <v/>
      </c>
      <c r="O93" s="69" t="str">
        <f>IF(AND(A93="",B93=""),"",SUMIF(数据!$F$3:$F$999,A93,数据!$L$3:$L$999))</f>
        <v/>
      </c>
      <c r="P93" s="81" t="str">
        <f>IF(AND(A93="",B93=""),"",SUMIF(数据!$F$3:$F$999,A93,数据!$M$3:$M$999))</f>
        <v/>
      </c>
      <c r="Q93" s="78"/>
      <c r="S93" s="74" t="str">
        <f t="shared" si="9"/>
        <v/>
      </c>
      <c r="T93" s="75" t="str">
        <f t="shared" si="10"/>
        <v/>
      </c>
      <c r="U93" s="74" t="str">
        <f t="shared" si="11"/>
        <v/>
      </c>
    </row>
    <row r="94" spans="1:21" ht="19.9" customHeight="1">
      <c r="A94" s="37"/>
      <c r="B94" s="37"/>
      <c r="C94" s="38"/>
      <c r="D94" s="37"/>
      <c r="E94" s="37" t="str">
        <f t="shared" si="7"/>
        <v/>
      </c>
      <c r="F94" s="38"/>
      <c r="G94" s="37" t="str">
        <f t="shared" si="12"/>
        <v/>
      </c>
      <c r="H94" s="60" t="str">
        <f t="shared" si="8"/>
        <v/>
      </c>
      <c r="I94" s="38"/>
      <c r="J94" s="38"/>
      <c r="K94" s="39"/>
      <c r="L94" s="62"/>
      <c r="M94" s="69" t="str">
        <f>IF(AND(A94="",B94=""),"",COUNTIF(数据!$F$3:$F$999,A94))</f>
        <v/>
      </c>
      <c r="N94" s="69" t="str">
        <f>IF(AND(A94="",B94=""),"",SUMIF(数据!$F$3:$F$999,A94,数据!$D$3:$D$999))</f>
        <v/>
      </c>
      <c r="O94" s="69" t="str">
        <f>IF(AND(A94="",B94=""),"",SUMIF(数据!$F$3:$F$999,A94,数据!$L$3:$L$999))</f>
        <v/>
      </c>
      <c r="P94" s="81" t="str">
        <f>IF(AND(A94="",B94=""),"",SUMIF(数据!$F$3:$F$999,A94,数据!$M$3:$M$999))</f>
        <v/>
      </c>
      <c r="Q94" s="78"/>
      <c r="S94" s="74" t="str">
        <f t="shared" si="9"/>
        <v/>
      </c>
      <c r="T94" s="75" t="str">
        <f t="shared" si="10"/>
        <v/>
      </c>
      <c r="U94" s="74" t="str">
        <f t="shared" si="11"/>
        <v/>
      </c>
    </row>
    <row r="95" spans="1:21" ht="19.9" customHeight="1">
      <c r="A95" s="37"/>
      <c r="B95" s="37"/>
      <c r="C95" s="38"/>
      <c r="D95" s="37"/>
      <c r="E95" s="37" t="str">
        <f t="shared" si="7"/>
        <v/>
      </c>
      <c r="F95" s="38"/>
      <c r="G95" s="37" t="str">
        <f t="shared" si="12"/>
        <v/>
      </c>
      <c r="H95" s="60" t="str">
        <f t="shared" si="8"/>
        <v/>
      </c>
      <c r="I95" s="38"/>
      <c r="J95" s="38"/>
      <c r="K95" s="39"/>
      <c r="L95" s="62"/>
      <c r="M95" s="69" t="str">
        <f>IF(AND(A95="",B95=""),"",COUNTIF(数据!$F$3:$F$999,A95))</f>
        <v/>
      </c>
      <c r="N95" s="69" t="str">
        <f>IF(AND(A95="",B95=""),"",SUMIF(数据!$F$3:$F$999,A95,数据!$D$3:$D$999))</f>
        <v/>
      </c>
      <c r="O95" s="69" t="str">
        <f>IF(AND(A95="",B95=""),"",SUMIF(数据!$F$3:$F$999,A95,数据!$L$3:$L$999))</f>
        <v/>
      </c>
      <c r="P95" s="81" t="str">
        <f>IF(AND(A95="",B95=""),"",SUMIF(数据!$F$3:$F$999,A95,数据!$M$3:$M$999))</f>
        <v/>
      </c>
      <c r="Q95" s="78"/>
      <c r="S95" s="74" t="str">
        <f t="shared" si="9"/>
        <v/>
      </c>
      <c r="T95" s="75" t="str">
        <f t="shared" si="10"/>
        <v/>
      </c>
      <c r="U95" s="74" t="str">
        <f t="shared" si="11"/>
        <v/>
      </c>
    </row>
    <row r="96" spans="1:21" ht="19.9" customHeight="1">
      <c r="A96" s="37"/>
      <c r="B96" s="37"/>
      <c r="C96" s="38"/>
      <c r="D96" s="37"/>
      <c r="E96" s="37" t="str">
        <f t="shared" si="7"/>
        <v/>
      </c>
      <c r="F96" s="38"/>
      <c r="G96" s="37" t="str">
        <f t="shared" si="12"/>
        <v/>
      </c>
      <c r="H96" s="60" t="str">
        <f t="shared" si="8"/>
        <v/>
      </c>
      <c r="I96" s="38"/>
      <c r="J96" s="38"/>
      <c r="K96" s="39"/>
      <c r="L96" s="62"/>
      <c r="M96" s="69" t="str">
        <f>IF(AND(A96="",B96=""),"",COUNTIF(数据!$F$3:$F$999,A96))</f>
        <v/>
      </c>
      <c r="N96" s="69" t="str">
        <f>IF(AND(A96="",B96=""),"",SUMIF(数据!$F$3:$F$999,A96,数据!$D$3:$D$999))</f>
        <v/>
      </c>
      <c r="O96" s="69" t="str">
        <f>IF(AND(A96="",B96=""),"",SUMIF(数据!$F$3:$F$999,A96,数据!$L$3:$L$999))</f>
        <v/>
      </c>
      <c r="P96" s="81" t="str">
        <f>IF(AND(A96="",B96=""),"",SUMIF(数据!$F$3:$F$999,A96,数据!$M$3:$M$999))</f>
        <v/>
      </c>
      <c r="Q96" s="78"/>
      <c r="S96" s="74" t="str">
        <f t="shared" si="9"/>
        <v/>
      </c>
      <c r="T96" s="75" t="str">
        <f t="shared" si="10"/>
        <v/>
      </c>
      <c r="U96" s="74" t="str">
        <f t="shared" si="11"/>
        <v/>
      </c>
    </row>
    <row r="97" spans="1:21" ht="19.9" customHeight="1">
      <c r="A97" s="37"/>
      <c r="B97" s="37"/>
      <c r="C97" s="38"/>
      <c r="D97" s="37"/>
      <c r="E97" s="37" t="str">
        <f t="shared" si="7"/>
        <v/>
      </c>
      <c r="F97" s="38"/>
      <c r="G97" s="37" t="str">
        <f t="shared" si="12"/>
        <v/>
      </c>
      <c r="H97" s="60" t="str">
        <f t="shared" si="8"/>
        <v/>
      </c>
      <c r="I97" s="38"/>
      <c r="J97" s="38"/>
      <c r="K97" s="39"/>
      <c r="L97" s="62"/>
      <c r="M97" s="69" t="str">
        <f>IF(AND(A97="",B97=""),"",COUNTIF(数据!$F$3:$F$999,A97))</f>
        <v/>
      </c>
      <c r="N97" s="69" t="str">
        <f>IF(AND(A97="",B97=""),"",SUMIF(数据!$F$3:$F$999,A97,数据!$D$3:$D$999))</f>
        <v/>
      </c>
      <c r="O97" s="69" t="str">
        <f>IF(AND(A97="",B97=""),"",SUMIF(数据!$F$3:$F$999,A97,数据!$L$3:$L$999))</f>
        <v/>
      </c>
      <c r="P97" s="81" t="str">
        <f>IF(AND(A97="",B97=""),"",SUMIF(数据!$F$3:$F$999,A97,数据!$M$3:$M$999))</f>
        <v/>
      </c>
      <c r="Q97" s="78"/>
      <c r="S97" s="74" t="str">
        <f t="shared" si="9"/>
        <v/>
      </c>
      <c r="T97" s="75" t="str">
        <f t="shared" si="10"/>
        <v/>
      </c>
      <c r="U97" s="74" t="str">
        <f t="shared" si="11"/>
        <v/>
      </c>
    </row>
    <row r="98" spans="1:21" ht="19.9" customHeight="1">
      <c r="A98" s="37"/>
      <c r="B98" s="37"/>
      <c r="C98" s="38"/>
      <c r="D98" s="37"/>
      <c r="E98" s="37" t="str">
        <f t="shared" si="7"/>
        <v/>
      </c>
      <c r="F98" s="38"/>
      <c r="G98" s="37" t="str">
        <f t="shared" si="12"/>
        <v/>
      </c>
      <c r="H98" s="60" t="str">
        <f t="shared" si="8"/>
        <v/>
      </c>
      <c r="I98" s="38"/>
      <c r="J98" s="38"/>
      <c r="K98" s="39"/>
      <c r="L98" s="62"/>
      <c r="M98" s="69" t="str">
        <f>IF(AND(A98="",B98=""),"",COUNTIF(数据!$F$3:$F$999,A98))</f>
        <v/>
      </c>
      <c r="N98" s="69" t="str">
        <f>IF(AND(A98="",B98=""),"",SUMIF(数据!$F$3:$F$999,A98,数据!$D$3:$D$999))</f>
        <v/>
      </c>
      <c r="O98" s="69" t="str">
        <f>IF(AND(A98="",B98=""),"",SUMIF(数据!$F$3:$F$999,A98,数据!$L$3:$L$999))</f>
        <v/>
      </c>
      <c r="P98" s="81" t="str">
        <f>IF(AND(A98="",B98=""),"",SUMIF(数据!$F$3:$F$999,A98,数据!$M$3:$M$999))</f>
        <v/>
      </c>
      <c r="Q98" s="78"/>
      <c r="S98" s="74" t="str">
        <f t="shared" si="9"/>
        <v/>
      </c>
      <c r="T98" s="75" t="str">
        <f t="shared" si="10"/>
        <v/>
      </c>
      <c r="U98" s="74" t="str">
        <f t="shared" si="11"/>
        <v/>
      </c>
    </row>
    <row r="99" spans="1:21" ht="19.9" customHeight="1">
      <c r="A99" s="37"/>
      <c r="B99" s="37"/>
      <c r="C99" s="38"/>
      <c r="D99" s="37"/>
      <c r="E99" s="37" t="str">
        <f t="shared" si="7"/>
        <v/>
      </c>
      <c r="F99" s="38"/>
      <c r="G99" s="37" t="str">
        <f t="shared" si="12"/>
        <v/>
      </c>
      <c r="H99" s="60" t="str">
        <f t="shared" si="8"/>
        <v/>
      </c>
      <c r="I99" s="38"/>
      <c r="J99" s="38"/>
      <c r="K99" s="39"/>
      <c r="L99" s="62"/>
      <c r="M99" s="69" t="str">
        <f>IF(AND(A99="",B99=""),"",COUNTIF(数据!$F$3:$F$999,A99))</f>
        <v/>
      </c>
      <c r="N99" s="69" t="str">
        <f>IF(AND(A99="",B99=""),"",SUMIF(数据!$F$3:$F$999,A99,数据!$D$3:$D$999))</f>
        <v/>
      </c>
      <c r="O99" s="69" t="str">
        <f>IF(AND(A99="",B99=""),"",SUMIF(数据!$F$3:$F$999,A99,数据!$L$3:$L$999))</f>
        <v/>
      </c>
      <c r="P99" s="81" t="str">
        <f>IF(AND(A99="",B99=""),"",SUMIF(数据!$F$3:$F$999,A99,数据!$M$3:$M$999))</f>
        <v/>
      </c>
      <c r="Q99" s="78"/>
      <c r="S99" s="74" t="str">
        <f t="shared" si="9"/>
        <v/>
      </c>
      <c r="T99" s="75" t="str">
        <f t="shared" si="10"/>
        <v/>
      </c>
      <c r="U99" s="74" t="str">
        <f t="shared" si="11"/>
        <v/>
      </c>
    </row>
    <row r="100" spans="1:21" ht="19.9" customHeight="1">
      <c r="A100" s="37"/>
      <c r="B100" s="37"/>
      <c r="C100" s="38"/>
      <c r="D100" s="37"/>
      <c r="E100" s="37" t="str">
        <f t="shared" si="7"/>
        <v/>
      </c>
      <c r="F100" s="38"/>
      <c r="G100" s="37" t="str">
        <f t="shared" si="12"/>
        <v/>
      </c>
      <c r="H100" s="60" t="str">
        <f t="shared" si="8"/>
        <v/>
      </c>
      <c r="I100" s="38"/>
      <c r="J100" s="38"/>
      <c r="K100" s="39"/>
      <c r="L100" s="62"/>
      <c r="M100" s="69" t="str">
        <f>IF(AND(A100="",B100=""),"",COUNTIF(数据!$F$3:$F$999,A100))</f>
        <v/>
      </c>
      <c r="N100" s="69" t="str">
        <f>IF(AND(A100="",B100=""),"",SUMIF(数据!$F$3:$F$999,A100,数据!$D$3:$D$999))</f>
        <v/>
      </c>
      <c r="O100" s="69" t="str">
        <f>IF(AND(A100="",B100=""),"",SUMIF(数据!$F$3:$F$999,A100,数据!$L$3:$L$999))</f>
        <v/>
      </c>
      <c r="P100" s="81" t="str">
        <f>IF(AND(A100="",B100=""),"",SUMIF(数据!$F$3:$F$999,A100,数据!$M$3:$M$999))</f>
        <v/>
      </c>
      <c r="Q100" s="78"/>
      <c r="S100" s="74" t="str">
        <f t="shared" si="9"/>
        <v/>
      </c>
      <c r="T100" s="75" t="str">
        <f t="shared" si="10"/>
        <v/>
      </c>
      <c r="U100" s="74" t="str">
        <f t="shared" si="11"/>
        <v/>
      </c>
    </row>
    <row r="101" spans="1:21" ht="19.9" customHeight="1">
      <c r="A101" s="37"/>
      <c r="B101" s="37"/>
      <c r="C101" s="38"/>
      <c r="D101" s="37"/>
      <c r="E101" s="37" t="str">
        <f t="shared" si="7"/>
        <v/>
      </c>
      <c r="F101" s="38"/>
      <c r="G101" s="37" t="str">
        <f t="shared" si="12"/>
        <v/>
      </c>
      <c r="H101" s="60" t="str">
        <f t="shared" si="8"/>
        <v/>
      </c>
      <c r="I101" s="38"/>
      <c r="J101" s="38"/>
      <c r="K101" s="39"/>
      <c r="L101" s="62"/>
      <c r="M101" s="69" t="str">
        <f>IF(AND(A101="",B101=""),"",COUNTIF(数据!$F$3:$F$999,A101))</f>
        <v/>
      </c>
      <c r="N101" s="69" t="str">
        <f>IF(AND(A101="",B101=""),"",SUMIF(数据!$F$3:$F$999,A101,数据!$D$3:$D$999))</f>
        <v/>
      </c>
      <c r="O101" s="69" t="str">
        <f>IF(AND(A101="",B101=""),"",SUMIF(数据!$F$3:$F$999,A101,数据!$L$3:$L$999))</f>
        <v/>
      </c>
      <c r="P101" s="81" t="str">
        <f>IF(AND(A101="",B101=""),"",SUMIF(数据!$F$3:$F$999,A101,数据!$M$3:$M$999))</f>
        <v/>
      </c>
      <c r="Q101" s="78"/>
      <c r="S101" s="74" t="str">
        <f t="shared" si="9"/>
        <v/>
      </c>
      <c r="T101" s="75" t="str">
        <f t="shared" si="10"/>
        <v/>
      </c>
      <c r="U101" s="74" t="str">
        <f t="shared" si="11"/>
        <v/>
      </c>
    </row>
    <row r="102" spans="1:21" ht="19.9" customHeight="1">
      <c r="A102" s="37"/>
      <c r="B102" s="37"/>
      <c r="C102" s="38"/>
      <c r="D102" s="37"/>
      <c r="E102" s="37" t="str">
        <f t="shared" si="7"/>
        <v/>
      </c>
      <c r="F102" s="38"/>
      <c r="G102" s="37" t="str">
        <f t="shared" si="12"/>
        <v/>
      </c>
      <c r="H102" s="60" t="str">
        <f t="shared" si="8"/>
        <v/>
      </c>
      <c r="I102" s="38"/>
      <c r="J102" s="38"/>
      <c r="K102" s="39"/>
      <c r="L102" s="62"/>
      <c r="M102" s="69" t="str">
        <f>IF(AND(A102="",B102=""),"",COUNTIF(数据!$F$3:$F$999,A102))</f>
        <v/>
      </c>
      <c r="N102" s="69" t="str">
        <f>IF(AND(A102="",B102=""),"",SUMIF(数据!$F$3:$F$999,A102,数据!$D$3:$D$999))</f>
        <v/>
      </c>
      <c r="O102" s="69" t="str">
        <f>IF(AND(A102="",B102=""),"",SUMIF(数据!$F$3:$F$999,A102,数据!$L$3:$L$999))</f>
        <v/>
      </c>
      <c r="P102" s="81" t="str">
        <f>IF(AND(A102="",B102=""),"",SUMIF(数据!$F$3:$F$999,A102,数据!$M$3:$M$999))</f>
        <v/>
      </c>
      <c r="Q102" s="78"/>
      <c r="S102" s="74" t="str">
        <f t="shared" si="9"/>
        <v/>
      </c>
      <c r="T102" s="75" t="str">
        <f t="shared" si="10"/>
        <v/>
      </c>
      <c r="U102" s="74" t="str">
        <f t="shared" si="11"/>
        <v/>
      </c>
    </row>
    <row r="103" spans="1:21" ht="19.9" customHeight="1">
      <c r="A103" s="37"/>
      <c r="B103" s="37"/>
      <c r="C103" s="38"/>
      <c r="D103" s="37"/>
      <c r="E103" s="37" t="str">
        <f t="shared" si="7"/>
        <v/>
      </c>
      <c r="F103" s="38"/>
      <c r="G103" s="37" t="str">
        <f t="shared" si="12"/>
        <v/>
      </c>
      <c r="H103" s="60" t="str">
        <f t="shared" si="8"/>
        <v/>
      </c>
      <c r="I103" s="38"/>
      <c r="J103" s="38"/>
      <c r="K103" s="39"/>
      <c r="L103" s="62"/>
      <c r="M103" s="69" t="str">
        <f>IF(AND(A103="",B103=""),"",COUNTIF(数据!$F$3:$F$999,A103))</f>
        <v/>
      </c>
      <c r="N103" s="69" t="str">
        <f>IF(AND(A103="",B103=""),"",SUMIF(数据!$F$3:$F$999,A103,数据!$D$3:$D$999))</f>
        <v/>
      </c>
      <c r="O103" s="69" t="str">
        <f>IF(AND(A103="",B103=""),"",SUMIF(数据!$F$3:$F$999,A103,数据!$L$3:$L$999))</f>
        <v/>
      </c>
      <c r="P103" s="81" t="str">
        <f>IF(AND(A103="",B103=""),"",SUMIF(数据!$F$3:$F$999,A103,数据!$M$3:$M$999))</f>
        <v/>
      </c>
      <c r="Q103" s="78"/>
      <c r="S103" s="74" t="str">
        <f t="shared" si="9"/>
        <v/>
      </c>
      <c r="T103" s="75" t="str">
        <f t="shared" si="10"/>
        <v/>
      </c>
      <c r="U103" s="74" t="str">
        <f t="shared" si="11"/>
        <v/>
      </c>
    </row>
    <row r="104" spans="1:21" ht="19.9" customHeight="1">
      <c r="A104" s="37"/>
      <c r="B104" s="37"/>
      <c r="C104" s="38"/>
      <c r="D104" s="37"/>
      <c r="E104" s="37" t="str">
        <f t="shared" si="7"/>
        <v/>
      </c>
      <c r="F104" s="38"/>
      <c r="G104" s="37" t="str">
        <f t="shared" si="12"/>
        <v/>
      </c>
      <c r="H104" s="60" t="str">
        <f t="shared" si="8"/>
        <v/>
      </c>
      <c r="I104" s="38"/>
      <c r="J104" s="38"/>
      <c r="K104" s="39"/>
      <c r="L104" s="62"/>
      <c r="M104" s="69" t="str">
        <f>IF(AND(A104="",B104=""),"",COUNTIF(数据!$F$3:$F$999,A104))</f>
        <v/>
      </c>
      <c r="N104" s="69" t="str">
        <f>IF(AND(A104="",B104=""),"",SUMIF(数据!$F$3:$F$999,A104,数据!$D$3:$D$999))</f>
        <v/>
      </c>
      <c r="O104" s="69" t="str">
        <f>IF(AND(A104="",B104=""),"",SUMIF(数据!$F$3:$F$999,A104,数据!$L$3:$L$999))</f>
        <v/>
      </c>
      <c r="P104" s="81" t="str">
        <f>IF(AND(A104="",B104=""),"",SUMIF(数据!$F$3:$F$999,A104,数据!$M$3:$M$999))</f>
        <v/>
      </c>
      <c r="Q104" s="78"/>
      <c r="S104" s="74" t="str">
        <f t="shared" si="9"/>
        <v/>
      </c>
      <c r="T104" s="75" t="str">
        <f t="shared" si="10"/>
        <v/>
      </c>
      <c r="U104" s="74" t="str">
        <f t="shared" si="11"/>
        <v/>
      </c>
    </row>
    <row r="105" spans="1:21" ht="19.9" customHeight="1">
      <c r="A105" s="37"/>
      <c r="B105" s="37"/>
      <c r="C105" s="38"/>
      <c r="D105" s="37"/>
      <c r="E105" s="37" t="str">
        <f t="shared" si="7"/>
        <v/>
      </c>
      <c r="F105" s="38"/>
      <c r="G105" s="37" t="str">
        <f t="shared" si="12"/>
        <v/>
      </c>
      <c r="H105" s="60" t="str">
        <f t="shared" si="8"/>
        <v/>
      </c>
      <c r="I105" s="38"/>
      <c r="J105" s="38"/>
      <c r="K105" s="39"/>
      <c r="L105" s="62"/>
      <c r="M105" s="69" t="str">
        <f>IF(AND(A105="",B105=""),"",COUNTIF(数据!$F$3:$F$999,A105))</f>
        <v/>
      </c>
      <c r="N105" s="69" t="str">
        <f>IF(AND(A105="",B105=""),"",SUMIF(数据!$F$3:$F$999,A105,数据!$D$3:$D$999))</f>
        <v/>
      </c>
      <c r="O105" s="69" t="str">
        <f>IF(AND(A105="",B105=""),"",SUMIF(数据!$F$3:$F$999,A105,数据!$L$3:$L$999))</f>
        <v/>
      </c>
      <c r="P105" s="81" t="str">
        <f>IF(AND(A105="",B105=""),"",SUMIF(数据!$F$3:$F$999,A105,数据!$M$3:$M$999))</f>
        <v/>
      </c>
      <c r="Q105" s="78"/>
      <c r="S105" s="74" t="str">
        <f t="shared" si="9"/>
        <v/>
      </c>
      <c r="T105" s="75" t="str">
        <f t="shared" si="10"/>
        <v/>
      </c>
      <c r="U105" s="74" t="str">
        <f t="shared" si="11"/>
        <v/>
      </c>
    </row>
    <row r="106" spans="1:21" ht="19.9" customHeight="1">
      <c r="A106" s="37"/>
      <c r="B106" s="37"/>
      <c r="C106" s="38"/>
      <c r="D106" s="37"/>
      <c r="E106" s="37" t="str">
        <f t="shared" si="7"/>
        <v/>
      </c>
      <c r="F106" s="38"/>
      <c r="G106" s="37" t="str">
        <f t="shared" si="12"/>
        <v/>
      </c>
      <c r="H106" s="60" t="str">
        <f t="shared" si="8"/>
        <v/>
      </c>
      <c r="I106" s="38"/>
      <c r="J106" s="38"/>
      <c r="K106" s="39"/>
      <c r="L106" s="62"/>
      <c r="M106" s="69" t="str">
        <f>IF(AND(A106="",B106=""),"",COUNTIF(数据!$F$3:$F$999,A106))</f>
        <v/>
      </c>
      <c r="N106" s="69" t="str">
        <f>IF(AND(A106="",B106=""),"",SUMIF(数据!$F$3:$F$999,A106,数据!$D$3:$D$999))</f>
        <v/>
      </c>
      <c r="O106" s="69" t="str">
        <f>IF(AND(A106="",B106=""),"",SUMIF(数据!$F$3:$F$999,A106,数据!$L$3:$L$999))</f>
        <v/>
      </c>
      <c r="P106" s="81" t="str">
        <f>IF(AND(A106="",B106=""),"",SUMIF(数据!$F$3:$F$999,A106,数据!$M$3:$M$999))</f>
        <v/>
      </c>
      <c r="Q106" s="78"/>
      <c r="S106" s="74" t="str">
        <f t="shared" si="9"/>
        <v/>
      </c>
      <c r="T106" s="75" t="str">
        <f t="shared" si="10"/>
        <v/>
      </c>
      <c r="U106" s="74" t="str">
        <f t="shared" si="11"/>
        <v/>
      </c>
    </row>
    <row r="107" spans="1:21" ht="19.9" customHeight="1">
      <c r="A107" s="37"/>
      <c r="B107" s="37"/>
      <c r="C107" s="38"/>
      <c r="D107" s="37"/>
      <c r="E107" s="37" t="str">
        <f t="shared" si="7"/>
        <v/>
      </c>
      <c r="F107" s="38"/>
      <c r="G107" s="37" t="str">
        <f t="shared" si="12"/>
        <v/>
      </c>
      <c r="H107" s="60" t="str">
        <f t="shared" si="8"/>
        <v/>
      </c>
      <c r="I107" s="38"/>
      <c r="J107" s="38"/>
      <c r="K107" s="39"/>
      <c r="L107" s="62"/>
      <c r="M107" s="69" t="str">
        <f>IF(AND(A107="",B107=""),"",COUNTIF(数据!$F$3:$F$999,A107))</f>
        <v/>
      </c>
      <c r="N107" s="69" t="str">
        <f>IF(AND(A107="",B107=""),"",SUMIF(数据!$F$3:$F$999,A107,数据!$D$3:$D$999))</f>
        <v/>
      </c>
      <c r="O107" s="69" t="str">
        <f>IF(AND(A107="",B107=""),"",SUMIF(数据!$F$3:$F$999,A107,数据!$L$3:$L$999))</f>
        <v/>
      </c>
      <c r="P107" s="81" t="str">
        <f>IF(AND(A107="",B107=""),"",SUMIF(数据!$F$3:$F$999,A107,数据!$M$3:$M$999))</f>
        <v/>
      </c>
      <c r="Q107" s="78"/>
      <c r="S107" s="74" t="str">
        <f t="shared" si="9"/>
        <v/>
      </c>
      <c r="T107" s="75" t="str">
        <f t="shared" si="10"/>
        <v/>
      </c>
      <c r="U107" s="74" t="str">
        <f t="shared" si="11"/>
        <v/>
      </c>
    </row>
    <row r="108" spans="1:21" ht="19.9" customHeight="1">
      <c r="A108" s="37"/>
      <c r="B108" s="37"/>
      <c r="C108" s="38"/>
      <c r="D108" s="37"/>
      <c r="E108" s="37" t="str">
        <f t="shared" si="7"/>
        <v/>
      </c>
      <c r="F108" s="38"/>
      <c r="G108" s="37" t="str">
        <f t="shared" si="12"/>
        <v/>
      </c>
      <c r="H108" s="60" t="str">
        <f t="shared" si="8"/>
        <v/>
      </c>
      <c r="I108" s="38"/>
      <c r="J108" s="38"/>
      <c r="K108" s="39"/>
      <c r="L108" s="62"/>
      <c r="M108" s="69" t="str">
        <f>IF(AND(A108="",B108=""),"",COUNTIF(数据!$F$3:$F$999,A108))</f>
        <v/>
      </c>
      <c r="N108" s="69" t="str">
        <f>IF(AND(A108="",B108=""),"",SUMIF(数据!$F$3:$F$999,A108,数据!$D$3:$D$999))</f>
        <v/>
      </c>
      <c r="O108" s="69" t="str">
        <f>IF(AND(A108="",B108=""),"",SUMIF(数据!$F$3:$F$999,A108,数据!$L$3:$L$999))</f>
        <v/>
      </c>
      <c r="P108" s="81" t="str">
        <f>IF(AND(A108="",B108=""),"",SUMIF(数据!$F$3:$F$999,A108,数据!$M$3:$M$999))</f>
        <v/>
      </c>
      <c r="Q108" s="78"/>
      <c r="S108" s="74" t="str">
        <f t="shared" si="9"/>
        <v/>
      </c>
      <c r="T108" s="75" t="str">
        <f t="shared" si="10"/>
        <v/>
      </c>
      <c r="U108" s="74" t="str">
        <f t="shared" si="11"/>
        <v/>
      </c>
    </row>
    <row r="109" spans="1:21" ht="19.9" customHeight="1">
      <c r="A109" s="37"/>
      <c r="B109" s="37"/>
      <c r="C109" s="38"/>
      <c r="D109" s="37"/>
      <c r="E109" s="37" t="str">
        <f t="shared" si="7"/>
        <v/>
      </c>
      <c r="F109" s="38"/>
      <c r="G109" s="37" t="str">
        <f t="shared" si="12"/>
        <v/>
      </c>
      <c r="H109" s="60" t="str">
        <f t="shared" si="8"/>
        <v/>
      </c>
      <c r="I109" s="38"/>
      <c r="J109" s="38"/>
      <c r="K109" s="39"/>
      <c r="L109" s="62"/>
      <c r="M109" s="69" t="str">
        <f>IF(AND(A109="",B109=""),"",COUNTIF(数据!$F$3:$F$999,A109))</f>
        <v/>
      </c>
      <c r="N109" s="69" t="str">
        <f>IF(AND(A109="",B109=""),"",SUMIF(数据!$F$3:$F$999,A109,数据!$D$3:$D$999))</f>
        <v/>
      </c>
      <c r="O109" s="69" t="str">
        <f>IF(AND(A109="",B109=""),"",SUMIF(数据!$F$3:$F$999,A109,数据!$L$3:$L$999))</f>
        <v/>
      </c>
      <c r="P109" s="81" t="str">
        <f>IF(AND(A109="",B109=""),"",SUMIF(数据!$F$3:$F$999,A109,数据!$M$3:$M$999))</f>
        <v/>
      </c>
      <c r="Q109" s="78"/>
      <c r="S109" s="74" t="str">
        <f t="shared" si="9"/>
        <v/>
      </c>
      <c r="T109" s="75" t="str">
        <f t="shared" si="10"/>
        <v/>
      </c>
      <c r="U109" s="74" t="str">
        <f t="shared" si="11"/>
        <v/>
      </c>
    </row>
    <row r="110" spans="1:21" ht="19.9" customHeight="1">
      <c r="A110" s="37"/>
      <c r="B110" s="37"/>
      <c r="C110" s="38"/>
      <c r="D110" s="37"/>
      <c r="E110" s="37" t="str">
        <f t="shared" si="7"/>
        <v/>
      </c>
      <c r="F110" s="38"/>
      <c r="G110" s="37" t="str">
        <f t="shared" si="12"/>
        <v/>
      </c>
      <c r="H110" s="60" t="str">
        <f t="shared" si="8"/>
        <v/>
      </c>
      <c r="I110" s="38"/>
      <c r="J110" s="38"/>
      <c r="K110" s="39"/>
      <c r="L110" s="62"/>
      <c r="M110" s="69" t="str">
        <f>IF(AND(A110="",B110=""),"",COUNTIF(数据!$F$3:$F$999,A110))</f>
        <v/>
      </c>
      <c r="N110" s="69" t="str">
        <f>IF(AND(A110="",B110=""),"",SUMIF(数据!$F$3:$F$999,A110,数据!$D$3:$D$999))</f>
        <v/>
      </c>
      <c r="O110" s="69" t="str">
        <f>IF(AND(A110="",B110=""),"",SUMIF(数据!$F$3:$F$999,A110,数据!$L$3:$L$999))</f>
        <v/>
      </c>
      <c r="P110" s="81" t="str">
        <f>IF(AND(A110="",B110=""),"",SUMIF(数据!$F$3:$F$999,A110,数据!$M$3:$M$999))</f>
        <v/>
      </c>
      <c r="Q110" s="78"/>
      <c r="S110" s="74" t="str">
        <f t="shared" si="9"/>
        <v/>
      </c>
      <c r="T110" s="75" t="str">
        <f t="shared" si="10"/>
        <v/>
      </c>
      <c r="U110" s="74" t="str">
        <f t="shared" si="11"/>
        <v/>
      </c>
    </row>
    <row r="111" spans="1:21" ht="19.9" customHeight="1">
      <c r="A111" s="37"/>
      <c r="B111" s="37"/>
      <c r="C111" s="38"/>
      <c r="D111" s="37"/>
      <c r="E111" s="37" t="str">
        <f t="shared" si="7"/>
        <v/>
      </c>
      <c r="F111" s="38"/>
      <c r="G111" s="37" t="str">
        <f t="shared" si="12"/>
        <v/>
      </c>
      <c r="H111" s="60" t="str">
        <f t="shared" si="8"/>
        <v/>
      </c>
      <c r="I111" s="38"/>
      <c r="J111" s="38"/>
      <c r="K111" s="39"/>
      <c r="L111" s="62"/>
      <c r="M111" s="69" t="str">
        <f>IF(AND(A111="",B111=""),"",COUNTIF(数据!$F$3:$F$999,A111))</f>
        <v/>
      </c>
      <c r="N111" s="69" t="str">
        <f>IF(AND(A111="",B111=""),"",SUMIF(数据!$F$3:$F$999,A111,数据!$D$3:$D$999))</f>
        <v/>
      </c>
      <c r="O111" s="69" t="str">
        <f>IF(AND(A111="",B111=""),"",SUMIF(数据!$F$3:$F$999,A111,数据!$L$3:$L$999))</f>
        <v/>
      </c>
      <c r="P111" s="81" t="str">
        <f>IF(AND(A111="",B111=""),"",SUMIF(数据!$F$3:$F$999,A111,数据!$M$3:$M$999))</f>
        <v/>
      </c>
      <c r="Q111" s="78"/>
      <c r="S111" s="74" t="str">
        <f t="shared" si="9"/>
        <v/>
      </c>
      <c r="T111" s="75" t="str">
        <f t="shared" si="10"/>
        <v/>
      </c>
      <c r="U111" s="74" t="str">
        <f t="shared" si="11"/>
        <v/>
      </c>
    </row>
    <row r="112" spans="1:21" ht="19.9" customHeight="1">
      <c r="A112" s="37"/>
      <c r="B112" s="37"/>
      <c r="C112" s="38"/>
      <c r="D112" s="37"/>
      <c r="E112" s="37" t="str">
        <f t="shared" si="7"/>
        <v/>
      </c>
      <c r="F112" s="38"/>
      <c r="G112" s="37" t="str">
        <f t="shared" si="12"/>
        <v/>
      </c>
      <c r="H112" s="60" t="str">
        <f t="shared" si="8"/>
        <v/>
      </c>
      <c r="I112" s="38"/>
      <c r="J112" s="38"/>
      <c r="K112" s="39"/>
      <c r="L112" s="62"/>
      <c r="M112" s="69" t="str">
        <f>IF(AND(A112="",B112=""),"",COUNTIF(数据!$F$3:$F$999,A112))</f>
        <v/>
      </c>
      <c r="N112" s="69" t="str">
        <f>IF(AND(A112="",B112=""),"",SUMIF(数据!$F$3:$F$999,A112,数据!$D$3:$D$999))</f>
        <v/>
      </c>
      <c r="O112" s="69" t="str">
        <f>IF(AND(A112="",B112=""),"",SUMIF(数据!$F$3:$F$999,A112,数据!$L$3:$L$999))</f>
        <v/>
      </c>
      <c r="P112" s="81" t="str">
        <f>IF(AND(A112="",B112=""),"",SUMIF(数据!$F$3:$F$999,A112,数据!$M$3:$M$999))</f>
        <v/>
      </c>
      <c r="Q112" s="78"/>
      <c r="S112" s="74" t="str">
        <f t="shared" si="9"/>
        <v/>
      </c>
      <c r="T112" s="75" t="str">
        <f t="shared" si="10"/>
        <v/>
      </c>
      <c r="U112" s="74" t="str">
        <f t="shared" si="11"/>
        <v/>
      </c>
    </row>
    <row r="113" spans="1:21" ht="19.9" customHeight="1">
      <c r="A113" s="37"/>
      <c r="B113" s="37"/>
      <c r="C113" s="38"/>
      <c r="D113" s="37"/>
      <c r="E113" s="37" t="str">
        <f t="shared" si="7"/>
        <v/>
      </c>
      <c r="F113" s="38"/>
      <c r="G113" s="37" t="str">
        <f t="shared" si="12"/>
        <v/>
      </c>
      <c r="H113" s="60" t="str">
        <f t="shared" si="8"/>
        <v/>
      </c>
      <c r="I113" s="38"/>
      <c r="J113" s="38"/>
      <c r="K113" s="39"/>
      <c r="L113" s="62"/>
      <c r="M113" s="69" t="str">
        <f>IF(AND(A113="",B113=""),"",COUNTIF(数据!$F$3:$F$999,A113))</f>
        <v/>
      </c>
      <c r="N113" s="69" t="str">
        <f>IF(AND(A113="",B113=""),"",SUMIF(数据!$F$3:$F$999,A113,数据!$D$3:$D$999))</f>
        <v/>
      </c>
      <c r="O113" s="69" t="str">
        <f>IF(AND(A113="",B113=""),"",SUMIF(数据!$F$3:$F$999,A113,数据!$L$3:$L$999))</f>
        <v/>
      </c>
      <c r="P113" s="81" t="str">
        <f>IF(AND(A113="",B113=""),"",SUMIF(数据!$F$3:$F$999,A113,数据!$M$3:$M$999))</f>
        <v/>
      </c>
      <c r="Q113" s="78"/>
      <c r="S113" s="74" t="str">
        <f t="shared" si="9"/>
        <v/>
      </c>
      <c r="T113" s="75" t="str">
        <f t="shared" si="10"/>
        <v/>
      </c>
      <c r="U113" s="74" t="str">
        <f t="shared" si="11"/>
        <v/>
      </c>
    </row>
    <row r="114" spans="1:21" ht="19.9" customHeight="1">
      <c r="A114" s="37"/>
      <c r="B114" s="37"/>
      <c r="C114" s="38"/>
      <c r="D114" s="37"/>
      <c r="E114" s="37" t="str">
        <f t="shared" si="7"/>
        <v/>
      </c>
      <c r="F114" s="38"/>
      <c r="G114" s="37" t="str">
        <f t="shared" si="12"/>
        <v/>
      </c>
      <c r="H114" s="60" t="str">
        <f t="shared" si="8"/>
        <v/>
      </c>
      <c r="I114" s="38"/>
      <c r="J114" s="38"/>
      <c r="K114" s="39"/>
      <c r="L114" s="62"/>
      <c r="M114" s="69" t="str">
        <f>IF(AND(A114="",B114=""),"",COUNTIF(数据!$F$3:$F$999,A114))</f>
        <v/>
      </c>
      <c r="N114" s="69" t="str">
        <f>IF(AND(A114="",B114=""),"",SUMIF(数据!$F$3:$F$999,A114,数据!$D$3:$D$999))</f>
        <v/>
      </c>
      <c r="O114" s="69" t="str">
        <f>IF(AND(A114="",B114=""),"",SUMIF(数据!$F$3:$F$999,A114,数据!$L$3:$L$999))</f>
        <v/>
      </c>
      <c r="P114" s="81" t="str">
        <f>IF(AND(A114="",B114=""),"",SUMIF(数据!$F$3:$F$999,A114,数据!$M$3:$M$999))</f>
        <v/>
      </c>
      <c r="Q114" s="78"/>
      <c r="S114" s="74" t="str">
        <f t="shared" si="9"/>
        <v/>
      </c>
      <c r="T114" s="75" t="str">
        <f t="shared" si="10"/>
        <v/>
      </c>
      <c r="U114" s="74" t="str">
        <f t="shared" si="11"/>
        <v/>
      </c>
    </row>
    <row r="115" spans="1:21" ht="19.9" customHeight="1">
      <c r="A115" s="37"/>
      <c r="B115" s="37"/>
      <c r="C115" s="38"/>
      <c r="D115" s="37"/>
      <c r="E115" s="37" t="str">
        <f t="shared" si="7"/>
        <v/>
      </c>
      <c r="F115" s="38"/>
      <c r="G115" s="37" t="str">
        <f t="shared" si="12"/>
        <v/>
      </c>
      <c r="H115" s="60" t="str">
        <f t="shared" si="8"/>
        <v/>
      </c>
      <c r="I115" s="38"/>
      <c r="J115" s="38"/>
      <c r="K115" s="39"/>
      <c r="L115" s="62"/>
      <c r="M115" s="69" t="str">
        <f>IF(AND(A115="",B115=""),"",COUNTIF(数据!$F$3:$F$999,A115))</f>
        <v/>
      </c>
      <c r="N115" s="69" t="str">
        <f>IF(AND(A115="",B115=""),"",SUMIF(数据!$F$3:$F$999,A115,数据!$D$3:$D$999))</f>
        <v/>
      </c>
      <c r="O115" s="69" t="str">
        <f>IF(AND(A115="",B115=""),"",SUMIF(数据!$F$3:$F$999,A115,数据!$L$3:$L$999))</f>
        <v/>
      </c>
      <c r="P115" s="81" t="str">
        <f>IF(AND(A115="",B115=""),"",SUMIF(数据!$F$3:$F$999,A115,数据!$M$3:$M$999))</f>
        <v/>
      </c>
      <c r="Q115" s="78"/>
      <c r="S115" s="74" t="str">
        <f t="shared" si="9"/>
        <v/>
      </c>
      <c r="T115" s="75" t="str">
        <f t="shared" si="10"/>
        <v/>
      </c>
      <c r="U115" s="74" t="str">
        <f t="shared" si="11"/>
        <v/>
      </c>
    </row>
    <row r="116" spans="1:21" ht="19.9" customHeight="1">
      <c r="A116" s="37"/>
      <c r="B116" s="37"/>
      <c r="C116" s="38"/>
      <c r="D116" s="37"/>
      <c r="E116" s="37" t="str">
        <f t="shared" si="7"/>
        <v/>
      </c>
      <c r="F116" s="38"/>
      <c r="G116" s="37" t="str">
        <f t="shared" si="12"/>
        <v/>
      </c>
      <c r="H116" s="60" t="str">
        <f t="shared" si="8"/>
        <v/>
      </c>
      <c r="I116" s="38"/>
      <c r="J116" s="38"/>
      <c r="K116" s="39"/>
      <c r="L116" s="62"/>
      <c r="M116" s="69" t="str">
        <f>IF(AND(A116="",B116=""),"",COUNTIF(数据!$F$3:$F$999,A116))</f>
        <v/>
      </c>
      <c r="N116" s="69" t="str">
        <f>IF(AND(A116="",B116=""),"",SUMIF(数据!$F$3:$F$999,A116,数据!$D$3:$D$999))</f>
        <v/>
      </c>
      <c r="O116" s="69" t="str">
        <f>IF(AND(A116="",B116=""),"",SUMIF(数据!$F$3:$F$999,A116,数据!$L$3:$L$999))</f>
        <v/>
      </c>
      <c r="P116" s="81" t="str">
        <f>IF(AND(A116="",B116=""),"",SUMIF(数据!$F$3:$F$999,A116,数据!$M$3:$M$999))</f>
        <v/>
      </c>
      <c r="Q116" s="78"/>
      <c r="S116" s="74" t="str">
        <f t="shared" si="9"/>
        <v/>
      </c>
      <c r="T116" s="75" t="str">
        <f t="shared" si="10"/>
        <v/>
      </c>
      <c r="U116" s="74" t="str">
        <f t="shared" si="11"/>
        <v/>
      </c>
    </row>
    <row r="117" spans="1:21" ht="19.9" customHeight="1">
      <c r="A117" s="37"/>
      <c r="B117" s="37"/>
      <c r="C117" s="38"/>
      <c r="D117" s="37"/>
      <c r="E117" s="37" t="str">
        <f t="shared" si="7"/>
        <v/>
      </c>
      <c r="F117" s="38"/>
      <c r="G117" s="37" t="str">
        <f t="shared" si="12"/>
        <v/>
      </c>
      <c r="H117" s="60" t="str">
        <f t="shared" si="8"/>
        <v/>
      </c>
      <c r="I117" s="38"/>
      <c r="J117" s="38"/>
      <c r="K117" s="39"/>
      <c r="L117" s="62"/>
      <c r="M117" s="69" t="str">
        <f>IF(AND(A117="",B117=""),"",COUNTIF(数据!$F$3:$F$999,A117))</f>
        <v/>
      </c>
      <c r="N117" s="69" t="str">
        <f>IF(AND(A117="",B117=""),"",SUMIF(数据!$F$3:$F$999,A117,数据!$D$3:$D$999))</f>
        <v/>
      </c>
      <c r="O117" s="69" t="str">
        <f>IF(AND(A117="",B117=""),"",SUMIF(数据!$F$3:$F$999,A117,数据!$L$3:$L$999))</f>
        <v/>
      </c>
      <c r="P117" s="81" t="str">
        <f>IF(AND(A117="",B117=""),"",SUMIF(数据!$F$3:$F$999,A117,数据!$M$3:$M$999))</f>
        <v/>
      </c>
      <c r="Q117" s="78"/>
      <c r="S117" s="74" t="str">
        <f t="shared" si="9"/>
        <v/>
      </c>
      <c r="T117" s="75" t="str">
        <f t="shared" si="10"/>
        <v/>
      </c>
      <c r="U117" s="74" t="str">
        <f t="shared" si="11"/>
        <v/>
      </c>
    </row>
    <row r="118" spans="1:21" ht="19.9" customHeight="1">
      <c r="A118" s="37"/>
      <c r="B118" s="37"/>
      <c r="C118" s="38"/>
      <c r="D118" s="37"/>
      <c r="E118" s="37" t="str">
        <f t="shared" si="7"/>
        <v/>
      </c>
      <c r="F118" s="38"/>
      <c r="G118" s="37" t="str">
        <f t="shared" si="12"/>
        <v/>
      </c>
      <c r="H118" s="60" t="str">
        <f t="shared" si="8"/>
        <v/>
      </c>
      <c r="I118" s="38"/>
      <c r="J118" s="38"/>
      <c r="K118" s="39"/>
      <c r="L118" s="62"/>
      <c r="M118" s="69" t="str">
        <f>IF(AND(A118="",B118=""),"",COUNTIF(数据!$F$3:$F$999,A118))</f>
        <v/>
      </c>
      <c r="N118" s="69" t="str">
        <f>IF(AND(A118="",B118=""),"",SUMIF(数据!$F$3:$F$999,A118,数据!$D$3:$D$999))</f>
        <v/>
      </c>
      <c r="O118" s="69" t="str">
        <f>IF(AND(A118="",B118=""),"",SUMIF(数据!$F$3:$F$999,A118,数据!$L$3:$L$999))</f>
        <v/>
      </c>
      <c r="P118" s="71" t="str">
        <f>IF(AND(A118="",B118=""),"",SUMIF(数据!$F$3:$F$999,A118,数据!$M$3:$M$999))</f>
        <v/>
      </c>
      <c r="S118" s="74" t="str">
        <f t="shared" si="9"/>
        <v/>
      </c>
      <c r="T118" s="75" t="str">
        <f t="shared" si="10"/>
        <v/>
      </c>
      <c r="U118" s="74" t="str">
        <f t="shared" si="11"/>
        <v/>
      </c>
    </row>
    <row r="119" spans="1:21" ht="19.9" customHeight="1">
      <c r="A119" s="37"/>
      <c r="B119" s="37"/>
      <c r="C119" s="38"/>
      <c r="D119" s="37"/>
      <c r="E119" s="37" t="str">
        <f t="shared" si="7"/>
        <v/>
      </c>
      <c r="F119" s="38"/>
      <c r="G119" s="37" t="str">
        <f t="shared" si="12"/>
        <v/>
      </c>
      <c r="H119" s="60" t="str">
        <f t="shared" si="8"/>
        <v/>
      </c>
      <c r="I119" s="38"/>
      <c r="J119" s="38"/>
      <c r="K119" s="39"/>
      <c r="L119" s="62"/>
      <c r="M119" s="69" t="str">
        <f>IF(AND(A119="",B119=""),"",COUNTIF(数据!$F$3:$F$999,A119))</f>
        <v/>
      </c>
      <c r="N119" s="69" t="str">
        <f>IF(AND(A119="",B119=""),"",SUMIF(数据!$F$3:$F$999,A119,数据!$D$3:$D$999))</f>
        <v/>
      </c>
      <c r="O119" s="69" t="str">
        <f>IF(AND(A119="",B119=""),"",SUMIF(数据!$F$3:$F$999,A119,数据!$L$3:$L$999))</f>
        <v/>
      </c>
      <c r="P119" s="71" t="str">
        <f>IF(AND(A119="",B119=""),"",SUMIF(数据!$F$3:$F$999,A119,数据!$M$3:$M$999))</f>
        <v/>
      </c>
      <c r="S119" s="74" t="str">
        <f t="shared" si="9"/>
        <v/>
      </c>
      <c r="T119" s="75" t="str">
        <f t="shared" si="10"/>
        <v/>
      </c>
      <c r="U119" s="74" t="str">
        <f t="shared" si="11"/>
        <v/>
      </c>
    </row>
    <row r="120" spans="1:21" ht="19.9" customHeight="1">
      <c r="A120" s="37"/>
      <c r="B120" s="37"/>
      <c r="C120" s="38"/>
      <c r="D120" s="37"/>
      <c r="E120" s="37" t="str">
        <f t="shared" si="7"/>
        <v/>
      </c>
      <c r="F120" s="38"/>
      <c r="G120" s="37" t="str">
        <f t="shared" si="12"/>
        <v/>
      </c>
      <c r="H120" s="60" t="str">
        <f t="shared" si="8"/>
        <v/>
      </c>
      <c r="I120" s="38"/>
      <c r="J120" s="38"/>
      <c r="K120" s="39"/>
      <c r="L120" s="62"/>
      <c r="M120" s="69" t="str">
        <f>IF(AND(A120="",B120=""),"",COUNTIF(数据!$F$3:$F$999,A120))</f>
        <v/>
      </c>
      <c r="N120" s="69" t="str">
        <f>IF(AND(A120="",B120=""),"",SUMIF(数据!$F$3:$F$999,A120,数据!$D$3:$D$999))</f>
        <v/>
      </c>
      <c r="O120" s="69" t="str">
        <f>IF(AND(A120="",B120=""),"",SUMIF(数据!$F$3:$F$999,A120,数据!$L$3:$L$999))</f>
        <v/>
      </c>
      <c r="P120" s="71" t="str">
        <f>IF(AND(A120="",B120=""),"",SUMIF(数据!$F$3:$F$999,A120,数据!$M$3:$M$999))</f>
        <v/>
      </c>
      <c r="S120" s="74" t="str">
        <f t="shared" si="9"/>
        <v/>
      </c>
      <c r="T120" s="75" t="str">
        <f t="shared" si="10"/>
        <v/>
      </c>
      <c r="U120" s="74" t="str">
        <f t="shared" si="11"/>
        <v/>
      </c>
    </row>
    <row r="121" spans="1:21" ht="19.9" customHeight="1">
      <c r="A121" s="37"/>
      <c r="B121" s="37"/>
      <c r="C121" s="38"/>
      <c r="D121" s="37"/>
      <c r="E121" s="37" t="str">
        <f t="shared" si="7"/>
        <v/>
      </c>
      <c r="F121" s="38"/>
      <c r="G121" s="37" t="str">
        <f t="shared" si="12"/>
        <v/>
      </c>
      <c r="H121" s="60" t="str">
        <f t="shared" si="8"/>
        <v/>
      </c>
      <c r="I121" s="38"/>
      <c r="J121" s="38"/>
      <c r="K121" s="39"/>
      <c r="L121" s="62"/>
      <c r="M121" s="69" t="str">
        <f>IF(AND(A121="",B121=""),"",COUNTIF(数据!$F$3:$F$999,A121))</f>
        <v/>
      </c>
      <c r="N121" s="69" t="str">
        <f>IF(AND(A121="",B121=""),"",SUMIF(数据!$F$3:$F$999,A121,数据!$D$3:$D$999))</f>
        <v/>
      </c>
      <c r="O121" s="69" t="str">
        <f>IF(AND(A121="",B121=""),"",SUMIF(数据!$F$3:$F$999,A121,数据!$L$3:$L$999))</f>
        <v/>
      </c>
      <c r="P121" s="71" t="str">
        <f>IF(AND(A121="",B121=""),"",SUMIF(数据!$F$3:$F$999,A121,数据!$M$3:$M$999))</f>
        <v/>
      </c>
      <c r="S121" s="74" t="str">
        <f t="shared" si="9"/>
        <v/>
      </c>
      <c r="T121" s="75" t="str">
        <f t="shared" si="10"/>
        <v/>
      </c>
      <c r="U121" s="74" t="str">
        <f t="shared" si="11"/>
        <v/>
      </c>
    </row>
    <row r="122" spans="1:21" ht="19.9" customHeight="1">
      <c r="A122" s="37"/>
      <c r="B122" s="37"/>
      <c r="C122" s="38"/>
      <c r="D122" s="37"/>
      <c r="E122" s="37" t="str">
        <f t="shared" si="7"/>
        <v/>
      </c>
      <c r="F122" s="38"/>
      <c r="G122" s="37" t="str">
        <f t="shared" si="12"/>
        <v/>
      </c>
      <c r="H122" s="60" t="str">
        <f t="shared" si="8"/>
        <v/>
      </c>
      <c r="I122" s="38"/>
      <c r="J122" s="38"/>
      <c r="K122" s="39"/>
      <c r="L122" s="62"/>
      <c r="M122" s="69" t="str">
        <f>IF(AND(A122="",B122=""),"",COUNTIF(数据!$F$3:$F$999,A122))</f>
        <v/>
      </c>
      <c r="N122" s="69" t="str">
        <f>IF(AND(A122="",B122=""),"",SUMIF(数据!$F$3:$F$999,A122,数据!$D$3:$D$999))</f>
        <v/>
      </c>
      <c r="O122" s="69" t="str">
        <f>IF(AND(A122="",B122=""),"",SUMIF(数据!$F$3:$F$999,A122,数据!$L$3:$L$999))</f>
        <v/>
      </c>
      <c r="P122" s="71" t="str">
        <f>IF(AND(A122="",B122=""),"",SUMIF(数据!$F$3:$F$999,A122,数据!$M$3:$M$999))</f>
        <v/>
      </c>
      <c r="S122" s="74" t="str">
        <f t="shared" si="9"/>
        <v/>
      </c>
      <c r="T122" s="75" t="str">
        <f t="shared" si="10"/>
        <v/>
      </c>
      <c r="U122" s="74" t="str">
        <f t="shared" si="11"/>
        <v/>
      </c>
    </row>
    <row r="123" spans="1:21" ht="19.9" customHeight="1">
      <c r="A123" s="37"/>
      <c r="B123" s="37"/>
      <c r="C123" s="38"/>
      <c r="D123" s="37"/>
      <c r="E123" s="37" t="str">
        <f t="shared" si="7"/>
        <v/>
      </c>
      <c r="F123" s="38"/>
      <c r="G123" s="37" t="str">
        <f t="shared" si="12"/>
        <v/>
      </c>
      <c r="H123" s="60" t="str">
        <f t="shared" si="8"/>
        <v/>
      </c>
      <c r="I123" s="38"/>
      <c r="J123" s="38"/>
      <c r="K123" s="39"/>
      <c r="L123" s="62"/>
      <c r="M123" s="69" t="str">
        <f>IF(AND(A123="",B123=""),"",COUNTIF(数据!$F$3:$F$999,A123))</f>
        <v/>
      </c>
      <c r="N123" s="69" t="str">
        <f>IF(AND(A123="",B123=""),"",SUMIF(数据!$F$3:$F$999,A123,数据!$D$3:$D$999))</f>
        <v/>
      </c>
      <c r="O123" s="69" t="str">
        <f>IF(AND(A123="",B123=""),"",SUMIF(数据!$F$3:$F$999,A123,数据!$L$3:$L$999))</f>
        <v/>
      </c>
      <c r="P123" s="71" t="str">
        <f>IF(AND(A123="",B123=""),"",SUMIF(数据!$F$3:$F$999,A123,数据!$M$3:$M$999))</f>
        <v/>
      </c>
      <c r="S123" s="74" t="str">
        <f t="shared" si="9"/>
        <v/>
      </c>
      <c r="T123" s="75" t="str">
        <f t="shared" si="10"/>
        <v/>
      </c>
      <c r="U123" s="74" t="str">
        <f t="shared" si="11"/>
        <v/>
      </c>
    </row>
    <row r="124" spans="1:21" ht="19.9" customHeight="1">
      <c r="A124" s="37"/>
      <c r="B124" s="37"/>
      <c r="C124" s="38"/>
      <c r="D124" s="37"/>
      <c r="E124" s="37" t="str">
        <f t="shared" si="7"/>
        <v/>
      </c>
      <c r="F124" s="38"/>
      <c r="G124" s="37" t="str">
        <f t="shared" si="12"/>
        <v/>
      </c>
      <c r="H124" s="60" t="str">
        <f t="shared" si="8"/>
        <v/>
      </c>
      <c r="I124" s="38"/>
      <c r="J124" s="38"/>
      <c r="K124" s="39"/>
      <c r="L124" s="62"/>
      <c r="M124" s="69" t="str">
        <f>IF(AND(A124="",B124=""),"",COUNTIF(数据!$F$3:$F$999,A124))</f>
        <v/>
      </c>
      <c r="N124" s="69" t="str">
        <f>IF(AND(A124="",B124=""),"",SUMIF(数据!$F$3:$F$999,A124,数据!$D$3:$D$999))</f>
        <v/>
      </c>
      <c r="O124" s="69" t="str">
        <f>IF(AND(A124="",B124=""),"",SUMIF(数据!$F$3:$F$999,A124,数据!$L$3:$L$999))</f>
        <v/>
      </c>
      <c r="P124" s="71" t="str">
        <f>IF(AND(A124="",B124=""),"",SUMIF(数据!$F$3:$F$999,A124,数据!$M$3:$M$999))</f>
        <v/>
      </c>
      <c r="S124" s="74" t="str">
        <f t="shared" si="9"/>
        <v/>
      </c>
      <c r="T124" s="75" t="str">
        <f t="shared" si="10"/>
        <v/>
      </c>
      <c r="U124" s="74" t="str">
        <f t="shared" si="11"/>
        <v/>
      </c>
    </row>
    <row r="125" spans="1:21" ht="19.9" customHeight="1">
      <c r="A125" s="37"/>
      <c r="B125" s="37"/>
      <c r="C125" s="38"/>
      <c r="D125" s="37"/>
      <c r="E125" s="37" t="str">
        <f t="shared" si="7"/>
        <v/>
      </c>
      <c r="F125" s="38"/>
      <c r="G125" s="37" t="str">
        <f t="shared" si="12"/>
        <v/>
      </c>
      <c r="H125" s="60" t="str">
        <f t="shared" si="8"/>
        <v/>
      </c>
      <c r="I125" s="38"/>
      <c r="J125" s="38"/>
      <c r="K125" s="39"/>
      <c r="L125" s="62"/>
      <c r="M125" s="69" t="str">
        <f>IF(AND(A125="",B125=""),"",COUNTIF(数据!$F$3:$F$999,A125))</f>
        <v/>
      </c>
      <c r="N125" s="69" t="str">
        <f>IF(AND(A125="",B125=""),"",SUMIF(数据!$F$3:$F$999,A125,数据!$D$3:$D$999))</f>
        <v/>
      </c>
      <c r="O125" s="69" t="str">
        <f>IF(AND(A125="",B125=""),"",SUMIF(数据!$F$3:$F$999,A125,数据!$L$3:$L$999))</f>
        <v/>
      </c>
      <c r="P125" s="71" t="str">
        <f>IF(AND(A125="",B125=""),"",SUMIF(数据!$F$3:$F$999,A125,数据!$M$3:$M$999))</f>
        <v/>
      </c>
      <c r="S125" s="74" t="str">
        <f t="shared" si="9"/>
        <v/>
      </c>
      <c r="T125" s="75" t="str">
        <f t="shared" si="10"/>
        <v/>
      </c>
      <c r="U125" s="74" t="str">
        <f t="shared" si="11"/>
        <v/>
      </c>
    </row>
    <row r="126" spans="1:21" ht="19.9" customHeight="1">
      <c r="A126" s="37"/>
      <c r="B126" s="37"/>
      <c r="C126" s="38"/>
      <c r="D126" s="37"/>
      <c r="E126" s="37" t="str">
        <f t="shared" si="7"/>
        <v/>
      </c>
      <c r="F126" s="38"/>
      <c r="G126" s="37" t="str">
        <f t="shared" si="12"/>
        <v/>
      </c>
      <c r="H126" s="60" t="str">
        <f t="shared" si="8"/>
        <v/>
      </c>
      <c r="I126" s="38"/>
      <c r="J126" s="38"/>
      <c r="K126" s="39"/>
      <c r="L126" s="62"/>
      <c r="M126" s="69" t="str">
        <f>IF(AND(A126="",B126=""),"",COUNTIF(数据!$F$3:$F$999,A126))</f>
        <v/>
      </c>
      <c r="N126" s="69" t="str">
        <f>IF(AND(A126="",B126=""),"",SUMIF(数据!$F$3:$F$999,A126,数据!$D$3:$D$999))</f>
        <v/>
      </c>
      <c r="O126" s="69" t="str">
        <f>IF(AND(A126="",B126=""),"",SUMIF(数据!$F$3:$F$999,A126,数据!$L$3:$L$999))</f>
        <v/>
      </c>
      <c r="P126" s="71" t="str">
        <f>IF(AND(A126="",B126=""),"",SUMIF(数据!$F$3:$F$999,A126,数据!$M$3:$M$999))</f>
        <v/>
      </c>
      <c r="S126" s="74" t="str">
        <f t="shared" si="9"/>
        <v/>
      </c>
      <c r="T126" s="75" t="str">
        <f t="shared" si="10"/>
        <v/>
      </c>
      <c r="U126" s="74" t="str">
        <f t="shared" si="11"/>
        <v/>
      </c>
    </row>
    <row r="127" spans="1:21" ht="19.9" customHeight="1">
      <c r="A127" s="37"/>
      <c r="B127" s="37"/>
      <c r="C127" s="38"/>
      <c r="D127" s="37"/>
      <c r="E127" s="37" t="str">
        <f t="shared" si="7"/>
        <v/>
      </c>
      <c r="F127" s="38"/>
      <c r="G127" s="37" t="str">
        <f t="shared" si="12"/>
        <v/>
      </c>
      <c r="H127" s="60" t="str">
        <f t="shared" si="8"/>
        <v/>
      </c>
      <c r="I127" s="38"/>
      <c r="J127" s="38"/>
      <c r="K127" s="39"/>
      <c r="L127" s="62"/>
      <c r="M127" s="69" t="str">
        <f>IF(AND(A127="",B127=""),"",COUNTIF(数据!$F$3:$F$999,A127))</f>
        <v/>
      </c>
      <c r="N127" s="69" t="str">
        <f>IF(AND(A127="",B127=""),"",SUMIF(数据!$F$3:$F$999,A127,数据!$D$3:$D$999))</f>
        <v/>
      </c>
      <c r="O127" s="69" t="str">
        <f>IF(AND(A127="",B127=""),"",SUMIF(数据!$F$3:$F$999,A127,数据!$L$3:$L$999))</f>
        <v/>
      </c>
      <c r="P127" s="71" t="str">
        <f>IF(AND(A127="",B127=""),"",SUMIF(数据!$F$3:$F$999,A127,数据!$M$3:$M$999))</f>
        <v/>
      </c>
      <c r="S127" s="74" t="str">
        <f t="shared" si="9"/>
        <v/>
      </c>
      <c r="T127" s="75" t="str">
        <f t="shared" si="10"/>
        <v/>
      </c>
      <c r="U127" s="74" t="str">
        <f t="shared" si="11"/>
        <v/>
      </c>
    </row>
    <row r="128" spans="1:21" ht="19.9" customHeight="1">
      <c r="A128" s="37"/>
      <c r="B128" s="37"/>
      <c r="C128" s="38"/>
      <c r="D128" s="37"/>
      <c r="E128" s="37" t="str">
        <f t="shared" si="7"/>
        <v/>
      </c>
      <c r="F128" s="38"/>
      <c r="G128" s="37" t="str">
        <f t="shared" si="12"/>
        <v/>
      </c>
      <c r="H128" s="60" t="str">
        <f t="shared" si="8"/>
        <v/>
      </c>
      <c r="I128" s="38"/>
      <c r="J128" s="38"/>
      <c r="K128" s="39"/>
      <c r="L128" s="62"/>
      <c r="M128" s="69" t="str">
        <f>IF(AND(A128="",B128=""),"",COUNTIF(数据!$F$3:$F$999,A128))</f>
        <v/>
      </c>
      <c r="N128" s="69" t="str">
        <f>IF(AND(A128="",B128=""),"",SUMIF(数据!$F$3:$F$999,A128,数据!$D$3:$D$999))</f>
        <v/>
      </c>
      <c r="O128" s="69" t="str">
        <f>IF(AND(A128="",B128=""),"",SUMIF(数据!$F$3:$F$999,A128,数据!$L$3:$L$999))</f>
        <v/>
      </c>
      <c r="P128" s="71" t="str">
        <f>IF(AND(A128="",B128=""),"",SUMIF(数据!$F$3:$F$999,A128,数据!$M$3:$M$999))</f>
        <v/>
      </c>
      <c r="S128" s="74" t="str">
        <f t="shared" si="9"/>
        <v/>
      </c>
      <c r="T128" s="75" t="str">
        <f t="shared" si="10"/>
        <v/>
      </c>
      <c r="U128" s="74" t="str">
        <f t="shared" si="11"/>
        <v/>
      </c>
    </row>
    <row r="129" spans="1:21" ht="19.9" customHeight="1">
      <c r="A129" s="37"/>
      <c r="B129" s="37"/>
      <c r="C129" s="38"/>
      <c r="D129" s="37"/>
      <c r="E129" s="37" t="str">
        <f t="shared" si="7"/>
        <v/>
      </c>
      <c r="F129" s="38"/>
      <c r="G129" s="37" t="str">
        <f t="shared" si="12"/>
        <v/>
      </c>
      <c r="H129" s="60" t="str">
        <f t="shared" si="8"/>
        <v/>
      </c>
      <c r="I129" s="38"/>
      <c r="J129" s="38"/>
      <c r="K129" s="39"/>
      <c r="L129" s="62"/>
      <c r="M129" s="69" t="str">
        <f>IF(AND(A129="",B129=""),"",COUNTIF(数据!$F$3:$F$999,A129))</f>
        <v/>
      </c>
      <c r="N129" s="69" t="str">
        <f>IF(AND(A129="",B129=""),"",SUMIF(数据!$F$3:$F$999,A129,数据!$D$3:$D$999))</f>
        <v/>
      </c>
      <c r="O129" s="69" t="str">
        <f>IF(AND(A129="",B129=""),"",SUMIF(数据!$F$3:$F$999,A129,数据!$L$3:$L$999))</f>
        <v/>
      </c>
      <c r="P129" s="71" t="str">
        <f>IF(AND(A129="",B129=""),"",SUMIF(数据!$F$3:$F$999,A129,数据!$M$3:$M$999))</f>
        <v/>
      </c>
      <c r="S129" s="74" t="str">
        <f t="shared" si="9"/>
        <v/>
      </c>
      <c r="T129" s="75" t="str">
        <f t="shared" si="10"/>
        <v/>
      </c>
      <c r="U129" s="74" t="str">
        <f t="shared" si="11"/>
        <v/>
      </c>
    </row>
    <row r="130" spans="1:21" ht="19.9" customHeight="1">
      <c r="A130" s="37"/>
      <c r="B130" s="37"/>
      <c r="C130" s="38"/>
      <c r="D130" s="37"/>
      <c r="E130" s="37" t="str">
        <f t="shared" si="7"/>
        <v/>
      </c>
      <c r="F130" s="38"/>
      <c r="G130" s="37" t="str">
        <f t="shared" si="12"/>
        <v/>
      </c>
      <c r="H130" s="60" t="str">
        <f t="shared" si="8"/>
        <v/>
      </c>
      <c r="I130" s="38"/>
      <c r="J130" s="38"/>
      <c r="K130" s="39"/>
      <c r="L130" s="62"/>
      <c r="M130" s="69" t="str">
        <f>IF(AND(A130="",B130=""),"",COUNTIF(数据!$F$3:$F$999,A130))</f>
        <v/>
      </c>
      <c r="N130" s="69" t="str">
        <f>IF(AND(A130="",B130=""),"",SUMIF(数据!$F$3:$F$999,A130,数据!$D$3:$D$999))</f>
        <v/>
      </c>
      <c r="O130" s="69" t="str">
        <f>IF(AND(A130="",B130=""),"",SUMIF(数据!$F$3:$F$999,A130,数据!$L$3:$L$999))</f>
        <v/>
      </c>
      <c r="P130" s="71" t="str">
        <f>IF(AND(A130="",B130=""),"",SUMIF(数据!$F$3:$F$999,A130,数据!$M$3:$M$999))</f>
        <v/>
      </c>
      <c r="S130" s="74" t="str">
        <f t="shared" si="9"/>
        <v/>
      </c>
      <c r="T130" s="75" t="str">
        <f t="shared" si="10"/>
        <v/>
      </c>
      <c r="U130" s="74" t="str">
        <f t="shared" si="11"/>
        <v/>
      </c>
    </row>
    <row r="131" spans="1:21" ht="19.9" customHeight="1">
      <c r="A131" s="37"/>
      <c r="B131" s="37"/>
      <c r="C131" s="38"/>
      <c r="D131" s="37"/>
      <c r="E131" s="37" t="str">
        <f t="shared" si="7"/>
        <v/>
      </c>
      <c r="F131" s="38"/>
      <c r="G131" s="37" t="str">
        <f t="shared" si="12"/>
        <v/>
      </c>
      <c r="H131" s="60" t="str">
        <f t="shared" si="8"/>
        <v/>
      </c>
      <c r="I131" s="38"/>
      <c r="J131" s="38"/>
      <c r="K131" s="39"/>
      <c r="L131" s="62"/>
      <c r="M131" s="69" t="str">
        <f>IF(AND(A131="",B131=""),"",COUNTIF(数据!$F$3:$F$999,A131))</f>
        <v/>
      </c>
      <c r="N131" s="69" t="str">
        <f>IF(AND(A131="",B131=""),"",SUMIF(数据!$F$3:$F$999,A131,数据!$D$3:$D$999))</f>
        <v/>
      </c>
      <c r="O131" s="69" t="str">
        <f>IF(AND(A131="",B131=""),"",SUMIF(数据!$F$3:$F$999,A131,数据!$L$3:$L$999))</f>
        <v/>
      </c>
      <c r="P131" s="71" t="str">
        <f>IF(AND(A131="",B131=""),"",SUMIF(数据!$F$3:$F$999,A131,数据!$M$3:$M$999))</f>
        <v/>
      </c>
      <c r="S131" s="74" t="str">
        <f t="shared" si="9"/>
        <v/>
      </c>
      <c r="T131" s="75" t="str">
        <f t="shared" si="10"/>
        <v/>
      </c>
      <c r="U131" s="74" t="str">
        <f t="shared" si="11"/>
        <v/>
      </c>
    </row>
    <row r="132" spans="1:21" ht="19.9" customHeight="1">
      <c r="A132" s="37"/>
      <c r="B132" s="37"/>
      <c r="C132" s="38"/>
      <c r="D132" s="37"/>
      <c r="E132" s="37" t="str">
        <f t="shared" si="13" ref="E132:E162">IF(D132&gt;0,"-"&amp;D132&amp;"-0","")</f>
        <v/>
      </c>
      <c r="F132" s="38"/>
      <c r="G132" s="37" t="str">
        <f t="shared" si="12"/>
        <v/>
      </c>
      <c r="H132" s="60" t="str">
        <f t="shared" si="14" ref="H132:H162">BaoLiuXiaoShuWei(IF(D132="","",D132*G132),2)</f>
        <v/>
      </c>
      <c r="I132" s="38"/>
      <c r="J132" s="38"/>
      <c r="K132" s="39"/>
      <c r="L132" s="62"/>
      <c r="M132" s="69" t="str">
        <f>IF(AND(A132="",B132=""),"",COUNTIF(数据!$F$3:$F$999,A132))</f>
        <v/>
      </c>
      <c r="N132" s="69" t="str">
        <f>IF(AND(A132="",B132=""),"",SUMIF(数据!$F$3:$F$999,A132,数据!$D$3:$D$999))</f>
        <v/>
      </c>
      <c r="O132" s="69" t="str">
        <f>IF(AND(A132="",B132=""),"",SUMIF(数据!$F$3:$F$999,A132,数据!$L$3:$L$999))</f>
        <v/>
      </c>
      <c r="P132" s="71" t="str">
        <f>IF(AND(A132="",B132=""),"",SUMIF(数据!$F$3:$F$999,A132,数据!$M$3:$M$999))</f>
        <v/>
      </c>
      <c r="S132" s="74" t="str">
        <f t="shared" si="15" ref="S132:S162">IFERROR(IF(Q132="","",Q132-R132),"")</f>
        <v/>
      </c>
      <c r="T132" s="75" t="str">
        <f t="shared" si="16" ref="T132:T162">IF(H132="","",H132)</f>
        <v/>
      </c>
      <c r="U132" s="74" t="str">
        <f t="shared" si="17" ref="U132:U162">IFERROR(IF(OR(T132="",S132=""),"",S132/T132),"")</f>
        <v/>
      </c>
    </row>
    <row r="133" spans="1:21" ht="19.9" customHeight="1">
      <c r="A133" s="37"/>
      <c r="B133" s="37"/>
      <c r="C133" s="38"/>
      <c r="D133" s="37"/>
      <c r="E133" s="37" t="str">
        <f t="shared" si="13"/>
        <v/>
      </c>
      <c r="F133" s="38"/>
      <c r="G133" s="37" t="str">
        <f t="shared" si="18" ref="G133:G162">IF(F133="浅水Ⅰ型浮游生物网",0.2,IF(F133="浅水Ⅱ型浮游生物网",0.08,IF(F133="浅水Ⅲ型浮游生物网",0.1,IF(F133="小型浮游生物网",0.1,IF(F133="大型浮游生物网",0.5,IF(F133="WP2网",0.25,""))))))</f>
        <v/>
      </c>
      <c r="H133" s="60" t="str">
        <f t="shared" si="14"/>
        <v/>
      </c>
      <c r="I133" s="38"/>
      <c r="J133" s="38"/>
      <c r="K133" s="39"/>
      <c r="L133" s="62"/>
      <c r="M133" s="69" t="str">
        <f>IF(AND(A133="",B133=""),"",COUNTIF(数据!$F$3:$F$999,A133))</f>
        <v/>
      </c>
      <c r="N133" s="69" t="str">
        <f>IF(AND(A133="",B133=""),"",SUMIF(数据!$F$3:$F$999,A133,数据!$D$3:$D$999))</f>
        <v/>
      </c>
      <c r="O133" s="69" t="str">
        <f>IF(AND(A133="",B133=""),"",SUMIF(数据!$F$3:$F$999,A133,数据!$L$3:$L$999))</f>
        <v/>
      </c>
      <c r="P133" s="71" t="str">
        <f>IF(AND(A133="",B133=""),"",SUMIF(数据!$F$3:$F$999,A133,数据!$M$3:$M$999))</f>
        <v/>
      </c>
      <c r="S133" s="74" t="str">
        <f t="shared" si="15"/>
        <v/>
      </c>
      <c r="T133" s="75" t="str">
        <f t="shared" si="16"/>
        <v/>
      </c>
      <c r="U133" s="74" t="str">
        <f t="shared" si="17"/>
        <v/>
      </c>
    </row>
    <row r="134" spans="1:21" ht="19.9" customHeight="1">
      <c r="A134" s="37"/>
      <c r="B134" s="37"/>
      <c r="C134" s="38"/>
      <c r="D134" s="37"/>
      <c r="E134" s="37" t="str">
        <f t="shared" si="13"/>
        <v/>
      </c>
      <c r="F134" s="38"/>
      <c r="G134" s="37" t="str">
        <f t="shared" si="18"/>
        <v/>
      </c>
      <c r="H134" s="60" t="str">
        <f t="shared" si="14"/>
        <v/>
      </c>
      <c r="I134" s="38"/>
      <c r="J134" s="38"/>
      <c r="K134" s="39"/>
      <c r="L134" s="62"/>
      <c r="M134" s="69" t="str">
        <f>IF(AND(A134="",B134=""),"",COUNTIF(数据!$F$3:$F$999,A134))</f>
        <v/>
      </c>
      <c r="N134" s="69" t="str">
        <f>IF(AND(A134="",B134=""),"",SUMIF(数据!$F$3:$F$999,A134,数据!$D$3:$D$999))</f>
        <v/>
      </c>
      <c r="O134" s="69" t="str">
        <f>IF(AND(A134="",B134=""),"",SUMIF(数据!$F$3:$F$999,A134,数据!$L$3:$L$999))</f>
        <v/>
      </c>
      <c r="P134" s="71" t="str">
        <f>IF(AND(A134="",B134=""),"",SUMIF(数据!$F$3:$F$999,A134,数据!$M$3:$M$999))</f>
        <v/>
      </c>
      <c r="S134" s="74" t="str">
        <f t="shared" si="15"/>
        <v/>
      </c>
      <c r="T134" s="75" t="str">
        <f t="shared" si="16"/>
        <v/>
      </c>
      <c r="U134" s="74" t="str">
        <f t="shared" si="17"/>
        <v/>
      </c>
    </row>
    <row r="135" spans="1:21" ht="19.9" customHeight="1">
      <c r="A135" s="37"/>
      <c r="B135" s="37"/>
      <c r="C135" s="38"/>
      <c r="D135" s="37"/>
      <c r="E135" s="37" t="str">
        <f t="shared" si="13"/>
        <v/>
      </c>
      <c r="F135" s="38"/>
      <c r="G135" s="37" t="str">
        <f t="shared" si="18"/>
        <v/>
      </c>
      <c r="H135" s="60" t="str">
        <f t="shared" si="14"/>
        <v/>
      </c>
      <c r="I135" s="38"/>
      <c r="J135" s="38"/>
      <c r="K135" s="39"/>
      <c r="L135" s="62"/>
      <c r="M135" s="69" t="str">
        <f>IF(AND(A135="",B135=""),"",COUNTIF(数据!$F$3:$F$999,A135))</f>
        <v/>
      </c>
      <c r="N135" s="69" t="str">
        <f>IF(AND(A135="",B135=""),"",SUMIF(数据!$F$3:$F$999,A135,数据!$D$3:$D$999))</f>
        <v/>
      </c>
      <c r="O135" s="69" t="str">
        <f>IF(AND(A135="",B135=""),"",SUMIF(数据!$F$3:$F$999,A135,数据!$L$3:$L$999))</f>
        <v/>
      </c>
      <c r="P135" s="71" t="str">
        <f>IF(AND(A135="",B135=""),"",SUMIF(数据!$F$3:$F$999,A135,数据!$M$3:$M$999))</f>
        <v/>
      </c>
      <c r="S135" s="74" t="str">
        <f t="shared" si="15"/>
        <v/>
      </c>
      <c r="T135" s="75" t="str">
        <f t="shared" si="16"/>
        <v/>
      </c>
      <c r="U135" s="74" t="str">
        <f t="shared" si="17"/>
        <v/>
      </c>
    </row>
    <row r="136" spans="1:21" ht="19.9" customHeight="1">
      <c r="A136" s="37"/>
      <c r="B136" s="37"/>
      <c r="C136" s="38"/>
      <c r="D136" s="37"/>
      <c r="E136" s="37" t="str">
        <f t="shared" si="13"/>
        <v/>
      </c>
      <c r="F136" s="38"/>
      <c r="G136" s="37" t="str">
        <f t="shared" si="18"/>
        <v/>
      </c>
      <c r="H136" s="60" t="str">
        <f t="shared" si="14"/>
        <v/>
      </c>
      <c r="I136" s="38"/>
      <c r="J136" s="38"/>
      <c r="K136" s="39"/>
      <c r="L136" s="62"/>
      <c r="M136" s="69" t="str">
        <f>IF(AND(A136="",B136=""),"",COUNTIF(数据!$F$3:$F$999,A136))</f>
        <v/>
      </c>
      <c r="N136" s="69" t="str">
        <f>IF(AND(A136="",B136=""),"",SUMIF(数据!$F$3:$F$999,A136,数据!$D$3:$D$999))</f>
        <v/>
      </c>
      <c r="O136" s="69" t="str">
        <f>IF(AND(A136="",B136=""),"",SUMIF(数据!$F$3:$F$999,A136,数据!$L$3:$L$999))</f>
        <v/>
      </c>
      <c r="P136" s="71" t="str">
        <f>IF(AND(A136="",B136=""),"",SUMIF(数据!$F$3:$F$999,A136,数据!$M$3:$M$999))</f>
        <v/>
      </c>
      <c r="S136" s="74" t="str">
        <f t="shared" si="15"/>
        <v/>
      </c>
      <c r="T136" s="75" t="str">
        <f t="shared" si="16"/>
        <v/>
      </c>
      <c r="U136" s="74" t="str">
        <f t="shared" si="17"/>
        <v/>
      </c>
    </row>
    <row r="137" spans="1:21" ht="19.9" customHeight="1">
      <c r="A137" s="37"/>
      <c r="B137" s="37"/>
      <c r="C137" s="38"/>
      <c r="D137" s="37"/>
      <c r="E137" s="37" t="str">
        <f t="shared" si="13"/>
        <v/>
      </c>
      <c r="F137" s="38"/>
      <c r="G137" s="37" t="str">
        <f t="shared" si="18"/>
        <v/>
      </c>
      <c r="H137" s="60" t="str">
        <f t="shared" si="14"/>
        <v/>
      </c>
      <c r="I137" s="38"/>
      <c r="J137" s="38"/>
      <c r="K137" s="39"/>
      <c r="L137" s="62"/>
      <c r="M137" s="69" t="str">
        <f>IF(AND(A137="",B137=""),"",COUNTIF(数据!$F$3:$F$999,A137))</f>
        <v/>
      </c>
      <c r="N137" s="69" t="str">
        <f>IF(AND(A137="",B137=""),"",SUMIF(数据!$F$3:$F$999,A137,数据!$D$3:$D$999))</f>
        <v/>
      </c>
      <c r="O137" s="69" t="str">
        <f>IF(AND(A137="",B137=""),"",SUMIF(数据!$F$3:$F$999,A137,数据!$L$3:$L$999))</f>
        <v/>
      </c>
      <c r="P137" s="71" t="str">
        <f>IF(AND(A137="",B137=""),"",SUMIF(数据!$F$3:$F$999,A137,数据!$M$3:$M$999))</f>
        <v/>
      </c>
      <c r="S137" s="74" t="str">
        <f t="shared" si="15"/>
        <v/>
      </c>
      <c r="T137" s="75" t="str">
        <f t="shared" si="16"/>
        <v/>
      </c>
      <c r="U137" s="74" t="str">
        <f t="shared" si="17"/>
        <v/>
      </c>
    </row>
    <row r="138" spans="1:21" ht="19.9" customHeight="1">
      <c r="A138" s="37"/>
      <c r="B138" s="37"/>
      <c r="C138" s="38"/>
      <c r="D138" s="37"/>
      <c r="E138" s="37" t="str">
        <f t="shared" si="13"/>
        <v/>
      </c>
      <c r="F138" s="38"/>
      <c r="G138" s="37" t="str">
        <f t="shared" si="18"/>
        <v/>
      </c>
      <c r="H138" s="60" t="str">
        <f t="shared" si="14"/>
        <v/>
      </c>
      <c r="I138" s="38"/>
      <c r="J138" s="38"/>
      <c r="K138" s="39"/>
      <c r="L138" s="62"/>
      <c r="M138" s="69" t="str">
        <f>IF(AND(A138="",B138=""),"",COUNTIF(数据!$F$3:$F$999,A138))</f>
        <v/>
      </c>
      <c r="N138" s="69" t="str">
        <f>IF(AND(A138="",B138=""),"",SUMIF(数据!$F$3:$F$999,A138,数据!$D$3:$D$999))</f>
        <v/>
      </c>
      <c r="O138" s="69" t="str">
        <f>IF(AND(A138="",B138=""),"",SUMIF(数据!$F$3:$F$999,A138,数据!$L$3:$L$999))</f>
        <v/>
      </c>
      <c r="P138" s="71" t="str">
        <f>IF(AND(A138="",B138=""),"",SUMIF(数据!$F$3:$F$999,A138,数据!$M$3:$M$999))</f>
        <v/>
      </c>
      <c r="S138" s="74" t="str">
        <f t="shared" si="15"/>
        <v/>
      </c>
      <c r="T138" s="75" t="str">
        <f t="shared" si="16"/>
        <v/>
      </c>
      <c r="U138" s="74" t="str">
        <f t="shared" si="17"/>
        <v/>
      </c>
    </row>
    <row r="139" spans="1:21" ht="19.9" customHeight="1">
      <c r="A139" s="37"/>
      <c r="B139" s="37"/>
      <c r="C139" s="38"/>
      <c r="D139" s="37"/>
      <c r="E139" s="37" t="str">
        <f t="shared" si="13"/>
        <v/>
      </c>
      <c r="F139" s="38"/>
      <c r="G139" s="37" t="str">
        <f t="shared" si="18"/>
        <v/>
      </c>
      <c r="H139" s="60" t="str">
        <f t="shared" si="14"/>
        <v/>
      </c>
      <c r="I139" s="38"/>
      <c r="J139" s="38"/>
      <c r="K139" s="39"/>
      <c r="L139" s="62"/>
      <c r="M139" s="69" t="str">
        <f>IF(AND(A139="",B139=""),"",COUNTIF(数据!$F$3:$F$999,A139))</f>
        <v/>
      </c>
      <c r="N139" s="69" t="str">
        <f>IF(AND(A139="",B139=""),"",SUMIF(数据!$F$3:$F$999,A139,数据!$D$3:$D$999))</f>
        <v/>
      </c>
      <c r="O139" s="69" t="str">
        <f>IF(AND(A139="",B139=""),"",SUMIF(数据!$F$3:$F$999,A139,数据!$L$3:$L$999))</f>
        <v/>
      </c>
      <c r="P139" s="71" t="str">
        <f>IF(AND(A139="",B139=""),"",SUMIF(数据!$F$3:$F$999,A139,数据!$M$3:$M$999))</f>
        <v/>
      </c>
      <c r="S139" s="74" t="str">
        <f t="shared" si="15"/>
        <v/>
      </c>
      <c r="T139" s="75" t="str">
        <f t="shared" si="16"/>
        <v/>
      </c>
      <c r="U139" s="74" t="str">
        <f t="shared" si="17"/>
        <v/>
      </c>
    </row>
    <row r="140" spans="1:21" ht="19.9" customHeight="1">
      <c r="A140" s="37"/>
      <c r="B140" s="37"/>
      <c r="C140" s="38"/>
      <c r="D140" s="37"/>
      <c r="E140" s="37" t="str">
        <f t="shared" si="13"/>
        <v/>
      </c>
      <c r="F140" s="38"/>
      <c r="G140" s="37" t="str">
        <f t="shared" si="18"/>
        <v/>
      </c>
      <c r="H140" s="60" t="str">
        <f t="shared" si="14"/>
        <v/>
      </c>
      <c r="I140" s="38"/>
      <c r="J140" s="38"/>
      <c r="K140" s="39"/>
      <c r="L140" s="62"/>
      <c r="M140" s="69" t="str">
        <f>IF(AND(A140="",B140=""),"",COUNTIF(数据!$F$3:$F$999,A140))</f>
        <v/>
      </c>
      <c r="N140" s="69" t="str">
        <f>IF(AND(A140="",B140=""),"",SUMIF(数据!$F$3:$F$999,A140,数据!$D$3:$D$999))</f>
        <v/>
      </c>
      <c r="O140" s="69" t="str">
        <f>IF(AND(A140="",B140=""),"",SUMIF(数据!$F$3:$F$999,A140,数据!$L$3:$L$999))</f>
        <v/>
      </c>
      <c r="P140" s="71" t="str">
        <f>IF(AND(A140="",B140=""),"",SUMIF(数据!$F$3:$F$999,A140,数据!$M$3:$M$999))</f>
        <v/>
      </c>
      <c r="S140" s="74" t="str">
        <f t="shared" si="15"/>
        <v/>
      </c>
      <c r="T140" s="75" t="str">
        <f t="shared" si="16"/>
        <v/>
      </c>
      <c r="U140" s="74" t="str">
        <f t="shared" si="17"/>
        <v/>
      </c>
    </row>
    <row r="141" spans="1:21" ht="19.9" customHeight="1">
      <c r="A141" s="37"/>
      <c r="B141" s="37"/>
      <c r="C141" s="38"/>
      <c r="D141" s="37"/>
      <c r="E141" s="37" t="str">
        <f t="shared" si="13"/>
        <v/>
      </c>
      <c r="F141" s="38"/>
      <c r="G141" s="37" t="str">
        <f t="shared" si="18"/>
        <v/>
      </c>
      <c r="H141" s="60" t="str">
        <f t="shared" si="14"/>
        <v/>
      </c>
      <c r="I141" s="38"/>
      <c r="J141" s="38"/>
      <c r="K141" s="39"/>
      <c r="L141" s="62"/>
      <c r="M141" s="69" t="str">
        <f>IF(AND(A141="",B141=""),"",COUNTIF(数据!$F$3:$F$999,A141))</f>
        <v/>
      </c>
      <c r="N141" s="69" t="str">
        <f>IF(AND(A141="",B141=""),"",SUMIF(数据!$F$3:$F$999,A141,数据!$D$3:$D$999))</f>
        <v/>
      </c>
      <c r="O141" s="69" t="str">
        <f>IF(AND(A141="",B141=""),"",SUMIF(数据!$F$3:$F$999,A141,数据!$L$3:$L$999))</f>
        <v/>
      </c>
      <c r="P141" s="71" t="str">
        <f>IF(AND(A141="",B141=""),"",SUMIF(数据!$F$3:$F$999,A141,数据!$M$3:$M$999))</f>
        <v/>
      </c>
      <c r="S141" s="74" t="str">
        <f t="shared" si="15"/>
        <v/>
      </c>
      <c r="T141" s="75" t="str">
        <f t="shared" si="16"/>
        <v/>
      </c>
      <c r="U141" s="74" t="str">
        <f t="shared" si="17"/>
        <v/>
      </c>
    </row>
    <row r="142" spans="1:21" ht="19.9" customHeight="1">
      <c r="A142" s="37"/>
      <c r="B142" s="37"/>
      <c r="C142" s="38"/>
      <c r="D142" s="37"/>
      <c r="E142" s="37" t="str">
        <f t="shared" si="13"/>
        <v/>
      </c>
      <c r="F142" s="38"/>
      <c r="G142" s="37" t="str">
        <f t="shared" si="18"/>
        <v/>
      </c>
      <c r="H142" s="60" t="str">
        <f t="shared" si="14"/>
        <v/>
      </c>
      <c r="I142" s="38"/>
      <c r="J142" s="38"/>
      <c r="K142" s="39"/>
      <c r="L142" s="62"/>
      <c r="M142" s="69" t="str">
        <f>IF(AND(A142="",B142=""),"",COUNTIF(数据!$F$3:$F$999,A142))</f>
        <v/>
      </c>
      <c r="N142" s="69" t="str">
        <f>IF(AND(A142="",B142=""),"",SUMIF(数据!$F$3:$F$999,A142,数据!$D$3:$D$999))</f>
        <v/>
      </c>
      <c r="O142" s="69" t="str">
        <f>IF(AND(A142="",B142=""),"",SUMIF(数据!$F$3:$F$999,A142,数据!$L$3:$L$999))</f>
        <v/>
      </c>
      <c r="P142" s="71" t="str">
        <f>IF(AND(A142="",B142=""),"",SUMIF(数据!$F$3:$F$999,A142,数据!$M$3:$M$999))</f>
        <v/>
      </c>
      <c r="S142" s="74" t="str">
        <f t="shared" si="15"/>
        <v/>
      </c>
      <c r="T142" s="75" t="str">
        <f t="shared" si="16"/>
        <v/>
      </c>
      <c r="U142" s="74" t="str">
        <f t="shared" si="17"/>
        <v/>
      </c>
    </row>
    <row r="143" spans="1:21" ht="19.9" customHeight="1">
      <c r="A143" s="37"/>
      <c r="B143" s="37"/>
      <c r="C143" s="38"/>
      <c r="D143" s="37"/>
      <c r="E143" s="37" t="str">
        <f t="shared" si="13"/>
        <v/>
      </c>
      <c r="F143" s="38"/>
      <c r="G143" s="37" t="str">
        <f t="shared" si="18"/>
        <v/>
      </c>
      <c r="H143" s="60" t="str">
        <f t="shared" si="14"/>
        <v/>
      </c>
      <c r="I143" s="38"/>
      <c r="J143" s="38"/>
      <c r="K143" s="39"/>
      <c r="L143" s="62"/>
      <c r="M143" s="69" t="str">
        <f>IF(AND(A143="",B143=""),"",COUNTIF(数据!$F$3:$F$999,A143))</f>
        <v/>
      </c>
      <c r="N143" s="69" t="str">
        <f>IF(AND(A143="",B143=""),"",SUMIF(数据!$F$3:$F$999,A143,数据!$D$3:$D$999))</f>
        <v/>
      </c>
      <c r="O143" s="69" t="str">
        <f>IF(AND(A143="",B143=""),"",SUMIF(数据!$F$3:$F$999,A143,数据!$L$3:$L$999))</f>
        <v/>
      </c>
      <c r="P143" s="71" t="str">
        <f>IF(AND(A143="",B143=""),"",SUMIF(数据!$F$3:$F$999,A143,数据!$M$3:$M$999))</f>
        <v/>
      </c>
      <c r="S143" s="74" t="str">
        <f t="shared" si="15"/>
        <v/>
      </c>
      <c r="T143" s="75" t="str">
        <f t="shared" si="16"/>
        <v/>
      </c>
      <c r="U143" s="74" t="str">
        <f t="shared" si="17"/>
        <v/>
      </c>
    </row>
    <row r="144" spans="1:21" ht="19.9" customHeight="1">
      <c r="A144" s="37"/>
      <c r="B144" s="37"/>
      <c r="C144" s="38"/>
      <c r="D144" s="37"/>
      <c r="E144" s="37" t="str">
        <f t="shared" si="13"/>
        <v/>
      </c>
      <c r="F144" s="38"/>
      <c r="G144" s="37" t="str">
        <f t="shared" si="18"/>
        <v/>
      </c>
      <c r="H144" s="60" t="str">
        <f t="shared" si="14"/>
        <v/>
      </c>
      <c r="I144" s="38"/>
      <c r="J144" s="38"/>
      <c r="K144" s="39"/>
      <c r="L144" s="62"/>
      <c r="M144" s="69" t="str">
        <f>IF(AND(A144="",B144=""),"",COUNTIF(数据!$F$3:$F$999,A144))</f>
        <v/>
      </c>
      <c r="N144" s="69" t="str">
        <f>IF(AND(A144="",B144=""),"",SUMIF(数据!$F$3:$F$999,A144,数据!$D$3:$D$999))</f>
        <v/>
      </c>
      <c r="O144" s="69" t="str">
        <f>IF(AND(A144="",B144=""),"",SUMIF(数据!$F$3:$F$999,A144,数据!$L$3:$L$999))</f>
        <v/>
      </c>
      <c r="P144" s="71" t="str">
        <f>IF(AND(A144="",B144=""),"",SUMIF(数据!$F$3:$F$999,A144,数据!$M$3:$M$999))</f>
        <v/>
      </c>
      <c r="S144" s="74" t="str">
        <f t="shared" si="15"/>
        <v/>
      </c>
      <c r="T144" s="75" t="str">
        <f t="shared" si="16"/>
        <v/>
      </c>
      <c r="U144" s="74" t="str">
        <f t="shared" si="17"/>
        <v/>
      </c>
    </row>
    <row r="145" spans="1:21" ht="19.9" customHeight="1">
      <c r="A145" s="37"/>
      <c r="B145" s="37"/>
      <c r="C145" s="38"/>
      <c r="D145" s="37"/>
      <c r="E145" s="37" t="str">
        <f t="shared" si="13"/>
        <v/>
      </c>
      <c r="F145" s="38"/>
      <c r="G145" s="37" t="str">
        <f t="shared" si="18"/>
        <v/>
      </c>
      <c r="H145" s="60" t="str">
        <f t="shared" si="14"/>
        <v/>
      </c>
      <c r="I145" s="38"/>
      <c r="J145" s="38"/>
      <c r="K145" s="39"/>
      <c r="L145" s="62"/>
      <c r="M145" s="69" t="str">
        <f>IF(AND(A145="",B145=""),"",COUNTIF(数据!$F$3:$F$999,A145))</f>
        <v/>
      </c>
      <c r="N145" s="69" t="str">
        <f>IF(AND(A145="",B145=""),"",SUMIF(数据!$F$3:$F$999,A145,数据!$D$3:$D$999))</f>
        <v/>
      </c>
      <c r="O145" s="69" t="str">
        <f>IF(AND(A145="",B145=""),"",SUMIF(数据!$F$3:$F$999,A145,数据!$L$3:$L$999))</f>
        <v/>
      </c>
      <c r="P145" s="71" t="str">
        <f>IF(AND(A145="",B145=""),"",SUMIF(数据!$F$3:$F$999,A145,数据!$M$3:$M$999))</f>
        <v/>
      </c>
      <c r="S145" s="74" t="str">
        <f t="shared" si="15"/>
        <v/>
      </c>
      <c r="T145" s="75" t="str">
        <f t="shared" si="16"/>
        <v/>
      </c>
      <c r="U145" s="74" t="str">
        <f t="shared" si="17"/>
        <v/>
      </c>
    </row>
    <row r="146" spans="1:21" ht="19.9" customHeight="1">
      <c r="A146" s="37"/>
      <c r="B146" s="37"/>
      <c r="C146" s="38"/>
      <c r="D146" s="37"/>
      <c r="E146" s="37" t="str">
        <f t="shared" si="13"/>
        <v/>
      </c>
      <c r="F146" s="38"/>
      <c r="G146" s="37" t="str">
        <f t="shared" si="18"/>
        <v/>
      </c>
      <c r="H146" s="60" t="str">
        <f t="shared" si="14"/>
        <v/>
      </c>
      <c r="I146" s="38"/>
      <c r="J146" s="38"/>
      <c r="K146" s="39"/>
      <c r="L146" s="62"/>
      <c r="M146" s="69" t="str">
        <f>IF(AND(A146="",B146=""),"",COUNTIF(数据!$F$3:$F$999,A146))</f>
        <v/>
      </c>
      <c r="N146" s="69" t="str">
        <f>IF(AND(A146="",B146=""),"",SUMIF(数据!$F$3:$F$999,A146,数据!$D$3:$D$999))</f>
        <v/>
      </c>
      <c r="O146" s="69" t="str">
        <f>IF(AND(A146="",B146=""),"",SUMIF(数据!$F$3:$F$999,A146,数据!$L$3:$L$999))</f>
        <v/>
      </c>
      <c r="P146" s="71" t="str">
        <f>IF(AND(A146="",B146=""),"",SUMIF(数据!$F$3:$F$999,A146,数据!$M$3:$M$999))</f>
        <v/>
      </c>
      <c r="S146" s="74" t="str">
        <f t="shared" si="15"/>
        <v/>
      </c>
      <c r="T146" s="75" t="str">
        <f t="shared" si="16"/>
        <v/>
      </c>
      <c r="U146" s="74" t="str">
        <f t="shared" si="17"/>
        <v/>
      </c>
    </row>
    <row r="147" spans="1:21" ht="19.9" customHeight="1">
      <c r="A147" s="37"/>
      <c r="B147" s="37"/>
      <c r="C147" s="38"/>
      <c r="D147" s="37"/>
      <c r="E147" s="37" t="str">
        <f t="shared" si="13"/>
        <v/>
      </c>
      <c r="F147" s="38"/>
      <c r="G147" s="37" t="str">
        <f t="shared" si="18"/>
        <v/>
      </c>
      <c r="H147" s="60" t="str">
        <f t="shared" si="14"/>
        <v/>
      </c>
      <c r="I147" s="38"/>
      <c r="J147" s="38"/>
      <c r="K147" s="39"/>
      <c r="L147" s="62"/>
      <c r="M147" s="69" t="str">
        <f>IF(AND(A147="",B147=""),"",COUNTIF(数据!$F$3:$F$999,A147))</f>
        <v/>
      </c>
      <c r="N147" s="69" t="str">
        <f>IF(AND(A147="",B147=""),"",SUMIF(数据!$F$3:$F$999,A147,数据!$D$3:$D$999))</f>
        <v/>
      </c>
      <c r="O147" s="69" t="str">
        <f>IF(AND(A147="",B147=""),"",SUMIF(数据!$F$3:$F$999,A147,数据!$L$3:$L$999))</f>
        <v/>
      </c>
      <c r="P147" s="71" t="str">
        <f>IF(AND(A147="",B147=""),"",SUMIF(数据!$F$3:$F$999,A147,数据!$M$3:$M$999))</f>
        <v/>
      </c>
      <c r="S147" s="74" t="str">
        <f t="shared" si="15"/>
        <v/>
      </c>
      <c r="T147" s="75" t="str">
        <f t="shared" si="16"/>
        <v/>
      </c>
      <c r="U147" s="74" t="str">
        <f t="shared" si="17"/>
        <v/>
      </c>
    </row>
    <row r="148" spans="1:21" ht="19.9" customHeight="1">
      <c r="A148" s="37"/>
      <c r="B148" s="37"/>
      <c r="C148" s="38"/>
      <c r="D148" s="37"/>
      <c r="E148" s="37" t="str">
        <f t="shared" si="13"/>
        <v/>
      </c>
      <c r="F148" s="38"/>
      <c r="G148" s="37" t="str">
        <f t="shared" si="18"/>
        <v/>
      </c>
      <c r="H148" s="60" t="str">
        <f t="shared" si="14"/>
        <v/>
      </c>
      <c r="I148" s="38"/>
      <c r="J148" s="38"/>
      <c r="K148" s="39"/>
      <c r="L148" s="62"/>
      <c r="M148" s="69" t="str">
        <f>IF(AND(A148="",B148=""),"",COUNTIF(数据!$F$3:$F$999,A148))</f>
        <v/>
      </c>
      <c r="N148" s="69" t="str">
        <f>IF(AND(A148="",B148=""),"",SUMIF(数据!$F$3:$F$999,A148,数据!$D$3:$D$999))</f>
        <v/>
      </c>
      <c r="O148" s="69" t="str">
        <f>IF(AND(A148="",B148=""),"",SUMIF(数据!$F$3:$F$999,A148,数据!$L$3:$L$999))</f>
        <v/>
      </c>
      <c r="P148" s="71" t="str">
        <f>IF(AND(A148="",B148=""),"",SUMIF(数据!$F$3:$F$999,A148,数据!$M$3:$M$999))</f>
        <v/>
      </c>
      <c r="S148" s="74" t="str">
        <f t="shared" si="15"/>
        <v/>
      </c>
      <c r="T148" s="75" t="str">
        <f t="shared" si="16"/>
        <v/>
      </c>
      <c r="U148" s="74" t="str">
        <f t="shared" si="17"/>
        <v/>
      </c>
    </row>
    <row r="149" spans="1:21" ht="19.9" customHeight="1">
      <c r="A149" s="37"/>
      <c r="B149" s="37"/>
      <c r="C149" s="38"/>
      <c r="D149" s="37"/>
      <c r="E149" s="37" t="str">
        <f t="shared" si="13"/>
        <v/>
      </c>
      <c r="F149" s="38"/>
      <c r="G149" s="37" t="str">
        <f t="shared" si="18"/>
        <v/>
      </c>
      <c r="H149" s="60" t="str">
        <f t="shared" si="14"/>
        <v/>
      </c>
      <c r="I149" s="38"/>
      <c r="J149" s="38"/>
      <c r="K149" s="39"/>
      <c r="L149" s="62"/>
      <c r="M149" s="69" t="str">
        <f>IF(AND(A149="",B149=""),"",COUNTIF(数据!$F$3:$F$999,A149))</f>
        <v/>
      </c>
      <c r="N149" s="69" t="str">
        <f>IF(AND(A149="",B149=""),"",SUMIF(数据!$F$3:$F$999,A149,数据!$D$3:$D$999))</f>
        <v/>
      </c>
      <c r="O149" s="69" t="str">
        <f>IF(AND(A149="",B149=""),"",SUMIF(数据!$F$3:$F$999,A149,数据!$L$3:$L$999))</f>
        <v/>
      </c>
      <c r="P149" s="71" t="str">
        <f>IF(AND(A149="",B149=""),"",SUMIF(数据!$F$3:$F$999,A149,数据!$M$3:$M$999))</f>
        <v/>
      </c>
      <c r="S149" s="74" t="str">
        <f t="shared" si="15"/>
        <v/>
      </c>
      <c r="T149" s="75" t="str">
        <f t="shared" si="16"/>
        <v/>
      </c>
      <c r="U149" s="74" t="str">
        <f t="shared" si="17"/>
        <v/>
      </c>
    </row>
    <row r="150" spans="1:21" ht="19.9" customHeight="1">
      <c r="A150" s="37"/>
      <c r="B150" s="37"/>
      <c r="C150" s="38"/>
      <c r="D150" s="37"/>
      <c r="E150" s="37" t="str">
        <f t="shared" si="13"/>
        <v/>
      </c>
      <c r="F150" s="38"/>
      <c r="G150" s="37" t="str">
        <f t="shared" si="18"/>
        <v/>
      </c>
      <c r="H150" s="60" t="str">
        <f t="shared" si="14"/>
        <v/>
      </c>
      <c r="I150" s="38"/>
      <c r="J150" s="38"/>
      <c r="K150" s="39"/>
      <c r="L150" s="62"/>
      <c r="M150" s="69" t="str">
        <f>IF(AND(A150="",B150=""),"",COUNTIF(数据!$F$3:$F$999,A150))</f>
        <v/>
      </c>
      <c r="N150" s="69" t="str">
        <f>IF(AND(A150="",B150=""),"",SUMIF(数据!$F$3:$F$999,A150,数据!$D$3:$D$999))</f>
        <v/>
      </c>
      <c r="O150" s="69" t="str">
        <f>IF(AND(A150="",B150=""),"",SUMIF(数据!$F$3:$F$999,A150,数据!$L$3:$L$999))</f>
        <v/>
      </c>
      <c r="P150" s="71" t="str">
        <f>IF(AND(A150="",B150=""),"",SUMIF(数据!$F$3:$F$999,A150,数据!$M$3:$M$999))</f>
        <v/>
      </c>
      <c r="S150" s="74" t="str">
        <f t="shared" si="15"/>
        <v/>
      </c>
      <c r="T150" s="75" t="str">
        <f t="shared" si="16"/>
        <v/>
      </c>
      <c r="U150" s="74" t="str">
        <f t="shared" si="17"/>
        <v/>
      </c>
    </row>
    <row r="151" spans="1:21" ht="19.9" customHeight="1">
      <c r="A151" s="37"/>
      <c r="B151" s="37"/>
      <c r="C151" s="38"/>
      <c r="D151" s="37"/>
      <c r="E151" s="37" t="str">
        <f t="shared" si="13"/>
        <v/>
      </c>
      <c r="F151" s="38"/>
      <c r="G151" s="37" t="str">
        <f t="shared" si="18"/>
        <v/>
      </c>
      <c r="H151" s="60" t="str">
        <f t="shared" si="14"/>
        <v/>
      </c>
      <c r="I151" s="38"/>
      <c r="J151" s="38"/>
      <c r="K151" s="39"/>
      <c r="L151" s="62"/>
      <c r="M151" s="69" t="str">
        <f>IF(AND(A151="",B151=""),"",COUNTIF(数据!$F$3:$F$999,A151))</f>
        <v/>
      </c>
      <c r="N151" s="69" t="str">
        <f>IF(AND(A151="",B151=""),"",SUMIF(数据!$F$3:$F$999,A151,数据!$D$3:$D$999))</f>
        <v/>
      </c>
      <c r="O151" s="69" t="str">
        <f>IF(AND(A151="",B151=""),"",SUMIF(数据!$F$3:$F$999,A151,数据!$L$3:$L$999))</f>
        <v/>
      </c>
      <c r="P151" s="71" t="str">
        <f>IF(AND(A151="",B151=""),"",SUMIF(数据!$F$3:$F$999,A151,数据!$M$3:$M$999))</f>
        <v/>
      </c>
      <c r="S151" s="74" t="str">
        <f t="shared" si="15"/>
        <v/>
      </c>
      <c r="T151" s="75" t="str">
        <f t="shared" si="16"/>
        <v/>
      </c>
      <c r="U151" s="74" t="str">
        <f t="shared" si="17"/>
        <v/>
      </c>
    </row>
    <row r="152" spans="1:21" ht="19.9" customHeight="1">
      <c r="A152" s="37"/>
      <c r="B152" s="37"/>
      <c r="C152" s="38"/>
      <c r="D152" s="37"/>
      <c r="E152" s="37" t="str">
        <f t="shared" si="13"/>
        <v/>
      </c>
      <c r="F152" s="38"/>
      <c r="G152" s="37" t="str">
        <f t="shared" si="18"/>
        <v/>
      </c>
      <c r="H152" s="60" t="str">
        <f t="shared" si="14"/>
        <v/>
      </c>
      <c r="I152" s="38"/>
      <c r="J152" s="38"/>
      <c r="K152" s="39"/>
      <c r="L152" s="62"/>
      <c r="M152" s="69" t="str">
        <f>IF(AND(A152="",B152=""),"",COUNTIF(数据!$F$3:$F$999,A152))</f>
        <v/>
      </c>
      <c r="N152" s="69" t="str">
        <f>IF(AND(A152="",B152=""),"",SUMIF(数据!$F$3:$F$999,A152,数据!$D$3:$D$999))</f>
        <v/>
      </c>
      <c r="O152" s="69" t="str">
        <f>IF(AND(A152="",B152=""),"",SUMIF(数据!$F$3:$F$999,A152,数据!$L$3:$L$999))</f>
        <v/>
      </c>
      <c r="P152" s="71" t="str">
        <f>IF(AND(A152="",B152=""),"",SUMIF(数据!$F$3:$F$999,A152,数据!$M$3:$M$999))</f>
        <v/>
      </c>
      <c r="S152" s="74" t="str">
        <f t="shared" si="15"/>
        <v/>
      </c>
      <c r="T152" s="75" t="str">
        <f t="shared" si="16"/>
        <v/>
      </c>
      <c r="U152" s="74" t="str">
        <f t="shared" si="17"/>
        <v/>
      </c>
    </row>
    <row r="153" spans="1:21" ht="19.9" customHeight="1">
      <c r="A153" s="37"/>
      <c r="B153" s="37"/>
      <c r="C153" s="38"/>
      <c r="D153" s="37"/>
      <c r="E153" s="37" t="str">
        <f t="shared" si="13"/>
        <v/>
      </c>
      <c r="F153" s="38"/>
      <c r="G153" s="37" t="str">
        <f t="shared" si="18"/>
        <v/>
      </c>
      <c r="H153" s="60" t="str">
        <f t="shared" si="14"/>
        <v/>
      </c>
      <c r="I153" s="38"/>
      <c r="J153" s="38"/>
      <c r="K153" s="39"/>
      <c r="L153" s="62"/>
      <c r="M153" s="69" t="str">
        <f>IF(AND(A153="",B153=""),"",COUNTIF(数据!$F$3:$F$999,A153))</f>
        <v/>
      </c>
      <c r="N153" s="69" t="str">
        <f>IF(AND(A153="",B153=""),"",SUMIF(数据!$F$3:$F$999,A153,数据!$D$3:$D$999))</f>
        <v/>
      </c>
      <c r="O153" s="69" t="str">
        <f>IF(AND(A153="",B153=""),"",SUMIF(数据!$F$3:$F$999,A153,数据!$L$3:$L$999))</f>
        <v/>
      </c>
      <c r="P153" s="71" t="str">
        <f>IF(AND(A153="",B153=""),"",SUMIF(数据!$F$3:$F$999,A153,数据!$M$3:$M$999))</f>
        <v/>
      </c>
      <c r="S153" s="74" t="str">
        <f t="shared" si="15"/>
        <v/>
      </c>
      <c r="T153" s="75" t="str">
        <f t="shared" si="16"/>
        <v/>
      </c>
      <c r="U153" s="74" t="str">
        <f t="shared" si="17"/>
        <v/>
      </c>
    </row>
    <row r="154" spans="1:21" ht="19.9" customHeight="1">
      <c r="A154" s="37"/>
      <c r="B154" s="37"/>
      <c r="C154" s="38"/>
      <c r="D154" s="37"/>
      <c r="E154" s="37" t="str">
        <f t="shared" si="13"/>
        <v/>
      </c>
      <c r="F154" s="38"/>
      <c r="G154" s="37" t="str">
        <f t="shared" si="18"/>
        <v/>
      </c>
      <c r="H154" s="60" t="str">
        <f t="shared" si="14"/>
        <v/>
      </c>
      <c r="I154" s="38"/>
      <c r="J154" s="38"/>
      <c r="K154" s="39"/>
      <c r="L154" s="62"/>
      <c r="M154" s="69" t="str">
        <f>IF(AND(A154="",B154=""),"",COUNTIF(数据!$F$3:$F$999,A154))</f>
        <v/>
      </c>
      <c r="N154" s="69" t="str">
        <f>IF(AND(A154="",B154=""),"",SUMIF(数据!$F$3:$F$999,A154,数据!$D$3:$D$999))</f>
        <v/>
      </c>
      <c r="O154" s="69" t="str">
        <f>IF(AND(A154="",B154=""),"",SUMIF(数据!$F$3:$F$999,A154,数据!$L$3:$L$999))</f>
        <v/>
      </c>
      <c r="P154" s="71" t="str">
        <f>IF(AND(A154="",B154=""),"",SUMIF(数据!$F$3:$F$999,A154,数据!$M$3:$M$999))</f>
        <v/>
      </c>
      <c r="S154" s="74" t="str">
        <f t="shared" si="15"/>
        <v/>
      </c>
      <c r="T154" s="75" t="str">
        <f t="shared" si="16"/>
        <v/>
      </c>
      <c r="U154" s="74" t="str">
        <f t="shared" si="17"/>
        <v/>
      </c>
    </row>
    <row r="155" spans="1:21" ht="19.9" customHeight="1">
      <c r="A155" s="37"/>
      <c r="B155" s="37"/>
      <c r="C155" s="38"/>
      <c r="D155" s="37"/>
      <c r="E155" s="37" t="str">
        <f t="shared" si="13"/>
        <v/>
      </c>
      <c r="F155" s="38"/>
      <c r="G155" s="37" t="str">
        <f t="shared" si="18"/>
        <v/>
      </c>
      <c r="H155" s="60" t="str">
        <f t="shared" si="14"/>
        <v/>
      </c>
      <c r="I155" s="38"/>
      <c r="J155" s="38"/>
      <c r="K155" s="39"/>
      <c r="L155" s="62"/>
      <c r="M155" s="69" t="str">
        <f>IF(AND(A155="",B155=""),"",COUNTIF(数据!$F$3:$F$999,A155))</f>
        <v/>
      </c>
      <c r="N155" s="69" t="str">
        <f>IF(AND(A155="",B155=""),"",SUMIF(数据!$F$3:$F$999,A155,数据!$D$3:$D$999))</f>
        <v/>
      </c>
      <c r="O155" s="69" t="str">
        <f>IF(AND(A155="",B155=""),"",SUMIF(数据!$F$3:$F$999,A155,数据!$L$3:$L$999))</f>
        <v/>
      </c>
      <c r="P155" s="71" t="str">
        <f>IF(AND(A155="",B155=""),"",SUMIF(数据!$F$3:$F$999,A155,数据!$M$3:$M$999))</f>
        <v/>
      </c>
      <c r="S155" s="74" t="str">
        <f t="shared" si="15"/>
        <v/>
      </c>
      <c r="T155" s="75" t="str">
        <f t="shared" si="16"/>
        <v/>
      </c>
      <c r="U155" s="74" t="str">
        <f t="shared" si="17"/>
        <v/>
      </c>
    </row>
    <row r="156" spans="1:21" ht="19.9" customHeight="1">
      <c r="A156" s="37"/>
      <c r="B156" s="37"/>
      <c r="C156" s="38"/>
      <c r="D156" s="37"/>
      <c r="E156" s="37" t="str">
        <f t="shared" si="13"/>
        <v/>
      </c>
      <c r="F156" s="38"/>
      <c r="G156" s="37" t="str">
        <f t="shared" si="18"/>
        <v/>
      </c>
      <c r="H156" s="60" t="str">
        <f t="shared" si="14"/>
        <v/>
      </c>
      <c r="I156" s="38"/>
      <c r="J156" s="38"/>
      <c r="K156" s="39"/>
      <c r="L156" s="62"/>
      <c r="M156" s="69" t="str">
        <f>IF(AND(A156="",B156=""),"",COUNTIF(数据!$F$3:$F$999,A156))</f>
        <v/>
      </c>
      <c r="N156" s="69" t="str">
        <f>IF(AND(A156="",B156=""),"",SUMIF(数据!$F$3:$F$999,A156,数据!$D$3:$D$999))</f>
        <v/>
      </c>
      <c r="O156" s="69" t="str">
        <f>IF(AND(A156="",B156=""),"",SUMIF(数据!$F$3:$F$999,A156,数据!$L$3:$L$999))</f>
        <v/>
      </c>
      <c r="P156" s="71" t="str">
        <f>IF(AND(A156="",B156=""),"",SUMIF(数据!$F$3:$F$999,A156,数据!$M$3:$M$999))</f>
        <v/>
      </c>
      <c r="S156" s="74" t="str">
        <f t="shared" si="15"/>
        <v/>
      </c>
      <c r="T156" s="75" t="str">
        <f t="shared" si="16"/>
        <v/>
      </c>
      <c r="U156" s="74" t="str">
        <f t="shared" si="17"/>
        <v/>
      </c>
    </row>
    <row r="157" spans="1:21" ht="19.9" customHeight="1">
      <c r="A157" s="37"/>
      <c r="B157" s="37"/>
      <c r="C157" s="38"/>
      <c r="D157" s="37"/>
      <c r="E157" s="37" t="str">
        <f t="shared" si="13"/>
        <v/>
      </c>
      <c r="F157" s="38"/>
      <c r="G157" s="37" t="str">
        <f t="shared" si="18"/>
        <v/>
      </c>
      <c r="H157" s="60" t="str">
        <f t="shared" si="14"/>
        <v/>
      </c>
      <c r="I157" s="38"/>
      <c r="J157" s="38"/>
      <c r="K157" s="39"/>
      <c r="L157" s="62"/>
      <c r="M157" s="69" t="str">
        <f>IF(AND(A157="",B157=""),"",COUNTIF(数据!$F$3:$F$999,A157))</f>
        <v/>
      </c>
      <c r="N157" s="69" t="str">
        <f>IF(AND(A157="",B157=""),"",SUMIF(数据!$F$3:$F$999,A157,数据!$D$3:$D$999))</f>
        <v/>
      </c>
      <c r="O157" s="69" t="str">
        <f>IF(AND(A157="",B157=""),"",SUMIF(数据!$F$3:$F$999,A157,数据!$L$3:$L$999))</f>
        <v/>
      </c>
      <c r="P157" s="71" t="str">
        <f>IF(AND(A157="",B157=""),"",SUMIF(数据!$F$3:$F$999,A157,数据!$M$3:$M$999))</f>
        <v/>
      </c>
      <c r="S157" s="74" t="str">
        <f t="shared" si="15"/>
        <v/>
      </c>
      <c r="T157" s="75" t="str">
        <f t="shared" si="16"/>
        <v/>
      </c>
      <c r="U157" s="74" t="str">
        <f t="shared" si="17"/>
        <v/>
      </c>
    </row>
    <row r="158" spans="1:21" ht="19.9" customHeight="1">
      <c r="A158" s="37"/>
      <c r="B158" s="37"/>
      <c r="C158" s="38"/>
      <c r="D158" s="37"/>
      <c r="E158" s="37" t="str">
        <f t="shared" si="13"/>
        <v/>
      </c>
      <c r="F158" s="38"/>
      <c r="G158" s="37" t="str">
        <f t="shared" si="18"/>
        <v/>
      </c>
      <c r="H158" s="60" t="str">
        <f t="shared" si="14"/>
        <v/>
      </c>
      <c r="I158" s="38"/>
      <c r="J158" s="38"/>
      <c r="K158" s="39"/>
      <c r="L158" s="62"/>
      <c r="M158" s="69" t="str">
        <f>IF(AND(A158="",B158=""),"",COUNTIF(数据!$F$3:$F$999,A158))</f>
        <v/>
      </c>
      <c r="N158" s="69" t="str">
        <f>IF(AND(A158="",B158=""),"",SUMIF(数据!$F$3:$F$999,A158,数据!$D$3:$D$999))</f>
        <v/>
      </c>
      <c r="O158" s="69" t="str">
        <f>IF(AND(A158="",B158=""),"",SUMIF(数据!$F$3:$F$999,A158,数据!$L$3:$L$999))</f>
        <v/>
      </c>
      <c r="P158" s="71" t="str">
        <f>IF(AND(A158="",B158=""),"",SUMIF(数据!$F$3:$F$999,A158,数据!$M$3:$M$999))</f>
        <v/>
      </c>
      <c r="S158" s="74" t="str">
        <f t="shared" si="15"/>
        <v/>
      </c>
      <c r="T158" s="75" t="str">
        <f t="shared" si="16"/>
        <v/>
      </c>
      <c r="U158" s="74" t="str">
        <f t="shared" si="17"/>
        <v/>
      </c>
    </row>
    <row r="159" spans="1:21" ht="19.9" customHeight="1">
      <c r="A159" s="37"/>
      <c r="B159" s="37"/>
      <c r="C159" s="38"/>
      <c r="D159" s="37"/>
      <c r="E159" s="37" t="str">
        <f t="shared" si="13"/>
        <v/>
      </c>
      <c r="F159" s="38"/>
      <c r="G159" s="37" t="str">
        <f t="shared" si="18"/>
        <v/>
      </c>
      <c r="H159" s="60" t="str">
        <f t="shared" si="14"/>
        <v/>
      </c>
      <c r="I159" s="38"/>
      <c r="J159" s="38"/>
      <c r="K159" s="39"/>
      <c r="L159" s="62"/>
      <c r="M159" s="69" t="str">
        <f>IF(AND(A159="",B159=""),"",COUNTIF(数据!$F$3:$F$999,A159))</f>
        <v/>
      </c>
      <c r="N159" s="69" t="str">
        <f>IF(AND(A159="",B159=""),"",SUMIF(数据!$F$3:$F$999,A159,数据!$D$3:$D$999))</f>
        <v/>
      </c>
      <c r="O159" s="69" t="str">
        <f>IF(AND(A159="",B159=""),"",SUMIF(数据!$F$3:$F$999,A159,数据!$L$3:$L$999))</f>
        <v/>
      </c>
      <c r="P159" s="71" t="str">
        <f>IF(AND(A159="",B159=""),"",SUMIF(数据!$F$3:$F$999,A159,数据!$M$3:$M$999))</f>
        <v/>
      </c>
      <c r="S159" s="74" t="str">
        <f t="shared" si="15"/>
        <v/>
      </c>
      <c r="T159" s="75" t="str">
        <f t="shared" si="16"/>
        <v/>
      </c>
      <c r="U159" s="74" t="str">
        <f t="shared" si="17"/>
        <v/>
      </c>
    </row>
    <row r="160" spans="1:21" ht="19.9" customHeight="1">
      <c r="A160" s="37"/>
      <c r="B160" s="37"/>
      <c r="C160" s="38"/>
      <c r="D160" s="37"/>
      <c r="E160" s="37" t="str">
        <f t="shared" si="13"/>
        <v/>
      </c>
      <c r="F160" s="38"/>
      <c r="G160" s="37" t="str">
        <f t="shared" si="18"/>
        <v/>
      </c>
      <c r="H160" s="60" t="str">
        <f t="shared" si="14"/>
        <v/>
      </c>
      <c r="I160" s="38"/>
      <c r="J160" s="38"/>
      <c r="K160" s="39"/>
      <c r="L160" s="62"/>
      <c r="M160" s="69" t="str">
        <f>IF(AND(A160="",B160=""),"",COUNTIF(数据!$F$3:$F$999,A160))</f>
        <v/>
      </c>
      <c r="N160" s="69" t="str">
        <f>IF(AND(A160="",B160=""),"",SUMIF(数据!$F$3:$F$999,A160,数据!$D$3:$D$999))</f>
        <v/>
      </c>
      <c r="O160" s="69" t="str">
        <f>IF(AND(A160="",B160=""),"",SUMIF(数据!$F$3:$F$999,A160,数据!$L$3:$L$999))</f>
        <v/>
      </c>
      <c r="P160" s="71" t="str">
        <f>IF(AND(A160="",B160=""),"",SUMIF(数据!$F$3:$F$999,A160,数据!$M$3:$M$999))</f>
        <v/>
      </c>
      <c r="S160" s="74" t="str">
        <f t="shared" si="15"/>
        <v/>
      </c>
      <c r="T160" s="75" t="str">
        <f t="shared" si="16"/>
        <v/>
      </c>
      <c r="U160" s="74" t="str">
        <f t="shared" si="17"/>
        <v/>
      </c>
    </row>
    <row r="161" spans="1:21" ht="19.9" customHeight="1">
      <c r="A161" s="37"/>
      <c r="B161" s="37"/>
      <c r="C161" s="38"/>
      <c r="D161" s="37"/>
      <c r="E161" s="37" t="str">
        <f t="shared" si="13"/>
        <v/>
      </c>
      <c r="F161" s="38"/>
      <c r="G161" s="37" t="str">
        <f t="shared" si="18"/>
        <v/>
      </c>
      <c r="H161" s="60" t="str">
        <f t="shared" si="14"/>
        <v/>
      </c>
      <c r="I161" s="38"/>
      <c r="J161" s="38"/>
      <c r="K161" s="39"/>
      <c r="L161" s="62"/>
      <c r="M161" s="69" t="str">
        <f>IF(AND(A161="",B161=""),"",COUNTIF(数据!$F$3:$F$999,A161))</f>
        <v/>
      </c>
      <c r="N161" s="69" t="str">
        <f>IF(AND(A161="",B161=""),"",SUMIF(数据!$F$3:$F$999,A161,数据!$D$3:$D$999))</f>
        <v/>
      </c>
      <c r="O161" s="69" t="str">
        <f>IF(AND(A161="",B161=""),"",SUMIF(数据!$F$3:$F$999,A161,数据!$L$3:$L$999))</f>
        <v/>
      </c>
      <c r="P161" s="71" t="str">
        <f>IF(AND(A161="",B161=""),"",SUMIF(数据!$F$3:$F$999,A161,数据!$M$3:$M$999))</f>
        <v/>
      </c>
      <c r="S161" s="74" t="str">
        <f t="shared" si="15"/>
        <v/>
      </c>
      <c r="T161" s="75" t="str">
        <f t="shared" si="16"/>
        <v/>
      </c>
      <c r="U161" s="74" t="str">
        <f t="shared" si="17"/>
        <v/>
      </c>
    </row>
    <row r="162" spans="1:21" ht="19.9" customHeight="1">
      <c r="A162" s="37"/>
      <c r="B162" s="37"/>
      <c r="C162" s="38"/>
      <c r="D162" s="37"/>
      <c r="E162" s="37" t="str">
        <f t="shared" si="13"/>
        <v/>
      </c>
      <c r="F162" s="38"/>
      <c r="G162" s="37" t="str">
        <f t="shared" si="18"/>
        <v/>
      </c>
      <c r="H162" s="60" t="str">
        <f t="shared" si="14"/>
        <v/>
      </c>
      <c r="I162" s="38"/>
      <c r="J162" s="38"/>
      <c r="K162" s="39"/>
      <c r="L162" s="62"/>
      <c r="M162" s="69" t="str">
        <f>IF(AND(A162="",B162=""),"",COUNTIF(数据!$F$3:$F$999,A162))</f>
        <v/>
      </c>
      <c r="N162" s="69" t="str">
        <f>IF(AND(A162="",B162=""),"",SUMIF(数据!$F$3:$F$999,A162,数据!$D$3:$D$999))</f>
        <v/>
      </c>
      <c r="O162" s="69" t="str">
        <f>IF(AND(A162="",B162=""),"",SUMIF(数据!$F$3:$F$999,A162,数据!$L$3:$L$999))</f>
        <v/>
      </c>
      <c r="P162" s="71" t="str">
        <f>IF(AND(A162="",B162=""),"",SUMIF(数据!$F$3:$F$999,A162,数据!$M$3:$M$999))</f>
        <v/>
      </c>
      <c r="S162" s="74" t="str">
        <f t="shared" si="15"/>
        <v/>
      </c>
      <c r="T162" s="75" t="str">
        <f t="shared" si="16"/>
        <v/>
      </c>
      <c r="U162" s="74" t="str">
        <f t="shared" si="17"/>
        <v/>
      </c>
    </row>
    <row r="163" spans="1:12" ht="19.9" customHeight="1">
      <c r="A163" s="37"/>
      <c r="B163" s="37"/>
      <c r="C163" s="38"/>
      <c r="D163" s="37"/>
      <c r="E163" s="37"/>
      <c r="F163" s="38"/>
      <c r="G163" s="37"/>
      <c r="H163" s="60"/>
      <c r="I163" s="38"/>
      <c r="J163" s="38"/>
      <c r="K163" s="39"/>
      <c r="L163" s="62"/>
    </row>
    <row r="164" spans="1:12" ht="19.9" customHeight="1">
      <c r="A164" s="37"/>
      <c r="B164" s="37"/>
      <c r="C164" s="38"/>
      <c r="D164" s="37"/>
      <c r="E164" s="37"/>
      <c r="F164" s="38"/>
      <c r="G164" s="37"/>
      <c r="H164" s="60"/>
      <c r="I164" s="38"/>
      <c r="J164" s="38"/>
      <c r="K164" s="39"/>
      <c r="L164" s="62"/>
    </row>
    <row r="165" spans="1:12" ht="19.9" customHeight="1">
      <c r="A165" s="37"/>
      <c r="B165" s="37"/>
      <c r="C165" s="38"/>
      <c r="D165" s="37"/>
      <c r="E165" s="37"/>
      <c r="F165" s="38"/>
      <c r="G165" s="37"/>
      <c r="H165" s="60"/>
      <c r="I165" s="38"/>
      <c r="J165" s="38"/>
      <c r="K165" s="39"/>
      <c r="L165" s="62"/>
    </row>
    <row r="166" spans="1:12" ht="19.9" customHeight="1">
      <c r="A166" s="37"/>
      <c r="B166" s="37"/>
      <c r="C166" s="38"/>
      <c r="D166" s="37"/>
      <c r="E166" s="37"/>
      <c r="F166" s="38"/>
      <c r="G166" s="37"/>
      <c r="H166" s="60"/>
      <c r="I166" s="38"/>
      <c r="J166" s="38"/>
      <c r="K166" s="39"/>
      <c r="L166" s="62"/>
    </row>
    <row r="167" spans="1:12" ht="19.9" customHeight="1">
      <c r="A167" s="37"/>
      <c r="B167" s="37"/>
      <c r="C167" s="38"/>
      <c r="D167" s="37"/>
      <c r="E167" s="37"/>
      <c r="F167" s="38"/>
      <c r="G167" s="37"/>
      <c r="H167" s="60"/>
      <c r="I167" s="38"/>
      <c r="J167" s="38"/>
      <c r="K167" s="39"/>
      <c r="L167" s="62"/>
    </row>
    <row r="168" spans="1:12" ht="19.9" customHeight="1">
      <c r="A168" s="37"/>
      <c r="B168" s="37"/>
      <c r="C168" s="38"/>
      <c r="D168" s="37"/>
      <c r="E168" s="37"/>
      <c r="F168" s="38"/>
      <c r="G168" s="37"/>
      <c r="H168" s="60"/>
      <c r="I168" s="38"/>
      <c r="J168" s="38"/>
      <c r="K168" s="39"/>
      <c r="L168" s="62"/>
    </row>
    <row r="169" spans="1:12" ht="19.9" customHeight="1">
      <c r="A169" s="37"/>
      <c r="B169" s="37"/>
      <c r="C169" s="38"/>
      <c r="D169" s="37"/>
      <c r="E169" s="37"/>
      <c r="F169" s="38"/>
      <c r="G169" s="37"/>
      <c r="H169" s="60"/>
      <c r="I169" s="38"/>
      <c r="J169" s="38"/>
      <c r="K169" s="39"/>
      <c r="L169" s="62"/>
    </row>
    <row r="170" spans="1:12" ht="19.9" customHeight="1">
      <c r="A170" s="37"/>
      <c r="B170" s="37"/>
      <c r="C170" s="38"/>
      <c r="D170" s="37"/>
      <c r="E170" s="37"/>
      <c r="F170" s="38"/>
      <c r="G170" s="37"/>
      <c r="H170" s="60"/>
      <c r="I170" s="38"/>
      <c r="J170" s="38"/>
      <c r="K170" s="39"/>
      <c r="L170" s="62"/>
    </row>
    <row r="171" spans="1:12" ht="19.9" customHeight="1">
      <c r="A171" s="37"/>
      <c r="B171" s="37"/>
      <c r="C171" s="38"/>
      <c r="D171" s="37"/>
      <c r="E171" s="37"/>
      <c r="F171" s="38"/>
      <c r="G171" s="37"/>
      <c r="H171" s="60"/>
      <c r="I171" s="38"/>
      <c r="J171" s="38"/>
      <c r="K171" s="39"/>
      <c r="L171" s="62"/>
    </row>
    <row r="172" spans="1:12" ht="19.9" customHeight="1">
      <c r="A172" s="37"/>
      <c r="B172" s="37"/>
      <c r="C172" s="38"/>
      <c r="D172" s="37"/>
      <c r="E172" s="37"/>
      <c r="F172" s="38"/>
      <c r="G172" s="37"/>
      <c r="H172" s="60"/>
      <c r="I172" s="38"/>
      <c r="J172" s="38"/>
      <c r="K172" s="39"/>
      <c r="L172" s="62"/>
    </row>
    <row r="173" spans="1:12" ht="19.9" customHeight="1">
      <c r="A173" s="37"/>
      <c r="B173" s="37"/>
      <c r="C173" s="38"/>
      <c r="D173" s="37"/>
      <c r="E173" s="37"/>
      <c r="F173" s="38"/>
      <c r="G173" s="37"/>
      <c r="H173" s="60"/>
      <c r="I173" s="38"/>
      <c r="J173" s="38"/>
      <c r="K173" s="39"/>
      <c r="L173" s="62"/>
    </row>
    <row r="174" spans="1:12" ht="19.9" customHeight="1">
      <c r="A174" s="37"/>
      <c r="B174" s="37"/>
      <c r="C174" s="38"/>
      <c r="D174" s="37"/>
      <c r="E174" s="37"/>
      <c r="F174" s="38"/>
      <c r="G174" s="37"/>
      <c r="H174" s="60"/>
      <c r="I174" s="38"/>
      <c r="J174" s="38"/>
      <c r="K174" s="39"/>
      <c r="L174" s="62"/>
    </row>
    <row r="175" spans="1:12" ht="19.9" customHeight="1">
      <c r="A175" s="37"/>
      <c r="B175" s="37"/>
      <c r="C175" s="38"/>
      <c r="D175" s="37"/>
      <c r="E175" s="37"/>
      <c r="F175" s="38"/>
      <c r="G175" s="37"/>
      <c r="H175" s="60"/>
      <c r="I175" s="38"/>
      <c r="J175" s="38"/>
      <c r="K175" s="39"/>
      <c r="L175" s="62"/>
    </row>
    <row r="176" spans="1:12" ht="19.9" customHeight="1">
      <c r="A176" s="37"/>
      <c r="B176" s="37"/>
      <c r="C176" s="38"/>
      <c r="D176" s="37"/>
      <c r="E176" s="37"/>
      <c r="F176" s="38"/>
      <c r="G176" s="37"/>
      <c r="H176" s="60"/>
      <c r="I176" s="38"/>
      <c r="J176" s="38"/>
      <c r="K176" s="39"/>
      <c r="L176" s="62"/>
    </row>
    <row r="177" spans="1:12" ht="19.9" customHeight="1">
      <c r="A177" s="37"/>
      <c r="B177" s="37"/>
      <c r="C177" s="38"/>
      <c r="D177" s="37"/>
      <c r="E177" s="37"/>
      <c r="F177" s="38"/>
      <c r="G177" s="37"/>
      <c r="H177" s="60"/>
      <c r="I177" s="38"/>
      <c r="J177" s="38"/>
      <c r="K177" s="39"/>
      <c r="L177" s="62"/>
    </row>
    <row r="178" spans="1:12" ht="19.9" customHeight="1">
      <c r="A178" s="37"/>
      <c r="B178" s="37"/>
      <c r="C178" s="38"/>
      <c r="D178" s="37"/>
      <c r="E178" s="37"/>
      <c r="F178" s="38"/>
      <c r="G178" s="37"/>
      <c r="H178" s="60"/>
      <c r="I178" s="38"/>
      <c r="J178" s="38"/>
      <c r="K178" s="39"/>
      <c r="L178" s="62"/>
    </row>
    <row r="179" spans="1:12" ht="19.9" customHeight="1">
      <c r="A179" s="37"/>
      <c r="B179" s="37"/>
      <c r="C179" s="38"/>
      <c r="D179" s="37"/>
      <c r="E179" s="37"/>
      <c r="F179" s="38"/>
      <c r="G179" s="37"/>
      <c r="H179" s="60"/>
      <c r="I179" s="38"/>
      <c r="J179" s="38"/>
      <c r="K179" s="39"/>
      <c r="L179" s="62"/>
    </row>
    <row r="180" spans="1:12" ht="19.9" customHeight="1">
      <c r="A180" s="37"/>
      <c r="B180" s="37"/>
      <c r="C180" s="38"/>
      <c r="D180" s="37"/>
      <c r="E180" s="37"/>
      <c r="F180" s="38"/>
      <c r="G180" s="37"/>
      <c r="H180" s="60"/>
      <c r="I180" s="38"/>
      <c r="J180" s="38"/>
      <c r="K180" s="39"/>
      <c r="L180" s="62"/>
    </row>
    <row r="181" spans="1:12" ht="19.9" customHeight="1">
      <c r="A181" s="37"/>
      <c r="B181" s="37"/>
      <c r="C181" s="38"/>
      <c r="D181" s="37"/>
      <c r="E181" s="37"/>
      <c r="F181" s="38"/>
      <c r="G181" s="37"/>
      <c r="H181" s="60"/>
      <c r="I181" s="38"/>
      <c r="J181" s="38"/>
      <c r="K181" s="39"/>
      <c r="L181" s="62"/>
    </row>
    <row r="182" spans="1:12" ht="19.9" customHeight="1">
      <c r="A182" s="37"/>
      <c r="B182" s="37"/>
      <c r="C182" s="38"/>
      <c r="D182" s="37"/>
      <c r="E182" s="37"/>
      <c r="F182" s="38"/>
      <c r="G182" s="37"/>
      <c r="H182" s="60"/>
      <c r="I182" s="38"/>
      <c r="J182" s="38"/>
      <c r="K182" s="39"/>
      <c r="L182" s="62"/>
    </row>
    <row r="183" spans="1:12" ht="19.9" customHeight="1">
      <c r="A183" s="37"/>
      <c r="B183" s="37"/>
      <c r="C183" s="38"/>
      <c r="D183" s="37"/>
      <c r="E183" s="37"/>
      <c r="F183" s="38"/>
      <c r="G183" s="37"/>
      <c r="H183" s="60"/>
      <c r="I183" s="38"/>
      <c r="J183" s="38"/>
      <c r="K183" s="39"/>
      <c r="L183" s="62"/>
    </row>
    <row r="184" spans="1:12" ht="19.9" customHeight="1">
      <c r="A184" s="37"/>
      <c r="B184" s="37"/>
      <c r="C184" s="38"/>
      <c r="D184" s="37"/>
      <c r="E184" s="37"/>
      <c r="F184" s="38"/>
      <c r="G184" s="37"/>
      <c r="H184" s="60"/>
      <c r="I184" s="38"/>
      <c r="J184" s="38"/>
      <c r="K184" s="39"/>
      <c r="L184" s="62"/>
    </row>
    <row r="185" spans="1:12" ht="19.9" customHeight="1">
      <c r="A185" s="37"/>
      <c r="B185" s="37"/>
      <c r="C185" s="38"/>
      <c r="D185" s="37"/>
      <c r="E185" s="37"/>
      <c r="F185" s="38"/>
      <c r="G185" s="37"/>
      <c r="H185" s="60"/>
      <c r="I185" s="38"/>
      <c r="J185" s="38"/>
      <c r="K185" s="39"/>
      <c r="L185" s="62"/>
    </row>
    <row r="186" spans="1:12" ht="19.9" customHeight="1">
      <c r="A186" s="37"/>
      <c r="B186" s="37"/>
      <c r="C186" s="38"/>
      <c r="D186" s="37"/>
      <c r="E186" s="37"/>
      <c r="F186" s="38"/>
      <c r="G186" s="37"/>
      <c r="H186" s="60"/>
      <c r="I186" s="38"/>
      <c r="J186" s="38"/>
      <c r="K186" s="39"/>
      <c r="L186" s="62"/>
    </row>
    <row r="187" spans="1:12" ht="19.9" customHeight="1">
      <c r="A187" s="37"/>
      <c r="B187" s="37"/>
      <c r="C187" s="38"/>
      <c r="D187" s="37"/>
      <c r="E187" s="37"/>
      <c r="F187" s="38"/>
      <c r="G187" s="37"/>
      <c r="H187" s="60"/>
      <c r="I187" s="38"/>
      <c r="J187" s="38"/>
      <c r="K187" s="39"/>
      <c r="L187" s="62"/>
    </row>
    <row r="188" spans="1:12" ht="19.9" customHeight="1">
      <c r="A188" s="37"/>
      <c r="B188" s="37"/>
      <c r="C188" s="38"/>
      <c r="D188" s="37"/>
      <c r="E188" s="37"/>
      <c r="F188" s="38"/>
      <c r="G188" s="37"/>
      <c r="H188" s="60"/>
      <c r="I188" s="38"/>
      <c r="J188" s="38"/>
      <c r="K188" s="39"/>
      <c r="L188" s="62"/>
    </row>
    <row r="189" spans="1:12" ht="19.9" customHeight="1">
      <c r="A189" s="37"/>
      <c r="B189" s="37"/>
      <c r="C189" s="38"/>
      <c r="D189" s="37"/>
      <c r="E189" s="37"/>
      <c r="F189" s="38"/>
      <c r="G189" s="37"/>
      <c r="H189" s="60"/>
      <c r="I189" s="38"/>
      <c r="J189" s="38"/>
      <c r="K189" s="39"/>
      <c r="L189" s="62"/>
    </row>
    <row r="190" spans="1:12" ht="19.9" customHeight="1">
      <c r="A190" s="37"/>
      <c r="B190" s="37"/>
      <c r="C190" s="38"/>
      <c r="D190" s="37"/>
      <c r="E190" s="37"/>
      <c r="F190" s="38"/>
      <c r="G190" s="37"/>
      <c r="H190" s="60"/>
      <c r="I190" s="38"/>
      <c r="J190" s="38"/>
      <c r="K190" s="39"/>
      <c r="L190" s="62"/>
    </row>
    <row r="191" spans="1:12" ht="19.9" customHeight="1">
      <c r="A191" s="37"/>
      <c r="B191" s="37"/>
      <c r="C191" s="38"/>
      <c r="D191" s="37"/>
      <c r="E191" s="37"/>
      <c r="F191" s="38"/>
      <c r="G191" s="37"/>
      <c r="H191" s="60"/>
      <c r="I191" s="38"/>
      <c r="J191" s="38"/>
      <c r="K191" s="39"/>
      <c r="L191" s="62"/>
    </row>
    <row r="192" spans="1:12" ht="19.9" customHeight="1">
      <c r="A192" s="37"/>
      <c r="B192" s="37"/>
      <c r="C192" s="38"/>
      <c r="D192" s="37"/>
      <c r="E192" s="37"/>
      <c r="F192" s="38"/>
      <c r="G192" s="37"/>
      <c r="H192" s="60"/>
      <c r="I192" s="38"/>
      <c r="J192" s="38"/>
      <c r="K192" s="39"/>
      <c r="L192" s="62"/>
    </row>
    <row r="193" spans="1:12" ht="19.9" customHeight="1">
      <c r="A193" s="37"/>
      <c r="B193" s="37"/>
      <c r="C193" s="38"/>
      <c r="D193" s="37"/>
      <c r="E193" s="37"/>
      <c r="F193" s="38"/>
      <c r="G193" s="37"/>
      <c r="H193" s="60"/>
      <c r="I193" s="38"/>
      <c r="J193" s="38"/>
      <c r="K193" s="39"/>
      <c r="L193" s="62"/>
    </row>
    <row r="194" spans="1:12" ht="19.9" customHeight="1">
      <c r="A194" s="37"/>
      <c r="B194" s="37"/>
      <c r="C194" s="38"/>
      <c r="D194" s="37"/>
      <c r="E194" s="37"/>
      <c r="F194" s="38"/>
      <c r="G194" s="37"/>
      <c r="H194" s="60"/>
      <c r="I194" s="38"/>
      <c r="J194" s="38"/>
      <c r="K194" s="39"/>
      <c r="L194" s="62"/>
    </row>
    <row r="195" spans="1:12" ht="19.9" customHeight="1">
      <c r="A195" s="37"/>
      <c r="B195" s="37"/>
      <c r="C195" s="38"/>
      <c r="D195" s="37"/>
      <c r="E195" s="37"/>
      <c r="F195" s="38"/>
      <c r="G195" s="37"/>
      <c r="H195" s="60"/>
      <c r="I195" s="38"/>
      <c r="J195" s="38"/>
      <c r="K195" s="39"/>
      <c r="L195" s="62"/>
    </row>
    <row r="196" spans="1:12" ht="19.9" customHeight="1">
      <c r="A196" s="37"/>
      <c r="B196" s="37"/>
      <c r="C196" s="38"/>
      <c r="D196" s="37"/>
      <c r="E196" s="37"/>
      <c r="F196" s="38"/>
      <c r="G196" s="37"/>
      <c r="H196" s="60"/>
      <c r="I196" s="38"/>
      <c r="J196" s="38"/>
      <c r="K196" s="39"/>
      <c r="L196" s="62"/>
    </row>
    <row r="197" spans="1:12" ht="19.9" customHeight="1">
      <c r="A197" s="37"/>
      <c r="B197" s="37"/>
      <c r="C197" s="38"/>
      <c r="D197" s="37"/>
      <c r="E197" s="37"/>
      <c r="F197" s="38"/>
      <c r="G197" s="37"/>
      <c r="H197" s="60"/>
      <c r="I197" s="38"/>
      <c r="J197" s="38"/>
      <c r="K197" s="39"/>
      <c r="L197" s="62"/>
    </row>
    <row r="198" spans="1:12" ht="19.9" customHeight="1">
      <c r="A198" s="37"/>
      <c r="B198" s="37"/>
      <c r="C198" s="38"/>
      <c r="D198" s="37"/>
      <c r="E198" s="37"/>
      <c r="F198" s="38"/>
      <c r="G198" s="37"/>
      <c r="H198" s="60"/>
      <c r="I198" s="38"/>
      <c r="J198" s="38"/>
      <c r="K198" s="39"/>
      <c r="L198" s="62"/>
    </row>
    <row r="199" spans="1:12" ht="19.9" customHeight="1">
      <c r="A199" s="37"/>
      <c r="B199" s="37"/>
      <c r="C199" s="38"/>
      <c r="D199" s="37"/>
      <c r="E199" s="37"/>
      <c r="F199" s="38"/>
      <c r="G199" s="37"/>
      <c r="H199" s="60"/>
      <c r="I199" s="38"/>
      <c r="J199" s="38"/>
      <c r="K199" s="39"/>
      <c r="L199" s="62"/>
    </row>
    <row r="200" spans="1:12" ht="19.9" customHeight="1">
      <c r="A200" s="37"/>
      <c r="B200" s="37"/>
      <c r="C200" s="38"/>
      <c r="D200" s="37"/>
      <c r="E200" s="37"/>
      <c r="F200" s="38"/>
      <c r="G200" s="37"/>
      <c r="H200" s="60"/>
      <c r="I200" s="38"/>
      <c r="J200" s="38"/>
      <c r="K200" s="39"/>
      <c r="L200" s="62"/>
    </row>
    <row r="201" spans="1:12" ht="19.9" customHeight="1">
      <c r="A201" s="37"/>
      <c r="B201" s="37"/>
      <c r="C201" s="38"/>
      <c r="D201" s="37"/>
      <c r="E201" s="37"/>
      <c r="F201" s="38"/>
      <c r="G201" s="37"/>
      <c r="H201" s="60"/>
      <c r="I201" s="38"/>
      <c r="J201" s="38"/>
      <c r="K201" s="39"/>
      <c r="L201" s="62"/>
    </row>
    <row r="202" spans="1:12" ht="19.9" customHeight="1">
      <c r="A202" s="37"/>
      <c r="B202" s="37"/>
      <c r="C202" s="38"/>
      <c r="D202" s="37"/>
      <c r="E202" s="37"/>
      <c r="F202" s="38"/>
      <c r="G202" s="37"/>
      <c r="H202" s="60"/>
      <c r="I202" s="38"/>
      <c r="J202" s="38"/>
      <c r="K202" s="39"/>
      <c r="L202" s="62"/>
    </row>
    <row r="203" spans="1:12" ht="19.9" customHeight="1">
      <c r="A203" s="37"/>
      <c r="B203" s="37"/>
      <c r="C203" s="38"/>
      <c r="D203" s="37"/>
      <c r="E203" s="37"/>
      <c r="F203" s="38"/>
      <c r="G203" s="37"/>
      <c r="H203" s="60"/>
      <c r="I203" s="38"/>
      <c r="J203" s="38"/>
      <c r="K203" s="39"/>
      <c r="L203" s="62"/>
    </row>
    <row r="204" spans="1:12" ht="19.9" customHeight="1">
      <c r="A204" s="37"/>
      <c r="B204" s="37"/>
      <c r="C204" s="38"/>
      <c r="D204" s="37"/>
      <c r="E204" s="37"/>
      <c r="F204" s="38"/>
      <c r="G204" s="37"/>
      <c r="H204" s="60"/>
      <c r="I204" s="38"/>
      <c r="J204" s="38"/>
      <c r="K204" s="39"/>
      <c r="L204" s="62"/>
    </row>
    <row r="205" spans="1:12" ht="19.9" customHeight="1">
      <c r="A205" s="37"/>
      <c r="B205" s="37"/>
      <c r="C205" s="38"/>
      <c r="D205" s="37"/>
      <c r="E205" s="37"/>
      <c r="F205" s="38"/>
      <c r="G205" s="37"/>
      <c r="H205" s="60"/>
      <c r="I205" s="38"/>
      <c r="J205" s="38"/>
      <c r="K205" s="39"/>
      <c r="L205" s="62"/>
    </row>
    <row r="206" spans="1:12" ht="19.9" customHeight="1">
      <c r="A206" s="37"/>
      <c r="B206" s="37"/>
      <c r="C206" s="38"/>
      <c r="D206" s="37"/>
      <c r="E206" s="37"/>
      <c r="F206" s="38"/>
      <c r="G206" s="37"/>
      <c r="H206" s="60"/>
      <c r="I206" s="38"/>
      <c r="J206" s="38"/>
      <c r="K206" s="39"/>
      <c r="L206" s="62"/>
    </row>
    <row r="207" spans="1:12" ht="19.9" customHeight="1">
      <c r="A207" s="37"/>
      <c r="B207" s="37"/>
      <c r="C207" s="38"/>
      <c r="D207" s="37"/>
      <c r="E207" s="37"/>
      <c r="F207" s="38"/>
      <c r="G207" s="37"/>
      <c r="H207" s="60"/>
      <c r="I207" s="38"/>
      <c r="J207" s="38"/>
      <c r="K207" s="39"/>
      <c r="L207" s="62"/>
    </row>
    <row r="208" spans="1:12" ht="19.9" customHeight="1">
      <c r="A208" s="37"/>
      <c r="B208" s="37"/>
      <c r="C208" s="38"/>
      <c r="D208" s="37"/>
      <c r="E208" s="37"/>
      <c r="F208" s="38"/>
      <c r="G208" s="37"/>
      <c r="H208" s="60"/>
      <c r="I208" s="38"/>
      <c r="J208" s="38"/>
      <c r="K208" s="39"/>
      <c r="L208" s="62"/>
    </row>
    <row r="209" spans="1:12" ht="19.9" customHeight="1">
      <c r="A209" s="37"/>
      <c r="B209" s="37"/>
      <c r="C209" s="38"/>
      <c r="D209" s="37"/>
      <c r="E209" s="37"/>
      <c r="F209" s="38"/>
      <c r="G209" s="37"/>
      <c r="H209" s="60"/>
      <c r="I209" s="38"/>
      <c r="J209" s="38"/>
      <c r="K209" s="39"/>
      <c r="L209" s="62"/>
    </row>
    <row r="210" spans="1:12" ht="19.9" customHeight="1">
      <c r="A210" s="37"/>
      <c r="B210" s="37"/>
      <c r="C210" s="38"/>
      <c r="D210" s="37"/>
      <c r="E210" s="37"/>
      <c r="F210" s="38"/>
      <c r="G210" s="37"/>
      <c r="H210" s="60"/>
      <c r="I210" s="38"/>
      <c r="J210" s="38"/>
      <c r="K210" s="39"/>
      <c r="L210" s="62"/>
    </row>
    <row r="211" spans="1:12" ht="19.9" customHeight="1">
      <c r="A211" s="37"/>
      <c r="B211" s="37"/>
      <c r="C211" s="38"/>
      <c r="D211" s="37"/>
      <c r="E211" s="37"/>
      <c r="F211" s="38"/>
      <c r="G211" s="37"/>
      <c r="H211" s="60"/>
      <c r="I211" s="38"/>
      <c r="J211" s="38"/>
      <c r="K211" s="39"/>
      <c r="L211" s="62"/>
    </row>
    <row r="212" spans="1:12" ht="19.9" customHeight="1">
      <c r="A212" s="37"/>
      <c r="B212" s="37"/>
      <c r="C212" s="38"/>
      <c r="D212" s="37"/>
      <c r="E212" s="37"/>
      <c r="F212" s="38"/>
      <c r="G212" s="37"/>
      <c r="H212" s="60"/>
      <c r="I212" s="38"/>
      <c r="J212" s="38"/>
      <c r="K212" s="39"/>
      <c r="L212" s="62"/>
    </row>
    <row r="213" spans="1:12" ht="19.9" customHeight="1">
      <c r="A213" s="37"/>
      <c r="B213" s="37"/>
      <c r="C213" s="38"/>
      <c r="D213" s="37"/>
      <c r="E213" s="37"/>
      <c r="F213" s="38"/>
      <c r="G213" s="37"/>
      <c r="H213" s="60"/>
      <c r="I213" s="38"/>
      <c r="J213" s="38"/>
      <c r="K213" s="39"/>
      <c r="L213" s="62"/>
    </row>
    <row r="214" spans="1:12" ht="19.9" customHeight="1">
      <c r="A214" s="37"/>
      <c r="B214" s="37"/>
      <c r="C214" s="38"/>
      <c r="D214" s="37"/>
      <c r="E214" s="37"/>
      <c r="F214" s="38"/>
      <c r="G214" s="37"/>
      <c r="H214" s="60"/>
      <c r="I214" s="38"/>
      <c r="J214" s="38"/>
      <c r="K214" s="39"/>
      <c r="L214" s="62"/>
    </row>
    <row r="215" spans="1:12" ht="19.9" customHeight="1">
      <c r="A215" s="37"/>
      <c r="B215" s="37"/>
      <c r="C215" s="38"/>
      <c r="D215" s="37"/>
      <c r="E215" s="37"/>
      <c r="F215" s="38"/>
      <c r="G215" s="37"/>
      <c r="H215" s="60"/>
      <c r="I215" s="38"/>
      <c r="J215" s="38"/>
      <c r="K215" s="39"/>
      <c r="L215" s="62"/>
    </row>
    <row r="216" spans="1:12" ht="19.9" customHeight="1">
      <c r="A216" s="37"/>
      <c r="B216" s="37"/>
      <c r="C216" s="38"/>
      <c r="D216" s="37"/>
      <c r="E216" s="37"/>
      <c r="F216" s="38"/>
      <c r="G216" s="37"/>
      <c r="H216" s="60"/>
      <c r="I216" s="38"/>
      <c r="J216" s="38"/>
      <c r="K216" s="39"/>
      <c r="L216" s="62"/>
    </row>
    <row r="217" spans="1:12" ht="19.9" customHeight="1">
      <c r="A217" s="37"/>
      <c r="B217" s="37"/>
      <c r="C217" s="38"/>
      <c r="D217" s="37"/>
      <c r="E217" s="37"/>
      <c r="F217" s="38"/>
      <c r="G217" s="37"/>
      <c r="H217" s="60"/>
      <c r="I217" s="38"/>
      <c r="J217" s="38"/>
      <c r="K217" s="39"/>
      <c r="L217" s="62"/>
    </row>
    <row r="218" spans="1:12" ht="19.9" customHeight="1">
      <c r="A218" s="37"/>
      <c r="B218" s="37"/>
      <c r="C218" s="38"/>
      <c r="D218" s="37"/>
      <c r="E218" s="37"/>
      <c r="F218" s="38"/>
      <c r="G218" s="37"/>
      <c r="H218" s="60"/>
      <c r="I218" s="38"/>
      <c r="J218" s="38"/>
      <c r="K218" s="39"/>
      <c r="L218" s="62"/>
    </row>
    <row r="219" spans="1:12" ht="19.9" customHeight="1">
      <c r="A219" s="37"/>
      <c r="B219" s="37"/>
      <c r="C219" s="38"/>
      <c r="D219" s="37"/>
      <c r="E219" s="37"/>
      <c r="F219" s="38"/>
      <c r="G219" s="37"/>
      <c r="H219" s="60"/>
      <c r="I219" s="38"/>
      <c r="J219" s="38"/>
      <c r="K219" s="39"/>
      <c r="L219" s="62"/>
    </row>
    <row r="220" spans="1:12" ht="19.9" customHeight="1">
      <c r="A220" s="37"/>
      <c r="B220" s="37"/>
      <c r="C220" s="38"/>
      <c r="D220" s="37"/>
      <c r="E220" s="37"/>
      <c r="F220" s="38"/>
      <c r="G220" s="37"/>
      <c r="H220" s="60"/>
      <c r="I220" s="38"/>
      <c r="J220" s="38"/>
      <c r="K220" s="39"/>
      <c r="L220" s="62"/>
    </row>
    <row r="221" spans="1:12" ht="19.9" customHeight="1">
      <c r="A221" s="37"/>
      <c r="B221" s="37"/>
      <c r="C221" s="38"/>
      <c r="D221" s="37"/>
      <c r="E221" s="37"/>
      <c r="F221" s="38"/>
      <c r="G221" s="37"/>
      <c r="H221" s="60"/>
      <c r="I221" s="38"/>
      <c r="J221" s="38"/>
      <c r="K221" s="39"/>
      <c r="L221" s="62"/>
    </row>
    <row r="222" spans="1:12" ht="19.9" customHeight="1">
      <c r="A222" s="37"/>
      <c r="B222" s="37"/>
      <c r="C222" s="38"/>
      <c r="D222" s="37"/>
      <c r="E222" s="37"/>
      <c r="F222" s="38"/>
      <c r="G222" s="37"/>
      <c r="H222" s="60"/>
      <c r="I222" s="38"/>
      <c r="J222" s="38"/>
      <c r="K222" s="39"/>
      <c r="L222" s="62"/>
    </row>
    <row r="223" spans="1:12" ht="19.9" customHeight="1">
      <c r="A223" s="37"/>
      <c r="B223" s="37"/>
      <c r="C223" s="38"/>
      <c r="D223" s="37"/>
      <c r="E223" s="37"/>
      <c r="F223" s="38"/>
      <c r="G223" s="37"/>
      <c r="H223" s="60"/>
      <c r="I223" s="38"/>
      <c r="J223" s="38"/>
      <c r="K223" s="39"/>
      <c r="L223" s="62"/>
    </row>
    <row r="224" spans="1:12" ht="19.9" customHeight="1">
      <c r="A224" s="37"/>
      <c r="B224" s="37"/>
      <c r="C224" s="38"/>
      <c r="D224" s="37"/>
      <c r="E224" s="37"/>
      <c r="F224" s="38"/>
      <c r="G224" s="37"/>
      <c r="H224" s="60"/>
      <c r="I224" s="38"/>
      <c r="J224" s="38"/>
      <c r="K224" s="39"/>
      <c r="L224" s="62"/>
    </row>
    <row r="225" spans="1:12" ht="19.9" customHeight="1">
      <c r="A225" s="37"/>
      <c r="B225" s="37"/>
      <c r="C225" s="38"/>
      <c r="D225" s="37"/>
      <c r="E225" s="37"/>
      <c r="F225" s="38"/>
      <c r="G225" s="37"/>
      <c r="H225" s="60"/>
      <c r="I225" s="38"/>
      <c r="J225" s="38"/>
      <c r="K225" s="39"/>
      <c r="L225" s="62"/>
    </row>
    <row r="226" spans="1:12" ht="19.9" customHeight="1">
      <c r="A226" s="37"/>
      <c r="B226" s="37"/>
      <c r="C226" s="38"/>
      <c r="D226" s="37"/>
      <c r="E226" s="37"/>
      <c r="F226" s="38"/>
      <c r="G226" s="37"/>
      <c r="H226" s="60"/>
      <c r="I226" s="38"/>
      <c r="J226" s="38"/>
      <c r="K226" s="39"/>
      <c r="L226" s="62"/>
    </row>
    <row r="227" spans="1:12" ht="19.9" customHeight="1">
      <c r="A227" s="37"/>
      <c r="B227" s="37"/>
      <c r="C227" s="38"/>
      <c r="D227" s="37"/>
      <c r="E227" s="37"/>
      <c r="F227" s="38"/>
      <c r="G227" s="37"/>
      <c r="H227" s="60"/>
      <c r="I227" s="38"/>
      <c r="J227" s="38"/>
      <c r="K227" s="39"/>
      <c r="L227" s="62"/>
    </row>
    <row r="228" spans="1:12" ht="19.9" customHeight="1">
      <c r="A228" s="37"/>
      <c r="B228" s="37"/>
      <c r="C228" s="38"/>
      <c r="D228" s="37"/>
      <c r="E228" s="37"/>
      <c r="F228" s="38"/>
      <c r="G228" s="37"/>
      <c r="H228" s="60"/>
      <c r="I228" s="38"/>
      <c r="J228" s="38"/>
      <c r="K228" s="39"/>
      <c r="L228" s="62"/>
    </row>
    <row r="229" spans="1:12" ht="19.9" customHeight="1">
      <c r="A229" s="37"/>
      <c r="B229" s="37"/>
      <c r="C229" s="38"/>
      <c r="D229" s="37"/>
      <c r="E229" s="37"/>
      <c r="F229" s="38"/>
      <c r="G229" s="37"/>
      <c r="H229" s="60"/>
      <c r="I229" s="38"/>
      <c r="J229" s="38"/>
      <c r="K229" s="39"/>
      <c r="L229" s="62"/>
    </row>
    <row r="230" spans="1:12" ht="19.9" customHeight="1">
      <c r="A230" s="37"/>
      <c r="B230" s="37"/>
      <c r="C230" s="38"/>
      <c r="D230" s="37"/>
      <c r="E230" s="37"/>
      <c r="F230" s="38"/>
      <c r="G230" s="37"/>
      <c r="H230" s="60"/>
      <c r="I230" s="38"/>
      <c r="J230" s="38"/>
      <c r="K230" s="39"/>
      <c r="L230" s="62"/>
    </row>
    <row r="231" spans="1:12" ht="19.9" customHeight="1">
      <c r="A231" s="37"/>
      <c r="B231" s="37"/>
      <c r="C231" s="38"/>
      <c r="D231" s="37"/>
      <c r="E231" s="37"/>
      <c r="F231" s="38"/>
      <c r="G231" s="37"/>
      <c r="H231" s="60"/>
      <c r="I231" s="38"/>
      <c r="J231" s="38"/>
      <c r="K231" s="39"/>
      <c r="L231" s="62"/>
    </row>
    <row r="232" spans="1:12" ht="19.9" customHeight="1">
      <c r="A232" s="37"/>
      <c r="B232" s="37"/>
      <c r="C232" s="38"/>
      <c r="D232" s="37"/>
      <c r="E232" s="37"/>
      <c r="F232" s="38"/>
      <c r="G232" s="37"/>
      <c r="H232" s="60"/>
      <c r="I232" s="38"/>
      <c r="J232" s="38"/>
      <c r="K232" s="39"/>
      <c r="L232" s="62"/>
    </row>
    <row r="233" spans="1:12" ht="19.9" customHeight="1">
      <c r="A233" s="37"/>
      <c r="B233" s="37"/>
      <c r="C233" s="38"/>
      <c r="D233" s="37"/>
      <c r="E233" s="37"/>
      <c r="F233" s="38"/>
      <c r="G233" s="37"/>
      <c r="H233" s="60"/>
      <c r="I233" s="38"/>
      <c r="J233" s="38"/>
      <c r="K233" s="39"/>
      <c r="L233" s="62"/>
    </row>
    <row r="234" spans="1:12" ht="19.9" customHeight="1">
      <c r="A234" s="37"/>
      <c r="B234" s="37"/>
      <c r="C234" s="38"/>
      <c r="D234" s="37"/>
      <c r="E234" s="37"/>
      <c r="F234" s="38"/>
      <c r="G234" s="37"/>
      <c r="H234" s="60"/>
      <c r="I234" s="38"/>
      <c r="J234" s="38"/>
      <c r="K234" s="39"/>
      <c r="L234" s="62"/>
    </row>
    <row r="235" spans="1:12" ht="19.9" customHeight="1">
      <c r="A235" s="37"/>
      <c r="B235" s="37"/>
      <c r="C235" s="38"/>
      <c r="D235" s="37"/>
      <c r="E235" s="37"/>
      <c r="F235" s="38"/>
      <c r="G235" s="37"/>
      <c r="H235" s="60"/>
      <c r="I235" s="38"/>
      <c r="J235" s="38"/>
      <c r="K235" s="39"/>
      <c r="L235" s="62"/>
    </row>
    <row r="236" spans="1:12" ht="19.9" customHeight="1">
      <c r="A236" s="37"/>
      <c r="B236" s="37"/>
      <c r="C236" s="38"/>
      <c r="D236" s="37"/>
      <c r="E236" s="37"/>
      <c r="F236" s="38"/>
      <c r="G236" s="37"/>
      <c r="H236" s="60"/>
      <c r="I236" s="38"/>
      <c r="J236" s="38"/>
      <c r="K236" s="39"/>
      <c r="L236" s="62"/>
    </row>
    <row r="237" spans="1:12" ht="19.9" customHeight="1">
      <c r="A237" s="37"/>
      <c r="B237" s="37"/>
      <c r="C237" s="38"/>
      <c r="D237" s="37"/>
      <c r="E237" s="37"/>
      <c r="F237" s="38"/>
      <c r="G237" s="37"/>
      <c r="H237" s="60"/>
      <c r="I237" s="38"/>
      <c r="J237" s="38"/>
      <c r="K237" s="39"/>
      <c r="L237" s="62"/>
    </row>
    <row r="238" spans="1:12" ht="19.9" customHeight="1">
      <c r="A238" s="37"/>
      <c r="B238" s="37"/>
      <c r="C238" s="38"/>
      <c r="D238" s="37"/>
      <c r="E238" s="37"/>
      <c r="F238" s="38"/>
      <c r="G238" s="37"/>
      <c r="H238" s="60"/>
      <c r="I238" s="38"/>
      <c r="J238" s="38"/>
      <c r="K238" s="39"/>
      <c r="L238" s="62"/>
    </row>
    <row r="239" spans="1:12" ht="19.9" customHeight="1">
      <c r="A239" s="37"/>
      <c r="B239" s="37"/>
      <c r="C239" s="38"/>
      <c r="D239" s="37"/>
      <c r="E239" s="37"/>
      <c r="F239" s="38"/>
      <c r="G239" s="37"/>
      <c r="H239" s="60"/>
      <c r="I239" s="38"/>
      <c r="J239" s="38"/>
      <c r="K239" s="39"/>
      <c r="L239" s="62"/>
    </row>
    <row r="240" spans="1:12" ht="19.9" customHeight="1">
      <c r="A240" s="37"/>
      <c r="B240" s="37"/>
      <c r="C240" s="38"/>
      <c r="D240" s="37"/>
      <c r="E240" s="37"/>
      <c r="F240" s="38"/>
      <c r="G240" s="37"/>
      <c r="H240" s="60"/>
      <c r="I240" s="38"/>
      <c r="J240" s="38"/>
      <c r="K240" s="39"/>
      <c r="L240" s="62"/>
    </row>
    <row r="241" spans="1:12" ht="19.9" customHeight="1">
      <c r="A241" s="37"/>
      <c r="B241" s="37"/>
      <c r="C241" s="38"/>
      <c r="D241" s="37"/>
      <c r="E241" s="37"/>
      <c r="F241" s="38"/>
      <c r="G241" s="37"/>
      <c r="H241" s="60"/>
      <c r="I241" s="38"/>
      <c r="J241" s="38"/>
      <c r="K241" s="39"/>
      <c r="L241" s="62"/>
    </row>
    <row r="242" spans="1:12" ht="19.9" customHeight="1">
      <c r="A242" s="37"/>
      <c r="B242" s="37"/>
      <c r="C242" s="38"/>
      <c r="D242" s="37"/>
      <c r="E242" s="37"/>
      <c r="F242" s="38"/>
      <c r="G242" s="37"/>
      <c r="H242" s="60"/>
      <c r="I242" s="38"/>
      <c r="J242" s="38"/>
      <c r="K242" s="39"/>
      <c r="L242" s="62"/>
    </row>
    <row r="243" spans="1:12" ht="19.9" customHeight="1">
      <c r="A243" s="37"/>
      <c r="B243" s="37"/>
      <c r="C243" s="38"/>
      <c r="D243" s="37"/>
      <c r="E243" s="37"/>
      <c r="F243" s="38"/>
      <c r="G243" s="37"/>
      <c r="H243" s="60"/>
      <c r="I243" s="38"/>
      <c r="J243" s="38"/>
      <c r="K243" s="39"/>
      <c r="L243" s="62"/>
    </row>
    <row r="244" spans="1:12" ht="19.9" customHeight="1">
      <c r="A244" s="37"/>
      <c r="B244" s="37"/>
      <c r="C244" s="38"/>
      <c r="D244" s="37"/>
      <c r="E244" s="37"/>
      <c r="F244" s="38"/>
      <c r="G244" s="37"/>
      <c r="H244" s="60"/>
      <c r="I244" s="38"/>
      <c r="J244" s="38"/>
      <c r="K244" s="39"/>
      <c r="L244" s="62"/>
    </row>
    <row r="245" spans="1:12" ht="19.9" customHeight="1">
      <c r="A245" s="37"/>
      <c r="B245" s="37"/>
      <c r="C245" s="38"/>
      <c r="D245" s="37"/>
      <c r="E245" s="37"/>
      <c r="F245" s="38"/>
      <c r="G245" s="37"/>
      <c r="H245" s="60"/>
      <c r="I245" s="38"/>
      <c r="J245" s="38"/>
      <c r="K245" s="39"/>
      <c r="L245" s="62"/>
    </row>
    <row r="246" spans="1:12" ht="19.9" customHeight="1">
      <c r="A246" s="37"/>
      <c r="B246" s="37"/>
      <c r="C246" s="38"/>
      <c r="D246" s="37"/>
      <c r="E246" s="37"/>
      <c r="F246" s="38"/>
      <c r="G246" s="37"/>
      <c r="H246" s="60"/>
      <c r="I246" s="38"/>
      <c r="J246" s="38"/>
      <c r="K246" s="39"/>
      <c r="L246" s="62"/>
    </row>
    <row r="247" spans="1:12" ht="19.9" customHeight="1">
      <c r="A247" s="37"/>
      <c r="B247" s="37"/>
      <c r="C247" s="38"/>
      <c r="D247" s="37"/>
      <c r="E247" s="37"/>
      <c r="F247" s="38"/>
      <c r="G247" s="37"/>
      <c r="H247" s="60"/>
      <c r="I247" s="38"/>
      <c r="J247" s="38"/>
      <c r="K247" s="39"/>
      <c r="L247" s="62"/>
    </row>
    <row r="248" spans="1:12" ht="19.9" customHeight="1">
      <c r="A248" s="37"/>
      <c r="B248" s="37"/>
      <c r="C248" s="38"/>
      <c r="D248" s="37"/>
      <c r="E248" s="37"/>
      <c r="F248" s="38"/>
      <c r="G248" s="37"/>
      <c r="H248" s="60"/>
      <c r="I248" s="38"/>
      <c r="J248" s="38"/>
      <c r="K248" s="39"/>
      <c r="L248" s="62"/>
    </row>
    <row r="249" spans="1:12" ht="19.9" customHeight="1">
      <c r="A249" s="37"/>
      <c r="B249" s="37"/>
      <c r="C249" s="38"/>
      <c r="D249" s="37"/>
      <c r="E249" s="37"/>
      <c r="F249" s="38"/>
      <c r="G249" s="37"/>
      <c r="H249" s="60"/>
      <c r="I249" s="38"/>
      <c r="J249" s="38"/>
      <c r="K249" s="39"/>
      <c r="L249" s="62"/>
    </row>
    <row r="250" spans="1:12" ht="19.9" customHeight="1">
      <c r="A250" s="37"/>
      <c r="B250" s="37"/>
      <c r="C250" s="38"/>
      <c r="D250" s="37"/>
      <c r="E250" s="37"/>
      <c r="F250" s="38"/>
      <c r="G250" s="37"/>
      <c r="H250" s="60"/>
      <c r="I250" s="38"/>
      <c r="J250" s="38"/>
      <c r="K250" s="39"/>
      <c r="L250" s="62"/>
    </row>
    <row r="251" spans="1:12" ht="19.9" customHeight="1">
      <c r="A251" s="37"/>
      <c r="B251" s="37"/>
      <c r="C251" s="38"/>
      <c r="D251" s="37"/>
      <c r="E251" s="37"/>
      <c r="F251" s="38"/>
      <c r="G251" s="37"/>
      <c r="H251" s="60"/>
      <c r="I251" s="38"/>
      <c r="J251" s="38"/>
      <c r="K251" s="39"/>
      <c r="L251" s="62"/>
    </row>
    <row r="252" spans="1:12" ht="19.9" customHeight="1">
      <c r="A252" s="37"/>
      <c r="B252" s="37"/>
      <c r="C252" s="38"/>
      <c r="D252" s="37"/>
      <c r="E252" s="37"/>
      <c r="F252" s="38"/>
      <c r="G252" s="37"/>
      <c r="H252" s="60"/>
      <c r="I252" s="38"/>
      <c r="J252" s="38"/>
      <c r="K252" s="39"/>
      <c r="L252" s="62"/>
    </row>
    <row r="253" spans="1:12" ht="19.9" customHeight="1">
      <c r="A253" s="37"/>
      <c r="B253" s="37"/>
      <c r="C253" s="38"/>
      <c r="D253" s="37"/>
      <c r="E253" s="37"/>
      <c r="F253" s="38"/>
      <c r="G253" s="37"/>
      <c r="H253" s="60"/>
      <c r="I253" s="38"/>
      <c r="J253" s="38"/>
      <c r="K253" s="39"/>
      <c r="L253" s="62"/>
    </row>
    <row r="254" spans="1:12" ht="19.9" customHeight="1">
      <c r="A254" s="37"/>
      <c r="B254" s="37"/>
      <c r="C254" s="38"/>
      <c r="D254" s="37"/>
      <c r="E254" s="37"/>
      <c r="F254" s="38"/>
      <c r="G254" s="37"/>
      <c r="H254" s="60"/>
      <c r="I254" s="38"/>
      <c r="J254" s="38"/>
      <c r="K254" s="39"/>
      <c r="L254" s="62"/>
    </row>
    <row r="255" spans="1:12" ht="19.9" customHeight="1">
      <c r="A255" s="37"/>
      <c r="B255" s="37"/>
      <c r="C255" s="38"/>
      <c r="D255" s="37"/>
      <c r="E255" s="37"/>
      <c r="F255" s="38"/>
      <c r="G255" s="37"/>
      <c r="H255" s="60"/>
      <c r="I255" s="38"/>
      <c r="J255" s="38"/>
      <c r="K255" s="39"/>
      <c r="L255" s="62"/>
    </row>
    <row r="256" spans="1:12" ht="19.9" customHeight="1">
      <c r="A256" s="37"/>
      <c r="B256" s="37"/>
      <c r="C256" s="38"/>
      <c r="D256" s="37"/>
      <c r="E256" s="37"/>
      <c r="F256" s="38"/>
      <c r="G256" s="37"/>
      <c r="H256" s="60"/>
      <c r="I256" s="38"/>
      <c r="J256" s="38"/>
      <c r="K256" s="39"/>
      <c r="L256" s="62"/>
    </row>
    <row r="257" spans="1:12" ht="19.9" customHeight="1">
      <c r="A257" s="37"/>
      <c r="B257" s="37"/>
      <c r="C257" s="38"/>
      <c r="D257" s="37"/>
      <c r="E257" s="37"/>
      <c r="F257" s="38"/>
      <c r="G257" s="37"/>
      <c r="H257" s="60"/>
      <c r="I257" s="38"/>
      <c r="J257" s="38"/>
      <c r="K257" s="39"/>
      <c r="L257" s="62"/>
    </row>
    <row r="258" spans="1:12" ht="19.9" customHeight="1">
      <c r="A258" s="37"/>
      <c r="B258" s="37"/>
      <c r="C258" s="38"/>
      <c r="D258" s="37"/>
      <c r="E258" s="37"/>
      <c r="F258" s="38"/>
      <c r="G258" s="37"/>
      <c r="H258" s="60"/>
      <c r="I258" s="38"/>
      <c r="J258" s="38"/>
      <c r="K258" s="39"/>
      <c r="L258" s="62"/>
    </row>
    <row r="259" spans="1:12" ht="19.9" customHeight="1">
      <c r="A259" s="37"/>
      <c r="B259" s="37"/>
      <c r="C259" s="38"/>
      <c r="D259" s="37"/>
      <c r="E259" s="37"/>
      <c r="F259" s="38"/>
      <c r="G259" s="37"/>
      <c r="H259" s="60"/>
      <c r="I259" s="38"/>
      <c r="J259" s="38"/>
      <c r="K259" s="39"/>
      <c r="L259" s="62"/>
    </row>
    <row r="260" spans="1:12" ht="19.9" customHeight="1">
      <c r="A260" s="37"/>
      <c r="B260" s="37"/>
      <c r="C260" s="38"/>
      <c r="D260" s="37"/>
      <c r="E260" s="37"/>
      <c r="F260" s="38"/>
      <c r="G260" s="37"/>
      <c r="H260" s="60"/>
      <c r="I260" s="38"/>
      <c r="J260" s="38"/>
      <c r="K260" s="39"/>
      <c r="L260" s="62"/>
    </row>
    <row r="261" spans="1:12" ht="19.9" customHeight="1">
      <c r="A261" s="37"/>
      <c r="B261" s="37"/>
      <c r="C261" s="38"/>
      <c r="D261" s="37"/>
      <c r="E261" s="37"/>
      <c r="F261" s="38"/>
      <c r="G261" s="37"/>
      <c r="H261" s="60"/>
      <c r="I261" s="38"/>
      <c r="J261" s="38"/>
      <c r="K261" s="39"/>
      <c r="L261" s="62"/>
    </row>
    <row r="262" spans="1:12" ht="19.9" customHeight="1">
      <c r="A262" s="37"/>
      <c r="B262" s="37"/>
      <c r="C262" s="38"/>
      <c r="D262" s="37"/>
      <c r="E262" s="37"/>
      <c r="F262" s="38"/>
      <c r="G262" s="37"/>
      <c r="H262" s="60"/>
      <c r="I262" s="38"/>
      <c r="J262" s="38"/>
      <c r="K262" s="39"/>
      <c r="L262" s="62"/>
    </row>
    <row r="263" spans="1:12" ht="19.9" customHeight="1">
      <c r="A263" s="37"/>
      <c r="B263" s="37"/>
      <c r="C263" s="38"/>
      <c r="D263" s="37"/>
      <c r="E263" s="37"/>
      <c r="F263" s="38"/>
      <c r="G263" s="37"/>
      <c r="H263" s="60"/>
      <c r="I263" s="38"/>
      <c r="J263" s="38"/>
      <c r="K263" s="39"/>
      <c r="L263" s="62"/>
    </row>
    <row r="264" spans="1:12" ht="19.9" customHeight="1">
      <c r="A264" s="37"/>
      <c r="B264" s="37"/>
      <c r="C264" s="38"/>
      <c r="D264" s="37"/>
      <c r="E264" s="37"/>
      <c r="F264" s="38"/>
      <c r="G264" s="37"/>
      <c r="H264" s="60"/>
      <c r="I264" s="38"/>
      <c r="J264" s="38"/>
      <c r="K264" s="39"/>
      <c r="L264" s="62"/>
    </row>
    <row r="265" spans="1:12" ht="19.9" customHeight="1">
      <c r="A265" s="37"/>
      <c r="B265" s="37"/>
      <c r="C265" s="38"/>
      <c r="D265" s="37"/>
      <c r="E265" s="37"/>
      <c r="F265" s="38"/>
      <c r="G265" s="37"/>
      <c r="H265" s="60"/>
      <c r="I265" s="38"/>
      <c r="J265" s="38"/>
      <c r="K265" s="39"/>
      <c r="L265" s="62"/>
    </row>
    <row r="266" spans="1:12" ht="19.9" customHeight="1">
      <c r="A266" s="37"/>
      <c r="B266" s="37"/>
      <c r="C266" s="38"/>
      <c r="D266" s="37"/>
      <c r="E266" s="37"/>
      <c r="F266" s="38"/>
      <c r="G266" s="37"/>
      <c r="H266" s="60"/>
      <c r="I266" s="38"/>
      <c r="J266" s="38"/>
      <c r="K266" s="39"/>
      <c r="L266" s="62"/>
    </row>
    <row r="267" spans="1:12" ht="19.9" customHeight="1">
      <c r="A267" s="37"/>
      <c r="B267" s="37"/>
      <c r="C267" s="38"/>
      <c r="D267" s="37"/>
      <c r="E267" s="37"/>
      <c r="F267" s="38"/>
      <c r="G267" s="37"/>
      <c r="H267" s="60"/>
      <c r="I267" s="38"/>
      <c r="J267" s="38"/>
      <c r="K267" s="39"/>
      <c r="L267" s="62"/>
    </row>
    <row r="268" spans="1:12" ht="19.9" customHeight="1">
      <c r="A268" s="37"/>
      <c r="B268" s="37"/>
      <c r="C268" s="38"/>
      <c r="D268" s="37"/>
      <c r="E268" s="37"/>
      <c r="F268" s="38"/>
      <c r="G268" s="37"/>
      <c r="H268" s="60"/>
      <c r="I268" s="38"/>
      <c r="J268" s="38"/>
      <c r="K268" s="39"/>
      <c r="L268" s="62"/>
    </row>
    <row r="269" spans="1:12" ht="19.9" customHeight="1">
      <c r="A269" s="37"/>
      <c r="B269" s="37"/>
      <c r="C269" s="38"/>
      <c r="D269" s="37"/>
      <c r="E269" s="37"/>
      <c r="F269" s="38"/>
      <c r="G269" s="37"/>
      <c r="H269" s="60"/>
      <c r="I269" s="38"/>
      <c r="J269" s="38"/>
      <c r="K269" s="39"/>
      <c r="L269" s="62"/>
    </row>
    <row r="270" spans="1:12" ht="19.9" customHeight="1">
      <c r="A270" s="37"/>
      <c r="B270" s="37"/>
      <c r="C270" s="38"/>
      <c r="D270" s="37"/>
      <c r="E270" s="37"/>
      <c r="F270" s="38"/>
      <c r="G270" s="37"/>
      <c r="H270" s="60"/>
      <c r="I270" s="38"/>
      <c r="J270" s="38"/>
      <c r="K270" s="39"/>
      <c r="L270" s="62"/>
    </row>
    <row r="271" spans="1:12" ht="19.9" customHeight="1">
      <c r="A271" s="37"/>
      <c r="B271" s="37"/>
      <c r="C271" s="38"/>
      <c r="D271" s="37"/>
      <c r="E271" s="37"/>
      <c r="F271" s="38"/>
      <c r="G271" s="37"/>
      <c r="H271" s="60"/>
      <c r="I271" s="38"/>
      <c r="J271" s="38"/>
      <c r="K271" s="39"/>
      <c r="L271" s="62"/>
    </row>
    <row r="272" spans="1:12" ht="19.9" customHeight="1">
      <c r="A272" s="37"/>
      <c r="B272" s="37"/>
      <c r="C272" s="38"/>
      <c r="D272" s="37"/>
      <c r="E272" s="37"/>
      <c r="F272" s="38"/>
      <c r="G272" s="37"/>
      <c r="H272" s="60"/>
      <c r="I272" s="38"/>
      <c r="J272" s="38"/>
      <c r="K272" s="39"/>
      <c r="L272" s="62"/>
    </row>
    <row r="273" spans="1:12" ht="19.9" customHeight="1">
      <c r="A273" s="37"/>
      <c r="B273" s="37"/>
      <c r="C273" s="38"/>
      <c r="D273" s="37"/>
      <c r="E273" s="37"/>
      <c r="F273" s="38"/>
      <c r="G273" s="37"/>
      <c r="H273" s="60"/>
      <c r="I273" s="38"/>
      <c r="J273" s="38"/>
      <c r="K273" s="39"/>
      <c r="L273" s="62"/>
    </row>
    <row r="274" spans="1:12" ht="19.9" customHeight="1">
      <c r="A274" s="37"/>
      <c r="B274" s="37"/>
      <c r="C274" s="38"/>
      <c r="D274" s="37"/>
      <c r="E274" s="37"/>
      <c r="F274" s="38"/>
      <c r="G274" s="37"/>
      <c r="H274" s="60"/>
      <c r="I274" s="38"/>
      <c r="J274" s="38"/>
      <c r="K274" s="39"/>
      <c r="L274" s="62"/>
    </row>
    <row r="275" spans="1:12" ht="19.9" customHeight="1">
      <c r="A275" s="37"/>
      <c r="B275" s="37"/>
      <c r="C275" s="38"/>
      <c r="D275" s="37"/>
      <c r="E275" s="37"/>
      <c r="F275" s="38"/>
      <c r="G275" s="37"/>
      <c r="H275" s="60"/>
      <c r="I275" s="38"/>
      <c r="J275" s="38"/>
      <c r="K275" s="39"/>
      <c r="L275" s="62"/>
    </row>
    <row r="276" spans="1:12" ht="19.9" customHeight="1">
      <c r="A276" s="37"/>
      <c r="B276" s="37"/>
      <c r="C276" s="38"/>
      <c r="D276" s="37"/>
      <c r="E276" s="37"/>
      <c r="F276" s="38"/>
      <c r="G276" s="37"/>
      <c r="H276" s="60"/>
      <c r="I276" s="38"/>
      <c r="J276" s="38"/>
      <c r="K276" s="39"/>
      <c r="L276" s="62"/>
    </row>
    <row r="277" spans="1:12" ht="19.9" customHeight="1">
      <c r="A277" s="37"/>
      <c r="B277" s="37"/>
      <c r="C277" s="38"/>
      <c r="D277" s="37"/>
      <c r="E277" s="37"/>
      <c r="F277" s="38"/>
      <c r="G277" s="37"/>
      <c r="H277" s="60"/>
      <c r="I277" s="38"/>
      <c r="J277" s="38"/>
      <c r="K277" s="39"/>
      <c r="L277" s="62"/>
    </row>
    <row r="278" spans="1:12" ht="19.9" customHeight="1">
      <c r="A278" s="37"/>
      <c r="B278" s="37"/>
      <c r="C278" s="38"/>
      <c r="D278" s="37"/>
      <c r="E278" s="37"/>
      <c r="F278" s="38"/>
      <c r="G278" s="37"/>
      <c r="H278" s="60"/>
      <c r="I278" s="38"/>
      <c r="J278" s="38"/>
      <c r="K278" s="39"/>
      <c r="L278" s="62"/>
    </row>
    <row r="279" spans="1:12" ht="19.9" customHeight="1">
      <c r="A279" s="37"/>
      <c r="B279" s="37"/>
      <c r="C279" s="38"/>
      <c r="D279" s="37"/>
      <c r="E279" s="37"/>
      <c r="F279" s="38"/>
      <c r="G279" s="37"/>
      <c r="H279" s="60"/>
      <c r="I279" s="38"/>
      <c r="J279" s="38"/>
      <c r="K279" s="39"/>
      <c r="L279" s="62"/>
    </row>
    <row r="280" spans="1:12" ht="19.9" customHeight="1">
      <c r="A280" s="37"/>
      <c r="B280" s="37"/>
      <c r="C280" s="38"/>
      <c r="D280" s="37"/>
      <c r="E280" s="37"/>
      <c r="F280" s="38"/>
      <c r="G280" s="37"/>
      <c r="H280" s="60"/>
      <c r="I280" s="38"/>
      <c r="J280" s="38"/>
      <c r="K280" s="39"/>
      <c r="L280" s="62"/>
    </row>
    <row r="281" spans="1:12" ht="19.9" customHeight="1">
      <c r="A281" s="37"/>
      <c r="B281" s="37"/>
      <c r="C281" s="38"/>
      <c r="D281" s="37"/>
      <c r="E281" s="37"/>
      <c r="F281" s="38"/>
      <c r="G281" s="37"/>
      <c r="H281" s="60"/>
      <c r="I281" s="38"/>
      <c r="J281" s="38"/>
      <c r="K281" s="39"/>
      <c r="L281" s="62"/>
    </row>
    <row r="282" spans="1:12" ht="19.9" customHeight="1">
      <c r="A282" s="37"/>
      <c r="B282" s="37"/>
      <c r="C282" s="38"/>
      <c r="D282" s="37"/>
      <c r="E282" s="37"/>
      <c r="F282" s="38"/>
      <c r="G282" s="37"/>
      <c r="H282" s="60"/>
      <c r="I282" s="38"/>
      <c r="J282" s="38"/>
      <c r="K282" s="39"/>
      <c r="L282" s="62"/>
    </row>
    <row r="283" spans="1:12" ht="19.9" customHeight="1">
      <c r="A283" s="37"/>
      <c r="B283" s="37"/>
      <c r="C283" s="38"/>
      <c r="D283" s="37"/>
      <c r="E283" s="37"/>
      <c r="F283" s="38"/>
      <c r="G283" s="37"/>
      <c r="H283" s="60"/>
      <c r="I283" s="38"/>
      <c r="J283" s="38"/>
      <c r="K283" s="39"/>
      <c r="L283" s="62"/>
    </row>
    <row r="284" spans="1:12" ht="19.9" customHeight="1">
      <c r="A284" s="37"/>
      <c r="B284" s="37"/>
      <c r="C284" s="38"/>
      <c r="D284" s="37"/>
      <c r="E284" s="37"/>
      <c r="F284" s="38"/>
      <c r="G284" s="37"/>
      <c r="H284" s="60"/>
      <c r="I284" s="38"/>
      <c r="J284" s="38"/>
      <c r="K284" s="39"/>
      <c r="L284" s="62"/>
    </row>
    <row r="285" spans="1:12" ht="19.9" customHeight="1">
      <c r="A285" s="37"/>
      <c r="B285" s="37"/>
      <c r="C285" s="38"/>
      <c r="D285" s="37"/>
      <c r="E285" s="37"/>
      <c r="F285" s="38"/>
      <c r="G285" s="37"/>
      <c r="H285" s="60"/>
      <c r="I285" s="38"/>
      <c r="J285" s="38"/>
      <c r="K285" s="39"/>
      <c r="L285" s="62"/>
    </row>
    <row r="286" spans="1:12" ht="19.9" customHeight="1">
      <c r="A286" s="37"/>
      <c r="B286" s="37"/>
      <c r="C286" s="38"/>
      <c r="D286" s="37"/>
      <c r="E286" s="37"/>
      <c r="F286" s="38"/>
      <c r="G286" s="37"/>
      <c r="H286" s="60"/>
      <c r="I286" s="38"/>
      <c r="J286" s="38"/>
      <c r="K286" s="39"/>
      <c r="L286" s="62"/>
    </row>
    <row r="287" spans="1:12" ht="19.9" customHeight="1">
      <c r="A287" s="37"/>
      <c r="B287" s="37"/>
      <c r="C287" s="38"/>
      <c r="D287" s="37"/>
      <c r="E287" s="37"/>
      <c r="F287" s="38"/>
      <c r="G287" s="37"/>
      <c r="H287" s="60"/>
      <c r="I287" s="38"/>
      <c r="J287" s="38"/>
      <c r="K287" s="39"/>
      <c r="L287" s="62"/>
    </row>
    <row r="288" spans="1:12" ht="19.9" customHeight="1">
      <c r="A288" s="37"/>
      <c r="B288" s="37"/>
      <c r="C288" s="38"/>
      <c r="D288" s="37"/>
      <c r="E288" s="37"/>
      <c r="F288" s="38"/>
      <c r="G288" s="37"/>
      <c r="H288" s="60"/>
      <c r="I288" s="38"/>
      <c r="J288" s="38"/>
      <c r="K288" s="39"/>
      <c r="L288" s="62"/>
    </row>
    <row r="289" spans="1:12" ht="19.9" customHeight="1">
      <c r="A289" s="37"/>
      <c r="B289" s="37"/>
      <c r="C289" s="38"/>
      <c r="D289" s="37"/>
      <c r="E289" s="37"/>
      <c r="F289" s="38"/>
      <c r="G289" s="37"/>
      <c r="H289" s="60"/>
      <c r="I289" s="38"/>
      <c r="J289" s="38"/>
      <c r="K289" s="39"/>
      <c r="L289" s="62"/>
    </row>
    <row r="290" spans="1:12" ht="19.9" customHeight="1">
      <c r="A290" s="37"/>
      <c r="B290" s="37"/>
      <c r="C290" s="38"/>
      <c r="D290" s="37"/>
      <c r="E290" s="37"/>
      <c r="F290" s="38"/>
      <c r="G290" s="37"/>
      <c r="H290" s="60"/>
      <c r="I290" s="38"/>
      <c r="J290" s="38"/>
      <c r="K290" s="39"/>
      <c r="L290" s="62"/>
    </row>
    <row r="291" spans="1:12" ht="19.9" customHeight="1">
      <c r="A291" s="37"/>
      <c r="B291" s="37"/>
      <c r="C291" s="38"/>
      <c r="D291" s="37"/>
      <c r="E291" s="37"/>
      <c r="F291" s="38"/>
      <c r="G291" s="37"/>
      <c r="H291" s="60"/>
      <c r="I291" s="38"/>
      <c r="J291" s="38"/>
      <c r="K291" s="39"/>
      <c r="L291" s="62"/>
    </row>
    <row r="292" spans="1:12" ht="19.9" customHeight="1">
      <c r="A292" s="37"/>
      <c r="B292" s="37"/>
      <c r="C292" s="38"/>
      <c r="D292" s="37"/>
      <c r="E292" s="37"/>
      <c r="F292" s="38"/>
      <c r="G292" s="37"/>
      <c r="H292" s="60"/>
      <c r="I292" s="38"/>
      <c r="J292" s="38"/>
      <c r="K292" s="39"/>
      <c r="L292" s="62"/>
    </row>
    <row r="293" spans="1:12" ht="19.9" customHeight="1">
      <c r="A293" s="37"/>
      <c r="B293" s="37"/>
      <c r="C293" s="38"/>
      <c r="D293" s="37"/>
      <c r="E293" s="37"/>
      <c r="F293" s="38"/>
      <c r="G293" s="37"/>
      <c r="H293" s="60"/>
      <c r="I293" s="38"/>
      <c r="J293" s="38"/>
      <c r="K293" s="39"/>
      <c r="L293" s="62"/>
    </row>
    <row r="294" spans="1:12" ht="19.9" customHeight="1">
      <c r="A294" s="37"/>
      <c r="B294" s="37"/>
      <c r="C294" s="38"/>
      <c r="D294" s="37"/>
      <c r="E294" s="37"/>
      <c r="F294" s="38"/>
      <c r="G294" s="37"/>
      <c r="H294" s="60"/>
      <c r="I294" s="38"/>
      <c r="J294" s="38"/>
      <c r="K294" s="39"/>
      <c r="L294" s="62"/>
    </row>
    <row r="295" spans="1:12" ht="19.9" customHeight="1">
      <c r="A295" s="37"/>
      <c r="B295" s="37"/>
      <c r="C295" s="38"/>
      <c r="D295" s="37"/>
      <c r="E295" s="37"/>
      <c r="F295" s="38"/>
      <c r="G295" s="37"/>
      <c r="H295" s="60"/>
      <c r="I295" s="38"/>
      <c r="J295" s="38"/>
      <c r="K295" s="39"/>
      <c r="L295" s="62"/>
    </row>
    <row r="296" spans="1:12" ht="19.9" customHeight="1">
      <c r="A296" s="37"/>
      <c r="B296" s="37"/>
      <c r="C296" s="38"/>
      <c r="D296" s="37"/>
      <c r="E296" s="37"/>
      <c r="F296" s="38"/>
      <c r="G296" s="37"/>
      <c r="H296" s="60"/>
      <c r="I296" s="38"/>
      <c r="J296" s="38"/>
      <c r="K296" s="39"/>
      <c r="L296" s="62"/>
    </row>
    <row r="297" spans="1:12" ht="19.9" customHeight="1">
      <c r="A297" s="37"/>
      <c r="B297" s="37"/>
      <c r="C297" s="38"/>
      <c r="D297" s="37"/>
      <c r="E297" s="37"/>
      <c r="F297" s="38"/>
      <c r="G297" s="37"/>
      <c r="H297" s="60"/>
      <c r="I297" s="38"/>
      <c r="J297" s="38"/>
      <c r="K297" s="39"/>
      <c r="L297" s="62"/>
    </row>
    <row r="298" spans="1:12" ht="19.9" customHeight="1">
      <c r="A298" s="37"/>
      <c r="B298" s="37"/>
      <c r="C298" s="38"/>
      <c r="D298" s="37"/>
      <c r="E298" s="37"/>
      <c r="F298" s="38"/>
      <c r="G298" s="37"/>
      <c r="H298" s="60"/>
      <c r="I298" s="38"/>
      <c r="J298" s="38"/>
      <c r="K298" s="39"/>
      <c r="L298" s="62"/>
    </row>
    <row r="299" spans="1:12" ht="19.9" customHeight="1">
      <c r="A299" s="37"/>
      <c r="B299" s="37"/>
      <c r="C299" s="38"/>
      <c r="D299" s="37"/>
      <c r="E299" s="37"/>
      <c r="F299" s="38"/>
      <c r="G299" s="37"/>
      <c r="H299" s="60"/>
      <c r="I299" s="38"/>
      <c r="J299" s="38"/>
      <c r="K299" s="39"/>
      <c r="L299" s="62"/>
    </row>
    <row r="300" spans="1:12" ht="19.9" customHeight="1">
      <c r="A300" s="37"/>
      <c r="B300" s="37"/>
      <c r="C300" s="38"/>
      <c r="D300" s="37"/>
      <c r="E300" s="37"/>
      <c r="F300" s="38"/>
      <c r="G300" s="37"/>
      <c r="H300" s="60"/>
      <c r="I300" s="38"/>
      <c r="J300" s="38"/>
      <c r="K300" s="39"/>
      <c r="L300" s="62"/>
    </row>
    <row r="301" spans="1:12" ht="19.9" customHeight="1">
      <c r="A301" s="37"/>
      <c r="B301" s="37"/>
      <c r="C301" s="38"/>
      <c r="D301" s="37"/>
      <c r="E301" s="37"/>
      <c r="F301" s="38"/>
      <c r="G301" s="37"/>
      <c r="H301" s="60"/>
      <c r="I301" s="38"/>
      <c r="J301" s="38"/>
      <c r="K301" s="39"/>
      <c r="L301" s="62"/>
    </row>
    <row r="302" spans="1:12" ht="19.9" customHeight="1">
      <c r="A302" s="37"/>
      <c r="B302" s="37"/>
      <c r="C302" s="38"/>
      <c r="D302" s="37"/>
      <c r="E302" s="37"/>
      <c r="F302" s="38"/>
      <c r="G302" s="37"/>
      <c r="H302" s="60"/>
      <c r="I302" s="38"/>
      <c r="J302" s="38"/>
      <c r="K302" s="39"/>
      <c r="L302" s="62"/>
    </row>
    <row r="303" spans="1:12" ht="19.9" customHeight="1">
      <c r="A303" s="37"/>
      <c r="B303" s="37"/>
      <c r="C303" s="38"/>
      <c r="D303" s="37"/>
      <c r="E303" s="37"/>
      <c r="F303" s="38"/>
      <c r="G303" s="37"/>
      <c r="H303" s="60"/>
      <c r="I303" s="38"/>
      <c r="J303" s="38"/>
      <c r="K303" s="39"/>
      <c r="L303" s="62"/>
    </row>
    <row r="304" spans="1:12" ht="19.9" customHeight="1">
      <c r="A304" s="37"/>
      <c r="B304" s="37"/>
      <c r="C304" s="38"/>
      <c r="D304" s="37"/>
      <c r="E304" s="37"/>
      <c r="F304" s="38"/>
      <c r="G304" s="37"/>
      <c r="H304" s="60"/>
      <c r="I304" s="38"/>
      <c r="J304" s="38"/>
      <c r="K304" s="39"/>
      <c r="L304" s="62"/>
    </row>
    <row r="305" spans="1:12" ht="19.9" customHeight="1">
      <c r="A305" s="37"/>
      <c r="B305" s="37"/>
      <c r="C305" s="38"/>
      <c r="D305" s="37"/>
      <c r="E305" s="37"/>
      <c r="F305" s="38"/>
      <c r="G305" s="37"/>
      <c r="H305" s="60"/>
      <c r="I305" s="38"/>
      <c r="J305" s="38"/>
      <c r="K305" s="39"/>
      <c r="L305" s="62"/>
    </row>
    <row r="306" spans="1:12" ht="19.9" customHeight="1">
      <c r="A306" s="37"/>
      <c r="B306" s="37"/>
      <c r="C306" s="38"/>
      <c r="D306" s="37"/>
      <c r="E306" s="37"/>
      <c r="F306" s="38"/>
      <c r="G306" s="37"/>
      <c r="H306" s="60"/>
      <c r="I306" s="38"/>
      <c r="J306" s="38"/>
      <c r="K306" s="39"/>
      <c r="L306" s="62"/>
    </row>
    <row r="307" spans="1:12" ht="19.9" customHeight="1">
      <c r="A307" s="37"/>
      <c r="B307" s="37"/>
      <c r="C307" s="38"/>
      <c r="D307" s="37"/>
      <c r="E307" s="37"/>
      <c r="F307" s="38"/>
      <c r="G307" s="37"/>
      <c r="H307" s="60"/>
      <c r="I307" s="38"/>
      <c r="J307" s="38"/>
      <c r="K307" s="39"/>
      <c r="L307" s="62"/>
    </row>
    <row r="308" spans="1:12" ht="19.9" customHeight="1">
      <c r="A308" s="37"/>
      <c r="B308" s="37"/>
      <c r="C308" s="38"/>
      <c r="D308" s="37"/>
      <c r="E308" s="37"/>
      <c r="F308" s="38"/>
      <c r="G308" s="37"/>
      <c r="H308" s="60"/>
      <c r="I308" s="38"/>
      <c r="J308" s="38"/>
      <c r="K308" s="39"/>
      <c r="L308" s="62"/>
    </row>
    <row r="309" spans="1:12" ht="19.9" customHeight="1">
      <c r="A309" s="37"/>
      <c r="B309" s="37"/>
      <c r="C309" s="38"/>
      <c r="D309" s="37"/>
      <c r="E309" s="37"/>
      <c r="F309" s="38"/>
      <c r="G309" s="37"/>
      <c r="H309" s="60"/>
      <c r="I309" s="38"/>
      <c r="J309" s="38"/>
      <c r="K309" s="39"/>
      <c r="L309" s="62"/>
    </row>
    <row r="310" spans="1:12" ht="19.9" customHeight="1">
      <c r="A310" s="37"/>
      <c r="B310" s="37"/>
      <c r="C310" s="38"/>
      <c r="D310" s="37"/>
      <c r="E310" s="37"/>
      <c r="F310" s="38"/>
      <c r="G310" s="37"/>
      <c r="H310" s="60"/>
      <c r="I310" s="38"/>
      <c r="J310" s="38"/>
      <c r="K310" s="39"/>
      <c r="L310" s="62"/>
    </row>
    <row r="311" spans="1:12" ht="19.9" customHeight="1">
      <c r="A311" s="37"/>
      <c r="B311" s="37"/>
      <c r="C311" s="38"/>
      <c r="D311" s="37"/>
      <c r="E311" s="37"/>
      <c r="F311" s="38"/>
      <c r="G311" s="37"/>
      <c r="H311" s="60"/>
      <c r="I311" s="38"/>
      <c r="J311" s="38"/>
      <c r="K311" s="39"/>
      <c r="L311" s="62"/>
    </row>
    <row r="312" spans="1:12" ht="19.9" customHeight="1">
      <c r="A312" s="37"/>
      <c r="B312" s="37"/>
      <c r="C312" s="38"/>
      <c r="D312" s="37"/>
      <c r="E312" s="37"/>
      <c r="F312" s="38"/>
      <c r="G312" s="37"/>
      <c r="H312" s="60"/>
      <c r="I312" s="38"/>
      <c r="J312" s="38"/>
      <c r="K312" s="39"/>
      <c r="L312" s="62"/>
    </row>
    <row r="313" spans="1:12" ht="19.9" customHeight="1">
      <c r="A313" s="37"/>
      <c r="B313" s="37"/>
      <c r="C313" s="38"/>
      <c r="D313" s="37"/>
      <c r="E313" s="37"/>
      <c r="F313" s="38"/>
      <c r="G313" s="37"/>
      <c r="H313" s="60"/>
      <c r="I313" s="38"/>
      <c r="J313" s="38"/>
      <c r="K313" s="39"/>
      <c r="L313" s="62"/>
    </row>
    <row r="314" spans="1:12" ht="19.9" customHeight="1">
      <c r="A314" s="37"/>
      <c r="B314" s="37"/>
      <c r="C314" s="38"/>
      <c r="D314" s="37"/>
      <c r="E314" s="37"/>
      <c r="F314" s="38"/>
      <c r="G314" s="37"/>
      <c r="H314" s="60"/>
      <c r="I314" s="38"/>
      <c r="J314" s="38"/>
      <c r="K314" s="39"/>
      <c r="L314" s="62"/>
    </row>
    <row r="315" spans="1:12" ht="19.9" customHeight="1">
      <c r="A315" s="37"/>
      <c r="B315" s="37"/>
      <c r="C315" s="38"/>
      <c r="D315" s="37"/>
      <c r="E315" s="37"/>
      <c r="F315" s="38"/>
      <c r="G315" s="37"/>
      <c r="H315" s="60"/>
      <c r="I315" s="38"/>
      <c r="J315" s="38"/>
      <c r="K315" s="39"/>
      <c r="L315" s="62"/>
    </row>
    <row r="316" spans="1:12" ht="19.9" customHeight="1">
      <c r="A316" s="37"/>
      <c r="B316" s="37"/>
      <c r="C316" s="38"/>
      <c r="D316" s="37"/>
      <c r="E316" s="37"/>
      <c r="F316" s="38"/>
      <c r="G316" s="37"/>
      <c r="H316" s="60"/>
      <c r="I316" s="38"/>
      <c r="J316" s="38"/>
      <c r="K316" s="39"/>
      <c r="L316" s="62"/>
    </row>
    <row r="317" spans="1:12" ht="19.9" customHeight="1">
      <c r="A317" s="37"/>
      <c r="B317" s="37"/>
      <c r="C317" s="38"/>
      <c r="D317" s="37"/>
      <c r="E317" s="37"/>
      <c r="F317" s="38"/>
      <c r="G317" s="37"/>
      <c r="H317" s="60"/>
      <c r="I317" s="38"/>
      <c r="J317" s="38"/>
      <c r="K317" s="39"/>
      <c r="L317" s="62"/>
    </row>
    <row r="318" spans="1:12" ht="19.9" customHeight="1">
      <c r="A318" s="37"/>
      <c r="B318" s="37"/>
      <c r="C318" s="38"/>
      <c r="D318" s="37"/>
      <c r="E318" s="37"/>
      <c r="F318" s="38"/>
      <c r="G318" s="37"/>
      <c r="H318" s="60"/>
      <c r="I318" s="38"/>
      <c r="J318" s="38"/>
      <c r="K318" s="39"/>
      <c r="L318" s="62"/>
    </row>
    <row r="319" spans="1:12" ht="19.9" customHeight="1">
      <c r="A319" s="37"/>
      <c r="B319" s="37"/>
      <c r="C319" s="38"/>
      <c r="D319" s="37"/>
      <c r="E319" s="37"/>
      <c r="F319" s="38"/>
      <c r="G319" s="37"/>
      <c r="H319" s="60"/>
      <c r="I319" s="38"/>
      <c r="J319" s="38"/>
      <c r="K319" s="39"/>
      <c r="L319" s="62"/>
    </row>
    <row r="320" spans="1:12" ht="19.9" customHeight="1">
      <c r="A320" s="37"/>
      <c r="B320" s="37"/>
      <c r="C320" s="38"/>
      <c r="D320" s="37"/>
      <c r="E320" s="37"/>
      <c r="F320" s="38"/>
      <c r="G320" s="37"/>
      <c r="H320" s="60"/>
      <c r="I320" s="38"/>
      <c r="J320" s="38"/>
      <c r="K320" s="39"/>
      <c r="L320" s="62"/>
    </row>
    <row r="321" spans="1:12" ht="19.9" customHeight="1">
      <c r="A321" s="37"/>
      <c r="B321" s="37"/>
      <c r="C321" s="38"/>
      <c r="D321" s="37"/>
      <c r="E321" s="37"/>
      <c r="F321" s="38"/>
      <c r="G321" s="37"/>
      <c r="H321" s="60"/>
      <c r="I321" s="38"/>
      <c r="J321" s="38"/>
      <c r="K321" s="39"/>
      <c r="L321" s="62"/>
    </row>
    <row r="322" spans="1:12" ht="19.9" customHeight="1">
      <c r="A322" s="37"/>
      <c r="B322" s="37"/>
      <c r="C322" s="38"/>
      <c r="D322" s="37"/>
      <c r="E322" s="37"/>
      <c r="F322" s="38"/>
      <c r="G322" s="37"/>
      <c r="H322" s="60"/>
      <c r="I322" s="38"/>
      <c r="J322" s="38"/>
      <c r="K322" s="39"/>
      <c r="L322" s="62"/>
    </row>
    <row r="323" spans="1:12" ht="19.9" customHeight="1">
      <c r="A323" s="37"/>
      <c r="B323" s="37"/>
      <c r="C323" s="38"/>
      <c r="D323" s="37"/>
      <c r="E323" s="37"/>
      <c r="F323" s="38"/>
      <c r="G323" s="37"/>
      <c r="H323" s="60"/>
      <c r="I323" s="38"/>
      <c r="J323" s="38"/>
      <c r="K323" s="39"/>
      <c r="L323" s="62"/>
    </row>
    <row r="324" spans="1:12" ht="19.9" customHeight="1">
      <c r="A324" s="37"/>
      <c r="B324" s="37"/>
      <c r="C324" s="38"/>
      <c r="D324" s="37"/>
      <c r="E324" s="37"/>
      <c r="F324" s="38"/>
      <c r="G324" s="37"/>
      <c r="H324" s="60"/>
      <c r="I324" s="38"/>
      <c r="J324" s="38"/>
      <c r="K324" s="39"/>
      <c r="L324" s="62"/>
    </row>
    <row r="325" spans="1:12" ht="19.9" customHeight="1">
      <c r="A325" s="37"/>
      <c r="B325" s="37"/>
      <c r="C325" s="38"/>
      <c r="D325" s="37"/>
      <c r="E325" s="37"/>
      <c r="F325" s="38"/>
      <c r="G325" s="37"/>
      <c r="H325" s="60"/>
      <c r="I325" s="38"/>
      <c r="J325" s="38"/>
      <c r="K325" s="39"/>
      <c r="L325" s="62"/>
    </row>
    <row r="326" spans="1:12" ht="19.9" customHeight="1">
      <c r="A326" s="37"/>
      <c r="B326" s="37"/>
      <c r="C326" s="38"/>
      <c r="D326" s="37"/>
      <c r="E326" s="37"/>
      <c r="F326" s="38"/>
      <c r="G326" s="37"/>
      <c r="H326" s="60"/>
      <c r="I326" s="38"/>
      <c r="J326" s="38"/>
      <c r="K326" s="39"/>
      <c r="L326" s="62"/>
    </row>
    <row r="327" spans="1:12" ht="19.9" customHeight="1">
      <c r="A327" s="37"/>
      <c r="B327" s="37"/>
      <c r="C327" s="38"/>
      <c r="D327" s="37"/>
      <c r="E327" s="37"/>
      <c r="F327" s="38"/>
      <c r="G327" s="37"/>
      <c r="H327" s="60"/>
      <c r="I327" s="38"/>
      <c r="J327" s="38"/>
      <c r="K327" s="39"/>
      <c r="L327" s="62"/>
    </row>
    <row r="328" spans="1:12" ht="19.9" customHeight="1">
      <c r="A328" s="37"/>
      <c r="B328" s="37"/>
      <c r="C328" s="38"/>
      <c r="D328" s="37"/>
      <c r="E328" s="37"/>
      <c r="F328" s="38"/>
      <c r="G328" s="37"/>
      <c r="H328" s="60"/>
      <c r="I328" s="38"/>
      <c r="J328" s="38"/>
      <c r="K328" s="39"/>
      <c r="L328" s="62"/>
    </row>
    <row r="329" spans="1:12" ht="19.9" customHeight="1">
      <c r="A329" s="37"/>
      <c r="B329" s="37"/>
      <c r="C329" s="38"/>
      <c r="D329" s="37"/>
      <c r="E329" s="37"/>
      <c r="F329" s="38"/>
      <c r="G329" s="37"/>
      <c r="H329" s="60"/>
      <c r="I329" s="38"/>
      <c r="J329" s="38"/>
      <c r="K329" s="39"/>
      <c r="L329" s="62"/>
    </row>
    <row r="330" spans="1:12" ht="19.9" customHeight="1">
      <c r="A330" s="37"/>
      <c r="B330" s="37"/>
      <c r="C330" s="38"/>
      <c r="D330" s="37"/>
      <c r="E330" s="37"/>
      <c r="F330" s="38"/>
      <c r="G330" s="37"/>
      <c r="H330" s="60"/>
      <c r="I330" s="38"/>
      <c r="J330" s="38"/>
      <c r="K330" s="39"/>
      <c r="L330" s="62"/>
    </row>
    <row r="331" spans="1:12" ht="19.9" customHeight="1">
      <c r="A331" s="37"/>
      <c r="B331" s="37"/>
      <c r="C331" s="38"/>
      <c r="D331" s="37"/>
      <c r="E331" s="37"/>
      <c r="F331" s="38"/>
      <c r="G331" s="37"/>
      <c r="H331" s="60"/>
      <c r="I331" s="38"/>
      <c r="J331" s="38"/>
      <c r="K331" s="39"/>
      <c r="L331" s="62"/>
    </row>
    <row r="332" spans="1:12" ht="19.9" customHeight="1">
      <c r="A332" s="37"/>
      <c r="B332" s="37"/>
      <c r="C332" s="38"/>
      <c r="D332" s="37"/>
      <c r="E332" s="37"/>
      <c r="F332" s="38"/>
      <c r="G332" s="37"/>
      <c r="H332" s="60"/>
      <c r="I332" s="38"/>
      <c r="J332" s="38"/>
      <c r="K332" s="39"/>
      <c r="L332" s="62"/>
    </row>
    <row r="333" spans="1:12" ht="19.9" customHeight="1">
      <c r="A333" s="37"/>
      <c r="B333" s="37"/>
      <c r="C333" s="38"/>
      <c r="D333" s="37"/>
      <c r="E333" s="37"/>
      <c r="F333" s="38"/>
      <c r="G333" s="37"/>
      <c r="H333" s="60"/>
      <c r="I333" s="38"/>
      <c r="J333" s="38"/>
      <c r="K333" s="39"/>
      <c r="L333" s="62"/>
    </row>
    <row r="334" spans="1:12" ht="19.9" customHeight="1">
      <c r="A334" s="37"/>
      <c r="B334" s="37"/>
      <c r="C334" s="38"/>
      <c r="D334" s="37"/>
      <c r="E334" s="37"/>
      <c r="F334" s="38"/>
      <c r="G334" s="37"/>
      <c r="H334" s="60"/>
      <c r="I334" s="38"/>
      <c r="J334" s="38"/>
      <c r="K334" s="39"/>
      <c r="L334" s="62"/>
    </row>
    <row r="335" spans="1:12" ht="19.9" customHeight="1">
      <c r="A335" s="37"/>
      <c r="B335" s="37"/>
      <c r="C335" s="38"/>
      <c r="D335" s="37"/>
      <c r="E335" s="37"/>
      <c r="F335" s="38"/>
      <c r="G335" s="37"/>
      <c r="H335" s="60"/>
      <c r="I335" s="38"/>
      <c r="J335" s="38"/>
      <c r="K335" s="39"/>
      <c r="L335" s="62"/>
    </row>
    <row r="336" spans="1:12" ht="19.9" customHeight="1">
      <c r="A336" s="37"/>
      <c r="B336" s="37"/>
      <c r="C336" s="38"/>
      <c r="D336" s="37"/>
      <c r="E336" s="37"/>
      <c r="F336" s="38"/>
      <c r="G336" s="37"/>
      <c r="H336" s="60"/>
      <c r="I336" s="38"/>
      <c r="J336" s="38"/>
      <c r="K336" s="39"/>
      <c r="L336" s="62"/>
    </row>
    <row r="337" spans="1:12" ht="19.9" customHeight="1">
      <c r="A337" s="37"/>
      <c r="B337" s="37"/>
      <c r="C337" s="38"/>
      <c r="D337" s="37"/>
      <c r="E337" s="37"/>
      <c r="F337" s="38"/>
      <c r="G337" s="37"/>
      <c r="H337" s="60"/>
      <c r="I337" s="38"/>
      <c r="J337" s="38"/>
      <c r="K337" s="39"/>
      <c r="L337" s="62"/>
    </row>
    <row r="338" spans="1:12" ht="19.9" customHeight="1">
      <c r="A338" s="37"/>
      <c r="B338" s="37"/>
      <c r="C338" s="38"/>
      <c r="D338" s="37"/>
      <c r="E338" s="37"/>
      <c r="F338" s="38"/>
      <c r="G338" s="37"/>
      <c r="H338" s="60"/>
      <c r="I338" s="38"/>
      <c r="J338" s="38"/>
      <c r="K338" s="39"/>
      <c r="L338" s="62"/>
    </row>
    <row r="339" spans="1:12" ht="19.9" customHeight="1">
      <c r="A339" s="37"/>
      <c r="B339" s="37"/>
      <c r="C339" s="38"/>
      <c r="D339" s="37"/>
      <c r="E339" s="37"/>
      <c r="F339" s="38"/>
      <c r="G339" s="37"/>
      <c r="H339" s="60"/>
      <c r="I339" s="38"/>
      <c r="J339" s="38"/>
      <c r="K339" s="39"/>
      <c r="L339" s="62"/>
    </row>
    <row r="340" spans="1:12" ht="19.9" customHeight="1">
      <c r="A340" s="37"/>
      <c r="B340" s="37"/>
      <c r="C340" s="38"/>
      <c r="D340" s="37"/>
      <c r="E340" s="37"/>
      <c r="F340" s="38"/>
      <c r="G340" s="37"/>
      <c r="H340" s="60"/>
      <c r="I340" s="38"/>
      <c r="J340" s="38"/>
      <c r="K340" s="39"/>
      <c r="L340" s="62"/>
    </row>
    <row r="341" spans="1:12" ht="19.9" customHeight="1">
      <c r="A341" s="37"/>
      <c r="B341" s="37"/>
      <c r="C341" s="38"/>
      <c r="D341" s="37"/>
      <c r="E341" s="37"/>
      <c r="F341" s="38"/>
      <c r="G341" s="37"/>
      <c r="H341" s="60"/>
      <c r="I341" s="38"/>
      <c r="J341" s="38"/>
      <c r="K341" s="39"/>
      <c r="L341" s="62"/>
    </row>
    <row r="342" spans="1:12" ht="19.9" customHeight="1">
      <c r="A342" s="37"/>
      <c r="B342" s="37"/>
      <c r="C342" s="38"/>
      <c r="D342" s="37"/>
      <c r="E342" s="37"/>
      <c r="F342" s="38"/>
      <c r="G342" s="37"/>
      <c r="H342" s="60"/>
      <c r="I342" s="38"/>
      <c r="J342" s="38"/>
      <c r="K342" s="39"/>
      <c r="L342" s="62"/>
    </row>
    <row r="343" spans="1:12" ht="19.9" customHeight="1">
      <c r="A343" s="37"/>
      <c r="B343" s="37"/>
      <c r="C343" s="38"/>
      <c r="D343" s="37"/>
      <c r="E343" s="37"/>
      <c r="F343" s="38"/>
      <c r="G343" s="37"/>
      <c r="H343" s="60"/>
      <c r="I343" s="38"/>
      <c r="J343" s="38"/>
      <c r="K343" s="39"/>
      <c r="L343" s="62"/>
    </row>
    <row r="344" spans="1:12" ht="19.9" customHeight="1">
      <c r="A344" s="37"/>
      <c r="B344" s="37"/>
      <c r="C344" s="38"/>
      <c r="D344" s="37"/>
      <c r="E344" s="37"/>
      <c r="F344" s="38"/>
      <c r="G344" s="37"/>
      <c r="H344" s="60"/>
      <c r="I344" s="38"/>
      <c r="J344" s="38"/>
      <c r="K344" s="39"/>
      <c r="L344" s="62"/>
    </row>
    <row r="345" spans="1:12" ht="19.9" customHeight="1">
      <c r="A345" s="37"/>
      <c r="B345" s="37"/>
      <c r="C345" s="38"/>
      <c r="D345" s="37"/>
      <c r="E345" s="37"/>
      <c r="F345" s="38"/>
      <c r="G345" s="37"/>
      <c r="H345" s="60"/>
      <c r="I345" s="38"/>
      <c r="J345" s="38"/>
      <c r="K345" s="39"/>
      <c r="L345" s="62"/>
    </row>
    <row r="346" spans="1:12" ht="19.9" customHeight="1">
      <c r="A346" s="37"/>
      <c r="B346" s="37"/>
      <c r="C346" s="38"/>
      <c r="D346" s="37"/>
      <c r="E346" s="37"/>
      <c r="F346" s="38"/>
      <c r="G346" s="37"/>
      <c r="H346" s="60"/>
      <c r="I346" s="38"/>
      <c r="J346" s="38"/>
      <c r="K346" s="39"/>
      <c r="L346" s="62"/>
    </row>
    <row r="347" spans="1:12" ht="19.9" customHeight="1">
      <c r="A347" s="37"/>
      <c r="B347" s="37"/>
      <c r="C347" s="38"/>
      <c r="D347" s="37"/>
      <c r="E347" s="37"/>
      <c r="F347" s="38"/>
      <c r="G347" s="37"/>
      <c r="H347" s="60"/>
      <c r="I347" s="38"/>
      <c r="J347" s="38"/>
      <c r="K347" s="39"/>
      <c r="L347" s="62"/>
    </row>
    <row r="348" spans="1:12" ht="19.9" customHeight="1">
      <c r="A348" s="37"/>
      <c r="B348" s="37"/>
      <c r="C348" s="38"/>
      <c r="D348" s="37"/>
      <c r="E348" s="37"/>
      <c r="F348" s="38"/>
      <c r="G348" s="37"/>
      <c r="H348" s="60"/>
      <c r="I348" s="38"/>
      <c r="J348" s="38"/>
      <c r="K348" s="39"/>
      <c r="L348" s="62"/>
    </row>
    <row r="349" spans="1:12" ht="19.9" customHeight="1">
      <c r="A349" s="37"/>
      <c r="B349" s="37"/>
      <c r="C349" s="38"/>
      <c r="D349" s="37"/>
      <c r="E349" s="37"/>
      <c r="F349" s="38"/>
      <c r="G349" s="37"/>
      <c r="H349" s="60"/>
      <c r="I349" s="38"/>
      <c r="J349" s="38"/>
      <c r="K349" s="39"/>
      <c r="L349" s="62"/>
    </row>
    <row r="350" spans="1:12" ht="19.9" customHeight="1">
      <c r="A350" s="37"/>
      <c r="B350" s="37"/>
      <c r="C350" s="38"/>
      <c r="D350" s="37"/>
      <c r="E350" s="37"/>
      <c r="F350" s="38"/>
      <c r="G350" s="37"/>
      <c r="H350" s="60"/>
      <c r="I350" s="38"/>
      <c r="J350" s="38"/>
      <c r="K350" s="39"/>
      <c r="L350" s="62"/>
    </row>
    <row r="351" spans="1:12" ht="19.9" customHeight="1">
      <c r="A351" s="37"/>
      <c r="B351" s="37"/>
      <c r="C351" s="38"/>
      <c r="D351" s="37"/>
      <c r="E351" s="37"/>
      <c r="F351" s="38"/>
      <c r="G351" s="37"/>
      <c r="H351" s="60"/>
      <c r="I351" s="38"/>
      <c r="J351" s="38"/>
      <c r="K351" s="39"/>
      <c r="L351" s="62"/>
    </row>
    <row r="352" spans="1:12" ht="19.9" customHeight="1">
      <c r="A352" s="37"/>
      <c r="B352" s="37"/>
      <c r="C352" s="38"/>
      <c r="D352" s="37"/>
      <c r="E352" s="37"/>
      <c r="F352" s="38"/>
      <c r="G352" s="37"/>
      <c r="H352" s="60"/>
      <c r="I352" s="38"/>
      <c r="J352" s="38"/>
      <c r="K352" s="39"/>
      <c r="L352" s="62"/>
    </row>
    <row r="353" spans="1:12" ht="19.9" customHeight="1">
      <c r="A353" s="37"/>
      <c r="B353" s="37"/>
      <c r="C353" s="38"/>
      <c r="D353" s="37"/>
      <c r="E353" s="37"/>
      <c r="F353" s="38"/>
      <c r="G353" s="37"/>
      <c r="H353" s="60"/>
      <c r="I353" s="38"/>
      <c r="J353" s="38"/>
      <c r="K353" s="39"/>
      <c r="L353" s="62"/>
    </row>
    <row r="354" spans="1:12" ht="19.9" customHeight="1">
      <c r="A354" s="37"/>
      <c r="B354" s="37"/>
      <c r="C354" s="38"/>
      <c r="D354" s="37"/>
      <c r="E354" s="37"/>
      <c r="F354" s="38"/>
      <c r="G354" s="37"/>
      <c r="H354" s="60"/>
      <c r="I354" s="38"/>
      <c r="J354" s="38"/>
      <c r="K354" s="39"/>
      <c r="L354" s="62"/>
    </row>
    <row r="355" spans="1:12" ht="19.9" customHeight="1">
      <c r="A355" s="37"/>
      <c r="B355" s="37"/>
      <c r="C355" s="38"/>
      <c r="D355" s="37"/>
      <c r="E355" s="37"/>
      <c r="F355" s="38"/>
      <c r="G355" s="37"/>
      <c r="H355" s="60"/>
      <c r="I355" s="38"/>
      <c r="J355" s="38"/>
      <c r="K355" s="39"/>
      <c r="L355" s="62"/>
    </row>
    <row r="356" spans="1:12" ht="19.9" customHeight="1">
      <c r="A356" s="37"/>
      <c r="B356" s="37"/>
      <c r="C356" s="38"/>
      <c r="D356" s="37"/>
      <c r="E356" s="37"/>
      <c r="F356" s="38"/>
      <c r="G356" s="37"/>
      <c r="H356" s="60"/>
      <c r="I356" s="38"/>
      <c r="J356" s="38"/>
      <c r="K356" s="39"/>
      <c r="L356" s="62"/>
    </row>
    <row r="357" spans="1:12" ht="19.9" customHeight="1">
      <c r="A357" s="37"/>
      <c r="B357" s="37"/>
      <c r="C357" s="38"/>
      <c r="D357" s="37"/>
      <c r="E357" s="37"/>
      <c r="F357" s="38"/>
      <c r="G357" s="37"/>
      <c r="H357" s="60"/>
      <c r="I357" s="38"/>
      <c r="J357" s="38"/>
      <c r="K357" s="39"/>
      <c r="L357" s="62"/>
    </row>
    <row r="358" spans="1:12" ht="19.9" customHeight="1">
      <c r="A358" s="37"/>
      <c r="B358" s="37"/>
      <c r="C358" s="38"/>
      <c r="D358" s="37"/>
      <c r="E358" s="37"/>
      <c r="F358" s="38"/>
      <c r="G358" s="37"/>
      <c r="H358" s="60"/>
      <c r="I358" s="38"/>
      <c r="J358" s="38"/>
      <c r="K358" s="39"/>
      <c r="L358" s="62"/>
    </row>
    <row r="359" spans="1:12" ht="19.9" customHeight="1">
      <c r="A359" s="37"/>
      <c r="B359" s="37"/>
      <c r="C359" s="38"/>
      <c r="D359" s="37"/>
      <c r="E359" s="37"/>
      <c r="F359" s="38"/>
      <c r="G359" s="37"/>
      <c r="H359" s="60"/>
      <c r="I359" s="38"/>
      <c r="J359" s="38"/>
      <c r="K359" s="39"/>
      <c r="L359" s="62"/>
    </row>
    <row r="360" spans="1:12" ht="19.9" customHeight="1">
      <c r="A360" s="37"/>
      <c r="B360" s="37"/>
      <c r="C360" s="38"/>
      <c r="D360" s="37"/>
      <c r="E360" s="37"/>
      <c r="F360" s="38"/>
      <c r="G360" s="37"/>
      <c r="H360" s="60"/>
      <c r="I360" s="38"/>
      <c r="J360" s="38"/>
      <c r="K360" s="39"/>
      <c r="L360" s="62"/>
    </row>
    <row r="361" spans="1:12" ht="19.9" customHeight="1">
      <c r="A361" s="37"/>
      <c r="B361" s="37"/>
      <c r="C361" s="38"/>
      <c r="D361" s="37"/>
      <c r="E361" s="37"/>
      <c r="F361" s="38"/>
      <c r="G361" s="37"/>
      <c r="H361" s="60"/>
      <c r="I361" s="38"/>
      <c r="J361" s="38"/>
      <c r="K361" s="39"/>
      <c r="L361" s="62"/>
    </row>
    <row r="362" spans="1:12" ht="19.9" customHeight="1">
      <c r="A362" s="37"/>
      <c r="B362" s="37"/>
      <c r="C362" s="38"/>
      <c r="D362" s="37"/>
      <c r="E362" s="37"/>
      <c r="F362" s="38"/>
      <c r="G362" s="37"/>
      <c r="H362" s="60"/>
      <c r="I362" s="38"/>
      <c r="J362" s="38"/>
      <c r="K362" s="39"/>
      <c r="L362" s="62"/>
    </row>
    <row r="363" spans="1:12" ht="19.9" customHeight="1">
      <c r="A363" s="37"/>
      <c r="B363" s="37"/>
      <c r="C363" s="38"/>
      <c r="D363" s="37"/>
      <c r="E363" s="37"/>
      <c r="F363" s="38"/>
      <c r="G363" s="37"/>
      <c r="H363" s="60"/>
      <c r="I363" s="38"/>
      <c r="J363" s="38"/>
      <c r="K363" s="39"/>
      <c r="L363" s="62"/>
    </row>
    <row r="364" spans="1:12" ht="19.9" customHeight="1">
      <c r="A364" s="37"/>
      <c r="B364" s="37"/>
      <c r="C364" s="38"/>
      <c r="D364" s="37"/>
      <c r="E364" s="37"/>
      <c r="F364" s="38"/>
      <c r="G364" s="37"/>
      <c r="H364" s="60"/>
      <c r="I364" s="38"/>
      <c r="J364" s="38"/>
      <c r="K364" s="39"/>
      <c r="L364" s="62"/>
    </row>
    <row r="365" spans="1:12" ht="19.9" customHeight="1">
      <c r="A365" s="37"/>
      <c r="B365" s="37"/>
      <c r="C365" s="38"/>
      <c r="D365" s="37"/>
      <c r="E365" s="37"/>
      <c r="F365" s="38"/>
      <c r="G365" s="37"/>
      <c r="H365" s="60"/>
      <c r="I365" s="38"/>
      <c r="J365" s="38"/>
      <c r="K365" s="39"/>
      <c r="L365" s="62"/>
    </row>
    <row r="366" spans="1:12" ht="19.9" customHeight="1">
      <c r="A366" s="37"/>
      <c r="B366" s="37"/>
      <c r="C366" s="38"/>
      <c r="D366" s="37"/>
      <c r="E366" s="37"/>
      <c r="F366" s="38"/>
      <c r="G366" s="37"/>
      <c r="H366" s="60"/>
      <c r="I366" s="38"/>
      <c r="J366" s="38"/>
      <c r="K366" s="39"/>
      <c r="L366" s="62"/>
    </row>
    <row r="367" spans="1:12" ht="19.9" customHeight="1">
      <c r="A367" s="37"/>
      <c r="B367" s="37"/>
      <c r="C367" s="38"/>
      <c r="D367" s="37"/>
      <c r="E367" s="37"/>
      <c r="F367" s="38"/>
      <c r="G367" s="37"/>
      <c r="H367" s="60"/>
      <c r="I367" s="38"/>
      <c r="J367" s="38"/>
      <c r="K367" s="39"/>
      <c r="L367" s="62"/>
    </row>
    <row r="368" spans="1:12" ht="19.9" customHeight="1">
      <c r="A368" s="37"/>
      <c r="B368" s="37"/>
      <c r="C368" s="38"/>
      <c r="D368" s="37"/>
      <c r="E368" s="37"/>
      <c r="F368" s="38"/>
      <c r="G368" s="37"/>
      <c r="H368" s="60"/>
      <c r="I368" s="38"/>
      <c r="J368" s="38"/>
      <c r="K368" s="39"/>
      <c r="L368" s="62"/>
    </row>
    <row r="369" spans="1:12" ht="19.9" customHeight="1">
      <c r="A369" s="37"/>
      <c r="B369" s="37"/>
      <c r="C369" s="38"/>
      <c r="D369" s="37"/>
      <c r="E369" s="37"/>
      <c r="F369" s="38"/>
      <c r="G369" s="37"/>
      <c r="H369" s="60"/>
      <c r="I369" s="38"/>
      <c r="J369" s="38"/>
      <c r="K369" s="39"/>
      <c r="L369" s="62"/>
    </row>
    <row r="370" spans="1:12" ht="19.9" customHeight="1">
      <c r="A370" s="37"/>
      <c r="B370" s="37"/>
      <c r="C370" s="38"/>
      <c r="D370" s="37"/>
      <c r="E370" s="37"/>
      <c r="F370" s="38"/>
      <c r="G370" s="37"/>
      <c r="H370" s="60"/>
      <c r="I370" s="38"/>
      <c r="J370" s="38"/>
      <c r="K370" s="39"/>
      <c r="L370" s="62"/>
    </row>
    <row r="371" spans="1:12" ht="19.9" customHeight="1">
      <c r="A371" s="37"/>
      <c r="B371" s="37"/>
      <c r="C371" s="38"/>
      <c r="D371" s="37"/>
      <c r="E371" s="37"/>
      <c r="F371" s="38"/>
      <c r="G371" s="37"/>
      <c r="H371" s="60"/>
      <c r="I371" s="38"/>
      <c r="J371" s="38"/>
      <c r="K371" s="39"/>
      <c r="L371" s="62"/>
    </row>
    <row r="372" spans="1:12" ht="19.9" customHeight="1">
      <c r="A372" s="37"/>
      <c r="B372" s="37"/>
      <c r="C372" s="38"/>
      <c r="D372" s="37"/>
      <c r="E372" s="37"/>
      <c r="F372" s="38"/>
      <c r="G372" s="37"/>
      <c r="H372" s="60"/>
      <c r="I372" s="38"/>
      <c r="J372" s="38"/>
      <c r="K372" s="39"/>
      <c r="L372" s="62"/>
    </row>
    <row r="373" spans="1:12" ht="19.9" customHeight="1">
      <c r="A373" s="37"/>
      <c r="B373" s="37"/>
      <c r="C373" s="38"/>
      <c r="D373" s="37"/>
      <c r="E373" s="37"/>
      <c r="F373" s="38"/>
      <c r="G373" s="37"/>
      <c r="H373" s="60"/>
      <c r="I373" s="38"/>
      <c r="J373" s="38"/>
      <c r="K373" s="39"/>
      <c r="L373" s="62"/>
    </row>
    <row r="374" spans="1:12" ht="19.9" customHeight="1">
      <c r="A374" s="37"/>
      <c r="B374" s="37"/>
      <c r="C374" s="38"/>
      <c r="D374" s="37"/>
      <c r="E374" s="37"/>
      <c r="F374" s="38"/>
      <c r="G374" s="37"/>
      <c r="H374" s="60"/>
      <c r="I374" s="38"/>
      <c r="J374" s="38"/>
      <c r="K374" s="39"/>
      <c r="L374" s="62"/>
    </row>
    <row r="375" spans="1:12" ht="19.9" customHeight="1">
      <c r="A375" s="37"/>
      <c r="B375" s="37"/>
      <c r="C375" s="38"/>
      <c r="D375" s="37"/>
      <c r="E375" s="37"/>
      <c r="F375" s="38"/>
      <c r="G375" s="37"/>
      <c r="H375" s="60"/>
      <c r="I375" s="38"/>
      <c r="J375" s="38"/>
      <c r="K375" s="39"/>
      <c r="L375" s="62"/>
    </row>
    <row r="376" spans="1:12" ht="19.9" customHeight="1">
      <c r="A376" s="37"/>
      <c r="B376" s="37"/>
      <c r="C376" s="38"/>
      <c r="D376" s="37"/>
      <c r="E376" s="37"/>
      <c r="F376" s="38"/>
      <c r="G376" s="37"/>
      <c r="H376" s="60"/>
      <c r="I376" s="38"/>
      <c r="J376" s="38"/>
      <c r="K376" s="39"/>
      <c r="L376" s="62"/>
    </row>
    <row r="377" spans="1:12" ht="19.9" customHeight="1">
      <c r="A377" s="37"/>
      <c r="B377" s="37"/>
      <c r="C377" s="38"/>
      <c r="D377" s="37"/>
      <c r="E377" s="37"/>
      <c r="F377" s="38"/>
      <c r="G377" s="37"/>
      <c r="H377" s="60"/>
      <c r="I377" s="38"/>
      <c r="J377" s="38"/>
      <c r="K377" s="39"/>
      <c r="L377" s="62"/>
    </row>
    <row r="378" spans="1:12" ht="19.9" customHeight="1">
      <c r="A378" s="37"/>
      <c r="B378" s="37"/>
      <c r="C378" s="38"/>
      <c r="D378" s="37"/>
      <c r="E378" s="37"/>
      <c r="F378" s="38"/>
      <c r="G378" s="37"/>
      <c r="H378" s="60"/>
      <c r="I378" s="38"/>
      <c r="J378" s="38"/>
      <c r="K378" s="39"/>
      <c r="L378" s="62"/>
    </row>
    <row r="379" spans="1:12" ht="19.9" customHeight="1">
      <c r="A379" s="37"/>
      <c r="B379" s="37"/>
      <c r="C379" s="38"/>
      <c r="D379" s="37"/>
      <c r="E379" s="37"/>
      <c r="F379" s="38"/>
      <c r="G379" s="37"/>
      <c r="H379" s="60"/>
      <c r="I379" s="38"/>
      <c r="J379" s="38"/>
      <c r="K379" s="39"/>
      <c r="L379" s="62"/>
    </row>
    <row r="380" spans="1:12" ht="19.9" customHeight="1">
      <c r="A380" s="37"/>
      <c r="B380" s="37"/>
      <c r="C380" s="38"/>
      <c r="D380" s="37"/>
      <c r="E380" s="37"/>
      <c r="F380" s="38"/>
      <c r="G380" s="37"/>
      <c r="H380" s="60"/>
      <c r="I380" s="38"/>
      <c r="J380" s="38"/>
      <c r="K380" s="39"/>
      <c r="L380" s="62"/>
    </row>
    <row r="381" spans="1:12" ht="19.9" customHeight="1">
      <c r="A381" s="37"/>
      <c r="B381" s="37"/>
      <c r="C381" s="38"/>
      <c r="D381" s="37"/>
      <c r="E381" s="37"/>
      <c r="F381" s="38"/>
      <c r="G381" s="37"/>
      <c r="H381" s="60"/>
      <c r="I381" s="38"/>
      <c r="J381" s="38"/>
      <c r="K381" s="39"/>
      <c r="L381" s="62"/>
    </row>
    <row r="382" spans="1:12" ht="19.9" customHeight="1">
      <c r="A382" s="37"/>
      <c r="B382" s="37"/>
      <c r="C382" s="38"/>
      <c r="D382" s="37"/>
      <c r="E382" s="37"/>
      <c r="F382" s="38"/>
      <c r="G382" s="37"/>
      <c r="H382" s="60"/>
      <c r="I382" s="38"/>
      <c r="J382" s="38"/>
      <c r="K382" s="39"/>
      <c r="L382" s="62"/>
    </row>
    <row r="383" spans="1:12" ht="19.9" customHeight="1">
      <c r="A383" s="37"/>
      <c r="B383" s="37"/>
      <c r="C383" s="38"/>
      <c r="D383" s="37"/>
      <c r="E383" s="37"/>
      <c r="F383" s="38"/>
      <c r="G383" s="37"/>
      <c r="H383" s="60"/>
      <c r="I383" s="38"/>
      <c r="J383" s="38"/>
      <c r="K383" s="39"/>
      <c r="L383" s="62"/>
    </row>
    <row r="384" spans="1:12" ht="19.9" customHeight="1">
      <c r="A384" s="37"/>
      <c r="B384" s="37"/>
      <c r="C384" s="38"/>
      <c r="D384" s="37"/>
      <c r="E384" s="37"/>
      <c r="F384" s="38"/>
      <c r="G384" s="37"/>
      <c r="H384" s="60"/>
      <c r="I384" s="38"/>
      <c r="J384" s="38"/>
      <c r="K384" s="39"/>
      <c r="L384" s="62"/>
    </row>
    <row r="385" spans="1:12" ht="19.9" customHeight="1">
      <c r="A385" s="37"/>
      <c r="B385" s="37"/>
      <c r="C385" s="38"/>
      <c r="D385" s="37"/>
      <c r="E385" s="37"/>
      <c r="F385" s="38"/>
      <c r="G385" s="37"/>
      <c r="H385" s="60"/>
      <c r="I385" s="38"/>
      <c r="J385" s="38"/>
      <c r="K385" s="39"/>
      <c r="L385" s="62"/>
    </row>
    <row r="386" spans="1:12" ht="19.9" customHeight="1">
      <c r="A386" s="37"/>
      <c r="B386" s="37"/>
      <c r="C386" s="38"/>
      <c r="D386" s="37"/>
      <c r="E386" s="37"/>
      <c r="F386" s="38"/>
      <c r="G386" s="37"/>
      <c r="H386" s="60"/>
      <c r="I386" s="38"/>
      <c r="J386" s="38"/>
      <c r="K386" s="39"/>
      <c r="L386" s="62"/>
    </row>
    <row r="387" spans="1:12" ht="19.9" customHeight="1">
      <c r="A387" s="37"/>
      <c r="B387" s="37"/>
      <c r="C387" s="38"/>
      <c r="D387" s="37"/>
      <c r="E387" s="37"/>
      <c r="F387" s="38"/>
      <c r="G387" s="37"/>
      <c r="H387" s="60"/>
      <c r="I387" s="38"/>
      <c r="J387" s="38"/>
      <c r="K387" s="39"/>
      <c r="L387" s="62"/>
    </row>
    <row r="388" spans="1:12" ht="19.9" customHeight="1">
      <c r="A388" s="37"/>
      <c r="B388" s="37"/>
      <c r="C388" s="38"/>
      <c r="D388" s="37"/>
      <c r="E388" s="37"/>
      <c r="F388" s="38"/>
      <c r="G388" s="37"/>
      <c r="H388" s="60"/>
      <c r="I388" s="38"/>
      <c r="J388" s="38"/>
      <c r="K388" s="39"/>
      <c r="L388" s="62"/>
    </row>
    <row r="389" spans="1:12" ht="19.9" customHeight="1">
      <c r="A389" s="37"/>
      <c r="B389" s="37"/>
      <c r="C389" s="38"/>
      <c r="D389" s="37"/>
      <c r="E389" s="37"/>
      <c r="F389" s="38"/>
      <c r="G389" s="37"/>
      <c r="H389" s="60"/>
      <c r="I389" s="38"/>
      <c r="J389" s="38"/>
      <c r="K389" s="39"/>
      <c r="L389" s="62"/>
    </row>
    <row r="390" spans="1:12" ht="19.9" customHeight="1">
      <c r="A390" s="37"/>
      <c r="B390" s="37"/>
      <c r="C390" s="38"/>
      <c r="D390" s="37"/>
      <c r="E390" s="37"/>
      <c r="F390" s="38"/>
      <c r="G390" s="37"/>
      <c r="H390" s="60"/>
      <c r="I390" s="38"/>
      <c r="J390" s="38"/>
      <c r="K390" s="39"/>
      <c r="L390" s="62"/>
    </row>
    <row r="391" spans="1:12" ht="19.9" customHeight="1">
      <c r="A391" s="37"/>
      <c r="B391" s="37"/>
      <c r="C391" s="38"/>
      <c r="D391" s="37"/>
      <c r="E391" s="37"/>
      <c r="F391" s="38"/>
      <c r="G391" s="37"/>
      <c r="H391" s="60"/>
      <c r="I391" s="38"/>
      <c r="J391" s="38"/>
      <c r="K391" s="39"/>
      <c r="L391" s="62"/>
    </row>
    <row r="392" spans="1:12" ht="19.9" customHeight="1">
      <c r="A392" s="37"/>
      <c r="B392" s="37"/>
      <c r="C392" s="38"/>
      <c r="D392" s="37"/>
      <c r="E392" s="37"/>
      <c r="F392" s="38"/>
      <c r="G392" s="37"/>
      <c r="H392" s="60"/>
      <c r="I392" s="38"/>
      <c r="J392" s="38"/>
      <c r="K392" s="39"/>
      <c r="L392" s="62"/>
    </row>
    <row r="393" spans="1:12" ht="19.9" customHeight="1">
      <c r="A393" s="37"/>
      <c r="B393" s="37"/>
      <c r="C393" s="38"/>
      <c r="D393" s="37"/>
      <c r="E393" s="37"/>
      <c r="F393" s="38"/>
      <c r="G393" s="37"/>
      <c r="H393" s="60"/>
      <c r="I393" s="38"/>
      <c r="J393" s="38"/>
      <c r="K393" s="39"/>
      <c r="L393" s="62"/>
    </row>
    <row r="394" spans="1:12" ht="19.9" customHeight="1">
      <c r="A394" s="37"/>
      <c r="B394" s="37"/>
      <c r="C394" s="38"/>
      <c r="D394" s="37"/>
      <c r="E394" s="37"/>
      <c r="F394" s="38"/>
      <c r="G394" s="37"/>
      <c r="H394" s="60"/>
      <c r="I394" s="38"/>
      <c r="J394" s="38"/>
      <c r="K394" s="39"/>
      <c r="L394" s="62"/>
    </row>
    <row r="395" spans="1:12" ht="19.9" customHeight="1">
      <c r="A395" s="37"/>
      <c r="B395" s="37"/>
      <c r="C395" s="38"/>
      <c r="D395" s="37"/>
      <c r="E395" s="37"/>
      <c r="F395" s="38"/>
      <c r="G395" s="37"/>
      <c r="H395" s="60"/>
      <c r="I395" s="38"/>
      <c r="J395" s="38"/>
      <c r="K395" s="39"/>
      <c r="L395" s="62"/>
    </row>
    <row r="396" spans="1:12" ht="19.9" customHeight="1">
      <c r="A396" s="37"/>
      <c r="B396" s="37"/>
      <c r="C396" s="38"/>
      <c r="D396" s="37"/>
      <c r="E396" s="37"/>
      <c r="F396" s="38"/>
      <c r="G396" s="37"/>
      <c r="H396" s="60"/>
      <c r="I396" s="38"/>
      <c r="J396" s="38"/>
      <c r="K396" s="39"/>
      <c r="L396" s="62"/>
    </row>
    <row r="397" spans="1:12" ht="19.9" customHeight="1">
      <c r="A397" s="37"/>
      <c r="B397" s="37"/>
      <c r="C397" s="38"/>
      <c r="D397" s="37"/>
      <c r="E397" s="37"/>
      <c r="F397" s="38"/>
      <c r="G397" s="37"/>
      <c r="H397" s="60"/>
      <c r="I397" s="38"/>
      <c r="J397" s="38"/>
      <c r="K397" s="39"/>
      <c r="L397" s="62"/>
    </row>
    <row r="398" spans="1:12" ht="19.9" customHeight="1">
      <c r="A398" s="37"/>
      <c r="B398" s="37"/>
      <c r="C398" s="38"/>
      <c r="D398" s="37"/>
      <c r="E398" s="37"/>
      <c r="F398" s="38"/>
      <c r="G398" s="37"/>
      <c r="H398" s="60"/>
      <c r="I398" s="38"/>
      <c r="J398" s="38"/>
      <c r="K398" s="39"/>
      <c r="L398" s="62"/>
    </row>
    <row r="399" spans="1:12" ht="19.9" customHeight="1">
      <c r="A399" s="37"/>
      <c r="B399" s="37"/>
      <c r="C399" s="38"/>
      <c r="D399" s="37"/>
      <c r="E399" s="37"/>
      <c r="F399" s="38"/>
      <c r="G399" s="37"/>
      <c r="H399" s="60"/>
      <c r="I399" s="38"/>
      <c r="J399" s="38"/>
      <c r="K399" s="39"/>
      <c r="L399" s="62"/>
    </row>
    <row r="400" spans="1:12" ht="19.9" customHeight="1">
      <c r="A400" s="37"/>
      <c r="B400" s="37"/>
      <c r="C400" s="38"/>
      <c r="D400" s="37"/>
      <c r="E400" s="37"/>
      <c r="F400" s="38"/>
      <c r="G400" s="37"/>
      <c r="H400" s="60"/>
      <c r="I400" s="38"/>
      <c r="J400" s="38"/>
      <c r="K400" s="39"/>
      <c r="L400" s="62"/>
    </row>
    <row r="401" spans="1:12" ht="19.9" customHeight="1">
      <c r="A401" s="37"/>
      <c r="B401" s="37"/>
      <c r="C401" s="38"/>
      <c r="D401" s="37"/>
      <c r="E401" s="37"/>
      <c r="F401" s="38"/>
      <c r="G401" s="37"/>
      <c r="H401" s="60"/>
      <c r="I401" s="38"/>
      <c r="J401" s="38"/>
      <c r="K401" s="39"/>
      <c r="L401" s="62"/>
    </row>
    <row r="402" spans="1:12" ht="19.9" customHeight="1">
      <c r="A402" s="37"/>
      <c r="B402" s="37"/>
      <c r="C402" s="38"/>
      <c r="D402" s="37"/>
      <c r="E402" s="37"/>
      <c r="F402" s="38"/>
      <c r="G402" s="37"/>
      <c r="H402" s="60"/>
      <c r="I402" s="38"/>
      <c r="J402" s="38"/>
      <c r="K402" s="39"/>
      <c r="L402" s="62"/>
    </row>
    <row r="403" spans="1:12" ht="19.9" customHeight="1">
      <c r="A403" s="37"/>
      <c r="B403" s="37"/>
      <c r="C403" s="38"/>
      <c r="D403" s="37"/>
      <c r="E403" s="37"/>
      <c r="F403" s="38"/>
      <c r="G403" s="37"/>
      <c r="H403" s="60"/>
      <c r="I403" s="38"/>
      <c r="J403" s="38"/>
      <c r="K403" s="39"/>
      <c r="L403" s="62"/>
    </row>
    <row r="404" spans="1:12" ht="19.9" customHeight="1">
      <c r="A404" s="37"/>
      <c r="B404" s="37"/>
      <c r="C404" s="38"/>
      <c r="D404" s="37"/>
      <c r="E404" s="37"/>
      <c r="F404" s="38"/>
      <c r="G404" s="37"/>
      <c r="H404" s="60"/>
      <c r="I404" s="38"/>
      <c r="J404" s="38"/>
      <c r="K404" s="39"/>
      <c r="L404" s="62"/>
    </row>
    <row r="405" spans="1:12" ht="19.9" customHeight="1">
      <c r="A405" s="37"/>
      <c r="B405" s="37"/>
      <c r="C405" s="38"/>
      <c r="D405" s="37"/>
      <c r="E405" s="37"/>
      <c r="F405" s="38"/>
      <c r="G405" s="37"/>
      <c r="H405" s="60"/>
      <c r="I405" s="38"/>
      <c r="J405" s="38"/>
      <c r="K405" s="39"/>
      <c r="L405" s="62"/>
    </row>
    <row r="406" spans="1:12" ht="19.9" customHeight="1">
      <c r="A406" s="37"/>
      <c r="B406" s="37"/>
      <c r="C406" s="38"/>
      <c r="D406" s="37"/>
      <c r="E406" s="37"/>
      <c r="F406" s="38"/>
      <c r="G406" s="37"/>
      <c r="H406" s="60"/>
      <c r="I406" s="38"/>
      <c r="J406" s="38"/>
      <c r="K406" s="39"/>
      <c r="L406" s="62"/>
    </row>
    <row r="407" spans="1:12" ht="19.9" customHeight="1">
      <c r="A407" s="37"/>
      <c r="B407" s="37"/>
      <c r="C407" s="38"/>
      <c r="D407" s="37"/>
      <c r="E407" s="37"/>
      <c r="F407" s="38"/>
      <c r="G407" s="37"/>
      <c r="H407" s="60"/>
      <c r="I407" s="38"/>
      <c r="J407" s="38"/>
      <c r="K407" s="39"/>
      <c r="L407" s="62"/>
    </row>
    <row r="408" spans="1:12" ht="19.9" customHeight="1">
      <c r="A408" s="37"/>
      <c r="B408" s="37"/>
      <c r="C408" s="38"/>
      <c r="D408" s="37"/>
      <c r="E408" s="37"/>
      <c r="F408" s="38"/>
      <c r="G408" s="37"/>
      <c r="H408" s="60"/>
      <c r="I408" s="38"/>
      <c r="J408" s="38"/>
      <c r="K408" s="39"/>
      <c r="L408" s="62"/>
    </row>
    <row r="409" spans="1:12" ht="19.9" customHeight="1">
      <c r="A409" s="37"/>
      <c r="B409" s="37"/>
      <c r="C409" s="38"/>
      <c r="D409" s="37"/>
      <c r="E409" s="37"/>
      <c r="F409" s="38"/>
      <c r="G409" s="37"/>
      <c r="H409" s="60"/>
      <c r="I409" s="38"/>
      <c r="J409" s="38"/>
      <c r="K409" s="39"/>
      <c r="L409" s="62"/>
    </row>
    <row r="410" spans="1:12" ht="19.9" customHeight="1">
      <c r="A410" s="37"/>
      <c r="B410" s="37"/>
      <c r="C410" s="38"/>
      <c r="D410" s="37"/>
      <c r="E410" s="37"/>
      <c r="F410" s="38"/>
      <c r="G410" s="37"/>
      <c r="H410" s="60"/>
      <c r="I410" s="38"/>
      <c r="J410" s="38"/>
      <c r="K410" s="39"/>
      <c r="L410" s="62"/>
    </row>
    <row r="411" spans="1:12" ht="19.9" customHeight="1">
      <c r="A411" s="37"/>
      <c r="B411" s="37"/>
      <c r="C411" s="38"/>
      <c r="D411" s="37"/>
      <c r="E411" s="37"/>
      <c r="F411" s="38"/>
      <c r="G411" s="37"/>
      <c r="H411" s="60"/>
      <c r="I411" s="38"/>
      <c r="J411" s="38"/>
      <c r="K411" s="39"/>
      <c r="L411" s="62"/>
    </row>
    <row r="412" spans="1:12" ht="19.9" customHeight="1">
      <c r="A412" s="37"/>
      <c r="B412" s="37"/>
      <c r="C412" s="38"/>
      <c r="D412" s="37"/>
      <c r="E412" s="37"/>
      <c r="F412" s="38"/>
      <c r="G412" s="37"/>
      <c r="H412" s="60"/>
      <c r="I412" s="38"/>
      <c r="J412" s="38"/>
      <c r="K412" s="39"/>
      <c r="L412" s="62"/>
    </row>
    <row r="413" spans="1:12" ht="19.9" customHeight="1">
      <c r="A413" s="37"/>
      <c r="B413" s="37"/>
      <c r="C413" s="38"/>
      <c r="D413" s="37"/>
      <c r="E413" s="37"/>
      <c r="F413" s="38"/>
      <c r="G413" s="37"/>
      <c r="H413" s="60"/>
      <c r="I413" s="38"/>
      <c r="J413" s="38"/>
      <c r="K413" s="39"/>
      <c r="L413" s="62"/>
    </row>
    <row r="414" spans="1:12" ht="19.9" customHeight="1">
      <c r="A414" s="37"/>
      <c r="B414" s="37"/>
      <c r="C414" s="38"/>
      <c r="D414" s="37"/>
      <c r="E414" s="37"/>
      <c r="F414" s="38"/>
      <c r="G414" s="37"/>
      <c r="H414" s="60"/>
      <c r="I414" s="38"/>
      <c r="J414" s="38"/>
      <c r="K414" s="39"/>
      <c r="L414" s="62"/>
    </row>
    <row r="415" spans="1:12" ht="19.9" customHeight="1">
      <c r="A415" s="37"/>
      <c r="B415" s="37"/>
      <c r="C415" s="38"/>
      <c r="D415" s="37"/>
      <c r="E415" s="37"/>
      <c r="F415" s="38"/>
      <c r="G415" s="37"/>
      <c r="H415" s="60"/>
      <c r="I415" s="38"/>
      <c r="J415" s="38"/>
      <c r="K415" s="39"/>
      <c r="L415" s="62"/>
    </row>
    <row r="416" spans="1:12" ht="19.9" customHeight="1">
      <c r="A416" s="37"/>
      <c r="B416" s="37"/>
      <c r="C416" s="38"/>
      <c r="D416" s="37"/>
      <c r="E416" s="37"/>
      <c r="F416" s="38"/>
      <c r="G416" s="37"/>
      <c r="H416" s="60"/>
      <c r="I416" s="38"/>
      <c r="J416" s="38"/>
      <c r="K416" s="39"/>
      <c r="L416" s="62"/>
    </row>
    <row r="417" spans="1:12" ht="19.9" customHeight="1">
      <c r="A417" s="37"/>
      <c r="B417" s="37"/>
      <c r="C417" s="38"/>
      <c r="D417" s="37"/>
      <c r="E417" s="37"/>
      <c r="F417" s="38"/>
      <c r="G417" s="37"/>
      <c r="H417" s="60"/>
      <c r="I417" s="38"/>
      <c r="J417" s="38"/>
      <c r="K417" s="39"/>
      <c r="L417" s="62"/>
    </row>
    <row r="418" spans="1:12" ht="19.9" customHeight="1">
      <c r="A418" s="37"/>
      <c r="B418" s="37"/>
      <c r="C418" s="38"/>
      <c r="D418" s="37"/>
      <c r="E418" s="37"/>
      <c r="F418" s="38"/>
      <c r="G418" s="37"/>
      <c r="H418" s="60"/>
      <c r="I418" s="38"/>
      <c r="J418" s="38"/>
      <c r="K418" s="39"/>
      <c r="L418" s="62"/>
    </row>
    <row r="419" spans="1:12" ht="19.9" customHeight="1">
      <c r="A419" s="37"/>
      <c r="B419" s="37"/>
      <c r="C419" s="38"/>
      <c r="D419" s="37"/>
      <c r="E419" s="37"/>
      <c r="F419" s="38"/>
      <c r="G419" s="37"/>
      <c r="H419" s="60"/>
      <c r="I419" s="38"/>
      <c r="J419" s="38"/>
      <c r="K419" s="39"/>
      <c r="L419" s="62"/>
    </row>
    <row r="420" spans="1:12" ht="19.9" customHeight="1">
      <c r="A420" s="37"/>
      <c r="B420" s="37"/>
      <c r="C420" s="38"/>
      <c r="D420" s="37"/>
      <c r="E420" s="37"/>
      <c r="F420" s="38"/>
      <c r="G420" s="37"/>
      <c r="H420" s="60"/>
      <c r="I420" s="38"/>
      <c r="J420" s="38"/>
      <c r="K420" s="39"/>
      <c r="L420" s="62"/>
    </row>
    <row r="421" spans="1:12" ht="19.9" customHeight="1">
      <c r="A421" s="37"/>
      <c r="B421" s="37"/>
      <c r="C421" s="38"/>
      <c r="D421" s="37"/>
      <c r="E421" s="37"/>
      <c r="F421" s="38"/>
      <c r="G421" s="37"/>
      <c r="H421" s="60"/>
      <c r="I421" s="38"/>
      <c r="J421" s="38"/>
      <c r="K421" s="39"/>
      <c r="L421" s="62"/>
    </row>
    <row r="422" spans="1:12" ht="19.9" customHeight="1">
      <c r="A422" s="37"/>
      <c r="B422" s="37"/>
      <c r="C422" s="38"/>
      <c r="D422" s="37"/>
      <c r="E422" s="37"/>
      <c r="F422" s="38"/>
      <c r="G422" s="37"/>
      <c r="H422" s="60"/>
      <c r="I422" s="38"/>
      <c r="J422" s="38"/>
      <c r="K422" s="39"/>
      <c r="L422" s="62"/>
    </row>
    <row r="423" spans="1:12" ht="19.9" customHeight="1">
      <c r="A423" s="37"/>
      <c r="B423" s="37"/>
      <c r="C423" s="38"/>
      <c r="D423" s="37"/>
      <c r="E423" s="37"/>
      <c r="F423" s="38"/>
      <c r="G423" s="37"/>
      <c r="H423" s="60"/>
      <c r="I423" s="38"/>
      <c r="J423" s="38"/>
      <c r="K423" s="39"/>
      <c r="L423" s="62"/>
    </row>
    <row r="424" spans="1:12" ht="19.9" customHeight="1">
      <c r="A424" s="37"/>
      <c r="B424" s="37"/>
      <c r="C424" s="38"/>
      <c r="D424" s="37"/>
      <c r="E424" s="37"/>
      <c r="F424" s="38"/>
      <c r="G424" s="37"/>
      <c r="H424" s="60"/>
      <c r="I424" s="38"/>
      <c r="J424" s="38"/>
      <c r="K424" s="39"/>
      <c r="L424" s="62"/>
    </row>
    <row r="425" spans="1:12" ht="19.9" customHeight="1">
      <c r="A425" s="37"/>
      <c r="B425" s="37"/>
      <c r="C425" s="38"/>
      <c r="D425" s="37"/>
      <c r="E425" s="37"/>
      <c r="F425" s="38"/>
      <c r="G425" s="37"/>
      <c r="H425" s="60"/>
      <c r="I425" s="38"/>
      <c r="J425" s="38"/>
      <c r="K425" s="39"/>
      <c r="L425" s="62"/>
    </row>
    <row r="426" spans="1:12" ht="19.9" customHeight="1">
      <c r="A426" s="37"/>
      <c r="B426" s="37"/>
      <c r="C426" s="38"/>
      <c r="D426" s="37"/>
      <c r="E426" s="37"/>
      <c r="F426" s="38"/>
      <c r="G426" s="37"/>
      <c r="H426" s="60"/>
      <c r="I426" s="38"/>
      <c r="J426" s="38"/>
      <c r="K426" s="39"/>
      <c r="L426" s="62"/>
    </row>
    <row r="427" spans="1:12" ht="19.9" customHeight="1">
      <c r="A427" s="37"/>
      <c r="B427" s="37"/>
      <c r="C427" s="38"/>
      <c r="D427" s="37"/>
      <c r="E427" s="37"/>
      <c r="F427" s="38"/>
      <c r="G427" s="37"/>
      <c r="H427" s="60"/>
      <c r="I427" s="38"/>
      <c r="J427" s="38"/>
      <c r="K427" s="39"/>
      <c r="L427" s="62"/>
    </row>
    <row r="428" spans="1:12" ht="19.9" customHeight="1">
      <c r="A428" s="37"/>
      <c r="B428" s="37"/>
      <c r="C428" s="38"/>
      <c r="D428" s="37"/>
      <c r="E428" s="37"/>
      <c r="F428" s="38"/>
      <c r="G428" s="37"/>
      <c r="H428" s="60"/>
      <c r="I428" s="38"/>
      <c r="J428" s="38"/>
      <c r="K428" s="39"/>
      <c r="L428" s="62"/>
    </row>
    <row r="429" spans="1:12" ht="19.9" customHeight="1">
      <c r="A429" s="37"/>
      <c r="B429" s="37"/>
      <c r="C429" s="38"/>
      <c r="D429" s="37"/>
      <c r="E429" s="37"/>
      <c r="F429" s="38"/>
      <c r="G429" s="37"/>
      <c r="H429" s="60"/>
      <c r="I429" s="38"/>
      <c r="J429" s="38"/>
      <c r="K429" s="39"/>
      <c r="L429" s="62"/>
    </row>
    <row r="430" spans="1:12" ht="19.9" customHeight="1">
      <c r="A430" s="37"/>
      <c r="B430" s="37"/>
      <c r="C430" s="38"/>
      <c r="D430" s="37"/>
      <c r="E430" s="37"/>
      <c r="F430" s="38"/>
      <c r="G430" s="37"/>
      <c r="H430" s="60"/>
      <c r="I430" s="38"/>
      <c r="J430" s="38"/>
      <c r="K430" s="39"/>
      <c r="L430" s="62"/>
    </row>
    <row r="431" spans="1:12" ht="19.9" customHeight="1">
      <c r="A431" s="37"/>
      <c r="B431" s="37"/>
      <c r="C431" s="38"/>
      <c r="D431" s="37"/>
      <c r="E431" s="37"/>
      <c r="F431" s="38"/>
      <c r="G431" s="37"/>
      <c r="H431" s="60"/>
      <c r="I431" s="38"/>
      <c r="J431" s="38"/>
      <c r="K431" s="39"/>
      <c r="L431" s="62"/>
    </row>
    <row r="432" spans="1:12" ht="19.9" customHeight="1">
      <c r="A432" s="37"/>
      <c r="B432" s="37"/>
      <c r="C432" s="38"/>
      <c r="D432" s="37"/>
      <c r="E432" s="37"/>
      <c r="F432" s="38"/>
      <c r="G432" s="37"/>
      <c r="H432" s="60"/>
      <c r="I432" s="38"/>
      <c r="J432" s="38"/>
      <c r="K432" s="39"/>
      <c r="L432" s="62"/>
    </row>
    <row r="433" spans="1:12" ht="19.9" customHeight="1">
      <c r="A433" s="37"/>
      <c r="B433" s="37"/>
      <c r="C433" s="38"/>
      <c r="D433" s="37"/>
      <c r="E433" s="37"/>
      <c r="F433" s="38"/>
      <c r="G433" s="37"/>
      <c r="H433" s="60"/>
      <c r="I433" s="38"/>
      <c r="J433" s="38"/>
      <c r="K433" s="39"/>
      <c r="L433" s="62"/>
    </row>
    <row r="434" spans="1:12" ht="19.9" customHeight="1">
      <c r="A434" s="37"/>
      <c r="B434" s="37"/>
      <c r="C434" s="38"/>
      <c r="D434" s="37"/>
      <c r="E434" s="37"/>
      <c r="F434" s="38"/>
      <c r="G434" s="37"/>
      <c r="H434" s="60"/>
      <c r="I434" s="38"/>
      <c r="J434" s="38"/>
      <c r="K434" s="39"/>
      <c r="L434" s="62"/>
    </row>
    <row r="435" spans="1:12" ht="19.9" customHeight="1">
      <c r="A435" s="37"/>
      <c r="B435" s="37"/>
      <c r="C435" s="38"/>
      <c r="D435" s="37"/>
      <c r="E435" s="37"/>
      <c r="F435" s="38"/>
      <c r="G435" s="37"/>
      <c r="H435" s="60"/>
      <c r="I435" s="38"/>
      <c r="J435" s="38"/>
      <c r="K435" s="39"/>
      <c r="L435" s="62"/>
    </row>
    <row r="436" spans="1:12" ht="19.9" customHeight="1">
      <c r="A436" s="37"/>
      <c r="B436" s="37"/>
      <c r="C436" s="38"/>
      <c r="D436" s="37"/>
      <c r="E436" s="37"/>
      <c r="F436" s="38"/>
      <c r="G436" s="37"/>
      <c r="H436" s="60"/>
      <c r="I436" s="38"/>
      <c r="J436" s="38"/>
      <c r="K436" s="39"/>
      <c r="L436" s="62"/>
    </row>
    <row r="437" spans="1:12" ht="19.9" customHeight="1">
      <c r="A437" s="37"/>
      <c r="B437" s="37"/>
      <c r="C437" s="38"/>
      <c r="D437" s="37"/>
      <c r="E437" s="37"/>
      <c r="F437" s="38"/>
      <c r="G437" s="37"/>
      <c r="H437" s="60"/>
      <c r="I437" s="38"/>
      <c r="J437" s="38"/>
      <c r="K437" s="39"/>
      <c r="L437" s="62"/>
    </row>
    <row r="438" spans="1:12" ht="19.9" customHeight="1">
      <c r="A438" s="37"/>
      <c r="B438" s="37"/>
      <c r="C438" s="38"/>
      <c r="D438" s="37"/>
      <c r="E438" s="37"/>
      <c r="F438" s="38"/>
      <c r="G438" s="37"/>
      <c r="H438" s="60"/>
      <c r="I438" s="38"/>
      <c r="J438" s="38"/>
      <c r="K438" s="39"/>
      <c r="L438" s="62"/>
    </row>
    <row r="439" spans="1:12" ht="19.9" customHeight="1">
      <c r="A439" s="37"/>
      <c r="B439" s="37"/>
      <c r="C439" s="38"/>
      <c r="D439" s="37"/>
      <c r="E439" s="37"/>
      <c r="F439" s="38"/>
      <c r="G439" s="37"/>
      <c r="H439" s="60"/>
      <c r="I439" s="38"/>
      <c r="J439" s="38"/>
      <c r="K439" s="39"/>
      <c r="L439" s="62"/>
    </row>
    <row r="440" spans="1:12" ht="19.9" customHeight="1">
      <c r="A440" s="37"/>
      <c r="B440" s="37"/>
      <c r="C440" s="38"/>
      <c r="D440" s="37"/>
      <c r="E440" s="37"/>
      <c r="F440" s="38"/>
      <c r="G440" s="37"/>
      <c r="H440" s="60"/>
      <c r="I440" s="38"/>
      <c r="J440" s="38"/>
      <c r="K440" s="39"/>
      <c r="L440" s="62"/>
    </row>
    <row r="441" spans="1:12" ht="19.9" customHeight="1">
      <c r="A441" s="37"/>
      <c r="B441" s="37"/>
      <c r="C441" s="38"/>
      <c r="D441" s="37"/>
      <c r="E441" s="37"/>
      <c r="F441" s="38"/>
      <c r="G441" s="37"/>
      <c r="H441" s="60"/>
      <c r="I441" s="38"/>
      <c r="J441" s="38"/>
      <c r="K441" s="39"/>
      <c r="L441" s="62"/>
    </row>
    <row r="442" spans="1:12" ht="19.9" customHeight="1">
      <c r="A442" s="37"/>
      <c r="B442" s="37"/>
      <c r="C442" s="38"/>
      <c r="D442" s="37"/>
      <c r="E442" s="37"/>
      <c r="F442" s="38"/>
      <c r="G442" s="37"/>
      <c r="H442" s="60"/>
      <c r="I442" s="38"/>
      <c r="J442" s="38"/>
      <c r="K442" s="39"/>
      <c r="L442" s="62"/>
    </row>
    <row r="443" spans="1:12" ht="19.9" customHeight="1">
      <c r="A443" s="37"/>
      <c r="B443" s="37"/>
      <c r="C443" s="38"/>
      <c r="D443" s="37"/>
      <c r="E443" s="37"/>
      <c r="F443" s="38"/>
      <c r="G443" s="37"/>
      <c r="H443" s="60"/>
      <c r="I443" s="38"/>
      <c r="J443" s="38"/>
      <c r="K443" s="39"/>
      <c r="L443" s="62"/>
    </row>
    <row r="444" spans="1:12" ht="19.9" customHeight="1">
      <c r="A444" s="37"/>
      <c r="B444" s="37"/>
      <c r="C444" s="38"/>
      <c r="D444" s="37"/>
      <c r="E444" s="37"/>
      <c r="F444" s="38"/>
      <c r="G444" s="37"/>
      <c r="H444" s="60"/>
      <c r="I444" s="38"/>
      <c r="J444" s="38"/>
      <c r="K444" s="39"/>
      <c r="L444" s="62"/>
    </row>
    <row r="445" spans="1:12" ht="19.9" customHeight="1">
      <c r="A445" s="37"/>
      <c r="B445" s="37"/>
      <c r="C445" s="38"/>
      <c r="D445" s="37"/>
      <c r="E445" s="37"/>
      <c r="F445" s="38"/>
      <c r="G445" s="37"/>
      <c r="H445" s="60"/>
      <c r="I445" s="38"/>
      <c r="J445" s="38"/>
      <c r="K445" s="39"/>
      <c r="L445" s="62"/>
    </row>
    <row r="446" spans="1:12" ht="19.9" customHeight="1">
      <c r="A446" s="37"/>
      <c r="B446" s="37"/>
      <c r="C446" s="38"/>
      <c r="D446" s="37"/>
      <c r="E446" s="37"/>
      <c r="F446" s="38"/>
      <c r="G446" s="37"/>
      <c r="H446" s="60"/>
      <c r="I446" s="38"/>
      <c r="J446" s="38"/>
      <c r="K446" s="39"/>
      <c r="L446" s="62"/>
    </row>
    <row r="447" spans="1:12" ht="19.9" customHeight="1">
      <c r="A447" s="37"/>
      <c r="B447" s="37"/>
      <c r="C447" s="38"/>
      <c r="D447" s="37"/>
      <c r="E447" s="37"/>
      <c r="F447" s="38"/>
      <c r="G447" s="37"/>
      <c r="H447" s="60"/>
      <c r="I447" s="38"/>
      <c r="J447" s="38"/>
      <c r="K447" s="39"/>
      <c r="L447" s="62"/>
    </row>
    <row r="448" spans="1:12" ht="19.9" customHeight="1">
      <c r="A448" s="37"/>
      <c r="B448" s="37"/>
      <c r="C448" s="38"/>
      <c r="D448" s="37"/>
      <c r="E448" s="37"/>
      <c r="F448" s="38"/>
      <c r="G448" s="37"/>
      <c r="H448" s="60"/>
      <c r="I448" s="38"/>
      <c r="J448" s="38"/>
      <c r="K448" s="39"/>
      <c r="L448" s="62"/>
    </row>
    <row r="449" spans="1:12" ht="19.9" customHeight="1">
      <c r="A449" s="37"/>
      <c r="B449" s="37"/>
      <c r="C449" s="38"/>
      <c r="D449" s="37"/>
      <c r="E449" s="37"/>
      <c r="F449" s="38"/>
      <c r="G449" s="37"/>
      <c r="H449" s="60"/>
      <c r="I449" s="38"/>
      <c r="J449" s="38"/>
      <c r="K449" s="39"/>
      <c r="L449" s="62"/>
    </row>
    <row r="450" spans="1:12" ht="19.9" customHeight="1">
      <c r="A450" s="37"/>
      <c r="B450" s="37"/>
      <c r="C450" s="38"/>
      <c r="D450" s="37"/>
      <c r="E450" s="37"/>
      <c r="F450" s="38"/>
      <c r="G450" s="37"/>
      <c r="H450" s="60"/>
      <c r="I450" s="38"/>
      <c r="J450" s="38"/>
      <c r="K450" s="39"/>
      <c r="L450" s="62"/>
    </row>
    <row r="451" spans="1:12" ht="19.9" customHeight="1">
      <c r="A451" s="37"/>
      <c r="B451" s="37"/>
      <c r="C451" s="38"/>
      <c r="D451" s="37"/>
      <c r="E451" s="37"/>
      <c r="F451" s="38"/>
      <c r="G451" s="37"/>
      <c r="H451" s="60"/>
      <c r="I451" s="38"/>
      <c r="J451" s="38"/>
      <c r="K451" s="39"/>
      <c r="L451" s="62"/>
    </row>
    <row r="452" spans="1:12" ht="19.9" customHeight="1">
      <c r="A452" s="37"/>
      <c r="B452" s="37"/>
      <c r="C452" s="38"/>
      <c r="D452" s="37"/>
      <c r="E452" s="37"/>
      <c r="F452" s="38"/>
      <c r="G452" s="37"/>
      <c r="H452" s="60"/>
      <c r="I452" s="38"/>
      <c r="J452" s="38"/>
      <c r="K452" s="39"/>
      <c r="L452" s="62"/>
    </row>
    <row r="453" spans="1:12" ht="19.9" customHeight="1">
      <c r="A453" s="37"/>
      <c r="B453" s="37"/>
      <c r="C453" s="38"/>
      <c r="D453" s="37"/>
      <c r="E453" s="37"/>
      <c r="F453" s="38"/>
      <c r="G453" s="37"/>
      <c r="H453" s="60"/>
      <c r="I453" s="38"/>
      <c r="J453" s="38"/>
      <c r="K453" s="39"/>
      <c r="L453" s="62"/>
    </row>
    <row r="454" spans="1:12" ht="19.9" customHeight="1">
      <c r="A454" s="37"/>
      <c r="B454" s="37"/>
      <c r="C454" s="38"/>
      <c r="D454" s="37"/>
      <c r="E454" s="37"/>
      <c r="F454" s="38"/>
      <c r="G454" s="37"/>
      <c r="H454" s="60"/>
      <c r="I454" s="38"/>
      <c r="J454" s="38"/>
      <c r="K454" s="39"/>
      <c r="L454" s="62"/>
    </row>
    <row r="455" spans="1:12" ht="19.9" customHeight="1">
      <c r="A455" s="37"/>
      <c r="B455" s="37"/>
      <c r="C455" s="38"/>
      <c r="D455" s="37"/>
      <c r="E455" s="37"/>
      <c r="F455" s="38"/>
      <c r="G455" s="37"/>
      <c r="H455" s="60"/>
      <c r="I455" s="38"/>
      <c r="J455" s="38"/>
      <c r="K455" s="39"/>
      <c r="L455" s="62"/>
    </row>
    <row r="456" spans="1:12" ht="19.9" customHeight="1">
      <c r="A456" s="37"/>
      <c r="B456" s="37"/>
      <c r="C456" s="38"/>
      <c r="D456" s="37"/>
      <c r="E456" s="37"/>
      <c r="F456" s="38"/>
      <c r="G456" s="37"/>
      <c r="H456" s="60"/>
      <c r="I456" s="38"/>
      <c r="J456" s="38"/>
      <c r="K456" s="39"/>
      <c r="L456" s="62"/>
    </row>
    <row r="457" spans="1:12" ht="19.9" customHeight="1">
      <c r="A457" s="37"/>
      <c r="B457" s="37"/>
      <c r="C457" s="38"/>
      <c r="D457" s="37"/>
      <c r="E457" s="37"/>
      <c r="F457" s="38"/>
      <c r="G457" s="37"/>
      <c r="H457" s="60"/>
      <c r="I457" s="38"/>
      <c r="J457" s="38"/>
      <c r="K457" s="39"/>
      <c r="L457" s="62"/>
    </row>
    <row r="458" spans="1:12" ht="19.9" customHeight="1">
      <c r="A458" s="37"/>
      <c r="B458" s="37"/>
      <c r="C458" s="38"/>
      <c r="D458" s="37"/>
      <c r="E458" s="37"/>
      <c r="F458" s="38"/>
      <c r="G458" s="37"/>
      <c r="H458" s="60"/>
      <c r="I458" s="38"/>
      <c r="J458" s="38"/>
      <c r="K458" s="39"/>
      <c r="L458" s="62"/>
    </row>
    <row r="459" spans="1:12" ht="19.9" customHeight="1">
      <c r="A459" s="37"/>
      <c r="B459" s="37"/>
      <c r="C459" s="38"/>
      <c r="D459" s="37"/>
      <c r="E459" s="37"/>
      <c r="F459" s="38"/>
      <c r="G459" s="37"/>
      <c r="H459" s="60"/>
      <c r="I459" s="38"/>
      <c r="J459" s="38"/>
      <c r="K459" s="39"/>
      <c r="L459" s="62"/>
    </row>
    <row r="460" spans="1:12" ht="19.9" customHeight="1">
      <c r="A460" s="37"/>
      <c r="B460" s="37"/>
      <c r="C460" s="38"/>
      <c r="D460" s="37"/>
      <c r="E460" s="37"/>
      <c r="F460" s="38"/>
      <c r="G460" s="37"/>
      <c r="H460" s="60"/>
      <c r="I460" s="38"/>
      <c r="J460" s="38"/>
      <c r="K460" s="39"/>
      <c r="L460" s="62"/>
    </row>
    <row r="461" spans="1:12" ht="19.9" customHeight="1">
      <c r="A461" s="37"/>
      <c r="B461" s="37"/>
      <c r="C461" s="38"/>
      <c r="D461" s="37"/>
      <c r="E461" s="37"/>
      <c r="F461" s="38"/>
      <c r="G461" s="37"/>
      <c r="H461" s="60"/>
      <c r="I461" s="38"/>
      <c r="J461" s="38"/>
      <c r="K461" s="39"/>
      <c r="L461" s="62"/>
    </row>
    <row r="462" spans="1:12" ht="19.9" customHeight="1">
      <c r="A462" s="37"/>
      <c r="B462" s="37"/>
      <c r="C462" s="38"/>
      <c r="D462" s="37"/>
      <c r="E462" s="37"/>
      <c r="F462" s="38"/>
      <c r="G462" s="37"/>
      <c r="H462" s="60"/>
      <c r="I462" s="38"/>
      <c r="J462" s="38"/>
      <c r="K462" s="39"/>
      <c r="L462" s="62"/>
    </row>
    <row r="463" spans="1:12" ht="19.9" customHeight="1">
      <c r="A463" s="37"/>
      <c r="B463" s="37"/>
      <c r="C463" s="38"/>
      <c r="D463" s="37"/>
      <c r="E463" s="37"/>
      <c r="F463" s="38"/>
      <c r="G463" s="37"/>
      <c r="H463" s="60"/>
      <c r="I463" s="38"/>
      <c r="J463" s="38"/>
      <c r="K463" s="39"/>
      <c r="L463" s="62"/>
    </row>
    <row r="464" spans="1:12" ht="19.9" customHeight="1">
      <c r="A464" s="37"/>
      <c r="B464" s="37"/>
      <c r="C464" s="38"/>
      <c r="D464" s="37"/>
      <c r="E464" s="37"/>
      <c r="F464" s="38"/>
      <c r="G464" s="37"/>
      <c r="H464" s="60"/>
      <c r="I464" s="38"/>
      <c r="J464" s="38"/>
      <c r="K464" s="39"/>
      <c r="L464" s="62"/>
    </row>
    <row r="465" spans="1:12" ht="19.9" customHeight="1">
      <c r="A465" s="37"/>
      <c r="B465" s="37"/>
      <c r="C465" s="38"/>
      <c r="D465" s="37"/>
      <c r="E465" s="37"/>
      <c r="F465" s="38"/>
      <c r="G465" s="37"/>
      <c r="H465" s="60"/>
      <c r="I465" s="38"/>
      <c r="J465" s="38"/>
      <c r="K465" s="39"/>
      <c r="L465" s="62"/>
    </row>
    <row r="466" spans="1:12" ht="19.9" customHeight="1">
      <c r="A466" s="37"/>
      <c r="B466" s="37"/>
      <c r="C466" s="38"/>
      <c r="D466" s="37"/>
      <c r="E466" s="37"/>
      <c r="F466" s="38"/>
      <c r="G466" s="37"/>
      <c r="H466" s="60"/>
      <c r="I466" s="38"/>
      <c r="J466" s="38"/>
      <c r="K466" s="39"/>
      <c r="L466" s="62"/>
    </row>
    <row r="467" spans="1:12" ht="19.9" customHeight="1">
      <c r="A467" s="37"/>
      <c r="B467" s="37"/>
      <c r="C467" s="38"/>
      <c r="D467" s="37"/>
      <c r="E467" s="37"/>
      <c r="F467" s="38"/>
      <c r="G467" s="37"/>
      <c r="H467" s="60"/>
      <c r="I467" s="38"/>
      <c r="J467" s="38"/>
      <c r="K467" s="39"/>
      <c r="L467" s="62"/>
    </row>
    <row r="468" spans="1:12" ht="19.9" customHeight="1">
      <c r="A468" s="37"/>
      <c r="B468" s="37"/>
      <c r="C468" s="38"/>
      <c r="D468" s="37"/>
      <c r="E468" s="37"/>
      <c r="F468" s="38"/>
      <c r="G468" s="37"/>
      <c r="H468" s="60"/>
      <c r="I468" s="38"/>
      <c r="J468" s="38"/>
      <c r="K468" s="39"/>
      <c r="L468" s="62"/>
    </row>
    <row r="469" spans="1:12" ht="19.9" customHeight="1">
      <c r="A469" s="37"/>
      <c r="B469" s="37"/>
      <c r="C469" s="38"/>
      <c r="D469" s="37"/>
      <c r="E469" s="37"/>
      <c r="F469" s="38"/>
      <c r="G469" s="37"/>
      <c r="H469" s="60"/>
      <c r="I469" s="38"/>
      <c r="J469" s="38"/>
      <c r="K469" s="39"/>
      <c r="L469" s="62"/>
    </row>
    <row r="470" spans="1:12" ht="19.9" customHeight="1">
      <c r="A470" s="37"/>
      <c r="B470" s="37"/>
      <c r="C470" s="38"/>
      <c r="D470" s="37"/>
      <c r="E470" s="37"/>
      <c r="F470" s="38"/>
      <c r="G470" s="37"/>
      <c r="H470" s="60"/>
      <c r="I470" s="38"/>
      <c r="J470" s="38"/>
      <c r="K470" s="39"/>
      <c r="L470" s="62"/>
    </row>
    <row r="471" spans="1:12" ht="19.9" customHeight="1">
      <c r="A471" s="37"/>
      <c r="B471" s="37"/>
      <c r="C471" s="38"/>
      <c r="D471" s="37"/>
      <c r="E471" s="37"/>
      <c r="F471" s="38"/>
      <c r="G471" s="37"/>
      <c r="H471" s="60"/>
      <c r="I471" s="38"/>
      <c r="J471" s="38"/>
      <c r="K471" s="39"/>
      <c r="L471" s="62"/>
    </row>
    <row r="472" spans="1:12" ht="19.9" customHeight="1">
      <c r="A472" s="37"/>
      <c r="B472" s="37"/>
      <c r="C472" s="38"/>
      <c r="D472" s="37"/>
      <c r="E472" s="37"/>
      <c r="F472" s="38"/>
      <c r="G472" s="37"/>
      <c r="H472" s="60"/>
      <c r="I472" s="38"/>
      <c r="J472" s="38"/>
      <c r="K472" s="39"/>
      <c r="L472" s="62"/>
    </row>
    <row r="473" spans="1:12" ht="19.9" customHeight="1">
      <c r="A473" s="37"/>
      <c r="B473" s="37"/>
      <c r="C473" s="38"/>
      <c r="D473" s="37"/>
      <c r="E473" s="37"/>
      <c r="F473" s="38"/>
      <c r="G473" s="37"/>
      <c r="H473" s="60"/>
      <c r="I473" s="38"/>
      <c r="J473" s="38"/>
      <c r="K473" s="39"/>
      <c r="L473" s="62"/>
    </row>
    <row r="474" spans="1:12" ht="19.9" customHeight="1">
      <c r="A474" s="37"/>
      <c r="B474" s="37"/>
      <c r="C474" s="38"/>
      <c r="D474" s="37"/>
      <c r="E474" s="37"/>
      <c r="F474" s="38"/>
      <c r="G474" s="37"/>
      <c r="H474" s="60"/>
      <c r="I474" s="38"/>
      <c r="J474" s="38"/>
      <c r="K474" s="39"/>
      <c r="L474" s="62"/>
    </row>
    <row r="475" spans="1:12" ht="19.9" customHeight="1">
      <c r="A475" s="37"/>
      <c r="B475" s="37"/>
      <c r="C475" s="38"/>
      <c r="D475" s="37"/>
      <c r="E475" s="37"/>
      <c r="F475" s="38"/>
      <c r="G475" s="37"/>
      <c r="H475" s="60"/>
      <c r="I475" s="38"/>
      <c r="J475" s="38"/>
      <c r="K475" s="39"/>
      <c r="L475" s="62"/>
    </row>
    <row r="476" spans="1:12" ht="19.9" customHeight="1">
      <c r="A476" s="37"/>
      <c r="B476" s="37"/>
      <c r="C476" s="38"/>
      <c r="D476" s="37"/>
      <c r="E476" s="37"/>
      <c r="F476" s="38"/>
      <c r="G476" s="37"/>
      <c r="H476" s="60"/>
      <c r="I476" s="38"/>
      <c r="J476" s="38"/>
      <c r="K476" s="39"/>
      <c r="L476" s="62"/>
    </row>
    <row r="477" spans="1:12" ht="19.9" customHeight="1">
      <c r="A477" s="37"/>
      <c r="B477" s="37"/>
      <c r="C477" s="38"/>
      <c r="D477" s="37"/>
      <c r="E477" s="37"/>
      <c r="F477" s="38"/>
      <c r="G477" s="37"/>
      <c r="H477" s="60"/>
      <c r="I477" s="38"/>
      <c r="J477" s="38"/>
      <c r="K477" s="39"/>
      <c r="L477" s="62"/>
    </row>
    <row r="478" spans="1:12" ht="19.9" customHeight="1">
      <c r="A478" s="37"/>
      <c r="B478" s="37"/>
      <c r="C478" s="38"/>
      <c r="D478" s="37"/>
      <c r="E478" s="37"/>
      <c r="F478" s="38"/>
      <c r="G478" s="37"/>
      <c r="H478" s="60"/>
      <c r="I478" s="38"/>
      <c r="J478" s="38"/>
      <c r="K478" s="39"/>
      <c r="L478" s="62"/>
    </row>
    <row r="479" spans="1:12" ht="19.9" customHeight="1">
      <c r="A479" s="37"/>
      <c r="B479" s="37"/>
      <c r="C479" s="38"/>
      <c r="D479" s="37"/>
      <c r="E479" s="37"/>
      <c r="F479" s="38"/>
      <c r="G479" s="37"/>
      <c r="H479" s="60"/>
      <c r="I479" s="38"/>
      <c r="J479" s="38"/>
      <c r="K479" s="39"/>
      <c r="L479" s="62"/>
    </row>
    <row r="480" spans="1:12" ht="19.9" customHeight="1">
      <c r="A480" s="37"/>
      <c r="B480" s="37"/>
      <c r="C480" s="38"/>
      <c r="D480" s="37"/>
      <c r="E480" s="37"/>
      <c r="F480" s="38"/>
      <c r="G480" s="37"/>
      <c r="H480" s="60"/>
      <c r="I480" s="38"/>
      <c r="J480" s="38"/>
      <c r="K480" s="39"/>
      <c r="L480" s="62"/>
    </row>
    <row r="481" spans="1:12" ht="19.9" customHeight="1">
      <c r="A481" s="37"/>
      <c r="B481" s="37"/>
      <c r="C481" s="38"/>
      <c r="D481" s="37"/>
      <c r="E481" s="37"/>
      <c r="F481" s="38"/>
      <c r="G481" s="37"/>
      <c r="H481" s="60"/>
      <c r="I481" s="38"/>
      <c r="J481" s="38"/>
      <c r="K481" s="39"/>
      <c r="L481" s="62"/>
    </row>
    <row r="482" spans="1:12" ht="19.9" customHeight="1">
      <c r="A482" s="37"/>
      <c r="B482" s="37"/>
      <c r="C482" s="38"/>
      <c r="D482" s="37"/>
      <c r="E482" s="37"/>
      <c r="F482" s="38"/>
      <c r="G482" s="37"/>
      <c r="H482" s="60"/>
      <c r="I482" s="38"/>
      <c r="J482" s="38"/>
      <c r="K482" s="39"/>
      <c r="L482" s="62"/>
    </row>
    <row r="483" spans="1:12" ht="19.9" customHeight="1">
      <c r="A483" s="37"/>
      <c r="B483" s="37"/>
      <c r="C483" s="38"/>
      <c r="D483" s="37"/>
      <c r="E483" s="37"/>
      <c r="F483" s="38"/>
      <c r="G483" s="37"/>
      <c r="H483" s="60"/>
      <c r="I483" s="38"/>
      <c r="J483" s="38"/>
      <c r="K483" s="39"/>
      <c r="L483" s="62"/>
    </row>
    <row r="484" spans="1:12" ht="19.9" customHeight="1">
      <c r="A484" s="37"/>
      <c r="B484" s="37"/>
      <c r="C484" s="38"/>
      <c r="D484" s="37"/>
      <c r="E484" s="37"/>
      <c r="F484" s="38"/>
      <c r="G484" s="37"/>
      <c r="H484" s="60"/>
      <c r="I484" s="38"/>
      <c r="J484" s="38"/>
      <c r="K484" s="39"/>
      <c r="L484" s="62"/>
    </row>
    <row r="485" spans="1:12" ht="19.9" customHeight="1">
      <c r="A485" s="37"/>
      <c r="B485" s="37"/>
      <c r="C485" s="38"/>
      <c r="D485" s="37"/>
      <c r="E485" s="37"/>
      <c r="F485" s="38"/>
      <c r="G485" s="37"/>
      <c r="H485" s="60"/>
      <c r="I485" s="38"/>
      <c r="J485" s="38"/>
      <c r="K485" s="39"/>
      <c r="L485" s="62"/>
    </row>
    <row r="486" spans="1:12" ht="19.9" customHeight="1">
      <c r="A486" s="37"/>
      <c r="B486" s="37"/>
      <c r="C486" s="38"/>
      <c r="D486" s="37"/>
      <c r="E486" s="37"/>
      <c r="F486" s="38"/>
      <c r="G486" s="37"/>
      <c r="H486" s="60"/>
      <c r="I486" s="38"/>
      <c r="J486" s="38"/>
      <c r="K486" s="39"/>
      <c r="L486" s="62"/>
    </row>
    <row r="487" spans="1:12" ht="19.9" customHeight="1">
      <c r="A487" s="37"/>
      <c r="B487" s="37"/>
      <c r="C487" s="38"/>
      <c r="D487" s="37"/>
      <c r="E487" s="37"/>
      <c r="F487" s="38"/>
      <c r="G487" s="37"/>
      <c r="H487" s="60"/>
      <c r="I487" s="38"/>
      <c r="J487" s="38"/>
      <c r="K487" s="39"/>
      <c r="L487" s="62"/>
    </row>
    <row r="488" spans="1:12" ht="19.9" customHeight="1">
      <c r="A488" s="37"/>
      <c r="B488" s="37"/>
      <c r="C488" s="38"/>
      <c r="D488" s="37"/>
      <c r="E488" s="37"/>
      <c r="F488" s="38"/>
      <c r="G488" s="37"/>
      <c r="H488" s="60"/>
      <c r="I488" s="38"/>
      <c r="J488" s="38"/>
      <c r="K488" s="39"/>
      <c r="L488" s="62"/>
    </row>
    <row r="489" spans="1:12" ht="19.9" customHeight="1">
      <c r="A489" s="37"/>
      <c r="B489" s="37"/>
      <c r="C489" s="38"/>
      <c r="D489" s="37"/>
      <c r="E489" s="37"/>
      <c r="F489" s="38"/>
      <c r="G489" s="37"/>
      <c r="H489" s="60"/>
      <c r="I489" s="38"/>
      <c r="J489" s="38"/>
      <c r="K489" s="39"/>
      <c r="L489" s="62"/>
    </row>
    <row r="490" spans="1:12" ht="19.9" customHeight="1">
      <c r="A490" s="37"/>
      <c r="B490" s="37"/>
      <c r="C490" s="38"/>
      <c r="D490" s="37"/>
      <c r="E490" s="37"/>
      <c r="F490" s="38"/>
      <c r="G490" s="37"/>
      <c r="H490" s="60"/>
      <c r="I490" s="38"/>
      <c r="J490" s="38"/>
      <c r="K490" s="39"/>
      <c r="L490" s="62"/>
    </row>
    <row r="491" spans="1:12" ht="19.9" customHeight="1">
      <c r="A491" s="37"/>
      <c r="B491" s="37"/>
      <c r="C491" s="38"/>
      <c r="D491" s="37"/>
      <c r="E491" s="37"/>
      <c r="F491" s="38"/>
      <c r="G491" s="37"/>
      <c r="H491" s="60"/>
      <c r="I491" s="38"/>
      <c r="J491" s="38"/>
      <c r="K491" s="39"/>
      <c r="L491" s="62"/>
    </row>
    <row r="492" spans="1:12" ht="19.9" customHeight="1">
      <c r="A492" s="37"/>
      <c r="B492" s="37"/>
      <c r="C492" s="38"/>
      <c r="D492" s="37"/>
      <c r="E492" s="37"/>
      <c r="F492" s="38"/>
      <c r="G492" s="37"/>
      <c r="H492" s="60"/>
      <c r="I492" s="38"/>
      <c r="J492" s="38"/>
      <c r="K492" s="39"/>
      <c r="L492" s="62"/>
    </row>
    <row r="493" spans="1:12" ht="19.9" customHeight="1">
      <c r="A493" s="37"/>
      <c r="B493" s="37"/>
      <c r="C493" s="38"/>
      <c r="D493" s="37"/>
      <c r="E493" s="37"/>
      <c r="F493" s="38"/>
      <c r="G493" s="37"/>
      <c r="H493" s="60"/>
      <c r="I493" s="38"/>
      <c r="J493" s="38"/>
      <c r="K493" s="39"/>
      <c r="L493" s="62"/>
    </row>
    <row r="494" spans="1:12" ht="19.9" customHeight="1">
      <c r="A494" s="37"/>
      <c r="B494" s="37"/>
      <c r="C494" s="38"/>
      <c r="D494" s="37"/>
      <c r="E494" s="37"/>
      <c r="F494" s="38"/>
      <c r="G494" s="37"/>
      <c r="H494" s="60"/>
      <c r="I494" s="38"/>
      <c r="J494" s="38"/>
      <c r="K494" s="39"/>
      <c r="L494" s="62"/>
    </row>
    <row r="495" spans="1:12" ht="19.9" customHeight="1">
      <c r="A495" s="37"/>
      <c r="B495" s="37"/>
      <c r="C495" s="38"/>
      <c r="D495" s="37"/>
      <c r="E495" s="37"/>
      <c r="F495" s="38"/>
      <c r="G495" s="37"/>
      <c r="H495" s="60"/>
      <c r="I495" s="38"/>
      <c r="J495" s="38"/>
      <c r="K495" s="39"/>
      <c r="L495" s="62"/>
    </row>
    <row r="496" spans="1:12" ht="19.9" customHeight="1">
      <c r="A496" s="37"/>
      <c r="B496" s="37"/>
      <c r="C496" s="38"/>
      <c r="D496" s="37"/>
      <c r="E496" s="37"/>
      <c r="F496" s="38"/>
      <c r="G496" s="37"/>
      <c r="H496" s="60"/>
      <c r="I496" s="38"/>
      <c r="J496" s="38"/>
      <c r="K496" s="39"/>
      <c r="L496" s="62"/>
    </row>
    <row r="497" spans="1:12" ht="19.9" customHeight="1">
      <c r="A497" s="37"/>
      <c r="B497" s="37"/>
      <c r="C497" s="38"/>
      <c r="D497" s="37"/>
      <c r="E497" s="37"/>
      <c r="F497" s="38"/>
      <c r="G497" s="37"/>
      <c r="H497" s="60"/>
      <c r="I497" s="38"/>
      <c r="J497" s="38"/>
      <c r="K497" s="39"/>
      <c r="L497" s="62"/>
    </row>
    <row r="498" spans="1:12" ht="19.9" customHeight="1">
      <c r="A498" s="37"/>
      <c r="B498" s="37"/>
      <c r="C498" s="38"/>
      <c r="D498" s="37"/>
      <c r="E498" s="37"/>
      <c r="F498" s="38"/>
      <c r="G498" s="37"/>
      <c r="H498" s="60"/>
      <c r="I498" s="38"/>
      <c r="J498" s="38"/>
      <c r="K498" s="39"/>
      <c r="L498" s="62"/>
    </row>
    <row r="499" spans="1:12" ht="19.9" customHeight="1">
      <c r="A499" s="37"/>
      <c r="B499" s="37"/>
      <c r="C499" s="38"/>
      <c r="D499" s="37"/>
      <c r="E499" s="37"/>
      <c r="F499" s="38"/>
      <c r="G499" s="37"/>
      <c r="H499" s="60"/>
      <c r="I499" s="38"/>
      <c r="J499" s="38"/>
      <c r="K499" s="39"/>
      <c r="L499" s="62"/>
    </row>
    <row r="500" spans="1:12" ht="19.9" customHeight="1">
      <c r="A500" s="37"/>
      <c r="B500" s="37"/>
      <c r="C500" s="38"/>
      <c r="D500" s="37"/>
      <c r="E500" s="37"/>
      <c r="F500" s="38"/>
      <c r="G500" s="37"/>
      <c r="H500" s="60"/>
      <c r="I500" s="38"/>
      <c r="J500" s="38"/>
      <c r="K500" s="39"/>
      <c r="L500" s="62"/>
    </row>
    <row r="501" spans="1:12" ht="19.9" customHeight="1">
      <c r="A501" s="37"/>
      <c r="B501" s="37"/>
      <c r="C501" s="38"/>
      <c r="D501" s="37"/>
      <c r="E501" s="37"/>
      <c r="F501" s="38"/>
      <c r="G501" s="37"/>
      <c r="H501" s="60"/>
      <c r="I501" s="38"/>
      <c r="J501" s="38"/>
      <c r="K501" s="39"/>
      <c r="L501" s="62"/>
    </row>
    <row r="502" spans="1:12" ht="19.9" customHeight="1">
      <c r="A502" s="37"/>
      <c r="B502" s="37"/>
      <c r="C502" s="38"/>
      <c r="D502" s="37"/>
      <c r="E502" s="37"/>
      <c r="F502" s="38"/>
      <c r="G502" s="37"/>
      <c r="H502" s="60"/>
      <c r="I502" s="38"/>
      <c r="J502" s="38"/>
      <c r="K502" s="39"/>
      <c r="L502" s="62"/>
    </row>
    <row r="503" spans="1:12" ht="19.9" customHeight="1">
      <c r="A503" s="37"/>
      <c r="B503" s="37"/>
      <c r="C503" s="38"/>
      <c r="D503" s="37"/>
      <c r="E503" s="37"/>
      <c r="F503" s="38"/>
      <c r="G503" s="37"/>
      <c r="H503" s="60"/>
      <c r="I503" s="38"/>
      <c r="J503" s="38"/>
      <c r="K503" s="39"/>
      <c r="L503" s="62"/>
    </row>
    <row r="504" spans="1:12" ht="19.9" customHeight="1">
      <c r="A504" s="37"/>
      <c r="B504" s="37"/>
      <c r="C504" s="38"/>
      <c r="D504" s="37"/>
      <c r="E504" s="37"/>
      <c r="F504" s="38"/>
      <c r="G504" s="37"/>
      <c r="H504" s="60"/>
      <c r="I504" s="38"/>
      <c r="J504" s="38"/>
      <c r="K504" s="39"/>
      <c r="L504" s="62"/>
    </row>
    <row r="505" spans="1:12" ht="19.9" customHeight="1">
      <c r="A505" s="37"/>
      <c r="B505" s="37"/>
      <c r="C505" s="38"/>
      <c r="D505" s="37"/>
      <c r="E505" s="37"/>
      <c r="F505" s="38"/>
      <c r="G505" s="37"/>
      <c r="H505" s="60"/>
      <c r="I505" s="38"/>
      <c r="J505" s="38"/>
      <c r="K505" s="39"/>
      <c r="L505" s="62"/>
    </row>
    <row r="506" spans="1:12" ht="19.9" customHeight="1">
      <c r="A506" s="37"/>
      <c r="B506" s="37"/>
      <c r="C506" s="38"/>
      <c r="D506" s="37"/>
      <c r="E506" s="37"/>
      <c r="F506" s="38"/>
      <c r="G506" s="37"/>
      <c r="H506" s="60"/>
      <c r="I506" s="38"/>
      <c r="J506" s="38"/>
      <c r="K506" s="39"/>
      <c r="L506" s="62"/>
    </row>
    <row r="507" spans="1:12" ht="19.9" customHeight="1">
      <c r="A507" s="37"/>
      <c r="B507" s="37"/>
      <c r="C507" s="38"/>
      <c r="D507" s="37"/>
      <c r="E507" s="37"/>
      <c r="F507" s="38"/>
      <c r="G507" s="37"/>
      <c r="H507" s="60"/>
      <c r="I507" s="38"/>
      <c r="J507" s="38"/>
      <c r="K507" s="39"/>
      <c r="L507" s="62"/>
    </row>
    <row r="508" spans="1:12" ht="19.9" customHeight="1">
      <c r="A508" s="37"/>
      <c r="B508" s="37"/>
      <c r="C508" s="38"/>
      <c r="D508" s="37"/>
      <c r="E508" s="37"/>
      <c r="F508" s="38"/>
      <c r="G508" s="37"/>
      <c r="H508" s="60"/>
      <c r="I508" s="38"/>
      <c r="J508" s="38"/>
      <c r="K508" s="39"/>
      <c r="L508" s="62"/>
    </row>
    <row r="509" spans="1:12" ht="19.9" customHeight="1">
      <c r="A509" s="37"/>
      <c r="B509" s="37"/>
      <c r="C509" s="38"/>
      <c r="D509" s="37"/>
      <c r="E509" s="37"/>
      <c r="F509" s="38"/>
      <c r="G509" s="37"/>
      <c r="H509" s="60"/>
      <c r="I509" s="38"/>
      <c r="J509" s="38"/>
      <c r="K509" s="39"/>
      <c r="L509" s="62"/>
    </row>
    <row r="510" spans="1:12" ht="19.9" customHeight="1">
      <c r="A510" s="37"/>
      <c r="B510" s="37"/>
      <c r="C510" s="38"/>
      <c r="D510" s="37"/>
      <c r="E510" s="37"/>
      <c r="F510" s="38"/>
      <c r="G510" s="37"/>
      <c r="H510" s="60"/>
      <c r="I510" s="38"/>
      <c r="J510" s="38"/>
      <c r="K510" s="39"/>
      <c r="L510" s="62"/>
    </row>
    <row r="511" spans="1:12" ht="19.9" customHeight="1">
      <c r="A511" s="37"/>
      <c r="B511" s="37"/>
      <c r="C511" s="38"/>
      <c r="D511" s="37"/>
      <c r="E511" s="37"/>
      <c r="F511" s="38"/>
      <c r="G511" s="37"/>
      <c r="H511" s="60"/>
      <c r="I511" s="38"/>
      <c r="J511" s="38"/>
      <c r="K511" s="39"/>
      <c r="L511" s="62"/>
    </row>
    <row r="512" spans="1:12" ht="19.9" customHeight="1">
      <c r="A512" s="37"/>
      <c r="B512" s="37"/>
      <c r="C512" s="38"/>
      <c r="D512" s="37"/>
      <c r="E512" s="37"/>
      <c r="F512" s="38"/>
      <c r="G512" s="37"/>
      <c r="H512" s="60"/>
      <c r="I512" s="38"/>
      <c r="J512" s="38"/>
      <c r="K512" s="39"/>
      <c r="L512" s="62"/>
    </row>
    <row r="513" spans="1:12" ht="19.9" customHeight="1">
      <c r="A513" s="37"/>
      <c r="B513" s="37"/>
      <c r="C513" s="38"/>
      <c r="D513" s="37"/>
      <c r="E513" s="37"/>
      <c r="F513" s="38"/>
      <c r="G513" s="37"/>
      <c r="H513" s="60"/>
      <c r="I513" s="38"/>
      <c r="J513" s="38"/>
      <c r="K513" s="39"/>
      <c r="L513" s="62"/>
    </row>
    <row r="514" spans="1:12" ht="19.9" customHeight="1">
      <c r="A514" s="37"/>
      <c r="B514" s="37"/>
      <c r="C514" s="38"/>
      <c r="D514" s="37"/>
      <c r="E514" s="37"/>
      <c r="F514" s="38"/>
      <c r="G514" s="37"/>
      <c r="H514" s="60"/>
      <c r="I514" s="38"/>
      <c r="J514" s="38"/>
      <c r="K514" s="39"/>
      <c r="L514" s="62"/>
    </row>
    <row r="515" spans="1:12" ht="19.9" customHeight="1">
      <c r="A515" s="37"/>
      <c r="B515" s="37"/>
      <c r="C515" s="38"/>
      <c r="D515" s="37"/>
      <c r="E515" s="37"/>
      <c r="F515" s="38"/>
      <c r="G515" s="37"/>
      <c r="H515" s="60"/>
      <c r="I515" s="38"/>
      <c r="J515" s="38"/>
      <c r="K515" s="39"/>
      <c r="L515" s="62"/>
    </row>
    <row r="516" spans="1:12" ht="19.9" customHeight="1">
      <c r="A516" s="37"/>
      <c r="B516" s="37"/>
      <c r="C516" s="38"/>
      <c r="D516" s="37"/>
      <c r="E516" s="37"/>
      <c r="F516" s="38"/>
      <c r="G516" s="37"/>
      <c r="H516" s="60"/>
      <c r="I516" s="38"/>
      <c r="J516" s="38"/>
      <c r="K516" s="39"/>
      <c r="L516" s="62"/>
    </row>
    <row r="517" spans="1:12" ht="19.9" customHeight="1">
      <c r="A517" s="37"/>
      <c r="B517" s="37"/>
      <c r="C517" s="38"/>
      <c r="D517" s="37"/>
      <c r="E517" s="37"/>
      <c r="F517" s="38"/>
      <c r="G517" s="37"/>
      <c r="H517" s="60"/>
      <c r="I517" s="38"/>
      <c r="J517" s="38"/>
      <c r="K517" s="39"/>
      <c r="L517" s="62"/>
    </row>
    <row r="518" spans="1:12" ht="19.9" customHeight="1">
      <c r="A518" s="37"/>
      <c r="B518" s="37"/>
      <c r="C518" s="38"/>
      <c r="D518" s="37"/>
      <c r="E518" s="37"/>
      <c r="F518" s="38"/>
      <c r="G518" s="37"/>
      <c r="H518" s="60"/>
      <c r="I518" s="38"/>
      <c r="J518" s="38"/>
      <c r="K518" s="39"/>
      <c r="L518" s="62"/>
    </row>
    <row r="519" spans="1:12" ht="19.9" customHeight="1">
      <c r="A519" s="37"/>
      <c r="B519" s="37"/>
      <c r="C519" s="38"/>
      <c r="D519" s="37"/>
      <c r="E519" s="37"/>
      <c r="F519" s="38"/>
      <c r="G519" s="37"/>
      <c r="H519" s="60"/>
      <c r="I519" s="38"/>
      <c r="J519" s="38"/>
      <c r="K519" s="39"/>
      <c r="L519" s="62"/>
    </row>
    <row r="520" spans="1:12" ht="19.9" customHeight="1">
      <c r="A520" s="37"/>
      <c r="B520" s="37"/>
      <c r="C520" s="38"/>
      <c r="D520" s="37"/>
      <c r="E520" s="37"/>
      <c r="F520" s="38"/>
      <c r="G520" s="37"/>
      <c r="H520" s="60"/>
      <c r="I520" s="38"/>
      <c r="J520" s="38"/>
      <c r="K520" s="39"/>
      <c r="L520" s="62"/>
    </row>
    <row r="521" spans="1:12" ht="19.9" customHeight="1">
      <c r="A521" s="37"/>
      <c r="B521" s="37"/>
      <c r="C521" s="38"/>
      <c r="D521" s="37"/>
      <c r="E521" s="37"/>
      <c r="F521" s="38"/>
      <c r="G521" s="37"/>
      <c r="H521" s="60"/>
      <c r="I521" s="38"/>
      <c r="J521" s="38"/>
      <c r="K521" s="39"/>
      <c r="L521" s="62"/>
    </row>
    <row r="522" spans="1:12" ht="19.9" customHeight="1">
      <c r="A522" s="37"/>
      <c r="B522" s="37"/>
      <c r="C522" s="38"/>
      <c r="D522" s="37"/>
      <c r="E522" s="37"/>
      <c r="F522" s="38"/>
      <c r="G522" s="37"/>
      <c r="H522" s="60"/>
      <c r="I522" s="38"/>
      <c r="J522" s="38"/>
      <c r="K522" s="39"/>
      <c r="L522" s="62"/>
    </row>
    <row r="523" spans="1:12" ht="19.9" customHeight="1">
      <c r="A523" s="37"/>
      <c r="B523" s="37"/>
      <c r="C523" s="38"/>
      <c r="D523" s="37"/>
      <c r="E523" s="37"/>
      <c r="F523" s="38"/>
      <c r="G523" s="37"/>
      <c r="H523" s="60"/>
      <c r="I523" s="38"/>
      <c r="J523" s="38"/>
      <c r="K523" s="39"/>
      <c r="L523" s="62"/>
    </row>
    <row r="524" spans="1:12" ht="19.9" customHeight="1">
      <c r="A524" s="37"/>
      <c r="B524" s="37"/>
      <c r="C524" s="38"/>
      <c r="D524" s="37"/>
      <c r="E524" s="37"/>
      <c r="F524" s="38"/>
      <c r="G524" s="37"/>
      <c r="H524" s="60"/>
      <c r="I524" s="38"/>
      <c r="J524" s="38"/>
      <c r="K524" s="39"/>
      <c r="L524" s="62"/>
    </row>
    <row r="525" spans="1:12" ht="19.9" customHeight="1">
      <c r="A525" s="37"/>
      <c r="B525" s="37"/>
      <c r="C525" s="38"/>
      <c r="D525" s="37"/>
      <c r="E525" s="37"/>
      <c r="F525" s="38"/>
      <c r="G525" s="37"/>
      <c r="H525" s="60"/>
      <c r="I525" s="38"/>
      <c r="J525" s="38"/>
      <c r="K525" s="39"/>
      <c r="L525" s="62"/>
    </row>
    <row r="526" spans="1:12" ht="19.9" customHeight="1">
      <c r="A526" s="37"/>
      <c r="B526" s="37"/>
      <c r="C526" s="38"/>
      <c r="D526" s="37"/>
      <c r="E526" s="37"/>
      <c r="F526" s="38"/>
      <c r="G526" s="37"/>
      <c r="H526" s="60"/>
      <c r="I526" s="38"/>
      <c r="J526" s="38"/>
      <c r="K526" s="39"/>
      <c r="L526" s="62"/>
    </row>
    <row r="527" spans="1:12" ht="19.9" customHeight="1">
      <c r="A527" s="37"/>
      <c r="B527" s="37"/>
      <c r="C527" s="38"/>
      <c r="D527" s="37"/>
      <c r="E527" s="37"/>
      <c r="F527" s="38"/>
      <c r="G527" s="37"/>
      <c r="H527" s="60"/>
      <c r="I527" s="38"/>
      <c r="J527" s="38"/>
      <c r="K527" s="39"/>
      <c r="L527" s="62"/>
    </row>
    <row r="528" spans="1:12" ht="19.9" customHeight="1">
      <c r="A528" s="37"/>
      <c r="B528" s="37"/>
      <c r="C528" s="38"/>
      <c r="D528" s="37"/>
      <c r="E528" s="37"/>
      <c r="F528" s="38"/>
      <c r="G528" s="37"/>
      <c r="H528" s="60"/>
      <c r="I528" s="38"/>
      <c r="J528" s="38"/>
      <c r="K528" s="39"/>
      <c r="L528" s="62"/>
    </row>
    <row r="529" spans="1:12" ht="19.9" customHeight="1">
      <c r="A529" s="37"/>
      <c r="B529" s="37"/>
      <c r="C529" s="38"/>
      <c r="D529" s="37"/>
      <c r="E529" s="37"/>
      <c r="F529" s="38"/>
      <c r="G529" s="37"/>
      <c r="H529" s="60"/>
      <c r="I529" s="38"/>
      <c r="J529" s="38"/>
      <c r="K529" s="39"/>
      <c r="L529" s="62"/>
    </row>
    <row r="530" spans="1:12" ht="19.9" customHeight="1">
      <c r="A530" s="37"/>
      <c r="B530" s="37"/>
      <c r="C530" s="38"/>
      <c r="D530" s="37"/>
      <c r="E530" s="37"/>
      <c r="F530" s="38"/>
      <c r="G530" s="37"/>
      <c r="H530" s="60"/>
      <c r="I530" s="38"/>
      <c r="J530" s="38"/>
      <c r="K530" s="39"/>
      <c r="L530" s="62"/>
    </row>
    <row r="531" spans="1:12" ht="19.9" customHeight="1">
      <c r="A531" s="37"/>
      <c r="B531" s="37"/>
      <c r="C531" s="38"/>
      <c r="D531" s="37"/>
      <c r="E531" s="37"/>
      <c r="F531" s="38"/>
      <c r="G531" s="37"/>
      <c r="H531" s="60"/>
      <c r="I531" s="38"/>
      <c r="J531" s="38"/>
      <c r="K531" s="39"/>
      <c r="L531" s="62"/>
    </row>
    <row r="532" spans="1:12" ht="19.9" customHeight="1">
      <c r="A532" s="37"/>
      <c r="B532" s="37"/>
      <c r="C532" s="38"/>
      <c r="D532" s="37"/>
      <c r="E532" s="37"/>
      <c r="F532" s="38"/>
      <c r="G532" s="37"/>
      <c r="H532" s="60"/>
      <c r="I532" s="38"/>
      <c r="J532" s="38"/>
      <c r="K532" s="39"/>
      <c r="L532" s="62"/>
    </row>
    <row r="533" spans="1:12" ht="19.9" customHeight="1">
      <c r="A533" s="37"/>
      <c r="B533" s="37"/>
      <c r="C533" s="38"/>
      <c r="D533" s="37"/>
      <c r="E533" s="37"/>
      <c r="F533" s="38"/>
      <c r="G533" s="37"/>
      <c r="H533" s="60"/>
      <c r="I533" s="38"/>
      <c r="J533" s="38"/>
      <c r="K533" s="39"/>
      <c r="L533" s="62"/>
    </row>
    <row r="534" spans="1:12" ht="19.9" customHeight="1">
      <c r="A534" s="37"/>
      <c r="B534" s="37"/>
      <c r="C534" s="38"/>
      <c r="D534" s="37"/>
      <c r="E534" s="37"/>
      <c r="F534" s="38"/>
      <c r="G534" s="37"/>
      <c r="H534" s="60"/>
      <c r="I534" s="38"/>
      <c r="J534" s="38"/>
      <c r="K534" s="39"/>
      <c r="L534" s="62"/>
    </row>
    <row r="535" spans="1:12" ht="19.9" customHeight="1">
      <c r="A535" s="37"/>
      <c r="B535" s="37"/>
      <c r="C535" s="38"/>
      <c r="D535" s="37"/>
      <c r="E535" s="37"/>
      <c r="F535" s="38"/>
      <c r="G535" s="37"/>
      <c r="H535" s="60"/>
      <c r="I535" s="38"/>
      <c r="J535" s="38"/>
      <c r="K535" s="39"/>
      <c r="L535" s="62"/>
    </row>
    <row r="536" spans="1:12" ht="19.9" customHeight="1">
      <c r="A536" s="37"/>
      <c r="B536" s="37"/>
      <c r="C536" s="38"/>
      <c r="D536" s="37"/>
      <c r="E536" s="37"/>
      <c r="F536" s="38"/>
      <c r="G536" s="37"/>
      <c r="H536" s="60"/>
      <c r="I536" s="38"/>
      <c r="J536" s="38"/>
      <c r="K536" s="39"/>
      <c r="L536" s="62"/>
    </row>
    <row r="537" spans="1:12" ht="19.9" customHeight="1">
      <c r="A537" s="37"/>
      <c r="B537" s="37"/>
      <c r="C537" s="38"/>
      <c r="D537" s="37"/>
      <c r="E537" s="37"/>
      <c r="F537" s="38"/>
      <c r="G537" s="37"/>
      <c r="H537" s="60"/>
      <c r="I537" s="38"/>
      <c r="J537" s="38"/>
      <c r="K537" s="39"/>
      <c r="L537" s="62"/>
    </row>
    <row r="538" spans="1:12" ht="19.9" customHeight="1">
      <c r="A538" s="37"/>
      <c r="B538" s="37"/>
      <c r="C538" s="38"/>
      <c r="D538" s="37"/>
      <c r="E538" s="37"/>
      <c r="F538" s="38"/>
      <c r="G538" s="37"/>
      <c r="H538" s="60"/>
      <c r="I538" s="38"/>
      <c r="J538" s="38"/>
      <c r="K538" s="39"/>
      <c r="L538" s="62"/>
    </row>
    <row r="539" spans="1:12" ht="19.9" customHeight="1">
      <c r="A539" s="37"/>
      <c r="B539" s="37"/>
      <c r="C539" s="38"/>
      <c r="D539" s="37"/>
      <c r="E539" s="37"/>
      <c r="F539" s="38"/>
      <c r="G539" s="37"/>
      <c r="H539" s="60"/>
      <c r="I539" s="38"/>
      <c r="J539" s="38"/>
      <c r="K539" s="39"/>
      <c r="L539" s="62"/>
    </row>
    <row r="540" spans="1:12" ht="19.9" customHeight="1">
      <c r="A540" s="37"/>
      <c r="B540" s="37"/>
      <c r="C540" s="38"/>
      <c r="D540" s="37"/>
      <c r="E540" s="37"/>
      <c r="F540" s="38"/>
      <c r="G540" s="37"/>
      <c r="H540" s="60"/>
      <c r="I540" s="38"/>
      <c r="J540" s="38"/>
      <c r="K540" s="39"/>
      <c r="L540" s="62"/>
    </row>
    <row r="541" spans="1:12" ht="19.9" customHeight="1">
      <c r="A541" s="37"/>
      <c r="B541" s="37"/>
      <c r="C541" s="38"/>
      <c r="D541" s="37"/>
      <c r="E541" s="37"/>
      <c r="F541" s="38"/>
      <c r="G541" s="37"/>
      <c r="H541" s="60"/>
      <c r="I541" s="38"/>
      <c r="J541" s="38"/>
      <c r="K541" s="39"/>
      <c r="L541" s="62"/>
    </row>
    <row r="542" spans="1:12" ht="19.9" customHeight="1">
      <c r="A542" s="37"/>
      <c r="B542" s="37"/>
      <c r="C542" s="38"/>
      <c r="D542" s="37"/>
      <c r="E542" s="37"/>
      <c r="F542" s="38"/>
      <c r="G542" s="37"/>
      <c r="H542" s="60"/>
      <c r="I542" s="38"/>
      <c r="J542" s="38"/>
      <c r="K542" s="39"/>
      <c r="L542" s="62"/>
    </row>
    <row r="543" spans="1:12" ht="19.9" customHeight="1">
      <c r="A543" s="37"/>
      <c r="B543" s="37"/>
      <c r="C543" s="38"/>
      <c r="D543" s="37"/>
      <c r="E543" s="37"/>
      <c r="F543" s="38"/>
      <c r="G543" s="37"/>
      <c r="H543" s="60"/>
      <c r="I543" s="38"/>
      <c r="J543" s="38"/>
      <c r="K543" s="39"/>
      <c r="L543" s="62"/>
    </row>
    <row r="544" spans="1:12" ht="19.9" customHeight="1">
      <c r="A544" s="37"/>
      <c r="B544" s="37"/>
      <c r="C544" s="38"/>
      <c r="D544" s="37"/>
      <c r="E544" s="37"/>
      <c r="F544" s="38"/>
      <c r="G544" s="37"/>
      <c r="H544" s="60"/>
      <c r="I544" s="38"/>
      <c r="J544" s="38"/>
      <c r="K544" s="39"/>
      <c r="L544" s="62"/>
    </row>
    <row r="545" spans="1:12" ht="19.9" customHeight="1">
      <c r="A545" s="37"/>
      <c r="B545" s="37"/>
      <c r="C545" s="38"/>
      <c r="D545" s="37"/>
      <c r="E545" s="37"/>
      <c r="F545" s="38"/>
      <c r="G545" s="37"/>
      <c r="H545" s="60"/>
      <c r="I545" s="38"/>
      <c r="J545" s="38"/>
      <c r="K545" s="39"/>
      <c r="L545" s="62"/>
    </row>
    <row r="546" spans="1:12" ht="19.9" customHeight="1">
      <c r="A546" s="37"/>
      <c r="B546" s="37"/>
      <c r="C546" s="38"/>
      <c r="D546" s="37"/>
      <c r="E546" s="37"/>
      <c r="F546" s="38"/>
      <c r="G546" s="37"/>
      <c r="H546" s="60"/>
      <c r="I546" s="38"/>
      <c r="J546" s="38"/>
      <c r="K546" s="39"/>
      <c r="L546" s="62"/>
    </row>
    <row r="547" spans="1:12" ht="19.9" customHeight="1">
      <c r="A547" s="37"/>
      <c r="B547" s="37"/>
      <c r="C547" s="38"/>
      <c r="D547" s="37"/>
      <c r="E547" s="37"/>
      <c r="F547" s="38"/>
      <c r="G547" s="37"/>
      <c r="H547" s="60"/>
      <c r="I547" s="38"/>
      <c r="J547" s="38"/>
      <c r="K547" s="39"/>
      <c r="L547" s="62"/>
    </row>
    <row r="548" spans="1:12" ht="19.9" customHeight="1">
      <c r="A548" s="37"/>
      <c r="B548" s="37"/>
      <c r="C548" s="38"/>
      <c r="D548" s="37"/>
      <c r="E548" s="37"/>
      <c r="F548" s="38"/>
      <c r="G548" s="37"/>
      <c r="H548" s="60"/>
      <c r="I548" s="38"/>
      <c r="J548" s="38"/>
      <c r="K548" s="39"/>
      <c r="L548" s="62"/>
    </row>
    <row r="549" spans="1:12" ht="19.9" customHeight="1">
      <c r="A549" s="37"/>
      <c r="B549" s="37"/>
      <c r="C549" s="38"/>
      <c r="D549" s="37"/>
      <c r="E549" s="37"/>
      <c r="F549" s="38"/>
      <c r="G549" s="37"/>
      <c r="H549" s="60"/>
      <c r="I549" s="38"/>
      <c r="J549" s="38"/>
      <c r="K549" s="39"/>
      <c r="L549" s="62"/>
    </row>
    <row r="550" spans="1:12" ht="19.9" customHeight="1">
      <c r="A550" s="37"/>
      <c r="B550" s="37"/>
      <c r="C550" s="38"/>
      <c r="D550" s="37"/>
      <c r="E550" s="37"/>
      <c r="F550" s="38"/>
      <c r="G550" s="37"/>
      <c r="H550" s="60"/>
      <c r="I550" s="38"/>
      <c r="J550" s="38"/>
      <c r="K550" s="39"/>
      <c r="L550" s="62"/>
    </row>
    <row r="551" spans="1:12" ht="19.9" customHeight="1">
      <c r="A551" s="37"/>
      <c r="B551" s="37"/>
      <c r="C551" s="38"/>
      <c r="D551" s="37"/>
      <c r="E551" s="37"/>
      <c r="F551" s="38"/>
      <c r="G551" s="37"/>
      <c r="H551" s="60"/>
      <c r="I551" s="38"/>
      <c r="J551" s="38"/>
      <c r="K551" s="39"/>
      <c r="L551" s="62"/>
    </row>
    <row r="552" spans="1:12" ht="19.9" customHeight="1">
      <c r="A552" s="37"/>
      <c r="B552" s="37"/>
      <c r="C552" s="38"/>
      <c r="D552" s="37"/>
      <c r="E552" s="37"/>
      <c r="F552" s="38"/>
      <c r="G552" s="37"/>
      <c r="H552" s="60"/>
      <c r="I552" s="38"/>
      <c r="J552" s="38"/>
      <c r="K552" s="39"/>
      <c r="L552" s="62"/>
    </row>
    <row r="553" spans="1:12" ht="19.9" customHeight="1">
      <c r="A553" s="37"/>
      <c r="B553" s="37"/>
      <c r="C553" s="38"/>
      <c r="D553" s="37"/>
      <c r="E553" s="37"/>
      <c r="F553" s="38"/>
      <c r="G553" s="37"/>
      <c r="H553" s="60"/>
      <c r="I553" s="38"/>
      <c r="J553" s="38"/>
      <c r="K553" s="39"/>
      <c r="L553" s="62"/>
    </row>
    <row r="554" spans="1:12" ht="19.9" customHeight="1">
      <c r="A554" s="37"/>
      <c r="B554" s="37"/>
      <c r="C554" s="38"/>
      <c r="D554" s="37"/>
      <c r="E554" s="37"/>
      <c r="F554" s="38"/>
      <c r="G554" s="37"/>
      <c r="H554" s="60"/>
      <c r="I554" s="38"/>
      <c r="J554" s="38"/>
      <c r="K554" s="39"/>
      <c r="L554" s="62"/>
    </row>
    <row r="555" spans="1:12" ht="19.9" customHeight="1">
      <c r="A555" s="37"/>
      <c r="B555" s="37"/>
      <c r="C555" s="38"/>
      <c r="D555" s="37"/>
      <c r="E555" s="37"/>
      <c r="F555" s="38"/>
      <c r="G555" s="37"/>
      <c r="H555" s="60"/>
      <c r="I555" s="38"/>
      <c r="J555" s="38"/>
      <c r="K555" s="39"/>
      <c r="L555" s="62"/>
    </row>
    <row r="556" spans="1:12" ht="19.9" customHeight="1">
      <c r="A556" s="37"/>
      <c r="B556" s="37"/>
      <c r="C556" s="38"/>
      <c r="D556" s="37"/>
      <c r="E556" s="37"/>
      <c r="F556" s="38"/>
      <c r="G556" s="37"/>
      <c r="H556" s="60"/>
      <c r="I556" s="38"/>
      <c r="J556" s="38"/>
      <c r="K556" s="39"/>
      <c r="L556" s="62"/>
    </row>
    <row r="557" spans="1:12" ht="19.9" customHeight="1">
      <c r="A557" s="37"/>
      <c r="B557" s="37"/>
      <c r="C557" s="38"/>
      <c r="D557" s="37"/>
      <c r="E557" s="37"/>
      <c r="F557" s="38"/>
      <c r="G557" s="37"/>
      <c r="H557" s="60"/>
      <c r="I557" s="38"/>
      <c r="J557" s="38"/>
      <c r="K557" s="39"/>
      <c r="L557" s="62"/>
    </row>
    <row r="558" spans="1:12" ht="19.9" customHeight="1">
      <c r="A558" s="37"/>
      <c r="B558" s="37"/>
      <c r="C558" s="38"/>
      <c r="D558" s="37"/>
      <c r="E558" s="37"/>
      <c r="F558" s="38"/>
      <c r="G558" s="37"/>
      <c r="H558" s="60"/>
      <c r="I558" s="38"/>
      <c r="J558" s="38"/>
      <c r="K558" s="39"/>
      <c r="L558" s="62"/>
    </row>
    <row r="559" spans="1:12" ht="19.9" customHeight="1">
      <c r="A559" s="37"/>
      <c r="B559" s="37"/>
      <c r="C559" s="38"/>
      <c r="D559" s="37"/>
      <c r="E559" s="37"/>
      <c r="F559" s="38"/>
      <c r="G559" s="37"/>
      <c r="H559" s="60"/>
      <c r="I559" s="38"/>
      <c r="J559" s="38"/>
      <c r="K559" s="39"/>
      <c r="L559" s="62"/>
    </row>
    <row r="560" spans="1:12" ht="19.9" customHeight="1">
      <c r="A560" s="37"/>
      <c r="B560" s="37"/>
      <c r="C560" s="38"/>
      <c r="D560" s="37"/>
      <c r="E560" s="37"/>
      <c r="F560" s="38"/>
      <c r="G560" s="37"/>
      <c r="H560" s="60"/>
      <c r="I560" s="38"/>
      <c r="J560" s="38"/>
      <c r="K560" s="39"/>
      <c r="L560" s="62"/>
    </row>
    <row r="561" spans="1:12" ht="19.9" customHeight="1">
      <c r="A561" s="37"/>
      <c r="B561" s="37"/>
      <c r="C561" s="38"/>
      <c r="D561" s="37"/>
      <c r="E561" s="37"/>
      <c r="F561" s="38"/>
      <c r="G561" s="37"/>
      <c r="H561" s="60"/>
      <c r="I561" s="38"/>
      <c r="J561" s="38"/>
      <c r="K561" s="39"/>
      <c r="L561" s="62"/>
    </row>
    <row r="562" spans="1:12" ht="19.9" customHeight="1">
      <c r="A562" s="37"/>
      <c r="B562" s="37"/>
      <c r="C562" s="38"/>
      <c r="D562" s="37"/>
      <c r="E562" s="37"/>
      <c r="F562" s="38"/>
      <c r="G562" s="37"/>
      <c r="H562" s="60"/>
      <c r="I562" s="38"/>
      <c r="J562" s="38"/>
      <c r="K562" s="39"/>
      <c r="L562" s="62"/>
    </row>
    <row r="563" spans="1:12" ht="19.9" customHeight="1">
      <c r="A563" s="37"/>
      <c r="B563" s="37"/>
      <c r="C563" s="38"/>
      <c r="D563" s="37"/>
      <c r="E563" s="37"/>
      <c r="F563" s="38"/>
      <c r="G563" s="37"/>
      <c r="H563" s="60"/>
      <c r="I563" s="38"/>
      <c r="J563" s="38"/>
      <c r="K563" s="39"/>
      <c r="L563" s="62"/>
    </row>
    <row r="564" spans="1:12" ht="19.9" customHeight="1">
      <c r="A564" s="37"/>
      <c r="B564" s="37"/>
      <c r="C564" s="38"/>
      <c r="D564" s="37"/>
      <c r="E564" s="37"/>
      <c r="F564" s="38"/>
      <c r="G564" s="37"/>
      <c r="H564" s="60"/>
      <c r="I564" s="38"/>
      <c r="J564" s="38"/>
      <c r="K564" s="39"/>
      <c r="L564" s="62"/>
    </row>
    <row r="565" spans="1:12" ht="19.9" customHeight="1">
      <c r="A565" s="37"/>
      <c r="B565" s="37"/>
      <c r="C565" s="38"/>
      <c r="D565" s="37"/>
      <c r="E565" s="37"/>
      <c r="F565" s="38"/>
      <c r="G565" s="37"/>
      <c r="H565" s="60"/>
      <c r="I565" s="38"/>
      <c r="J565" s="38"/>
      <c r="K565" s="39"/>
      <c r="L565" s="62"/>
    </row>
    <row r="566" spans="1:12" ht="19.9" customHeight="1">
      <c r="A566" s="37"/>
      <c r="B566" s="37"/>
      <c r="C566" s="38"/>
      <c r="D566" s="37"/>
      <c r="E566" s="37"/>
      <c r="F566" s="38"/>
      <c r="G566" s="37"/>
      <c r="H566" s="60"/>
      <c r="I566" s="38"/>
      <c r="J566" s="38"/>
      <c r="K566" s="39"/>
      <c r="L566" s="62"/>
    </row>
    <row r="567" spans="1:12" ht="19.9" customHeight="1">
      <c r="A567" s="37"/>
      <c r="B567" s="37"/>
      <c r="C567" s="38"/>
      <c r="D567" s="37"/>
      <c r="E567" s="37"/>
      <c r="F567" s="38"/>
      <c r="G567" s="37"/>
      <c r="H567" s="60"/>
      <c r="I567" s="38"/>
      <c r="J567" s="38"/>
      <c r="K567" s="39"/>
      <c r="L567" s="62"/>
    </row>
    <row r="568" spans="1:12" ht="19.9" customHeight="1">
      <c r="A568" s="37"/>
      <c r="B568" s="37"/>
      <c r="C568" s="38"/>
      <c r="D568" s="37"/>
      <c r="E568" s="37"/>
      <c r="F568" s="38"/>
      <c r="G568" s="37"/>
      <c r="H568" s="60"/>
      <c r="I568" s="38"/>
      <c r="J568" s="38"/>
      <c r="K568" s="39"/>
      <c r="L568" s="62"/>
    </row>
    <row r="569" spans="1:12" ht="19.9" customHeight="1">
      <c r="A569" s="37"/>
      <c r="B569" s="37"/>
      <c r="C569" s="38"/>
      <c r="D569" s="37"/>
      <c r="E569" s="37"/>
      <c r="F569" s="38"/>
      <c r="G569" s="37"/>
      <c r="H569" s="60"/>
      <c r="I569" s="38"/>
      <c r="J569" s="38"/>
      <c r="K569" s="39"/>
      <c r="L569" s="62"/>
    </row>
    <row r="570" spans="1:12" ht="19.9" customHeight="1">
      <c r="A570" s="37"/>
      <c r="B570" s="37"/>
      <c r="C570" s="38"/>
      <c r="D570" s="37"/>
      <c r="E570" s="37"/>
      <c r="F570" s="38"/>
      <c r="G570" s="37"/>
      <c r="H570" s="60"/>
      <c r="I570" s="38"/>
      <c r="J570" s="38"/>
      <c r="K570" s="39"/>
      <c r="L570" s="62"/>
    </row>
    <row r="571" spans="1:12" ht="19.9" customHeight="1">
      <c r="A571" s="37"/>
      <c r="B571" s="37"/>
      <c r="C571" s="38"/>
      <c r="D571" s="37"/>
      <c r="E571" s="37"/>
      <c r="F571" s="38"/>
      <c r="G571" s="37"/>
      <c r="H571" s="60"/>
      <c r="I571" s="38"/>
      <c r="J571" s="38"/>
      <c r="K571" s="39"/>
      <c r="L571" s="62"/>
    </row>
    <row r="572" spans="1:12" ht="19.9" customHeight="1">
      <c r="A572" s="37"/>
      <c r="B572" s="37"/>
      <c r="C572" s="38"/>
      <c r="D572" s="37"/>
      <c r="E572" s="37"/>
      <c r="F572" s="38"/>
      <c r="G572" s="37"/>
      <c r="H572" s="60"/>
      <c r="I572" s="38"/>
      <c r="J572" s="38"/>
      <c r="K572" s="39"/>
      <c r="L572" s="62"/>
    </row>
    <row r="573" spans="1:12" ht="19.9" customHeight="1">
      <c r="A573" s="37"/>
      <c r="B573" s="37"/>
      <c r="C573" s="38"/>
      <c r="D573" s="37"/>
      <c r="E573" s="37"/>
      <c r="F573" s="38"/>
      <c r="G573" s="37"/>
      <c r="H573" s="60"/>
      <c r="I573" s="38"/>
      <c r="J573" s="38"/>
      <c r="K573" s="39"/>
      <c r="L573" s="62"/>
    </row>
    <row r="574" spans="1:12" ht="19.9" customHeight="1">
      <c r="A574" s="37"/>
      <c r="B574" s="37"/>
      <c r="C574" s="38"/>
      <c r="D574" s="37"/>
      <c r="E574" s="37"/>
      <c r="F574" s="38"/>
      <c r="G574" s="37"/>
      <c r="H574" s="60"/>
      <c r="I574" s="38"/>
      <c r="J574" s="38"/>
      <c r="K574" s="39"/>
      <c r="L574" s="62"/>
    </row>
    <row r="575" spans="1:12" ht="19.9" customHeight="1">
      <c r="A575" s="37"/>
      <c r="B575" s="37"/>
      <c r="C575" s="38"/>
      <c r="D575" s="37"/>
      <c r="E575" s="37"/>
      <c r="F575" s="38"/>
      <c r="G575" s="37"/>
      <c r="H575" s="60"/>
      <c r="I575" s="38"/>
      <c r="J575" s="38"/>
      <c r="K575" s="39"/>
      <c r="L575" s="62"/>
    </row>
    <row r="576" spans="1:12" ht="19.9" customHeight="1">
      <c r="A576" s="37"/>
      <c r="B576" s="37"/>
      <c r="C576" s="38"/>
      <c r="D576" s="37"/>
      <c r="E576" s="37"/>
      <c r="F576" s="38"/>
      <c r="G576" s="37"/>
      <c r="H576" s="60"/>
      <c r="I576" s="38"/>
      <c r="J576" s="38"/>
      <c r="K576" s="39"/>
      <c r="L576" s="62"/>
    </row>
    <row r="577" spans="1:12" ht="19.9" customHeight="1">
      <c r="A577" s="37"/>
      <c r="B577" s="37"/>
      <c r="C577" s="38"/>
      <c r="D577" s="37"/>
      <c r="E577" s="37"/>
      <c r="F577" s="38"/>
      <c r="G577" s="37"/>
      <c r="H577" s="60"/>
      <c r="I577" s="38"/>
      <c r="J577" s="38"/>
      <c r="K577" s="39"/>
      <c r="L577" s="62"/>
    </row>
    <row r="578" spans="1:12" ht="19.9" customHeight="1">
      <c r="A578" s="37"/>
      <c r="B578" s="37"/>
      <c r="C578" s="38"/>
      <c r="D578" s="37"/>
      <c r="E578" s="37"/>
      <c r="F578" s="38"/>
      <c r="G578" s="37"/>
      <c r="H578" s="60"/>
      <c r="I578" s="38"/>
      <c r="J578" s="38"/>
      <c r="K578" s="39"/>
      <c r="L578" s="62"/>
    </row>
    <row r="579" spans="1:12" ht="19.9" customHeight="1">
      <c r="A579" s="37"/>
      <c r="B579" s="37"/>
      <c r="C579" s="38"/>
      <c r="D579" s="37"/>
      <c r="E579" s="37"/>
      <c r="F579" s="38"/>
      <c r="G579" s="37"/>
      <c r="H579" s="60"/>
      <c r="I579" s="38"/>
      <c r="J579" s="38"/>
      <c r="K579" s="39"/>
      <c r="L579" s="62"/>
    </row>
    <row r="580" spans="1:12" ht="19.9" customHeight="1">
      <c r="A580" s="37"/>
      <c r="B580" s="37"/>
      <c r="C580" s="38"/>
      <c r="D580" s="37"/>
      <c r="E580" s="37"/>
      <c r="F580" s="38"/>
      <c r="G580" s="37"/>
      <c r="H580" s="60"/>
      <c r="I580" s="38"/>
      <c r="J580" s="38"/>
      <c r="K580" s="39"/>
      <c r="L580" s="62"/>
    </row>
    <row r="581" spans="1:12" ht="19.9" customHeight="1">
      <c r="A581" s="37"/>
      <c r="B581" s="37"/>
      <c r="C581" s="38"/>
      <c r="D581" s="37"/>
      <c r="E581" s="37"/>
      <c r="F581" s="38"/>
      <c r="G581" s="37"/>
      <c r="H581" s="60"/>
      <c r="I581" s="38"/>
      <c r="J581" s="38"/>
      <c r="K581" s="39"/>
      <c r="L581" s="62"/>
    </row>
    <row r="582" spans="1:12" ht="19.9" customHeight="1">
      <c r="A582" s="37"/>
      <c r="B582" s="37"/>
      <c r="C582" s="38"/>
      <c r="D582" s="37"/>
      <c r="E582" s="37"/>
      <c r="F582" s="38"/>
      <c r="G582" s="37"/>
      <c r="H582" s="60"/>
      <c r="I582" s="38"/>
      <c r="J582" s="38"/>
      <c r="K582" s="39"/>
      <c r="L582" s="62"/>
    </row>
    <row r="583" spans="1:12" ht="19.9" customHeight="1">
      <c r="A583" s="37"/>
      <c r="B583" s="37"/>
      <c r="C583" s="38"/>
      <c r="D583" s="37"/>
      <c r="E583" s="37"/>
      <c r="F583" s="38"/>
      <c r="G583" s="37"/>
      <c r="H583" s="60"/>
      <c r="I583" s="38"/>
      <c r="J583" s="38"/>
      <c r="K583" s="39"/>
      <c r="L583" s="62"/>
    </row>
    <row r="584" spans="1:12" ht="19.9" customHeight="1">
      <c r="A584" s="37"/>
      <c r="B584" s="37"/>
      <c r="C584" s="38"/>
      <c r="D584" s="37"/>
      <c r="E584" s="37"/>
      <c r="F584" s="38"/>
      <c r="G584" s="37"/>
      <c r="H584" s="60"/>
      <c r="I584" s="38"/>
      <c r="J584" s="38"/>
      <c r="K584" s="39"/>
      <c r="L584" s="62"/>
    </row>
    <row r="585" spans="1:12" ht="19.9" customHeight="1">
      <c r="A585" s="37"/>
      <c r="B585" s="37"/>
      <c r="C585" s="38"/>
      <c r="D585" s="37"/>
      <c r="E585" s="37"/>
      <c r="F585" s="38"/>
      <c r="G585" s="37"/>
      <c r="H585" s="60"/>
      <c r="I585" s="38"/>
      <c r="J585" s="38"/>
      <c r="K585" s="39"/>
      <c r="L585" s="62"/>
    </row>
    <row r="586" spans="1:12" ht="19.9" customHeight="1">
      <c r="A586" s="37"/>
      <c r="B586" s="37"/>
      <c r="C586" s="38"/>
      <c r="D586" s="37"/>
      <c r="E586" s="37"/>
      <c r="F586" s="38"/>
      <c r="G586" s="37"/>
      <c r="H586" s="60"/>
      <c r="I586" s="38"/>
      <c r="J586" s="38"/>
      <c r="K586" s="39"/>
      <c r="L586" s="62"/>
    </row>
    <row r="587" spans="1:12" ht="19.9" customHeight="1">
      <c r="A587" s="37"/>
      <c r="B587" s="37"/>
      <c r="C587" s="38"/>
      <c r="D587" s="37"/>
      <c r="E587" s="37"/>
      <c r="F587" s="38"/>
      <c r="G587" s="37"/>
      <c r="H587" s="60"/>
      <c r="I587" s="38"/>
      <c r="J587" s="38"/>
      <c r="K587" s="39"/>
      <c r="L587" s="62"/>
    </row>
    <row r="588" spans="1:12" ht="19.9" customHeight="1">
      <c r="A588" s="37"/>
      <c r="B588" s="37"/>
      <c r="C588" s="38"/>
      <c r="D588" s="37"/>
      <c r="E588" s="37"/>
      <c r="F588" s="38"/>
      <c r="G588" s="37"/>
      <c r="H588" s="60"/>
      <c r="I588" s="38"/>
      <c r="J588" s="38"/>
      <c r="K588" s="39"/>
      <c r="L588" s="62"/>
    </row>
    <row r="589" spans="1:12" ht="19.9" customHeight="1">
      <c r="A589" s="37"/>
      <c r="B589" s="37"/>
      <c r="C589" s="38"/>
      <c r="D589" s="37"/>
      <c r="E589" s="37"/>
      <c r="F589" s="38"/>
      <c r="G589" s="37"/>
      <c r="H589" s="60"/>
      <c r="I589" s="38"/>
      <c r="J589" s="38"/>
      <c r="K589" s="39"/>
      <c r="L589" s="62"/>
    </row>
    <row r="590" spans="1:12" ht="19.9" customHeight="1">
      <c r="A590" s="37"/>
      <c r="B590" s="37"/>
      <c r="C590" s="38"/>
      <c r="D590" s="37"/>
      <c r="E590" s="37"/>
      <c r="F590" s="38"/>
      <c r="G590" s="37"/>
      <c r="H590" s="60"/>
      <c r="I590" s="38"/>
      <c r="J590" s="38"/>
      <c r="K590" s="39"/>
      <c r="L590" s="62"/>
    </row>
    <row r="591" spans="1:12" ht="19.9" customHeight="1">
      <c r="A591" s="37"/>
      <c r="B591" s="37"/>
      <c r="C591" s="38"/>
      <c r="D591" s="37"/>
      <c r="E591" s="37"/>
      <c r="F591" s="38"/>
      <c r="G591" s="37"/>
      <c r="H591" s="60"/>
      <c r="I591" s="38"/>
      <c r="J591" s="38"/>
      <c r="K591" s="39"/>
      <c r="L591" s="62"/>
    </row>
    <row r="592" spans="1:12" ht="19.9" customHeight="1">
      <c r="A592" s="37"/>
      <c r="B592" s="37"/>
      <c r="C592" s="38"/>
      <c r="D592" s="37"/>
      <c r="E592" s="37"/>
      <c r="F592" s="38"/>
      <c r="G592" s="37"/>
      <c r="H592" s="60"/>
      <c r="I592" s="38"/>
      <c r="J592" s="38"/>
      <c r="K592" s="39"/>
      <c r="L592" s="62"/>
    </row>
    <row r="593" spans="1:12" ht="19.9" customHeight="1">
      <c r="A593" s="37"/>
      <c r="B593" s="37"/>
      <c r="C593" s="38"/>
      <c r="D593" s="37"/>
      <c r="E593" s="37"/>
      <c r="F593" s="38"/>
      <c r="G593" s="37"/>
      <c r="H593" s="60"/>
      <c r="I593" s="38"/>
      <c r="J593" s="38"/>
      <c r="K593" s="39"/>
      <c r="L593" s="62"/>
    </row>
    <row r="594" spans="1:12" ht="19.9" customHeight="1">
      <c r="A594" s="37"/>
      <c r="B594" s="37"/>
      <c r="C594" s="38"/>
      <c r="D594" s="37"/>
      <c r="E594" s="37"/>
      <c r="F594" s="38"/>
      <c r="G594" s="37"/>
      <c r="H594" s="60"/>
      <c r="I594" s="38"/>
      <c r="J594" s="38"/>
      <c r="K594" s="39"/>
      <c r="L594" s="62"/>
    </row>
    <row r="595" spans="1:12" ht="19.9" customHeight="1">
      <c r="A595" s="37"/>
      <c r="B595" s="37"/>
      <c r="C595" s="38"/>
      <c r="D595" s="37"/>
      <c r="E595" s="37"/>
      <c r="F595" s="38"/>
      <c r="G595" s="37"/>
      <c r="H595" s="60"/>
      <c r="I595" s="38"/>
      <c r="J595" s="38"/>
      <c r="K595" s="39"/>
      <c r="L595" s="62"/>
    </row>
    <row r="596" spans="1:12" ht="19.9" customHeight="1">
      <c r="A596" s="37"/>
      <c r="B596" s="37"/>
      <c r="C596" s="38"/>
      <c r="D596" s="37"/>
      <c r="E596" s="37"/>
      <c r="F596" s="38"/>
      <c r="G596" s="37"/>
      <c r="H596" s="60"/>
      <c r="I596" s="38"/>
      <c r="J596" s="38"/>
      <c r="K596" s="39"/>
      <c r="L596" s="62"/>
    </row>
    <row r="597" spans="1:12" ht="19.9" customHeight="1">
      <c r="A597" s="37"/>
      <c r="B597" s="37"/>
      <c r="C597" s="38"/>
      <c r="D597" s="37"/>
      <c r="E597" s="37"/>
      <c r="F597" s="38"/>
      <c r="G597" s="37"/>
      <c r="H597" s="60"/>
      <c r="I597" s="38"/>
      <c r="J597" s="38"/>
      <c r="K597" s="39"/>
      <c r="L597" s="62"/>
    </row>
    <row r="598" spans="1:12" ht="19.9" customHeight="1">
      <c r="A598" s="37"/>
      <c r="B598" s="37"/>
      <c r="C598" s="38"/>
      <c r="D598" s="37"/>
      <c r="E598" s="37"/>
      <c r="F598" s="38"/>
      <c r="G598" s="37"/>
      <c r="H598" s="60"/>
      <c r="I598" s="38"/>
      <c r="J598" s="38"/>
      <c r="K598" s="39"/>
      <c r="L598" s="62"/>
    </row>
    <row r="599" spans="1:12" ht="19.9" customHeight="1">
      <c r="A599" s="37"/>
      <c r="B599" s="37"/>
      <c r="C599" s="38"/>
      <c r="D599" s="37"/>
      <c r="E599" s="37"/>
      <c r="F599" s="38"/>
      <c r="G599" s="37"/>
      <c r="H599" s="60"/>
      <c r="I599" s="38"/>
      <c r="J599" s="38"/>
      <c r="K599" s="39"/>
      <c r="L599" s="62"/>
    </row>
    <row r="600" spans="1:12" ht="19.9" customHeight="1">
      <c r="A600" s="37"/>
      <c r="B600" s="37"/>
      <c r="C600" s="38"/>
      <c r="D600" s="37"/>
      <c r="E600" s="37"/>
      <c r="F600" s="38"/>
      <c r="G600" s="37"/>
      <c r="H600" s="60"/>
      <c r="I600" s="38"/>
      <c r="J600" s="38"/>
      <c r="K600" s="39"/>
      <c r="L600" s="62"/>
    </row>
    <row r="601" spans="1:12" ht="19.9" customHeight="1">
      <c r="A601" s="37"/>
      <c r="B601" s="37"/>
      <c r="C601" s="38"/>
      <c r="D601" s="37"/>
      <c r="E601" s="37"/>
      <c r="F601" s="38"/>
      <c r="G601" s="37"/>
      <c r="H601" s="60"/>
      <c r="I601" s="38"/>
      <c r="J601" s="38"/>
      <c r="K601" s="39"/>
      <c r="L601" s="62"/>
    </row>
    <row r="602" spans="1:12" ht="19.9" customHeight="1">
      <c r="A602" s="37"/>
      <c r="B602" s="37"/>
      <c r="C602" s="38"/>
      <c r="D602" s="37"/>
      <c r="E602" s="37"/>
      <c r="F602" s="38"/>
      <c r="G602" s="37"/>
      <c r="H602" s="60"/>
      <c r="I602" s="38"/>
      <c r="J602" s="38"/>
      <c r="K602" s="39"/>
      <c r="L602" s="62"/>
    </row>
    <row r="603" spans="1:12" ht="19.9" customHeight="1">
      <c r="A603" s="37"/>
      <c r="B603" s="37"/>
      <c r="C603" s="38"/>
      <c r="D603" s="37"/>
      <c r="E603" s="37"/>
      <c r="F603" s="38"/>
      <c r="G603" s="37"/>
      <c r="H603" s="60"/>
      <c r="I603" s="38"/>
      <c r="J603" s="38"/>
      <c r="K603" s="39"/>
      <c r="L603" s="62"/>
    </row>
    <row r="604" spans="1:12" ht="19.9" customHeight="1">
      <c r="A604" s="37"/>
      <c r="B604" s="37"/>
      <c r="C604" s="38"/>
      <c r="D604" s="37"/>
      <c r="E604" s="37"/>
      <c r="F604" s="38"/>
      <c r="G604" s="37"/>
      <c r="H604" s="60"/>
      <c r="I604" s="38"/>
      <c r="J604" s="38"/>
      <c r="K604" s="39"/>
      <c r="L604" s="62"/>
    </row>
    <row r="605" spans="1:12" ht="19.9" customHeight="1">
      <c r="A605" s="37"/>
      <c r="B605" s="37"/>
      <c r="C605" s="38"/>
      <c r="D605" s="37"/>
      <c r="E605" s="37"/>
      <c r="F605" s="38"/>
      <c r="G605" s="37"/>
      <c r="H605" s="60"/>
      <c r="I605" s="38"/>
      <c r="J605" s="38"/>
      <c r="K605" s="39"/>
      <c r="L605" s="62"/>
    </row>
    <row r="606" spans="1:12" ht="19.9" customHeight="1">
      <c r="A606" s="37"/>
      <c r="B606" s="37"/>
      <c r="C606" s="38"/>
      <c r="D606" s="37"/>
      <c r="E606" s="37"/>
      <c r="F606" s="38"/>
      <c r="G606" s="37"/>
      <c r="H606" s="60"/>
      <c r="I606" s="38"/>
      <c r="J606" s="38"/>
      <c r="K606" s="39"/>
      <c r="L606" s="62"/>
    </row>
    <row r="607" spans="1:12" ht="19.9" customHeight="1">
      <c r="A607" s="37"/>
      <c r="B607" s="37"/>
      <c r="C607" s="38"/>
      <c r="D607" s="37"/>
      <c r="E607" s="37"/>
      <c r="F607" s="38"/>
      <c r="G607" s="37"/>
      <c r="H607" s="60"/>
      <c r="I607" s="38"/>
      <c r="J607" s="38"/>
      <c r="K607" s="39"/>
      <c r="L607" s="62"/>
    </row>
    <row r="608" spans="1:12" ht="19.9" customHeight="1">
      <c r="A608" s="37"/>
      <c r="B608" s="37"/>
      <c r="C608" s="38"/>
      <c r="D608" s="37"/>
      <c r="E608" s="37"/>
      <c r="F608" s="38"/>
      <c r="G608" s="37"/>
      <c r="H608" s="60"/>
      <c r="I608" s="38"/>
      <c r="J608" s="38"/>
      <c r="K608" s="39"/>
      <c r="L608" s="62"/>
    </row>
    <row r="609" spans="1:12" ht="19.9" customHeight="1">
      <c r="A609" s="37"/>
      <c r="B609" s="37"/>
      <c r="C609" s="38"/>
      <c r="D609" s="37"/>
      <c r="E609" s="37"/>
      <c r="F609" s="38"/>
      <c r="G609" s="37"/>
      <c r="H609" s="60"/>
      <c r="I609" s="38"/>
      <c r="J609" s="38"/>
      <c r="K609" s="39"/>
      <c r="L609" s="62"/>
    </row>
    <row r="610" spans="1:12" ht="19.9" customHeight="1">
      <c r="A610" s="37"/>
      <c r="B610" s="37"/>
      <c r="C610" s="38"/>
      <c r="D610" s="37"/>
      <c r="E610" s="37"/>
      <c r="F610" s="38"/>
      <c r="G610" s="37"/>
      <c r="H610" s="60"/>
      <c r="I610" s="38"/>
      <c r="J610" s="38"/>
      <c r="K610" s="39"/>
      <c r="L610" s="62"/>
    </row>
    <row r="611" spans="1:12" ht="19.9" customHeight="1">
      <c r="A611" s="37"/>
      <c r="B611" s="37"/>
      <c r="C611" s="38"/>
      <c r="D611" s="37"/>
      <c r="E611" s="37"/>
      <c r="F611" s="38"/>
      <c r="G611" s="37"/>
      <c r="H611" s="60"/>
      <c r="I611" s="38"/>
      <c r="J611" s="38"/>
      <c r="K611" s="39"/>
      <c r="L611" s="62"/>
    </row>
    <row r="612" spans="1:12" ht="19.9" customHeight="1">
      <c r="A612" s="37"/>
      <c r="B612" s="37"/>
      <c r="C612" s="38"/>
      <c r="D612" s="37"/>
      <c r="E612" s="37"/>
      <c r="F612" s="38"/>
      <c r="G612" s="37"/>
      <c r="H612" s="60"/>
      <c r="I612" s="38"/>
      <c r="J612" s="38"/>
      <c r="K612" s="39"/>
      <c r="L612" s="62"/>
    </row>
    <row r="613" spans="1:12" ht="19.9" customHeight="1">
      <c r="A613" s="37"/>
      <c r="B613" s="37"/>
      <c r="C613" s="38"/>
      <c r="D613" s="37"/>
      <c r="E613" s="37"/>
      <c r="F613" s="38"/>
      <c r="G613" s="37"/>
      <c r="H613" s="60"/>
      <c r="I613" s="38"/>
      <c r="J613" s="38"/>
      <c r="K613" s="39"/>
      <c r="L613" s="62"/>
    </row>
    <row r="614" spans="1:12" ht="19.9" customHeight="1">
      <c r="A614" s="37"/>
      <c r="B614" s="37"/>
      <c r="C614" s="38"/>
      <c r="D614" s="37"/>
      <c r="E614" s="37"/>
      <c r="F614" s="38"/>
      <c r="G614" s="37"/>
      <c r="H614" s="60"/>
      <c r="I614" s="38"/>
      <c r="J614" s="38"/>
      <c r="K614" s="39"/>
      <c r="L614" s="62"/>
    </row>
    <row r="615" spans="1:12" ht="19.9" customHeight="1">
      <c r="A615" s="37"/>
      <c r="B615" s="37"/>
      <c r="C615" s="38"/>
      <c r="D615" s="37"/>
      <c r="E615" s="37"/>
      <c r="F615" s="38"/>
      <c r="G615" s="37"/>
      <c r="H615" s="60"/>
      <c r="I615" s="38"/>
      <c r="J615" s="38"/>
      <c r="K615" s="39"/>
      <c r="L615" s="62"/>
    </row>
    <row r="616" spans="1:12" ht="19.9" customHeight="1">
      <c r="A616" s="37"/>
      <c r="B616" s="37"/>
      <c r="C616" s="38"/>
      <c r="D616" s="37"/>
      <c r="E616" s="37"/>
      <c r="F616" s="38"/>
      <c r="G616" s="37"/>
      <c r="H616" s="60"/>
      <c r="I616" s="38"/>
      <c r="J616" s="38"/>
      <c r="K616" s="39"/>
      <c r="L616" s="62"/>
    </row>
    <row r="617" spans="1:12" ht="19.9" customHeight="1">
      <c r="A617" s="37"/>
      <c r="B617" s="37"/>
      <c r="C617" s="38"/>
      <c r="D617" s="37"/>
      <c r="E617" s="37"/>
      <c r="F617" s="38"/>
      <c r="G617" s="37"/>
      <c r="H617" s="60"/>
      <c r="I617" s="38"/>
      <c r="J617" s="38"/>
      <c r="K617" s="39"/>
      <c r="L617" s="62"/>
    </row>
    <row r="618" spans="1:12" ht="19.9" customHeight="1">
      <c r="A618" s="37"/>
      <c r="B618" s="37"/>
      <c r="C618" s="38"/>
      <c r="D618" s="37"/>
      <c r="E618" s="37"/>
      <c r="F618" s="38"/>
      <c r="G618" s="37"/>
      <c r="H618" s="60"/>
      <c r="I618" s="38"/>
      <c r="J618" s="38"/>
      <c r="K618" s="39"/>
      <c r="L618" s="62"/>
    </row>
    <row r="619" spans="1:12" ht="19.9" customHeight="1">
      <c r="A619" s="37"/>
      <c r="B619" s="37"/>
      <c r="C619" s="38"/>
      <c r="D619" s="37"/>
      <c r="E619" s="37"/>
      <c r="F619" s="38"/>
      <c r="G619" s="37"/>
      <c r="H619" s="60"/>
      <c r="I619" s="38"/>
      <c r="J619" s="38"/>
      <c r="K619" s="39"/>
      <c r="L619" s="62"/>
    </row>
    <row r="620" spans="1:12" ht="19.9" customHeight="1">
      <c r="A620" s="37"/>
      <c r="B620" s="37"/>
      <c r="C620" s="38"/>
      <c r="D620" s="37"/>
      <c r="E620" s="37"/>
      <c r="F620" s="38"/>
      <c r="G620" s="37"/>
      <c r="H620" s="60"/>
      <c r="I620" s="38"/>
      <c r="J620" s="38"/>
      <c r="K620" s="39"/>
      <c r="L620" s="62"/>
    </row>
    <row r="621" spans="1:12" ht="19.9" customHeight="1">
      <c r="A621" s="37"/>
      <c r="B621" s="37"/>
      <c r="C621" s="38"/>
      <c r="D621" s="37"/>
      <c r="E621" s="37"/>
      <c r="F621" s="38"/>
      <c r="G621" s="37"/>
      <c r="H621" s="60"/>
      <c r="I621" s="38"/>
      <c r="J621" s="38"/>
      <c r="K621" s="39"/>
      <c r="L621" s="62"/>
    </row>
    <row r="622" spans="1:12" ht="19.9" customHeight="1">
      <c r="A622" s="37"/>
      <c r="B622" s="37"/>
      <c r="C622" s="38"/>
      <c r="D622" s="37"/>
      <c r="E622" s="37"/>
      <c r="F622" s="38"/>
      <c r="G622" s="37"/>
      <c r="H622" s="60"/>
      <c r="I622" s="38"/>
      <c r="J622" s="38"/>
      <c r="K622" s="39"/>
      <c r="L622" s="62"/>
    </row>
    <row r="623" spans="1:12" ht="19.9" customHeight="1">
      <c r="A623" s="37"/>
      <c r="B623" s="37"/>
      <c r="C623" s="38"/>
      <c r="D623" s="37"/>
      <c r="E623" s="37"/>
      <c r="F623" s="38"/>
      <c r="G623" s="37"/>
      <c r="H623" s="60"/>
      <c r="I623" s="38"/>
      <c r="J623" s="38"/>
      <c r="K623" s="39"/>
      <c r="L623" s="62"/>
    </row>
    <row r="624" spans="1:12" ht="19.9" customHeight="1">
      <c r="A624" s="37"/>
      <c r="B624" s="37"/>
      <c r="C624" s="38"/>
      <c r="D624" s="37"/>
      <c r="E624" s="37"/>
      <c r="F624" s="38"/>
      <c r="G624" s="37"/>
      <c r="H624" s="60"/>
      <c r="I624" s="38"/>
      <c r="J624" s="38"/>
      <c r="K624" s="39"/>
      <c r="L624" s="62"/>
    </row>
    <row r="625" spans="1:12" ht="19.9" customHeight="1">
      <c r="A625" s="37"/>
      <c r="B625" s="37"/>
      <c r="C625" s="38"/>
      <c r="D625" s="37"/>
      <c r="E625" s="37"/>
      <c r="F625" s="38"/>
      <c r="G625" s="37"/>
      <c r="H625" s="60"/>
      <c r="I625" s="38"/>
      <c r="J625" s="38"/>
      <c r="K625" s="39"/>
      <c r="L625" s="62"/>
    </row>
    <row r="626" spans="1:12" ht="19.9" customHeight="1">
      <c r="A626" s="37"/>
      <c r="B626" s="37"/>
      <c r="C626" s="38"/>
      <c r="D626" s="37"/>
      <c r="E626" s="37"/>
      <c r="F626" s="38"/>
      <c r="G626" s="37"/>
      <c r="H626" s="60"/>
      <c r="I626" s="38"/>
      <c r="J626" s="38"/>
      <c r="K626" s="39"/>
      <c r="L626" s="62"/>
    </row>
    <row r="627" spans="1:12" ht="19.9" customHeight="1">
      <c r="A627" s="37"/>
      <c r="B627" s="37"/>
      <c r="C627" s="38"/>
      <c r="D627" s="37"/>
      <c r="E627" s="37"/>
      <c r="F627" s="38"/>
      <c r="G627" s="37"/>
      <c r="H627" s="60"/>
      <c r="I627" s="38"/>
      <c r="J627" s="38"/>
      <c r="K627" s="39"/>
      <c r="L627" s="62"/>
    </row>
    <row r="628" spans="1:12" ht="19.9" customHeight="1">
      <c r="A628" s="37"/>
      <c r="B628" s="37"/>
      <c r="C628" s="38"/>
      <c r="D628" s="37"/>
      <c r="E628" s="37"/>
      <c r="F628" s="38"/>
      <c r="G628" s="37"/>
      <c r="H628" s="60"/>
      <c r="I628" s="38"/>
      <c r="J628" s="38"/>
      <c r="K628" s="39"/>
      <c r="L628" s="62"/>
    </row>
    <row r="629" spans="1:12" ht="19.9" customHeight="1">
      <c r="A629" s="37"/>
      <c r="B629" s="37"/>
      <c r="C629" s="38"/>
      <c r="D629" s="37"/>
      <c r="E629" s="37"/>
      <c r="F629" s="38"/>
      <c r="G629" s="37"/>
      <c r="H629" s="60"/>
      <c r="I629" s="38"/>
      <c r="J629" s="38"/>
      <c r="K629" s="39"/>
      <c r="L629" s="62"/>
    </row>
    <row r="630" spans="1:12" ht="19.9" customHeight="1">
      <c r="A630" s="37"/>
      <c r="B630" s="37"/>
      <c r="C630" s="38"/>
      <c r="D630" s="37"/>
      <c r="E630" s="37"/>
      <c r="F630" s="38"/>
      <c r="G630" s="37"/>
      <c r="H630" s="60"/>
      <c r="I630" s="38"/>
      <c r="J630" s="38"/>
      <c r="K630" s="39"/>
      <c r="L630" s="62"/>
    </row>
    <row r="631" spans="1:12" ht="19.9" customHeight="1">
      <c r="A631" s="37"/>
      <c r="B631" s="37"/>
      <c r="C631" s="38"/>
      <c r="D631" s="37"/>
      <c r="E631" s="37"/>
      <c r="F631" s="38"/>
      <c r="G631" s="37"/>
      <c r="H631" s="60"/>
      <c r="I631" s="38"/>
      <c r="J631" s="38"/>
      <c r="K631" s="39"/>
      <c r="L631" s="62"/>
    </row>
    <row r="632" spans="1:12" ht="19.9" customHeight="1">
      <c r="A632" s="37"/>
      <c r="B632" s="37"/>
      <c r="C632" s="38"/>
      <c r="D632" s="37"/>
      <c r="E632" s="37"/>
      <c r="F632" s="38"/>
      <c r="G632" s="37"/>
      <c r="H632" s="60"/>
      <c r="I632" s="38"/>
      <c r="J632" s="38"/>
      <c r="K632" s="39"/>
      <c r="L632" s="62"/>
    </row>
    <row r="633" spans="1:12" ht="19.9" customHeight="1">
      <c r="A633" s="37"/>
      <c r="B633" s="37"/>
      <c r="C633" s="38"/>
      <c r="D633" s="37"/>
      <c r="E633" s="37"/>
      <c r="F633" s="38"/>
      <c r="G633" s="37"/>
      <c r="H633" s="60"/>
      <c r="I633" s="38"/>
      <c r="J633" s="38"/>
      <c r="K633" s="39"/>
      <c r="L633" s="62"/>
    </row>
    <row r="634" spans="1:12" ht="19.9" customHeight="1">
      <c r="A634" s="37"/>
      <c r="B634" s="37"/>
      <c r="C634" s="38"/>
      <c r="D634" s="37"/>
      <c r="E634" s="37"/>
      <c r="F634" s="38"/>
      <c r="G634" s="37"/>
      <c r="H634" s="60"/>
      <c r="I634" s="38"/>
      <c r="J634" s="38"/>
      <c r="K634" s="39"/>
      <c r="L634" s="62"/>
    </row>
    <row r="635" spans="1:12" ht="19.9" customHeight="1">
      <c r="A635" s="37"/>
      <c r="B635" s="37"/>
      <c r="C635" s="38"/>
      <c r="D635" s="37"/>
      <c r="E635" s="37"/>
      <c r="F635" s="38"/>
      <c r="G635" s="37"/>
      <c r="H635" s="60"/>
      <c r="I635" s="38"/>
      <c r="J635" s="38"/>
      <c r="K635" s="39"/>
      <c r="L635" s="62"/>
    </row>
    <row r="636" spans="1:12" ht="19.9" customHeight="1">
      <c r="A636" s="37"/>
      <c r="B636" s="37"/>
      <c r="C636" s="38"/>
      <c r="D636" s="37"/>
      <c r="E636" s="37"/>
      <c r="F636" s="38"/>
      <c r="G636" s="37"/>
      <c r="H636" s="60"/>
      <c r="I636" s="38"/>
      <c r="J636" s="38"/>
      <c r="K636" s="39"/>
      <c r="L636" s="62"/>
    </row>
    <row r="637" spans="1:12" ht="19.9" customHeight="1">
      <c r="A637" s="37"/>
      <c r="B637" s="37"/>
      <c r="C637" s="38"/>
      <c r="D637" s="37"/>
      <c r="E637" s="37"/>
      <c r="F637" s="38"/>
      <c r="G637" s="37"/>
      <c r="H637" s="60"/>
      <c r="I637" s="38"/>
      <c r="J637" s="38"/>
      <c r="K637" s="39"/>
      <c r="L637" s="62"/>
    </row>
    <row r="638" spans="1:12" ht="19.9" customHeight="1">
      <c r="A638" s="37"/>
      <c r="B638" s="37"/>
      <c r="C638" s="38"/>
      <c r="D638" s="37"/>
      <c r="E638" s="37"/>
      <c r="F638" s="38"/>
      <c r="G638" s="37"/>
      <c r="H638" s="60"/>
      <c r="I638" s="38"/>
      <c r="J638" s="38"/>
      <c r="K638" s="39"/>
      <c r="L638" s="62"/>
    </row>
    <row r="639" spans="1:12" ht="19.9" customHeight="1">
      <c r="A639" s="37"/>
      <c r="B639" s="37"/>
      <c r="C639" s="38"/>
      <c r="D639" s="37"/>
      <c r="E639" s="37"/>
      <c r="F639" s="38"/>
      <c r="G639" s="37"/>
      <c r="H639" s="60"/>
      <c r="I639" s="38"/>
      <c r="J639" s="38"/>
      <c r="K639" s="39"/>
      <c r="L639" s="62"/>
    </row>
    <row r="640" spans="1:12" ht="19.9" customHeight="1">
      <c r="A640" s="37"/>
      <c r="B640" s="37"/>
      <c r="C640" s="38"/>
      <c r="D640" s="37"/>
      <c r="E640" s="37"/>
      <c r="F640" s="38"/>
      <c r="G640" s="37"/>
      <c r="H640" s="60"/>
      <c r="I640" s="38"/>
      <c r="J640" s="38"/>
      <c r="K640" s="39"/>
      <c r="L640" s="62"/>
    </row>
    <row r="641" spans="1:12" ht="19.9" customHeight="1">
      <c r="A641" s="37"/>
      <c r="B641" s="37"/>
      <c r="C641" s="38"/>
      <c r="D641" s="37"/>
      <c r="E641" s="37"/>
      <c r="F641" s="38"/>
      <c r="G641" s="37"/>
      <c r="H641" s="60"/>
      <c r="I641" s="38"/>
      <c r="J641" s="38"/>
      <c r="K641" s="39"/>
      <c r="L641" s="62"/>
    </row>
    <row r="642" spans="1:12" ht="19.9" customHeight="1">
      <c r="A642" s="37"/>
      <c r="B642" s="37"/>
      <c r="C642" s="38"/>
      <c r="D642" s="37"/>
      <c r="E642" s="37"/>
      <c r="F642" s="38"/>
      <c r="G642" s="37"/>
      <c r="H642" s="60"/>
      <c r="I642" s="38"/>
      <c r="J642" s="38"/>
      <c r="K642" s="39"/>
      <c r="L642" s="62"/>
    </row>
    <row r="643" spans="1:12" ht="19.9" customHeight="1">
      <c r="A643" s="37"/>
      <c r="B643" s="37"/>
      <c r="C643" s="38"/>
      <c r="D643" s="37"/>
      <c r="E643" s="37"/>
      <c r="F643" s="38"/>
      <c r="G643" s="37"/>
      <c r="H643" s="60"/>
      <c r="I643" s="38"/>
      <c r="J643" s="38"/>
      <c r="K643" s="39"/>
      <c r="L643" s="62"/>
    </row>
    <row r="644" spans="1:12" ht="19.9" customHeight="1">
      <c r="A644" s="37"/>
      <c r="B644" s="37"/>
      <c r="C644" s="38"/>
      <c r="D644" s="37"/>
      <c r="E644" s="37"/>
      <c r="F644" s="38"/>
      <c r="G644" s="37"/>
      <c r="H644" s="60"/>
      <c r="I644" s="38"/>
      <c r="J644" s="38"/>
      <c r="K644" s="39"/>
      <c r="L644" s="62"/>
    </row>
    <row r="645" spans="1:12" ht="19.9" customHeight="1">
      <c r="A645" s="37"/>
      <c r="B645" s="37"/>
      <c r="C645" s="38"/>
      <c r="D645" s="37"/>
      <c r="E645" s="37"/>
      <c r="F645" s="38"/>
      <c r="G645" s="37"/>
      <c r="H645" s="60"/>
      <c r="I645" s="38"/>
      <c r="J645" s="38"/>
      <c r="K645" s="39"/>
      <c r="L645" s="62"/>
    </row>
    <row r="646" spans="1:12" ht="19.9" customHeight="1">
      <c r="A646" s="37"/>
      <c r="B646" s="37"/>
      <c r="C646" s="38"/>
      <c r="D646" s="37"/>
      <c r="E646" s="37"/>
      <c r="F646" s="38"/>
      <c r="G646" s="37"/>
      <c r="H646" s="60"/>
      <c r="I646" s="38"/>
      <c r="J646" s="38"/>
      <c r="K646" s="39"/>
      <c r="L646" s="62"/>
    </row>
    <row r="647" spans="1:12" ht="19.9" customHeight="1">
      <c r="A647" s="37"/>
      <c r="B647" s="37"/>
      <c r="C647" s="38"/>
      <c r="D647" s="37"/>
      <c r="E647" s="37"/>
      <c r="F647" s="38"/>
      <c r="G647" s="37"/>
      <c r="H647" s="60"/>
      <c r="I647" s="38"/>
      <c r="J647" s="38"/>
      <c r="K647" s="39"/>
      <c r="L647" s="62"/>
    </row>
    <row r="648" spans="1:12" ht="19.9" customHeight="1">
      <c r="A648" s="37"/>
      <c r="B648" s="37"/>
      <c r="C648" s="38"/>
      <c r="D648" s="37"/>
      <c r="E648" s="37"/>
      <c r="F648" s="38"/>
      <c r="G648" s="37"/>
      <c r="H648" s="60"/>
      <c r="I648" s="38"/>
      <c r="J648" s="38"/>
      <c r="K648" s="39"/>
      <c r="L648" s="62"/>
    </row>
    <row r="649" spans="1:12" ht="19.9" customHeight="1">
      <c r="A649" s="37"/>
      <c r="B649" s="37"/>
      <c r="C649" s="38"/>
      <c r="D649" s="37"/>
      <c r="E649" s="37"/>
      <c r="F649" s="38"/>
      <c r="G649" s="37"/>
      <c r="H649" s="60"/>
      <c r="I649" s="38"/>
      <c r="J649" s="38"/>
      <c r="K649" s="39"/>
      <c r="L649" s="62"/>
    </row>
    <row r="650" spans="1:12" ht="19.9" customHeight="1">
      <c r="A650" s="37"/>
      <c r="B650" s="37"/>
      <c r="C650" s="38"/>
      <c r="D650" s="37"/>
      <c r="E650" s="37"/>
      <c r="F650" s="38"/>
      <c r="G650" s="37"/>
      <c r="H650" s="60"/>
      <c r="I650" s="38"/>
      <c r="J650" s="38"/>
      <c r="K650" s="39"/>
      <c r="L650" s="62"/>
    </row>
    <row r="651" spans="1:12" ht="19.9" customHeight="1">
      <c r="A651" s="37"/>
      <c r="B651" s="37"/>
      <c r="C651" s="38"/>
      <c r="D651" s="37"/>
      <c r="E651" s="37"/>
      <c r="F651" s="38"/>
      <c r="G651" s="37"/>
      <c r="H651" s="60"/>
      <c r="I651" s="38"/>
      <c r="J651" s="38"/>
      <c r="K651" s="39"/>
      <c r="L651" s="62"/>
    </row>
    <row r="652" spans="1:12" ht="19.9" customHeight="1">
      <c r="A652" s="37"/>
      <c r="B652" s="37"/>
      <c r="C652" s="38"/>
      <c r="D652" s="37"/>
      <c r="E652" s="37"/>
      <c r="F652" s="38"/>
      <c r="G652" s="37"/>
      <c r="H652" s="60"/>
      <c r="I652" s="38"/>
      <c r="J652" s="38"/>
      <c r="K652" s="39"/>
      <c r="L652" s="62"/>
    </row>
    <row r="653" spans="1:12" ht="19.9" customHeight="1">
      <c r="A653" s="37"/>
      <c r="B653" s="37"/>
      <c r="C653" s="38"/>
      <c r="D653" s="37"/>
      <c r="E653" s="37"/>
      <c r="F653" s="38"/>
      <c r="G653" s="37"/>
      <c r="H653" s="60"/>
      <c r="I653" s="38"/>
      <c r="J653" s="38"/>
      <c r="K653" s="39"/>
      <c r="L653" s="62"/>
    </row>
    <row r="654" spans="1:12" ht="19.9" customHeight="1">
      <c r="A654" s="37"/>
      <c r="B654" s="37"/>
      <c r="C654" s="38"/>
      <c r="D654" s="37"/>
      <c r="E654" s="37"/>
      <c r="F654" s="38"/>
      <c r="G654" s="37"/>
      <c r="H654" s="60"/>
      <c r="I654" s="38"/>
      <c r="J654" s="38"/>
      <c r="K654" s="39"/>
      <c r="L654" s="62"/>
    </row>
    <row r="655" spans="1:12" ht="19.9" customHeight="1">
      <c r="A655" s="37"/>
      <c r="B655" s="37"/>
      <c r="C655" s="38"/>
      <c r="D655" s="37"/>
      <c r="E655" s="37"/>
      <c r="F655" s="38"/>
      <c r="G655" s="37"/>
      <c r="H655" s="60"/>
      <c r="I655" s="38"/>
      <c r="J655" s="38"/>
      <c r="K655" s="39"/>
      <c r="L655" s="62"/>
    </row>
    <row r="656" spans="1:12" ht="19.9" customHeight="1">
      <c r="A656" s="37"/>
      <c r="B656" s="37"/>
      <c r="C656" s="38"/>
      <c r="D656" s="37"/>
      <c r="E656" s="37"/>
      <c r="F656" s="38"/>
      <c r="G656" s="37"/>
      <c r="H656" s="60"/>
      <c r="I656" s="38"/>
      <c r="J656" s="38"/>
      <c r="K656" s="39"/>
      <c r="L656" s="62"/>
    </row>
    <row r="657" spans="1:12" ht="19.9" customHeight="1">
      <c r="A657" s="37"/>
      <c r="B657" s="37"/>
      <c r="C657" s="38"/>
      <c r="D657" s="37"/>
      <c r="E657" s="37"/>
      <c r="F657" s="38"/>
      <c r="G657" s="37"/>
      <c r="H657" s="60"/>
      <c r="I657" s="38"/>
      <c r="J657" s="38"/>
      <c r="K657" s="39"/>
      <c r="L657" s="62"/>
    </row>
    <row r="658" spans="1:12" ht="19.9" customHeight="1">
      <c r="A658" s="37"/>
      <c r="B658" s="37"/>
      <c r="C658" s="38"/>
      <c r="D658" s="37"/>
      <c r="E658" s="37"/>
      <c r="F658" s="38"/>
      <c r="G658" s="37"/>
      <c r="H658" s="60"/>
      <c r="I658" s="38"/>
      <c r="J658" s="38"/>
      <c r="K658" s="39"/>
      <c r="L658" s="62"/>
    </row>
    <row r="659" spans="1:12" ht="19.9" customHeight="1">
      <c r="A659" s="37"/>
      <c r="B659" s="37"/>
      <c r="C659" s="38"/>
      <c r="D659" s="37"/>
      <c r="E659" s="37"/>
      <c r="F659" s="38"/>
      <c r="G659" s="37"/>
      <c r="H659" s="60"/>
      <c r="I659" s="38"/>
      <c r="J659" s="38"/>
      <c r="K659" s="39"/>
      <c r="L659" s="62"/>
    </row>
    <row r="660" spans="1:12" ht="19.9" customHeight="1">
      <c r="A660" s="37"/>
      <c r="B660" s="37"/>
      <c r="C660" s="38"/>
      <c r="D660" s="37"/>
      <c r="E660" s="37"/>
      <c r="F660" s="38"/>
      <c r="G660" s="37"/>
      <c r="H660" s="60"/>
      <c r="I660" s="38"/>
      <c r="J660" s="38"/>
      <c r="K660" s="39"/>
      <c r="L660" s="62"/>
    </row>
    <row r="661" spans="1:12" ht="19.9" customHeight="1">
      <c r="A661" s="37"/>
      <c r="B661" s="37"/>
      <c r="C661" s="38"/>
      <c r="D661" s="37"/>
      <c r="E661" s="37"/>
      <c r="F661" s="38"/>
      <c r="G661" s="37"/>
      <c r="H661" s="60"/>
      <c r="I661" s="38"/>
      <c r="J661" s="38"/>
      <c r="K661" s="39"/>
      <c r="L661" s="62"/>
    </row>
    <row r="662" spans="1:12" ht="19.9" customHeight="1">
      <c r="A662" s="37"/>
      <c r="B662" s="37"/>
      <c r="C662" s="38"/>
      <c r="D662" s="37"/>
      <c r="E662" s="37"/>
      <c r="F662" s="38"/>
      <c r="G662" s="37"/>
      <c r="H662" s="60"/>
      <c r="I662" s="38"/>
      <c r="J662" s="38"/>
      <c r="K662" s="39"/>
      <c r="L662" s="62"/>
    </row>
    <row r="663" spans="1:12" ht="19.9" customHeight="1">
      <c r="A663" s="37"/>
      <c r="B663" s="37"/>
      <c r="C663" s="38"/>
      <c r="D663" s="37"/>
      <c r="E663" s="37"/>
      <c r="F663" s="38"/>
      <c r="G663" s="37"/>
      <c r="H663" s="60"/>
      <c r="I663" s="38"/>
      <c r="J663" s="38"/>
      <c r="K663" s="39"/>
      <c r="L663" s="62"/>
    </row>
    <row r="664" spans="1:12" ht="19.9" customHeight="1">
      <c r="A664" s="37"/>
      <c r="B664" s="37"/>
      <c r="C664" s="38"/>
      <c r="D664" s="37"/>
      <c r="E664" s="37"/>
      <c r="F664" s="38"/>
      <c r="G664" s="37"/>
      <c r="H664" s="60"/>
      <c r="I664" s="38"/>
      <c r="J664" s="38"/>
      <c r="K664" s="39"/>
      <c r="L664" s="62"/>
    </row>
    <row r="665" spans="1:12" ht="19.9" customHeight="1">
      <c r="A665" s="37"/>
      <c r="B665" s="37"/>
      <c r="C665" s="38"/>
      <c r="D665" s="37"/>
      <c r="E665" s="37"/>
      <c r="F665" s="38"/>
      <c r="G665" s="37"/>
      <c r="H665" s="60"/>
      <c r="I665" s="38"/>
      <c r="J665" s="38"/>
      <c r="K665" s="39"/>
      <c r="L665" s="62"/>
    </row>
    <row r="666" spans="1:12" ht="19.9" customHeight="1">
      <c r="A666" s="37"/>
      <c r="B666" s="37"/>
      <c r="C666" s="38"/>
      <c r="D666" s="37"/>
      <c r="E666" s="37"/>
      <c r="F666" s="38"/>
      <c r="G666" s="37"/>
      <c r="H666" s="60"/>
      <c r="I666" s="38"/>
      <c r="J666" s="38"/>
      <c r="K666" s="39"/>
      <c r="L666" s="62"/>
    </row>
    <row r="667" spans="1:12" ht="19.9" customHeight="1">
      <c r="A667" s="37"/>
      <c r="B667" s="37"/>
      <c r="C667" s="38"/>
      <c r="D667" s="37"/>
      <c r="E667" s="37"/>
      <c r="F667" s="38"/>
      <c r="G667" s="37"/>
      <c r="H667" s="60"/>
      <c r="I667" s="38"/>
      <c r="J667" s="38"/>
      <c r="K667" s="39"/>
      <c r="L667" s="62"/>
    </row>
    <row r="668" spans="1:12" ht="19.9" customHeight="1">
      <c r="A668" s="37"/>
      <c r="B668" s="37"/>
      <c r="C668" s="38"/>
      <c r="D668" s="37"/>
      <c r="E668" s="37"/>
      <c r="F668" s="38"/>
      <c r="G668" s="37"/>
      <c r="H668" s="60"/>
      <c r="I668" s="38"/>
      <c r="J668" s="38"/>
      <c r="K668" s="39"/>
      <c r="L668" s="62"/>
    </row>
    <row r="669" spans="1:12" ht="19.9" customHeight="1">
      <c r="A669" s="37"/>
      <c r="B669" s="37"/>
      <c r="C669" s="38"/>
      <c r="D669" s="37"/>
      <c r="E669" s="37"/>
      <c r="F669" s="38"/>
      <c r="G669" s="37"/>
      <c r="H669" s="60"/>
      <c r="I669" s="38"/>
      <c r="J669" s="38"/>
      <c r="K669" s="39"/>
      <c r="L669" s="62"/>
    </row>
    <row r="670" spans="1:12" ht="19.9" customHeight="1">
      <c r="A670" s="37"/>
      <c r="B670" s="37"/>
      <c r="C670" s="38"/>
      <c r="D670" s="37"/>
      <c r="E670" s="37"/>
      <c r="F670" s="38"/>
      <c r="G670" s="37"/>
      <c r="H670" s="60"/>
      <c r="I670" s="38"/>
      <c r="J670" s="38"/>
      <c r="K670" s="39"/>
      <c r="L670" s="62"/>
    </row>
    <row r="671" spans="1:12" ht="19.9" customHeight="1">
      <c r="A671" s="37"/>
      <c r="B671" s="37"/>
      <c r="C671" s="38"/>
      <c r="D671" s="37"/>
      <c r="E671" s="37"/>
      <c r="F671" s="38"/>
      <c r="G671" s="37"/>
      <c r="H671" s="60"/>
      <c r="I671" s="38"/>
      <c r="J671" s="38"/>
      <c r="K671" s="39"/>
      <c r="L671" s="62"/>
    </row>
    <row r="672" spans="1:12" ht="19.9" customHeight="1">
      <c r="A672" s="37"/>
      <c r="B672" s="37"/>
      <c r="C672" s="38"/>
      <c r="D672" s="37"/>
      <c r="E672" s="37"/>
      <c r="F672" s="38"/>
      <c r="G672" s="37"/>
      <c r="H672" s="60"/>
      <c r="I672" s="38"/>
      <c r="J672" s="38"/>
      <c r="K672" s="39"/>
      <c r="L672" s="62"/>
    </row>
    <row r="673" spans="1:12" ht="19.9" customHeight="1">
      <c r="A673" s="37"/>
      <c r="B673" s="37"/>
      <c r="C673" s="38"/>
      <c r="D673" s="37"/>
      <c r="E673" s="37"/>
      <c r="F673" s="38"/>
      <c r="G673" s="37"/>
      <c r="H673" s="60"/>
      <c r="I673" s="38"/>
      <c r="J673" s="38"/>
      <c r="K673" s="39"/>
      <c r="L673" s="62"/>
    </row>
    <row r="674" spans="1:12" ht="19.9" customHeight="1">
      <c r="A674" s="37"/>
      <c r="B674" s="37"/>
      <c r="C674" s="38"/>
      <c r="D674" s="37"/>
      <c r="E674" s="37"/>
      <c r="F674" s="38"/>
      <c r="G674" s="37"/>
      <c r="H674" s="60"/>
      <c r="I674" s="38"/>
      <c r="J674" s="38"/>
      <c r="K674" s="39"/>
      <c r="L674" s="62"/>
    </row>
    <row r="675" spans="1:12" ht="19.9" customHeight="1">
      <c r="A675" s="37"/>
      <c r="B675" s="37"/>
      <c r="C675" s="38"/>
      <c r="D675" s="37"/>
      <c r="E675" s="37"/>
      <c r="F675" s="38"/>
      <c r="G675" s="37"/>
      <c r="H675" s="60"/>
      <c r="I675" s="38"/>
      <c r="J675" s="38"/>
      <c r="K675" s="39"/>
      <c r="L675" s="62"/>
    </row>
    <row r="676" spans="1:12" ht="19.9" customHeight="1">
      <c r="A676" s="37"/>
      <c r="B676" s="37"/>
      <c r="C676" s="38"/>
      <c r="D676" s="37"/>
      <c r="E676" s="37"/>
      <c r="F676" s="38"/>
      <c r="G676" s="37"/>
      <c r="H676" s="60"/>
      <c r="I676" s="38"/>
      <c r="J676" s="38"/>
      <c r="K676" s="39"/>
      <c r="L676" s="62"/>
    </row>
    <row r="677" spans="1:12" ht="19.9" customHeight="1">
      <c r="A677" s="37"/>
      <c r="B677" s="37"/>
      <c r="C677" s="38"/>
      <c r="D677" s="37"/>
      <c r="E677" s="37"/>
      <c r="F677" s="38"/>
      <c r="G677" s="37"/>
      <c r="H677" s="60"/>
      <c r="I677" s="38"/>
      <c r="J677" s="38"/>
      <c r="K677" s="39"/>
      <c r="L677" s="62"/>
    </row>
    <row r="678" spans="1:12" ht="19.9" customHeight="1">
      <c r="A678" s="37"/>
      <c r="B678" s="37"/>
      <c r="C678" s="38"/>
      <c r="D678" s="37"/>
      <c r="E678" s="37"/>
      <c r="F678" s="38"/>
      <c r="G678" s="37"/>
      <c r="H678" s="60"/>
      <c r="I678" s="38"/>
      <c r="J678" s="38"/>
      <c r="K678" s="39"/>
      <c r="L678" s="62"/>
    </row>
    <row r="679" spans="1:12" ht="19.9" customHeight="1">
      <c r="A679" s="37"/>
      <c r="B679" s="37"/>
      <c r="C679" s="38"/>
      <c r="D679" s="37"/>
      <c r="E679" s="37"/>
      <c r="F679" s="38"/>
      <c r="G679" s="37"/>
      <c r="H679" s="60"/>
      <c r="I679" s="38"/>
      <c r="J679" s="38"/>
      <c r="K679" s="39"/>
      <c r="L679" s="62"/>
    </row>
    <row r="680" spans="1:12" ht="19.9" customHeight="1">
      <c r="A680" s="37"/>
      <c r="B680" s="37"/>
      <c r="C680" s="38"/>
      <c r="D680" s="37"/>
      <c r="E680" s="37"/>
      <c r="F680" s="38"/>
      <c r="G680" s="37"/>
      <c r="H680" s="60"/>
      <c r="I680" s="38"/>
      <c r="J680" s="38"/>
      <c r="K680" s="39"/>
      <c r="L680" s="62"/>
    </row>
    <row r="681" spans="1:12" ht="19.9" customHeight="1">
      <c r="A681" s="37"/>
      <c r="B681" s="37"/>
      <c r="C681" s="38"/>
      <c r="D681" s="37"/>
      <c r="E681" s="37"/>
      <c r="F681" s="38"/>
      <c r="G681" s="37"/>
      <c r="H681" s="60"/>
      <c r="I681" s="38"/>
      <c r="J681" s="38"/>
      <c r="K681" s="39"/>
      <c r="L681" s="62"/>
    </row>
    <row r="682" spans="1:12" ht="19.9" customHeight="1">
      <c r="A682" s="37"/>
      <c r="B682" s="37"/>
      <c r="C682" s="38"/>
      <c r="D682" s="37"/>
      <c r="E682" s="37"/>
      <c r="F682" s="38"/>
      <c r="G682" s="37"/>
      <c r="H682" s="60"/>
      <c r="I682" s="38"/>
      <c r="J682" s="38"/>
      <c r="K682" s="39"/>
      <c r="L682" s="62"/>
    </row>
    <row r="683" spans="1:12" ht="19.9" customHeight="1">
      <c r="A683" s="37"/>
      <c r="B683" s="37"/>
      <c r="C683" s="38"/>
      <c r="D683" s="37"/>
      <c r="E683" s="37"/>
      <c r="F683" s="38"/>
      <c r="G683" s="37"/>
      <c r="H683" s="60"/>
      <c r="I683" s="38"/>
      <c r="J683" s="38"/>
      <c r="K683" s="39"/>
      <c r="L683" s="62"/>
    </row>
    <row r="684" spans="1:12" ht="19.9" customHeight="1">
      <c r="A684" s="37"/>
      <c r="B684" s="37"/>
      <c r="C684" s="38"/>
      <c r="D684" s="37"/>
      <c r="E684" s="37"/>
      <c r="F684" s="38"/>
      <c r="G684" s="37"/>
      <c r="H684" s="60"/>
      <c r="I684" s="38"/>
      <c r="J684" s="38"/>
      <c r="K684" s="39"/>
      <c r="L684" s="62"/>
    </row>
    <row r="685" spans="1:12" ht="19.9" customHeight="1">
      <c r="A685" s="37"/>
      <c r="B685" s="37"/>
      <c r="C685" s="38"/>
      <c r="D685" s="37"/>
      <c r="E685" s="37"/>
      <c r="F685" s="38"/>
      <c r="G685" s="37"/>
      <c r="H685" s="60"/>
      <c r="I685" s="38"/>
      <c r="J685" s="38"/>
      <c r="K685" s="39"/>
      <c r="L685" s="62"/>
    </row>
    <row r="686" spans="1:12" ht="19.9" customHeight="1">
      <c r="A686" s="37"/>
      <c r="B686" s="37"/>
      <c r="C686" s="38"/>
      <c r="D686" s="37"/>
      <c r="E686" s="37"/>
      <c r="F686" s="38"/>
      <c r="G686" s="37"/>
      <c r="H686" s="60"/>
      <c r="I686" s="38"/>
      <c r="J686" s="38"/>
      <c r="K686" s="39"/>
      <c r="L686" s="62"/>
    </row>
    <row r="687" spans="1:12" ht="19.9" customHeight="1">
      <c r="A687" s="37"/>
      <c r="B687" s="37"/>
      <c r="C687" s="38"/>
      <c r="D687" s="37"/>
      <c r="E687" s="37"/>
      <c r="F687" s="38"/>
      <c r="G687" s="37"/>
      <c r="H687" s="60"/>
      <c r="I687" s="38"/>
      <c r="J687" s="38"/>
      <c r="K687" s="39"/>
      <c r="L687" s="62"/>
    </row>
    <row r="688" spans="1:12" ht="19.9" customHeight="1">
      <c r="A688" s="37"/>
      <c r="B688" s="37"/>
      <c r="C688" s="38"/>
      <c r="D688" s="37"/>
      <c r="E688" s="37"/>
      <c r="F688" s="38"/>
      <c r="G688" s="37"/>
      <c r="H688" s="60"/>
      <c r="I688" s="38"/>
      <c r="J688" s="38"/>
      <c r="K688" s="39"/>
      <c r="L688" s="62"/>
    </row>
    <row r="689" spans="1:12" ht="19.9" customHeight="1">
      <c r="A689" s="37"/>
      <c r="B689" s="37"/>
      <c r="C689" s="38"/>
      <c r="D689" s="37"/>
      <c r="E689" s="37"/>
      <c r="F689" s="38"/>
      <c r="G689" s="37"/>
      <c r="H689" s="60"/>
      <c r="I689" s="38"/>
      <c r="J689" s="38"/>
      <c r="K689" s="39"/>
      <c r="L689" s="62"/>
    </row>
    <row r="690" spans="1:12" ht="19.9" customHeight="1">
      <c r="A690" s="37"/>
      <c r="B690" s="37"/>
      <c r="C690" s="38"/>
      <c r="D690" s="37"/>
      <c r="E690" s="37"/>
      <c r="F690" s="38"/>
      <c r="G690" s="37"/>
      <c r="H690" s="60"/>
      <c r="I690" s="38"/>
      <c r="J690" s="38"/>
      <c r="K690" s="39"/>
      <c r="L690" s="62"/>
    </row>
    <row r="691" spans="1:12" ht="19.9" customHeight="1">
      <c r="A691" s="37"/>
      <c r="B691" s="37"/>
      <c r="C691" s="38"/>
      <c r="D691" s="37"/>
      <c r="E691" s="37"/>
      <c r="F691" s="38"/>
      <c r="G691" s="37"/>
      <c r="H691" s="60"/>
      <c r="I691" s="38"/>
      <c r="J691" s="38"/>
      <c r="K691" s="39"/>
      <c r="L691" s="62"/>
    </row>
    <row r="692" spans="1:12" ht="19.9" customHeight="1">
      <c r="A692" s="37"/>
      <c r="B692" s="37"/>
      <c r="C692" s="38"/>
      <c r="D692" s="37"/>
      <c r="E692" s="37"/>
      <c r="F692" s="38"/>
      <c r="G692" s="37"/>
      <c r="H692" s="60"/>
      <c r="I692" s="38"/>
      <c r="J692" s="38"/>
      <c r="K692" s="39"/>
      <c r="L692" s="62"/>
    </row>
    <row r="693" spans="1:12" ht="19.9" customHeight="1">
      <c r="A693" s="37"/>
      <c r="B693" s="37"/>
      <c r="C693" s="38"/>
      <c r="D693" s="37"/>
      <c r="E693" s="37"/>
      <c r="F693" s="38"/>
      <c r="G693" s="37"/>
      <c r="H693" s="60"/>
      <c r="I693" s="38"/>
      <c r="J693" s="38"/>
      <c r="K693" s="39"/>
      <c r="L693" s="62"/>
    </row>
    <row r="694" spans="1:12" ht="19.9" customHeight="1">
      <c r="A694" s="37"/>
      <c r="B694" s="37"/>
      <c r="C694" s="38"/>
      <c r="D694" s="37"/>
      <c r="E694" s="37"/>
      <c r="F694" s="38"/>
      <c r="G694" s="37"/>
      <c r="H694" s="60"/>
      <c r="I694" s="38"/>
      <c r="J694" s="38"/>
      <c r="K694" s="39"/>
      <c r="L694" s="62"/>
    </row>
    <row r="695" spans="1:12" ht="19.9" customHeight="1">
      <c r="A695" s="37"/>
      <c r="B695" s="37"/>
      <c r="C695" s="38"/>
      <c r="D695" s="37"/>
      <c r="E695" s="37"/>
      <c r="F695" s="38"/>
      <c r="G695" s="37"/>
      <c r="H695" s="60"/>
      <c r="I695" s="38"/>
      <c r="J695" s="38"/>
      <c r="K695" s="39"/>
      <c r="L695" s="62"/>
    </row>
    <row r="696" spans="1:12" ht="19.9" customHeight="1">
      <c r="A696" s="37"/>
      <c r="B696" s="37"/>
      <c r="C696" s="38"/>
      <c r="D696" s="37"/>
      <c r="E696" s="37"/>
      <c r="F696" s="38"/>
      <c r="G696" s="37"/>
      <c r="H696" s="60"/>
      <c r="I696" s="38"/>
      <c r="J696" s="38"/>
      <c r="K696" s="39"/>
      <c r="L696" s="62"/>
    </row>
    <row r="697" spans="1:12" ht="19.9" customHeight="1">
      <c r="A697" s="37"/>
      <c r="B697" s="37"/>
      <c r="C697" s="38"/>
      <c r="D697" s="37"/>
      <c r="E697" s="37"/>
      <c r="F697" s="38"/>
      <c r="G697" s="37"/>
      <c r="H697" s="60"/>
      <c r="I697" s="38"/>
      <c r="J697" s="38"/>
      <c r="K697" s="39"/>
      <c r="L697" s="62"/>
    </row>
    <row r="698" spans="1:12" ht="19.9" customHeight="1">
      <c r="A698" s="37"/>
      <c r="B698" s="37"/>
      <c r="C698" s="38"/>
      <c r="D698" s="37"/>
      <c r="E698" s="37"/>
      <c r="F698" s="38"/>
      <c r="G698" s="37"/>
      <c r="H698" s="60"/>
      <c r="I698" s="38"/>
      <c r="J698" s="38"/>
      <c r="K698" s="39"/>
      <c r="L698" s="62"/>
    </row>
    <row r="699" spans="1:12" ht="19.9" customHeight="1">
      <c r="A699" s="37"/>
      <c r="B699" s="37"/>
      <c r="C699" s="38"/>
      <c r="D699" s="37"/>
      <c r="E699" s="37"/>
      <c r="F699" s="38"/>
      <c r="G699" s="37"/>
      <c r="H699" s="60"/>
      <c r="I699" s="38"/>
      <c r="J699" s="38"/>
      <c r="K699" s="39"/>
      <c r="L699" s="62"/>
    </row>
    <row r="700" spans="1:12" ht="19.9" customHeight="1">
      <c r="A700" s="37"/>
      <c r="B700" s="37"/>
      <c r="C700" s="38"/>
      <c r="D700" s="37"/>
      <c r="E700" s="37"/>
      <c r="F700" s="38"/>
      <c r="G700" s="37"/>
      <c r="H700" s="60"/>
      <c r="I700" s="38"/>
      <c r="J700" s="38"/>
      <c r="K700" s="39"/>
      <c r="L700" s="62"/>
    </row>
    <row r="701" spans="1:12" ht="19.9" customHeight="1">
      <c r="A701" s="37"/>
      <c r="B701" s="37"/>
      <c r="C701" s="38"/>
      <c r="D701" s="37"/>
      <c r="E701" s="37"/>
      <c r="F701" s="38"/>
      <c r="G701" s="37"/>
      <c r="H701" s="60"/>
      <c r="I701" s="38"/>
      <c r="J701" s="38"/>
      <c r="K701" s="39"/>
      <c r="L701" s="62"/>
    </row>
    <row r="702" spans="1:12" ht="19.9" customHeight="1">
      <c r="A702" s="37"/>
      <c r="B702" s="37"/>
      <c r="C702" s="38"/>
      <c r="D702" s="37"/>
      <c r="E702" s="37"/>
      <c r="F702" s="38"/>
      <c r="G702" s="37"/>
      <c r="H702" s="60"/>
      <c r="I702" s="38"/>
      <c r="J702" s="38"/>
      <c r="K702" s="39"/>
      <c r="L702" s="62"/>
    </row>
    <row r="703" spans="1:12" ht="19.9" customHeight="1">
      <c r="A703" s="37"/>
      <c r="B703" s="37"/>
      <c r="C703" s="38"/>
      <c r="D703" s="37"/>
      <c r="E703" s="37"/>
      <c r="F703" s="38"/>
      <c r="G703" s="37"/>
      <c r="H703" s="60"/>
      <c r="I703" s="38"/>
      <c r="J703" s="38"/>
      <c r="K703" s="39"/>
      <c r="L703" s="62"/>
    </row>
    <row r="704" spans="1:12" ht="19.9" customHeight="1">
      <c r="A704" s="37"/>
      <c r="B704" s="37"/>
      <c r="C704" s="38"/>
      <c r="D704" s="37"/>
      <c r="E704" s="37"/>
      <c r="F704" s="38"/>
      <c r="G704" s="37"/>
      <c r="H704" s="60"/>
      <c r="I704" s="38"/>
      <c r="J704" s="38"/>
      <c r="K704" s="39"/>
      <c r="L704" s="62"/>
    </row>
    <row r="705" spans="1:12" ht="19.9" customHeight="1">
      <c r="A705" s="37"/>
      <c r="B705" s="37"/>
      <c r="C705" s="38"/>
      <c r="D705" s="37"/>
      <c r="E705" s="37"/>
      <c r="F705" s="38"/>
      <c r="G705" s="37"/>
      <c r="H705" s="60"/>
      <c r="I705" s="38"/>
      <c r="J705" s="38"/>
      <c r="K705" s="39"/>
      <c r="L705" s="62"/>
    </row>
    <row r="706" spans="1:12" ht="19.9" customHeight="1">
      <c r="A706" s="37"/>
      <c r="B706" s="37"/>
      <c r="C706" s="38"/>
      <c r="D706" s="37"/>
      <c r="E706" s="37"/>
      <c r="F706" s="38"/>
      <c r="G706" s="37"/>
      <c r="H706" s="60"/>
      <c r="I706" s="38"/>
      <c r="J706" s="38"/>
      <c r="K706" s="39"/>
      <c r="L706" s="62"/>
    </row>
    <row r="707" spans="1:12" ht="19.9" customHeight="1">
      <c r="A707" s="37"/>
      <c r="B707" s="37"/>
      <c r="C707" s="38"/>
      <c r="D707" s="37"/>
      <c r="E707" s="37"/>
      <c r="F707" s="38"/>
      <c r="G707" s="37"/>
      <c r="H707" s="60"/>
      <c r="I707" s="38"/>
      <c r="J707" s="38"/>
      <c r="K707" s="39"/>
      <c r="L707" s="62"/>
    </row>
    <row r="708" spans="1:12" ht="19.9" customHeight="1">
      <c r="A708" s="37"/>
      <c r="B708" s="37"/>
      <c r="C708" s="38"/>
      <c r="D708" s="37"/>
      <c r="E708" s="37"/>
      <c r="F708" s="38"/>
      <c r="G708" s="37"/>
      <c r="H708" s="60"/>
      <c r="I708" s="38"/>
      <c r="J708" s="38"/>
      <c r="K708" s="39"/>
      <c r="L708" s="62"/>
    </row>
    <row r="709" spans="1:12" ht="19.9" customHeight="1">
      <c r="A709" s="37"/>
      <c r="B709" s="37"/>
      <c r="C709" s="38"/>
      <c r="D709" s="37"/>
      <c r="E709" s="37"/>
      <c r="F709" s="38"/>
      <c r="G709" s="37"/>
      <c r="H709" s="60"/>
      <c r="I709" s="38"/>
      <c r="J709" s="38"/>
      <c r="K709" s="39"/>
      <c r="L709" s="62"/>
    </row>
    <row r="710" spans="1:12" ht="19.9" customHeight="1">
      <c r="A710" s="37"/>
      <c r="B710" s="37"/>
      <c r="C710" s="38"/>
      <c r="D710" s="37"/>
      <c r="E710" s="37"/>
      <c r="F710" s="38"/>
      <c r="G710" s="37"/>
      <c r="H710" s="60"/>
      <c r="I710" s="38"/>
      <c r="J710" s="38"/>
      <c r="K710" s="39"/>
      <c r="L710" s="62"/>
    </row>
    <row r="711" spans="1:12" ht="19.9" customHeight="1">
      <c r="A711" s="37"/>
      <c r="B711" s="37"/>
      <c r="C711" s="38"/>
      <c r="D711" s="37"/>
      <c r="E711" s="37"/>
      <c r="F711" s="38"/>
      <c r="G711" s="37"/>
      <c r="H711" s="60"/>
      <c r="I711" s="38"/>
      <c r="J711" s="38"/>
      <c r="K711" s="39"/>
      <c r="L711" s="62"/>
    </row>
    <row r="712" spans="1:12" ht="19.9" customHeight="1">
      <c r="A712" s="37"/>
      <c r="B712" s="37"/>
      <c r="C712" s="38"/>
      <c r="D712" s="37"/>
      <c r="E712" s="37"/>
      <c r="F712" s="38"/>
      <c r="G712" s="37"/>
      <c r="H712" s="60"/>
      <c r="I712" s="38"/>
      <c r="J712" s="38"/>
      <c r="K712" s="39"/>
      <c r="L712" s="62"/>
    </row>
    <row r="713" spans="1:12" ht="19.9" customHeight="1">
      <c r="A713" s="37"/>
      <c r="B713" s="37"/>
      <c r="C713" s="38"/>
      <c r="D713" s="37"/>
      <c r="E713" s="37"/>
      <c r="F713" s="38"/>
      <c r="G713" s="37"/>
      <c r="H713" s="60"/>
      <c r="I713" s="38"/>
      <c r="J713" s="38"/>
      <c r="K713" s="39"/>
      <c r="L713" s="62"/>
    </row>
    <row r="714" spans="1:12" ht="19.9" customHeight="1">
      <c r="A714" s="37"/>
      <c r="B714" s="37"/>
      <c r="C714" s="38"/>
      <c r="D714" s="37"/>
      <c r="E714" s="37"/>
      <c r="F714" s="38"/>
      <c r="G714" s="37"/>
      <c r="H714" s="60"/>
      <c r="I714" s="38"/>
      <c r="J714" s="38"/>
      <c r="K714" s="39"/>
      <c r="L714" s="62"/>
    </row>
    <row r="715" spans="1:12" ht="19.9" customHeight="1">
      <c r="A715" s="37"/>
      <c r="B715" s="37"/>
      <c r="C715" s="38"/>
      <c r="D715" s="37"/>
      <c r="E715" s="37"/>
      <c r="F715" s="38"/>
      <c r="G715" s="37"/>
      <c r="H715" s="60"/>
      <c r="I715" s="38"/>
      <c r="J715" s="38"/>
      <c r="K715" s="39"/>
      <c r="L715" s="62"/>
    </row>
    <row r="716" spans="1:12" ht="19.9" customHeight="1">
      <c r="A716" s="37"/>
      <c r="B716" s="37"/>
      <c r="C716" s="38"/>
      <c r="D716" s="37"/>
      <c r="E716" s="37"/>
      <c r="F716" s="38"/>
      <c r="G716" s="37"/>
      <c r="H716" s="60"/>
      <c r="I716" s="38"/>
      <c r="J716" s="38"/>
      <c r="K716" s="39"/>
      <c r="L716" s="62"/>
    </row>
    <row r="717" spans="1:12" ht="19.9" customHeight="1">
      <c r="A717" s="37"/>
      <c r="B717" s="37"/>
      <c r="C717" s="38"/>
      <c r="D717" s="37"/>
      <c r="E717" s="37"/>
      <c r="F717" s="38"/>
      <c r="G717" s="37"/>
      <c r="H717" s="60"/>
      <c r="I717" s="38"/>
      <c r="J717" s="38"/>
      <c r="K717" s="39"/>
      <c r="L717" s="62"/>
    </row>
    <row r="718" spans="1:12" ht="19.9" customHeight="1">
      <c r="A718" s="37"/>
      <c r="B718" s="37"/>
      <c r="C718" s="38"/>
      <c r="D718" s="37"/>
      <c r="E718" s="37"/>
      <c r="F718" s="38"/>
      <c r="G718" s="37"/>
      <c r="H718" s="60"/>
      <c r="I718" s="38"/>
      <c r="J718" s="38"/>
      <c r="K718" s="39"/>
      <c r="L718" s="62"/>
    </row>
    <row r="719" spans="1:12" ht="19.9" customHeight="1">
      <c r="A719" s="37"/>
      <c r="B719" s="37"/>
      <c r="C719" s="38"/>
      <c r="D719" s="37"/>
      <c r="E719" s="37"/>
      <c r="F719" s="38"/>
      <c r="G719" s="37"/>
      <c r="H719" s="60"/>
      <c r="I719" s="38"/>
      <c r="J719" s="38"/>
      <c r="K719" s="39"/>
      <c r="L719" s="62"/>
    </row>
    <row r="720" spans="1:12" ht="19.9" customHeight="1">
      <c r="A720" s="37"/>
      <c r="B720" s="37"/>
      <c r="C720" s="38"/>
      <c r="D720" s="37"/>
      <c r="E720" s="37"/>
      <c r="F720" s="38"/>
      <c r="G720" s="37"/>
      <c r="H720" s="60"/>
      <c r="I720" s="38"/>
      <c r="J720" s="38"/>
      <c r="K720" s="39"/>
      <c r="L720" s="62"/>
    </row>
    <row r="721" spans="1:12" ht="19.9" customHeight="1">
      <c r="A721" s="37"/>
      <c r="B721" s="37"/>
      <c r="C721" s="38"/>
      <c r="D721" s="37"/>
      <c r="E721" s="37"/>
      <c r="F721" s="38"/>
      <c r="G721" s="37"/>
      <c r="H721" s="60"/>
      <c r="I721" s="38"/>
      <c r="J721" s="38"/>
      <c r="K721" s="39"/>
      <c r="L721" s="62"/>
    </row>
    <row r="722" spans="1:12" ht="19.9" customHeight="1">
      <c r="A722" s="37"/>
      <c r="B722" s="37"/>
      <c r="C722" s="38"/>
      <c r="D722" s="37"/>
      <c r="E722" s="37"/>
      <c r="F722" s="38"/>
      <c r="G722" s="37"/>
      <c r="H722" s="60"/>
      <c r="I722" s="38"/>
      <c r="J722" s="38"/>
      <c r="K722" s="39"/>
      <c r="L722" s="62"/>
    </row>
    <row r="723" spans="1:12" ht="19.9" customHeight="1">
      <c r="A723" s="37"/>
      <c r="B723" s="37"/>
      <c r="C723" s="38"/>
      <c r="D723" s="37"/>
      <c r="E723" s="37"/>
      <c r="F723" s="38"/>
      <c r="G723" s="37"/>
      <c r="H723" s="60"/>
      <c r="I723" s="38"/>
      <c r="J723" s="38"/>
      <c r="K723" s="39"/>
      <c r="L723" s="62"/>
    </row>
    <row r="724" spans="1:12" ht="19.9" customHeight="1">
      <c r="A724" s="37"/>
      <c r="B724" s="37"/>
      <c r="C724" s="38"/>
      <c r="D724" s="37"/>
      <c r="E724" s="37"/>
      <c r="F724" s="38"/>
      <c r="G724" s="37"/>
      <c r="H724" s="60"/>
      <c r="I724" s="38"/>
      <c r="J724" s="38"/>
      <c r="K724" s="39"/>
      <c r="L724" s="62"/>
    </row>
    <row r="725" spans="1:12" ht="19.9" customHeight="1">
      <c r="A725" s="37"/>
      <c r="B725" s="37"/>
      <c r="C725" s="38"/>
      <c r="D725" s="37"/>
      <c r="E725" s="37"/>
      <c r="F725" s="38"/>
      <c r="G725" s="37"/>
      <c r="H725" s="60"/>
      <c r="I725" s="38"/>
      <c r="J725" s="38"/>
      <c r="K725" s="39"/>
      <c r="L725" s="62"/>
    </row>
    <row r="726" spans="1:12" ht="19.9" customHeight="1">
      <c r="A726" s="37"/>
      <c r="B726" s="37"/>
      <c r="C726" s="38"/>
      <c r="D726" s="37"/>
      <c r="E726" s="37"/>
      <c r="F726" s="38"/>
      <c r="G726" s="37"/>
      <c r="H726" s="60"/>
      <c r="I726" s="38"/>
      <c r="J726" s="38"/>
      <c r="K726" s="39"/>
      <c r="L726" s="62"/>
    </row>
    <row r="727" spans="1:12" ht="19.9" customHeight="1">
      <c r="A727" s="37"/>
      <c r="B727" s="37"/>
      <c r="C727" s="38"/>
      <c r="D727" s="37"/>
      <c r="E727" s="37"/>
      <c r="F727" s="38"/>
      <c r="G727" s="37"/>
      <c r="H727" s="60"/>
      <c r="I727" s="38"/>
      <c r="J727" s="38"/>
      <c r="K727" s="39"/>
      <c r="L727" s="62"/>
    </row>
    <row r="728" spans="1:12" ht="19.9" customHeight="1">
      <c r="A728" s="37"/>
      <c r="B728" s="37"/>
      <c r="C728" s="38"/>
      <c r="D728" s="37"/>
      <c r="E728" s="37"/>
      <c r="F728" s="38"/>
      <c r="G728" s="37"/>
      <c r="H728" s="60"/>
      <c r="I728" s="38"/>
      <c r="J728" s="38"/>
      <c r="K728" s="39"/>
      <c r="L728" s="62"/>
    </row>
    <row r="729" spans="1:12" ht="19.9" customHeight="1">
      <c r="A729" s="37"/>
      <c r="B729" s="37"/>
      <c r="C729" s="38"/>
      <c r="D729" s="37"/>
      <c r="E729" s="37"/>
      <c r="F729" s="38"/>
      <c r="G729" s="37"/>
      <c r="H729" s="60"/>
      <c r="I729" s="38"/>
      <c r="J729" s="38"/>
      <c r="K729" s="39"/>
      <c r="L729" s="62"/>
    </row>
    <row r="730" spans="1:12" ht="19.9" customHeight="1">
      <c r="A730" s="37"/>
      <c r="B730" s="37"/>
      <c r="C730" s="38"/>
      <c r="D730" s="37"/>
      <c r="E730" s="37"/>
      <c r="F730" s="38"/>
      <c r="G730" s="37"/>
      <c r="H730" s="60"/>
      <c r="I730" s="38"/>
      <c r="J730" s="38"/>
      <c r="K730" s="39"/>
      <c r="L730" s="62"/>
    </row>
    <row r="731" spans="1:12" ht="19.9" customHeight="1">
      <c r="A731" s="37"/>
      <c r="B731" s="37"/>
      <c r="C731" s="38"/>
      <c r="D731" s="37"/>
      <c r="E731" s="37"/>
      <c r="F731" s="38"/>
      <c r="G731" s="37"/>
      <c r="H731" s="60"/>
      <c r="I731" s="38"/>
      <c r="J731" s="38"/>
      <c r="K731" s="39"/>
      <c r="L731" s="62"/>
    </row>
    <row r="732" spans="1:12" ht="19.9" customHeight="1">
      <c r="A732" s="37"/>
      <c r="B732" s="37"/>
      <c r="C732" s="38"/>
      <c r="D732" s="37"/>
      <c r="E732" s="37"/>
      <c r="F732" s="38"/>
      <c r="G732" s="37"/>
      <c r="H732" s="60"/>
      <c r="I732" s="38"/>
      <c r="J732" s="38"/>
      <c r="K732" s="39"/>
      <c r="L732" s="62"/>
    </row>
    <row r="733" spans="1:12" ht="19.9" customHeight="1">
      <c r="A733" s="37"/>
      <c r="B733" s="37"/>
      <c r="C733" s="38"/>
      <c r="D733" s="37"/>
      <c r="E733" s="37"/>
      <c r="F733" s="38"/>
      <c r="G733" s="37"/>
      <c r="H733" s="60"/>
      <c r="I733" s="38"/>
      <c r="J733" s="38"/>
      <c r="K733" s="39"/>
      <c r="L733" s="62"/>
    </row>
    <row r="734" spans="1:12" ht="19.9" customHeight="1">
      <c r="A734" s="37"/>
      <c r="B734" s="37"/>
      <c r="C734" s="38"/>
      <c r="D734" s="37"/>
      <c r="E734" s="37"/>
      <c r="F734" s="38"/>
      <c r="G734" s="37"/>
      <c r="H734" s="60"/>
      <c r="I734" s="38"/>
      <c r="J734" s="38"/>
      <c r="K734" s="39"/>
      <c r="L734" s="62"/>
    </row>
    <row r="735" spans="1:12" ht="19.9" customHeight="1">
      <c r="A735" s="37"/>
      <c r="B735" s="37"/>
      <c r="C735" s="38"/>
      <c r="D735" s="37"/>
      <c r="E735" s="37"/>
      <c r="F735" s="38"/>
      <c r="G735" s="37"/>
      <c r="H735" s="60"/>
      <c r="I735" s="38"/>
      <c r="J735" s="38"/>
      <c r="K735" s="39"/>
      <c r="L735" s="62"/>
    </row>
    <row r="736" spans="1:12" ht="19.9" customHeight="1">
      <c r="A736" s="37"/>
      <c r="B736" s="37"/>
      <c r="C736" s="38"/>
      <c r="D736" s="37"/>
      <c r="E736" s="37"/>
      <c r="F736" s="38"/>
      <c r="G736" s="37"/>
      <c r="H736" s="60"/>
      <c r="I736" s="38"/>
      <c r="J736" s="38"/>
      <c r="K736" s="39"/>
      <c r="L736" s="62"/>
    </row>
    <row r="737" spans="1:12" ht="19.9" customHeight="1">
      <c r="A737" s="37"/>
      <c r="B737" s="37"/>
      <c r="C737" s="38"/>
      <c r="D737" s="37"/>
      <c r="E737" s="37"/>
      <c r="F737" s="38"/>
      <c r="G737" s="37"/>
      <c r="H737" s="60"/>
      <c r="I737" s="38"/>
      <c r="J737" s="38"/>
      <c r="K737" s="39"/>
      <c r="L737" s="62"/>
    </row>
    <row r="738" spans="1:12" ht="19.9" customHeight="1">
      <c r="A738" s="37"/>
      <c r="B738" s="37"/>
      <c r="C738" s="38"/>
      <c r="D738" s="37"/>
      <c r="E738" s="37"/>
      <c r="F738" s="38"/>
      <c r="G738" s="37"/>
      <c r="H738" s="60"/>
      <c r="I738" s="38"/>
      <c r="J738" s="38"/>
      <c r="K738" s="39"/>
      <c r="L738" s="62"/>
    </row>
    <row r="739" spans="1:12" ht="19.9" customHeight="1">
      <c r="A739" s="37"/>
      <c r="B739" s="37"/>
      <c r="C739" s="38"/>
      <c r="D739" s="37"/>
      <c r="E739" s="37"/>
      <c r="F739" s="38"/>
      <c r="G739" s="37"/>
      <c r="H739" s="60"/>
      <c r="I739" s="38"/>
      <c r="J739" s="38"/>
      <c r="K739" s="39"/>
      <c r="L739" s="62"/>
    </row>
    <row r="740" spans="1:12" ht="19.9" customHeight="1">
      <c r="A740" s="37"/>
      <c r="B740" s="37"/>
      <c r="C740" s="38"/>
      <c r="D740" s="37"/>
      <c r="E740" s="37"/>
      <c r="F740" s="38"/>
      <c r="G740" s="37"/>
      <c r="H740" s="60"/>
      <c r="I740" s="38"/>
      <c r="J740" s="38"/>
      <c r="K740" s="39"/>
      <c r="L740" s="62"/>
    </row>
    <row r="741" spans="1:12" ht="19.9" customHeight="1">
      <c r="A741" s="37"/>
      <c r="B741" s="37"/>
      <c r="C741" s="38"/>
      <c r="D741" s="37"/>
      <c r="E741" s="37"/>
      <c r="F741" s="38"/>
      <c r="G741" s="37"/>
      <c r="H741" s="60"/>
      <c r="I741" s="38"/>
      <c r="J741" s="38"/>
      <c r="K741" s="39"/>
      <c r="L741" s="62"/>
    </row>
    <row r="742" spans="1:12" ht="19.9" customHeight="1">
      <c r="A742" s="37"/>
      <c r="B742" s="37"/>
      <c r="C742" s="38"/>
      <c r="D742" s="37"/>
      <c r="E742" s="37"/>
      <c r="F742" s="38"/>
      <c r="G742" s="37"/>
      <c r="H742" s="60"/>
      <c r="I742" s="38"/>
      <c r="J742" s="38"/>
      <c r="K742" s="39"/>
      <c r="L742" s="62"/>
    </row>
    <row r="743" spans="1:12" ht="19.9" customHeight="1">
      <c r="A743" s="37"/>
      <c r="B743" s="37"/>
      <c r="C743" s="38"/>
      <c r="D743" s="37"/>
      <c r="E743" s="37"/>
      <c r="F743" s="38"/>
      <c r="G743" s="37"/>
      <c r="H743" s="60"/>
      <c r="I743" s="38"/>
      <c r="J743" s="38"/>
      <c r="K743" s="39"/>
      <c r="L743" s="62"/>
    </row>
    <row r="744" spans="1:12" ht="19.9" customHeight="1">
      <c r="A744" s="37"/>
      <c r="B744" s="37"/>
      <c r="C744" s="38"/>
      <c r="D744" s="37"/>
      <c r="E744" s="37"/>
      <c r="F744" s="38"/>
      <c r="G744" s="37"/>
      <c r="H744" s="60"/>
      <c r="I744" s="38"/>
      <c r="J744" s="38"/>
      <c r="K744" s="39"/>
      <c r="L744" s="62"/>
    </row>
    <row r="745" spans="1:12" ht="19.9" customHeight="1">
      <c r="A745" s="37"/>
      <c r="B745" s="37"/>
      <c r="C745" s="38"/>
      <c r="D745" s="37"/>
      <c r="E745" s="37"/>
      <c r="F745" s="38"/>
      <c r="G745" s="37"/>
      <c r="H745" s="60"/>
      <c r="I745" s="38"/>
      <c r="J745" s="38"/>
      <c r="K745" s="39"/>
      <c r="L745" s="62"/>
    </row>
    <row r="746" spans="1:12" ht="19.9" customHeight="1">
      <c r="A746" s="37"/>
      <c r="B746" s="37"/>
      <c r="C746" s="38"/>
      <c r="D746" s="37"/>
      <c r="E746" s="37"/>
      <c r="F746" s="38"/>
      <c r="G746" s="37"/>
      <c r="H746" s="60"/>
      <c r="I746" s="38"/>
      <c r="J746" s="38"/>
      <c r="K746" s="39"/>
      <c r="L746" s="62"/>
    </row>
    <row r="747" spans="1:12" ht="19.9" customHeight="1">
      <c r="A747" s="37"/>
      <c r="B747" s="37"/>
      <c r="C747" s="38"/>
      <c r="D747" s="37"/>
      <c r="E747" s="37"/>
      <c r="F747" s="38"/>
      <c r="G747" s="37"/>
      <c r="H747" s="60"/>
      <c r="I747" s="38"/>
      <c r="J747" s="38"/>
      <c r="K747" s="39"/>
      <c r="L747" s="62"/>
    </row>
    <row r="748" spans="1:12" ht="19.9" customHeight="1">
      <c r="A748" s="37"/>
      <c r="B748" s="37"/>
      <c r="C748" s="38"/>
      <c r="D748" s="37"/>
      <c r="E748" s="37"/>
      <c r="F748" s="38"/>
      <c r="G748" s="37"/>
      <c r="H748" s="60"/>
      <c r="I748" s="38"/>
      <c r="J748" s="38"/>
      <c r="K748" s="39"/>
      <c r="L748" s="62"/>
    </row>
    <row r="749" spans="1:12" ht="19.9" customHeight="1">
      <c r="A749" s="37"/>
      <c r="B749" s="37"/>
      <c r="C749" s="38"/>
      <c r="D749" s="37"/>
      <c r="E749" s="37"/>
      <c r="F749" s="38"/>
      <c r="G749" s="37"/>
      <c r="H749" s="60"/>
      <c r="I749" s="38"/>
      <c r="J749" s="38"/>
      <c r="K749" s="39"/>
      <c r="L749" s="62"/>
    </row>
    <row r="750" spans="1:12" ht="19.9" customHeight="1">
      <c r="A750" s="37"/>
      <c r="B750" s="37"/>
      <c r="C750" s="38"/>
      <c r="D750" s="37"/>
      <c r="E750" s="37"/>
      <c r="F750" s="38"/>
      <c r="G750" s="37"/>
      <c r="H750" s="60"/>
      <c r="I750" s="38"/>
      <c r="J750" s="38"/>
      <c r="K750" s="39"/>
      <c r="L750" s="62"/>
    </row>
    <row r="751" spans="1:12" ht="19.9" customHeight="1">
      <c r="A751" s="37"/>
      <c r="B751" s="37"/>
      <c r="C751" s="38"/>
      <c r="D751" s="37"/>
      <c r="E751" s="37"/>
      <c r="F751" s="38"/>
      <c r="G751" s="37"/>
      <c r="H751" s="60"/>
      <c r="I751" s="38"/>
      <c r="J751" s="38"/>
      <c r="K751" s="39"/>
      <c r="L751" s="62"/>
    </row>
    <row r="752" spans="1:12" ht="19.9" customHeight="1">
      <c r="A752" s="37"/>
      <c r="B752" s="37"/>
      <c r="C752" s="38"/>
      <c r="D752" s="37"/>
      <c r="E752" s="37"/>
      <c r="F752" s="38"/>
      <c r="G752" s="37"/>
      <c r="H752" s="60"/>
      <c r="I752" s="38"/>
      <c r="J752" s="38"/>
      <c r="K752" s="39"/>
      <c r="L752" s="62"/>
    </row>
    <row r="753" spans="1:12" ht="19.9" customHeight="1">
      <c r="A753" s="37"/>
      <c r="B753" s="37"/>
      <c r="C753" s="38"/>
      <c r="D753" s="37"/>
      <c r="E753" s="37"/>
      <c r="F753" s="38"/>
      <c r="G753" s="37"/>
      <c r="H753" s="60"/>
      <c r="I753" s="38"/>
      <c r="J753" s="38"/>
      <c r="K753" s="39"/>
      <c r="L753" s="62"/>
    </row>
    <row r="754" spans="1:12" ht="19.9" customHeight="1">
      <c r="A754" s="37"/>
      <c r="B754" s="37"/>
      <c r="C754" s="38"/>
      <c r="D754" s="37"/>
      <c r="E754" s="37"/>
      <c r="F754" s="38"/>
      <c r="G754" s="37"/>
      <c r="H754" s="60"/>
      <c r="I754" s="38"/>
      <c r="J754" s="38"/>
      <c r="K754" s="39"/>
      <c r="L754" s="62"/>
    </row>
    <row r="755" spans="1:12" ht="19.9" customHeight="1">
      <c r="A755" s="37"/>
      <c r="B755" s="37"/>
      <c r="C755" s="38"/>
      <c r="D755" s="37"/>
      <c r="E755" s="37"/>
      <c r="F755" s="38"/>
      <c r="G755" s="37"/>
      <c r="H755" s="60"/>
      <c r="I755" s="38"/>
      <c r="J755" s="38"/>
      <c r="K755" s="39"/>
      <c r="L755" s="62"/>
    </row>
    <row r="756" spans="1:12" ht="19.9" customHeight="1">
      <c r="A756" s="37"/>
      <c r="B756" s="37"/>
      <c r="C756" s="38"/>
      <c r="D756" s="37"/>
      <c r="E756" s="37"/>
      <c r="F756" s="38"/>
      <c r="G756" s="37"/>
      <c r="H756" s="60"/>
      <c r="I756" s="38"/>
      <c r="J756" s="38"/>
      <c r="K756" s="39"/>
      <c r="L756" s="62"/>
    </row>
    <row r="757" spans="1:12" ht="19.9" customHeight="1">
      <c r="A757" s="37"/>
      <c r="B757" s="37"/>
      <c r="C757" s="38"/>
      <c r="D757" s="37"/>
      <c r="E757" s="37"/>
      <c r="F757" s="38"/>
      <c r="G757" s="37"/>
      <c r="H757" s="60"/>
      <c r="I757" s="38"/>
      <c r="J757" s="38"/>
      <c r="K757" s="39"/>
      <c r="L757" s="62"/>
    </row>
    <row r="758" spans="1:12" ht="19.9" customHeight="1">
      <c r="A758" s="37"/>
      <c r="B758" s="37"/>
      <c r="C758" s="38"/>
      <c r="D758" s="37"/>
      <c r="E758" s="37"/>
      <c r="F758" s="38"/>
      <c r="G758" s="37"/>
      <c r="H758" s="60"/>
      <c r="I758" s="38"/>
      <c r="J758" s="38"/>
      <c r="K758" s="39"/>
      <c r="L758" s="62"/>
    </row>
    <row r="759" spans="1:12" ht="19.9" customHeight="1">
      <c r="A759" s="37"/>
      <c r="B759" s="37"/>
      <c r="C759" s="38"/>
      <c r="D759" s="37"/>
      <c r="E759" s="37"/>
      <c r="F759" s="38"/>
      <c r="G759" s="37"/>
      <c r="H759" s="60"/>
      <c r="I759" s="38"/>
      <c r="J759" s="38"/>
      <c r="K759" s="39"/>
      <c r="L759" s="62"/>
    </row>
    <row r="760" spans="1:12" ht="19.9" customHeight="1">
      <c r="A760" s="37"/>
      <c r="B760" s="37"/>
      <c r="C760" s="38"/>
      <c r="D760" s="37"/>
      <c r="E760" s="37"/>
      <c r="F760" s="38"/>
      <c r="G760" s="37"/>
      <c r="H760" s="60"/>
      <c r="I760" s="38"/>
      <c r="J760" s="38"/>
      <c r="K760" s="39"/>
      <c r="L760" s="62"/>
    </row>
    <row r="761" spans="1:12" ht="19.9" customHeight="1">
      <c r="A761" s="37"/>
      <c r="B761" s="37"/>
      <c r="C761" s="38"/>
      <c r="D761" s="37"/>
      <c r="E761" s="37"/>
      <c r="F761" s="38"/>
      <c r="G761" s="37"/>
      <c r="H761" s="60"/>
      <c r="I761" s="38"/>
      <c r="J761" s="38"/>
      <c r="K761" s="39"/>
      <c r="L761" s="62"/>
    </row>
    <row r="762" spans="1:12" ht="19.9" customHeight="1">
      <c r="A762" s="37"/>
      <c r="B762" s="37"/>
      <c r="C762" s="38"/>
      <c r="D762" s="37"/>
      <c r="E762" s="37"/>
      <c r="F762" s="38"/>
      <c r="G762" s="37"/>
      <c r="H762" s="60"/>
      <c r="I762" s="38"/>
      <c r="J762" s="38"/>
      <c r="K762" s="39"/>
      <c r="L762" s="62"/>
    </row>
    <row r="763" spans="1:12" ht="19.9" customHeight="1">
      <c r="A763" s="37"/>
      <c r="B763" s="37"/>
      <c r="C763" s="38"/>
      <c r="D763" s="37"/>
      <c r="E763" s="37"/>
      <c r="F763" s="38"/>
      <c r="G763" s="37"/>
      <c r="H763" s="60"/>
      <c r="I763" s="38"/>
      <c r="J763" s="38"/>
      <c r="K763" s="39"/>
      <c r="L763" s="62"/>
    </row>
    <row r="764" spans="1:12" ht="19.9" customHeight="1">
      <c r="A764" s="37"/>
      <c r="B764" s="37"/>
      <c r="C764" s="38"/>
      <c r="D764" s="37"/>
      <c r="E764" s="37"/>
      <c r="F764" s="38"/>
      <c r="G764" s="37"/>
      <c r="H764" s="60"/>
      <c r="I764" s="38"/>
      <c r="J764" s="38"/>
      <c r="K764" s="39"/>
      <c r="L764" s="62"/>
    </row>
    <row r="765" spans="1:12" ht="19.9" customHeight="1">
      <c r="A765" s="37"/>
      <c r="B765" s="37"/>
      <c r="C765" s="38"/>
      <c r="D765" s="37"/>
      <c r="E765" s="37"/>
      <c r="F765" s="38"/>
      <c r="G765" s="37"/>
      <c r="H765" s="60"/>
      <c r="I765" s="38"/>
      <c r="J765" s="38"/>
      <c r="K765" s="39"/>
      <c r="L765" s="62"/>
    </row>
    <row r="766" spans="1:12" ht="19.9" customHeight="1">
      <c r="A766" s="37"/>
      <c r="B766" s="37"/>
      <c r="C766" s="38"/>
      <c r="D766" s="37"/>
      <c r="E766" s="37"/>
      <c r="F766" s="38"/>
      <c r="G766" s="37"/>
      <c r="H766" s="60"/>
      <c r="I766" s="38"/>
      <c r="J766" s="38"/>
      <c r="K766" s="39"/>
      <c r="L766" s="62"/>
    </row>
    <row r="767" spans="1:12" ht="19.9" customHeight="1">
      <c r="A767" s="37"/>
      <c r="B767" s="37"/>
      <c r="C767" s="38"/>
      <c r="D767" s="37"/>
      <c r="E767" s="37"/>
      <c r="F767" s="38"/>
      <c r="G767" s="37"/>
      <c r="H767" s="60"/>
      <c r="I767" s="38"/>
      <c r="J767" s="38"/>
      <c r="K767" s="39"/>
      <c r="L767" s="62"/>
    </row>
    <row r="768" spans="1:12" ht="19.9" customHeight="1">
      <c r="A768" s="37"/>
      <c r="B768" s="37"/>
      <c r="C768" s="38"/>
      <c r="D768" s="37"/>
      <c r="E768" s="37"/>
      <c r="F768" s="38"/>
      <c r="G768" s="37"/>
      <c r="H768" s="60"/>
      <c r="I768" s="38"/>
      <c r="J768" s="38"/>
      <c r="K768" s="39"/>
      <c r="L768" s="62"/>
    </row>
    <row r="769" spans="1:12" ht="19.9" customHeight="1">
      <c r="A769" s="37"/>
      <c r="B769" s="37"/>
      <c r="C769" s="38"/>
      <c r="D769" s="37"/>
      <c r="E769" s="37"/>
      <c r="F769" s="38"/>
      <c r="G769" s="37"/>
      <c r="H769" s="60"/>
      <c r="I769" s="38"/>
      <c r="J769" s="38"/>
      <c r="K769" s="39"/>
      <c r="L769" s="62"/>
    </row>
    <row r="770" spans="1:12" ht="19.9" customHeight="1">
      <c r="A770" s="37"/>
      <c r="B770" s="37"/>
      <c r="C770" s="38"/>
      <c r="D770" s="37"/>
      <c r="E770" s="37"/>
      <c r="F770" s="38"/>
      <c r="G770" s="37"/>
      <c r="H770" s="60"/>
      <c r="I770" s="38"/>
      <c r="J770" s="38"/>
      <c r="K770" s="39"/>
      <c r="L770" s="62"/>
    </row>
    <row r="771" spans="1:12" ht="19.9" customHeight="1">
      <c r="A771" s="37"/>
      <c r="B771" s="37"/>
      <c r="C771" s="38"/>
      <c r="D771" s="37"/>
      <c r="E771" s="37"/>
      <c r="F771" s="38"/>
      <c r="G771" s="37"/>
      <c r="H771" s="60"/>
      <c r="I771" s="38"/>
      <c r="J771" s="38"/>
      <c r="K771" s="39"/>
      <c r="L771" s="62"/>
    </row>
    <row r="772" spans="1:12" ht="19.9" customHeight="1">
      <c r="A772" s="37"/>
      <c r="B772" s="37"/>
      <c r="C772" s="38"/>
      <c r="D772" s="37"/>
      <c r="E772" s="37"/>
      <c r="F772" s="38"/>
      <c r="G772" s="37"/>
      <c r="H772" s="60"/>
      <c r="I772" s="38"/>
      <c r="J772" s="38"/>
      <c r="K772" s="39"/>
      <c r="L772" s="62"/>
    </row>
    <row r="773" spans="1:12" ht="19.9" customHeight="1">
      <c r="A773" s="37"/>
      <c r="B773" s="37"/>
      <c r="C773" s="38"/>
      <c r="D773" s="37"/>
      <c r="E773" s="37"/>
      <c r="F773" s="38"/>
      <c r="G773" s="37"/>
      <c r="H773" s="60"/>
      <c r="I773" s="38"/>
      <c r="J773" s="38"/>
      <c r="K773" s="39"/>
      <c r="L773" s="62"/>
    </row>
    <row r="774" spans="1:12" ht="19.9" customHeight="1">
      <c r="A774" s="37"/>
      <c r="B774" s="37"/>
      <c r="C774" s="38"/>
      <c r="D774" s="37"/>
      <c r="E774" s="37"/>
      <c r="F774" s="38"/>
      <c r="G774" s="37"/>
      <c r="H774" s="60"/>
      <c r="I774" s="38"/>
      <c r="J774" s="38"/>
      <c r="K774" s="39"/>
      <c r="L774" s="62"/>
    </row>
    <row r="775" spans="1:12" ht="19.9" customHeight="1">
      <c r="A775" s="37"/>
      <c r="B775" s="37"/>
      <c r="C775" s="38"/>
      <c r="D775" s="37"/>
      <c r="E775" s="37"/>
      <c r="F775" s="38"/>
      <c r="G775" s="37"/>
      <c r="H775" s="60"/>
      <c r="I775" s="38"/>
      <c r="J775" s="38"/>
      <c r="K775" s="39"/>
      <c r="L775" s="62"/>
    </row>
    <row r="776" spans="1:12" ht="19.9" customHeight="1">
      <c r="A776" s="37"/>
      <c r="B776" s="37"/>
      <c r="C776" s="38"/>
      <c r="D776" s="37"/>
      <c r="E776" s="37"/>
      <c r="F776" s="38"/>
      <c r="G776" s="37"/>
      <c r="H776" s="60"/>
      <c r="I776" s="38"/>
      <c r="J776" s="38"/>
      <c r="K776" s="39"/>
      <c r="L776" s="62"/>
    </row>
    <row r="777" spans="1:12" ht="19.9" customHeight="1">
      <c r="A777" s="37"/>
      <c r="B777" s="37"/>
      <c r="C777" s="38"/>
      <c r="D777" s="37"/>
      <c r="E777" s="37"/>
      <c r="F777" s="38"/>
      <c r="G777" s="37"/>
      <c r="H777" s="60"/>
      <c r="I777" s="38"/>
      <c r="J777" s="38"/>
      <c r="K777" s="39"/>
      <c r="L777" s="62"/>
    </row>
    <row r="778" spans="1:12" ht="19.9" customHeight="1">
      <c r="A778" s="37"/>
      <c r="B778" s="37"/>
      <c r="C778" s="38"/>
      <c r="D778" s="37"/>
      <c r="E778" s="37"/>
      <c r="F778" s="38"/>
      <c r="G778" s="37"/>
      <c r="H778" s="60"/>
      <c r="I778" s="38"/>
      <c r="J778" s="38"/>
      <c r="K778" s="39"/>
      <c r="L778" s="62"/>
    </row>
    <row r="779" spans="1:12" ht="19.9" customHeight="1">
      <c r="A779" s="37"/>
      <c r="B779" s="37"/>
      <c r="C779" s="38"/>
      <c r="D779" s="37"/>
      <c r="E779" s="37"/>
      <c r="F779" s="38"/>
      <c r="G779" s="37"/>
      <c r="H779" s="60"/>
      <c r="I779" s="38"/>
      <c r="J779" s="38"/>
      <c r="K779" s="39"/>
      <c r="L779" s="62"/>
    </row>
    <row r="780" spans="1:12" ht="19.9" customHeight="1">
      <c r="A780" s="37"/>
      <c r="B780" s="37"/>
      <c r="C780" s="38"/>
      <c r="D780" s="37"/>
      <c r="E780" s="37"/>
      <c r="F780" s="38"/>
      <c r="G780" s="37"/>
      <c r="H780" s="60"/>
      <c r="I780" s="38"/>
      <c r="J780" s="38"/>
      <c r="K780" s="39"/>
      <c r="L780" s="62"/>
    </row>
    <row r="781" spans="1:12" ht="19.9" customHeight="1">
      <c r="A781" s="37"/>
      <c r="B781" s="37"/>
      <c r="C781" s="38"/>
      <c r="D781" s="37"/>
      <c r="E781" s="37"/>
      <c r="F781" s="38"/>
      <c r="G781" s="37"/>
      <c r="H781" s="60"/>
      <c r="I781" s="38"/>
      <c r="J781" s="38"/>
      <c r="K781" s="39"/>
      <c r="L781" s="62"/>
    </row>
    <row r="782" spans="1:12" ht="19.9" customHeight="1">
      <c r="A782" s="37"/>
      <c r="B782" s="37"/>
      <c r="C782" s="38"/>
      <c r="D782" s="37"/>
      <c r="E782" s="37"/>
      <c r="F782" s="38"/>
      <c r="G782" s="37"/>
      <c r="H782" s="60"/>
      <c r="I782" s="38"/>
      <c r="J782" s="38"/>
      <c r="K782" s="39"/>
      <c r="L782" s="62"/>
    </row>
    <row r="783" spans="1:12" ht="19.9" customHeight="1">
      <c r="A783" s="37"/>
      <c r="B783" s="37"/>
      <c r="C783" s="38"/>
      <c r="D783" s="37"/>
      <c r="E783" s="37"/>
      <c r="F783" s="38"/>
      <c r="G783" s="37"/>
      <c r="H783" s="60"/>
      <c r="I783" s="38"/>
      <c r="J783" s="38"/>
      <c r="K783" s="39"/>
      <c r="L783" s="62"/>
    </row>
    <row r="784" spans="1:12" ht="19.9" customHeight="1">
      <c r="A784" s="37"/>
      <c r="B784" s="37"/>
      <c r="C784" s="38"/>
      <c r="D784" s="37"/>
      <c r="E784" s="37"/>
      <c r="F784" s="38"/>
      <c r="G784" s="37"/>
      <c r="H784" s="60"/>
      <c r="I784" s="38"/>
      <c r="J784" s="38"/>
      <c r="K784" s="39"/>
      <c r="L784" s="62"/>
    </row>
    <row r="785" spans="1:12" ht="19.9" customHeight="1">
      <c r="A785" s="37"/>
      <c r="B785" s="37"/>
      <c r="C785" s="38"/>
      <c r="D785" s="37"/>
      <c r="E785" s="37"/>
      <c r="F785" s="38"/>
      <c r="G785" s="37"/>
      <c r="H785" s="60"/>
      <c r="I785" s="38"/>
      <c r="J785" s="38"/>
      <c r="K785" s="39"/>
      <c r="L785" s="62"/>
    </row>
    <row r="786" spans="1:12" ht="19.9" customHeight="1">
      <c r="A786" s="37"/>
      <c r="B786" s="37"/>
      <c r="C786" s="38"/>
      <c r="D786" s="37"/>
      <c r="E786" s="37"/>
      <c r="F786" s="38"/>
      <c r="G786" s="37"/>
      <c r="H786" s="60"/>
      <c r="I786" s="38"/>
      <c r="J786" s="38"/>
      <c r="K786" s="39"/>
      <c r="L786" s="62"/>
    </row>
    <row r="787" spans="1:12" ht="19.9" customHeight="1">
      <c r="A787" s="37"/>
      <c r="B787" s="37"/>
      <c r="C787" s="38"/>
      <c r="D787" s="37"/>
      <c r="E787" s="37"/>
      <c r="F787" s="38"/>
      <c r="G787" s="37"/>
      <c r="H787" s="60"/>
      <c r="I787" s="38"/>
      <c r="J787" s="38"/>
      <c r="K787" s="39"/>
      <c r="L787" s="62"/>
    </row>
    <row r="788" spans="1:12" ht="19.9" customHeight="1">
      <c r="A788" s="37"/>
      <c r="B788" s="37"/>
      <c r="C788" s="38"/>
      <c r="D788" s="37"/>
      <c r="E788" s="37"/>
      <c r="F788" s="38"/>
      <c r="G788" s="37"/>
      <c r="H788" s="60"/>
      <c r="I788" s="38"/>
      <c r="J788" s="38"/>
      <c r="K788" s="39"/>
      <c r="L788" s="62"/>
    </row>
    <row r="789" spans="1:12" ht="19.9" customHeight="1">
      <c r="A789" s="37"/>
      <c r="B789" s="37"/>
      <c r="C789" s="38"/>
      <c r="D789" s="37"/>
      <c r="E789" s="37"/>
      <c r="F789" s="38"/>
      <c r="G789" s="37"/>
      <c r="H789" s="60"/>
      <c r="I789" s="38"/>
      <c r="J789" s="38"/>
      <c r="K789" s="39"/>
      <c r="L789" s="62"/>
    </row>
    <row r="790" spans="1:12" ht="19.9" customHeight="1">
      <c r="A790" s="37"/>
      <c r="B790" s="37"/>
      <c r="C790" s="38"/>
      <c r="D790" s="37"/>
      <c r="E790" s="37"/>
      <c r="F790" s="38"/>
      <c r="G790" s="37"/>
      <c r="H790" s="60"/>
      <c r="I790" s="38"/>
      <c r="J790" s="38"/>
      <c r="K790" s="39"/>
      <c r="L790" s="62"/>
    </row>
    <row r="791" spans="1:12" ht="19.9" customHeight="1">
      <c r="A791" s="37"/>
      <c r="B791" s="37"/>
      <c r="C791" s="38"/>
      <c r="D791" s="37"/>
      <c r="E791" s="37"/>
      <c r="F791" s="38"/>
      <c r="G791" s="37"/>
      <c r="H791" s="60"/>
      <c r="I791" s="38"/>
      <c r="J791" s="38"/>
      <c r="K791" s="39"/>
      <c r="L791" s="62"/>
    </row>
    <row r="792" spans="1:12" ht="19.9" customHeight="1">
      <c r="A792" s="37"/>
      <c r="B792" s="37"/>
      <c r="C792" s="38"/>
      <c r="D792" s="37"/>
      <c r="E792" s="37"/>
      <c r="F792" s="38"/>
      <c r="G792" s="37"/>
      <c r="H792" s="60"/>
      <c r="I792" s="38"/>
      <c r="J792" s="38"/>
      <c r="K792" s="39"/>
      <c r="L792" s="62"/>
    </row>
    <row r="793" spans="1:12" ht="19.9" customHeight="1">
      <c r="A793" s="37"/>
      <c r="B793" s="37"/>
      <c r="C793" s="38"/>
      <c r="D793" s="37"/>
      <c r="E793" s="37"/>
      <c r="F793" s="38"/>
      <c r="G793" s="37"/>
      <c r="H793" s="60"/>
      <c r="I793" s="38"/>
      <c r="J793" s="38"/>
      <c r="K793" s="39"/>
      <c r="L793" s="62"/>
    </row>
    <row r="794" spans="1:12" ht="19.9" customHeight="1">
      <c r="A794" s="37"/>
      <c r="B794" s="37"/>
      <c r="C794" s="38"/>
      <c r="D794" s="37"/>
      <c r="E794" s="37"/>
      <c r="F794" s="38"/>
      <c r="G794" s="37"/>
      <c r="H794" s="60"/>
      <c r="I794" s="38"/>
      <c r="J794" s="38"/>
      <c r="K794" s="39"/>
      <c r="L794" s="62"/>
    </row>
    <row r="795" spans="1:12" ht="19.9" customHeight="1">
      <c r="A795" s="37"/>
      <c r="B795" s="37"/>
      <c r="C795" s="38"/>
      <c r="D795" s="37"/>
      <c r="E795" s="37"/>
      <c r="F795" s="38"/>
      <c r="G795" s="37"/>
      <c r="H795" s="60"/>
      <c r="I795" s="38"/>
      <c r="J795" s="38"/>
      <c r="K795" s="39"/>
      <c r="L795" s="62"/>
    </row>
    <row r="796" spans="1:12" ht="19.9" customHeight="1">
      <c r="A796" s="37"/>
      <c r="B796" s="37"/>
      <c r="C796" s="38"/>
      <c r="D796" s="37"/>
      <c r="E796" s="37"/>
      <c r="F796" s="38"/>
      <c r="G796" s="37"/>
      <c r="H796" s="60"/>
      <c r="I796" s="38"/>
      <c r="J796" s="38"/>
      <c r="K796" s="39"/>
      <c r="L796" s="62"/>
    </row>
    <row r="797" spans="1:12" ht="19.9" customHeight="1">
      <c r="A797" s="37"/>
      <c r="B797" s="37"/>
      <c r="C797" s="38"/>
      <c r="D797" s="37"/>
      <c r="E797" s="37"/>
      <c r="F797" s="38"/>
      <c r="G797" s="37"/>
      <c r="H797" s="60"/>
      <c r="I797" s="38"/>
      <c r="J797" s="38"/>
      <c r="K797" s="39"/>
      <c r="L797" s="62"/>
    </row>
    <row r="798" spans="1:12" ht="19.9" customHeight="1">
      <c r="A798" s="37"/>
      <c r="B798" s="37"/>
      <c r="C798" s="38"/>
      <c r="D798" s="37"/>
      <c r="E798" s="37"/>
      <c r="F798" s="38"/>
      <c r="G798" s="37"/>
      <c r="H798" s="60"/>
      <c r="I798" s="38"/>
      <c r="J798" s="38"/>
      <c r="K798" s="39"/>
      <c r="L798" s="62"/>
    </row>
    <row r="799" spans="1:12" ht="19.9" customHeight="1">
      <c r="A799" s="37"/>
      <c r="B799" s="37"/>
      <c r="C799" s="38"/>
      <c r="D799" s="37"/>
      <c r="E799" s="37"/>
      <c r="F799" s="38"/>
      <c r="G799" s="37"/>
      <c r="H799" s="60"/>
      <c r="I799" s="38"/>
      <c r="J799" s="38"/>
      <c r="K799" s="39"/>
      <c r="L799" s="62"/>
    </row>
    <row r="800" spans="1:12" ht="19.9" customHeight="1">
      <c r="A800" s="37"/>
      <c r="B800" s="37"/>
      <c r="C800" s="38"/>
      <c r="D800" s="37"/>
      <c r="E800" s="37"/>
      <c r="F800" s="38"/>
      <c r="G800" s="37"/>
      <c r="H800" s="60"/>
      <c r="I800" s="38"/>
      <c r="J800" s="38"/>
      <c r="K800" s="39"/>
      <c r="L800" s="62"/>
    </row>
    <row r="801" spans="1:12" ht="19.9" customHeight="1">
      <c r="A801" s="37"/>
      <c r="B801" s="37"/>
      <c r="C801" s="38"/>
      <c r="D801" s="37"/>
      <c r="E801" s="37"/>
      <c r="F801" s="38"/>
      <c r="G801" s="37"/>
      <c r="H801" s="60"/>
      <c r="I801" s="38"/>
      <c r="J801" s="38"/>
      <c r="K801" s="39"/>
      <c r="L801" s="62"/>
    </row>
    <row r="802" spans="1:12" ht="19.9" customHeight="1">
      <c r="A802" s="37"/>
      <c r="B802" s="37"/>
      <c r="C802" s="38"/>
      <c r="D802" s="37"/>
      <c r="E802" s="37"/>
      <c r="F802" s="38"/>
      <c r="G802" s="37"/>
      <c r="H802" s="60"/>
      <c r="I802" s="38"/>
      <c r="J802" s="38"/>
      <c r="K802" s="39"/>
      <c r="L802" s="62"/>
    </row>
    <row r="803" spans="1:12" ht="19.9" customHeight="1">
      <c r="A803" s="37"/>
      <c r="B803" s="37"/>
      <c r="C803" s="38"/>
      <c r="D803" s="37"/>
      <c r="E803" s="37"/>
      <c r="F803" s="38"/>
      <c r="G803" s="37"/>
      <c r="H803" s="60"/>
      <c r="I803" s="38"/>
      <c r="J803" s="38"/>
      <c r="K803" s="39"/>
      <c r="L803" s="62"/>
    </row>
    <row r="804" spans="1:12" ht="19.9" customHeight="1">
      <c r="A804" s="37"/>
      <c r="B804" s="37"/>
      <c r="C804" s="38"/>
      <c r="D804" s="37"/>
      <c r="E804" s="37"/>
      <c r="F804" s="38"/>
      <c r="G804" s="37"/>
      <c r="H804" s="60"/>
      <c r="I804" s="38"/>
      <c r="J804" s="38"/>
      <c r="K804" s="39"/>
      <c r="L804" s="62"/>
    </row>
    <row r="805" spans="1:12" ht="19.9" customHeight="1">
      <c r="A805" s="37"/>
      <c r="B805" s="37"/>
      <c r="C805" s="38"/>
      <c r="D805" s="37"/>
      <c r="E805" s="37"/>
      <c r="F805" s="38"/>
      <c r="G805" s="37"/>
      <c r="H805" s="60"/>
      <c r="I805" s="38"/>
      <c r="J805" s="38"/>
      <c r="K805" s="39"/>
      <c r="L805" s="62"/>
    </row>
    <row r="806" spans="1:12" ht="19.9" customHeight="1">
      <c r="A806" s="37"/>
      <c r="B806" s="37"/>
      <c r="C806" s="38"/>
      <c r="D806" s="37"/>
      <c r="E806" s="37"/>
      <c r="F806" s="38"/>
      <c r="G806" s="37"/>
      <c r="H806" s="60"/>
      <c r="I806" s="38"/>
      <c r="J806" s="38"/>
      <c r="K806" s="39"/>
      <c r="L806" s="62"/>
    </row>
    <row r="807" spans="1:12" ht="19.9" customHeight="1">
      <c r="A807" s="37"/>
      <c r="B807" s="37"/>
      <c r="C807" s="38"/>
      <c r="D807" s="37"/>
      <c r="E807" s="37"/>
      <c r="F807" s="38"/>
      <c r="G807" s="37"/>
      <c r="H807" s="60"/>
      <c r="I807" s="38"/>
      <c r="J807" s="38"/>
      <c r="K807" s="39"/>
      <c r="L807" s="62"/>
    </row>
    <row r="808" spans="1:12" ht="19.9" customHeight="1">
      <c r="A808" s="37"/>
      <c r="B808" s="37"/>
      <c r="C808" s="38"/>
      <c r="D808" s="37"/>
      <c r="E808" s="37"/>
      <c r="F808" s="38"/>
      <c r="G808" s="37"/>
      <c r="H808" s="60"/>
      <c r="I808" s="38"/>
      <c r="J808" s="38"/>
      <c r="K808" s="39"/>
      <c r="L808" s="62"/>
    </row>
    <row r="809" spans="1:12" ht="19.9" customHeight="1">
      <c r="A809" s="37"/>
      <c r="B809" s="37"/>
      <c r="C809" s="38"/>
      <c r="D809" s="37"/>
      <c r="E809" s="37"/>
      <c r="F809" s="38"/>
      <c r="G809" s="37"/>
      <c r="H809" s="60"/>
      <c r="I809" s="38"/>
      <c r="J809" s="38"/>
      <c r="K809" s="39"/>
      <c r="L809" s="62"/>
    </row>
    <row r="810" spans="1:12" ht="19.9" customHeight="1">
      <c r="A810" s="37"/>
      <c r="B810" s="37"/>
      <c r="C810" s="38"/>
      <c r="D810" s="37"/>
      <c r="E810" s="37"/>
      <c r="F810" s="38"/>
      <c r="G810" s="37"/>
      <c r="H810" s="60"/>
      <c r="I810" s="38"/>
      <c r="J810" s="38"/>
      <c r="K810" s="39"/>
      <c r="L810" s="62"/>
    </row>
    <row r="811" spans="1:12" ht="19.9" customHeight="1">
      <c r="A811" s="37"/>
      <c r="B811" s="37"/>
      <c r="C811" s="38"/>
      <c r="D811" s="37"/>
      <c r="E811" s="37"/>
      <c r="F811" s="38"/>
      <c r="G811" s="37"/>
      <c r="H811" s="60"/>
      <c r="I811" s="38"/>
      <c r="J811" s="38"/>
      <c r="K811" s="39"/>
      <c r="L811" s="62"/>
    </row>
    <row r="812" spans="1:12" ht="19.9" customHeight="1">
      <c r="A812" s="37"/>
      <c r="B812" s="37"/>
      <c r="C812" s="38"/>
      <c r="D812" s="37"/>
      <c r="E812" s="37"/>
      <c r="F812" s="38"/>
      <c r="G812" s="37"/>
      <c r="H812" s="60"/>
      <c r="I812" s="38"/>
      <c r="J812" s="38"/>
      <c r="K812" s="39"/>
      <c r="L812" s="62"/>
    </row>
    <row r="813" spans="1:12" ht="19.9" customHeight="1">
      <c r="A813" s="37"/>
      <c r="B813" s="37"/>
      <c r="C813" s="38"/>
      <c r="D813" s="37"/>
      <c r="E813" s="37"/>
      <c r="F813" s="38"/>
      <c r="G813" s="37"/>
      <c r="H813" s="60"/>
      <c r="I813" s="38"/>
      <c r="J813" s="38"/>
      <c r="K813" s="39"/>
      <c r="L813" s="62"/>
    </row>
    <row r="814" spans="1:12" ht="19.9" customHeight="1">
      <c r="A814" s="37"/>
      <c r="B814" s="37"/>
      <c r="C814" s="38"/>
      <c r="D814" s="37"/>
      <c r="E814" s="37"/>
      <c r="F814" s="38"/>
      <c r="G814" s="37"/>
      <c r="H814" s="60"/>
      <c r="I814" s="38"/>
      <c r="J814" s="38"/>
      <c r="K814" s="39"/>
      <c r="L814" s="62"/>
    </row>
    <row r="815" spans="1:12" ht="19.9" customHeight="1">
      <c r="A815" s="37"/>
      <c r="B815" s="37"/>
      <c r="C815" s="38"/>
      <c r="D815" s="37"/>
      <c r="E815" s="37"/>
      <c r="F815" s="38"/>
      <c r="G815" s="37"/>
      <c r="H815" s="60"/>
      <c r="I815" s="38"/>
      <c r="J815" s="38"/>
      <c r="K815" s="39"/>
      <c r="L815" s="62"/>
    </row>
    <row r="816" spans="1:12" ht="19.9" customHeight="1">
      <c r="A816" s="37"/>
      <c r="B816" s="37"/>
      <c r="C816" s="38"/>
      <c r="D816" s="37"/>
      <c r="E816" s="37"/>
      <c r="F816" s="38"/>
      <c r="G816" s="37"/>
      <c r="H816" s="60"/>
      <c r="I816" s="38"/>
      <c r="J816" s="38"/>
      <c r="K816" s="39"/>
      <c r="L816" s="62"/>
    </row>
    <row r="817" spans="1:12" ht="19.9" customHeight="1">
      <c r="A817" s="37"/>
      <c r="B817" s="37"/>
      <c r="C817" s="38"/>
      <c r="D817" s="37"/>
      <c r="E817" s="37"/>
      <c r="F817" s="38"/>
      <c r="G817" s="37"/>
      <c r="H817" s="60"/>
      <c r="I817" s="38"/>
      <c r="J817" s="38"/>
      <c r="K817" s="39"/>
      <c r="L817" s="62"/>
    </row>
    <row r="818" spans="1:12" ht="19.9" customHeight="1">
      <c r="A818" s="37"/>
      <c r="B818" s="37"/>
      <c r="C818" s="38"/>
      <c r="D818" s="37"/>
      <c r="E818" s="37"/>
      <c r="F818" s="38"/>
      <c r="G818" s="37"/>
      <c r="H818" s="60"/>
      <c r="I818" s="38"/>
      <c r="J818" s="38"/>
      <c r="K818" s="39"/>
      <c r="L818" s="62"/>
    </row>
    <row r="819" spans="1:12" ht="19.9" customHeight="1">
      <c r="A819" s="37"/>
      <c r="B819" s="37"/>
      <c r="C819" s="38"/>
      <c r="D819" s="37"/>
      <c r="E819" s="37"/>
      <c r="F819" s="38"/>
      <c r="G819" s="37"/>
      <c r="H819" s="60"/>
      <c r="I819" s="38"/>
      <c r="J819" s="38"/>
      <c r="K819" s="39"/>
      <c r="L819" s="62"/>
    </row>
    <row r="820" spans="1:12" ht="19.9" customHeight="1">
      <c r="A820" s="37"/>
      <c r="B820" s="37"/>
      <c r="C820" s="38"/>
      <c r="D820" s="37"/>
      <c r="E820" s="37"/>
      <c r="F820" s="38"/>
      <c r="G820" s="37"/>
      <c r="H820" s="60"/>
      <c r="I820" s="38"/>
      <c r="J820" s="38"/>
      <c r="K820" s="39"/>
      <c r="L820" s="62"/>
    </row>
    <row r="821" spans="1:12" ht="19.9" customHeight="1">
      <c r="A821" s="37"/>
      <c r="B821" s="37"/>
      <c r="C821" s="38"/>
      <c r="D821" s="37"/>
      <c r="E821" s="37"/>
      <c r="F821" s="38"/>
      <c r="G821" s="37"/>
      <c r="H821" s="60"/>
      <c r="I821" s="38"/>
      <c r="J821" s="38"/>
      <c r="K821" s="39"/>
      <c r="L821" s="62"/>
    </row>
    <row r="822" spans="1:12" ht="19.9" customHeight="1">
      <c r="A822" s="37"/>
      <c r="B822" s="37"/>
      <c r="C822" s="38"/>
      <c r="D822" s="37"/>
      <c r="E822" s="37"/>
      <c r="F822" s="38"/>
      <c r="G822" s="37"/>
      <c r="H822" s="60"/>
      <c r="I822" s="38"/>
      <c r="J822" s="38"/>
      <c r="K822" s="39"/>
      <c r="L822" s="62"/>
    </row>
    <row r="823" spans="1:12" ht="19.9" customHeight="1">
      <c r="A823" s="37"/>
      <c r="B823" s="37"/>
      <c r="C823" s="38"/>
      <c r="D823" s="37"/>
      <c r="E823" s="37"/>
      <c r="F823" s="38"/>
      <c r="G823" s="37"/>
      <c r="H823" s="60"/>
      <c r="I823" s="38"/>
      <c r="J823" s="38"/>
      <c r="K823" s="39"/>
      <c r="L823" s="62"/>
    </row>
    <row r="824" spans="1:12" ht="19.9" customHeight="1">
      <c r="A824" s="37"/>
      <c r="B824" s="37"/>
      <c r="C824" s="38"/>
      <c r="D824" s="37"/>
      <c r="E824" s="37"/>
      <c r="F824" s="38"/>
      <c r="G824" s="37"/>
      <c r="H824" s="60"/>
      <c r="I824" s="38"/>
      <c r="J824" s="38"/>
      <c r="K824" s="39"/>
      <c r="L824" s="62"/>
    </row>
    <row r="825" spans="1:12" ht="19.9" customHeight="1">
      <c r="A825" s="37"/>
      <c r="B825" s="37"/>
      <c r="C825" s="38"/>
      <c r="D825" s="37"/>
      <c r="E825" s="37"/>
      <c r="F825" s="38"/>
      <c r="G825" s="37"/>
      <c r="H825" s="60"/>
      <c r="I825" s="38"/>
      <c r="J825" s="38"/>
      <c r="K825" s="39"/>
      <c r="L825" s="62"/>
    </row>
    <row r="826" spans="1:12" ht="19.9" customHeight="1">
      <c r="A826" s="37"/>
      <c r="B826" s="37"/>
      <c r="C826" s="38"/>
      <c r="D826" s="37"/>
      <c r="E826" s="37"/>
      <c r="F826" s="38"/>
      <c r="G826" s="37"/>
      <c r="H826" s="60"/>
      <c r="I826" s="38"/>
      <c r="J826" s="38"/>
      <c r="K826" s="39"/>
      <c r="L826" s="62"/>
    </row>
    <row r="827" spans="1:12" ht="19.9" customHeight="1">
      <c r="A827" s="37"/>
      <c r="B827" s="37"/>
      <c r="C827" s="38"/>
      <c r="D827" s="37"/>
      <c r="E827" s="37"/>
      <c r="F827" s="38"/>
      <c r="G827" s="37"/>
      <c r="H827" s="60"/>
      <c r="I827" s="38"/>
      <c r="J827" s="38"/>
      <c r="K827" s="39"/>
      <c r="L827" s="62"/>
    </row>
    <row r="828" spans="1:12" ht="19.9" customHeight="1">
      <c r="A828" s="37"/>
      <c r="B828" s="37"/>
      <c r="C828" s="38"/>
      <c r="D828" s="37"/>
      <c r="E828" s="37"/>
      <c r="F828" s="38"/>
      <c r="G828" s="37"/>
      <c r="H828" s="60"/>
      <c r="I828" s="38"/>
      <c r="J828" s="38"/>
      <c r="K828" s="39"/>
      <c r="L828" s="62"/>
    </row>
    <row r="829" spans="1:12" ht="19.9" customHeight="1">
      <c r="A829" s="37"/>
      <c r="B829" s="37"/>
      <c r="C829" s="38"/>
      <c r="D829" s="37"/>
      <c r="E829" s="37"/>
      <c r="F829" s="38"/>
      <c r="G829" s="37"/>
      <c r="H829" s="60"/>
      <c r="I829" s="38"/>
      <c r="J829" s="38"/>
      <c r="K829" s="39"/>
      <c r="L829" s="62"/>
    </row>
    <row r="830" spans="1:12" ht="19.9" customHeight="1">
      <c r="A830" s="37"/>
      <c r="B830" s="37"/>
      <c r="C830" s="38"/>
      <c r="D830" s="37"/>
      <c r="E830" s="37"/>
      <c r="F830" s="38"/>
      <c r="G830" s="37"/>
      <c r="H830" s="60"/>
      <c r="I830" s="38"/>
      <c r="J830" s="38"/>
      <c r="K830" s="39"/>
      <c r="L830" s="62"/>
    </row>
    <row r="831" spans="1:12" ht="19.9" customHeight="1">
      <c r="A831" s="37"/>
      <c r="B831" s="37"/>
      <c r="C831" s="38"/>
      <c r="D831" s="37"/>
      <c r="E831" s="37"/>
      <c r="F831" s="38"/>
      <c r="G831" s="37"/>
      <c r="H831" s="60"/>
      <c r="I831" s="38"/>
      <c r="J831" s="38"/>
      <c r="K831" s="39"/>
      <c r="L831" s="62"/>
    </row>
    <row r="832" spans="1:12" ht="19.9" customHeight="1">
      <c r="A832" s="37"/>
      <c r="B832" s="37"/>
      <c r="C832" s="38"/>
      <c r="D832" s="37"/>
      <c r="E832" s="37"/>
      <c r="F832" s="38"/>
      <c r="G832" s="37"/>
      <c r="H832" s="60"/>
      <c r="I832" s="38"/>
      <c r="J832" s="38"/>
      <c r="K832" s="39"/>
      <c r="L832" s="62"/>
    </row>
    <row r="833" spans="1:12" ht="19.9" customHeight="1">
      <c r="A833" s="37"/>
      <c r="B833" s="37"/>
      <c r="C833" s="38"/>
      <c r="D833" s="37"/>
      <c r="E833" s="37"/>
      <c r="F833" s="38"/>
      <c r="G833" s="37"/>
      <c r="H833" s="60"/>
      <c r="I833" s="38"/>
      <c r="J833" s="38"/>
      <c r="K833" s="39"/>
      <c r="L833" s="62"/>
    </row>
    <row r="834" spans="1:12" ht="19.9" customHeight="1">
      <c r="A834" s="37"/>
      <c r="B834" s="37"/>
      <c r="C834" s="38"/>
      <c r="D834" s="37"/>
      <c r="E834" s="37"/>
      <c r="F834" s="38"/>
      <c r="G834" s="37"/>
      <c r="H834" s="60"/>
      <c r="I834" s="38"/>
      <c r="J834" s="38"/>
      <c r="K834" s="39"/>
      <c r="L834" s="62"/>
    </row>
    <row r="835" spans="1:12" ht="19.9" customHeight="1">
      <c r="A835" s="37"/>
      <c r="B835" s="37"/>
      <c r="C835" s="38"/>
      <c r="D835" s="37"/>
      <c r="E835" s="37"/>
      <c r="F835" s="38"/>
      <c r="G835" s="37"/>
      <c r="H835" s="60"/>
      <c r="I835" s="38"/>
      <c r="J835" s="38"/>
      <c r="K835" s="39"/>
      <c r="L835" s="62"/>
    </row>
    <row r="836" spans="1:12" ht="19.9" customHeight="1">
      <c r="A836" s="37"/>
      <c r="B836" s="37"/>
      <c r="C836" s="38"/>
      <c r="D836" s="37"/>
      <c r="E836" s="37"/>
      <c r="F836" s="38"/>
      <c r="G836" s="37"/>
      <c r="H836" s="60"/>
      <c r="I836" s="38"/>
      <c r="J836" s="38"/>
      <c r="K836" s="39"/>
      <c r="L836" s="62"/>
    </row>
    <row r="837" spans="1:12" ht="19.9" customHeight="1">
      <c r="A837" s="37"/>
      <c r="B837" s="37"/>
      <c r="C837" s="38"/>
      <c r="D837" s="37"/>
      <c r="E837" s="37"/>
      <c r="F837" s="38"/>
      <c r="G837" s="37"/>
      <c r="H837" s="60"/>
      <c r="I837" s="38"/>
      <c r="J837" s="38"/>
      <c r="K837" s="39"/>
      <c r="L837" s="62"/>
    </row>
    <row r="838" spans="1:12" ht="19.9" customHeight="1">
      <c r="A838" s="37"/>
      <c r="B838" s="37"/>
      <c r="C838" s="38"/>
      <c r="D838" s="37"/>
      <c r="E838" s="37"/>
      <c r="F838" s="38"/>
      <c r="G838" s="37"/>
      <c r="H838" s="60"/>
      <c r="I838" s="38"/>
      <c r="J838" s="38"/>
      <c r="K838" s="39"/>
      <c r="L838" s="62"/>
    </row>
    <row r="839" spans="1:12" ht="19.9" customHeight="1">
      <c r="A839" s="37"/>
      <c r="B839" s="37"/>
      <c r="C839" s="38"/>
      <c r="D839" s="37"/>
      <c r="E839" s="37"/>
      <c r="F839" s="38"/>
      <c r="G839" s="37"/>
      <c r="H839" s="60"/>
      <c r="I839" s="38"/>
      <c r="J839" s="38"/>
      <c r="K839" s="39"/>
      <c r="L839" s="62"/>
    </row>
    <row r="840" spans="1:12" ht="19.9" customHeight="1">
      <c r="A840" s="37"/>
      <c r="B840" s="37"/>
      <c r="C840" s="38"/>
      <c r="D840" s="37"/>
      <c r="E840" s="37"/>
      <c r="F840" s="38"/>
      <c r="G840" s="37"/>
      <c r="H840" s="60"/>
      <c r="I840" s="38"/>
      <c r="J840" s="38"/>
      <c r="K840" s="39"/>
      <c r="L840" s="62"/>
    </row>
    <row r="841" spans="1:12" ht="19.9" customHeight="1">
      <c r="A841" s="37"/>
      <c r="B841" s="37"/>
      <c r="C841" s="38"/>
      <c r="D841" s="37"/>
      <c r="E841" s="37"/>
      <c r="F841" s="38"/>
      <c r="G841" s="37"/>
      <c r="H841" s="60"/>
      <c r="I841" s="38"/>
      <c r="J841" s="38"/>
      <c r="K841" s="39"/>
      <c r="L841" s="62"/>
    </row>
    <row r="842" spans="1:12" ht="19.9" customHeight="1">
      <c r="A842" s="37"/>
      <c r="B842" s="37"/>
      <c r="C842" s="38"/>
      <c r="D842" s="37"/>
      <c r="E842" s="37"/>
      <c r="F842" s="38"/>
      <c r="G842" s="37"/>
      <c r="H842" s="60"/>
      <c r="I842" s="38"/>
      <c r="J842" s="38"/>
      <c r="K842" s="39"/>
      <c r="L842" s="62"/>
    </row>
    <row r="843" spans="1:12" ht="19.9" customHeight="1">
      <c r="A843" s="37"/>
      <c r="B843" s="37"/>
      <c r="C843" s="38"/>
      <c r="D843" s="37"/>
      <c r="E843" s="37"/>
      <c r="F843" s="38"/>
      <c r="G843" s="37"/>
      <c r="H843" s="60"/>
      <c r="I843" s="38"/>
      <c r="J843" s="38"/>
      <c r="K843" s="39"/>
      <c r="L843" s="62"/>
    </row>
    <row r="844" spans="1:12" ht="19.9" customHeight="1">
      <c r="A844" s="37"/>
      <c r="B844" s="37"/>
      <c r="C844" s="38"/>
      <c r="D844" s="37"/>
      <c r="E844" s="37"/>
      <c r="F844" s="38"/>
      <c r="G844" s="37"/>
      <c r="H844" s="60"/>
      <c r="I844" s="38"/>
      <c r="J844" s="38"/>
      <c r="K844" s="39"/>
      <c r="L844" s="62"/>
    </row>
    <row r="845" spans="1:12" ht="19.9" customHeight="1">
      <c r="A845" s="37"/>
      <c r="B845" s="37"/>
      <c r="C845" s="38"/>
      <c r="D845" s="37"/>
      <c r="E845" s="37"/>
      <c r="F845" s="38"/>
      <c r="G845" s="37"/>
      <c r="H845" s="60"/>
      <c r="I845" s="38"/>
      <c r="J845" s="38"/>
      <c r="K845" s="39"/>
      <c r="L845" s="62"/>
    </row>
    <row r="846" spans="1:12" ht="19.9" customHeight="1">
      <c r="A846" s="37"/>
      <c r="B846" s="37"/>
      <c r="C846" s="38"/>
      <c r="D846" s="37"/>
      <c r="E846" s="37"/>
      <c r="F846" s="38"/>
      <c r="G846" s="37"/>
      <c r="H846" s="60"/>
      <c r="I846" s="38"/>
      <c r="J846" s="38"/>
      <c r="K846" s="39"/>
      <c r="L846" s="62"/>
    </row>
    <row r="847" spans="1:12" ht="19.9" customHeight="1">
      <c r="A847" s="37"/>
      <c r="B847" s="37"/>
      <c r="C847" s="38"/>
      <c r="D847" s="37"/>
      <c r="E847" s="37"/>
      <c r="F847" s="38"/>
      <c r="G847" s="37"/>
      <c r="H847" s="60"/>
      <c r="I847" s="38"/>
      <c r="J847" s="38"/>
      <c r="K847" s="39"/>
      <c r="L847" s="62"/>
    </row>
    <row r="848" spans="1:12" ht="19.9" customHeight="1">
      <c r="A848" s="37"/>
      <c r="B848" s="37"/>
      <c r="C848" s="38"/>
      <c r="D848" s="37"/>
      <c r="E848" s="37"/>
      <c r="F848" s="38"/>
      <c r="G848" s="37"/>
      <c r="H848" s="60"/>
      <c r="I848" s="38"/>
      <c r="J848" s="38"/>
      <c r="K848" s="39"/>
      <c r="L848" s="62"/>
    </row>
    <row r="849" spans="1:12" ht="19.9" customHeight="1">
      <c r="A849" s="37"/>
      <c r="B849" s="37"/>
      <c r="C849" s="38"/>
      <c r="D849" s="37"/>
      <c r="E849" s="37"/>
      <c r="F849" s="38"/>
      <c r="G849" s="37"/>
      <c r="H849" s="60"/>
      <c r="I849" s="38"/>
      <c r="J849" s="38"/>
      <c r="K849" s="39"/>
      <c r="L849" s="62"/>
    </row>
    <row r="850" spans="1:12" ht="19.9" customHeight="1">
      <c r="A850" s="37"/>
      <c r="B850" s="37"/>
      <c r="C850" s="38"/>
      <c r="D850" s="37"/>
      <c r="E850" s="37"/>
      <c r="F850" s="38"/>
      <c r="G850" s="37"/>
      <c r="H850" s="60"/>
      <c r="I850" s="38"/>
      <c r="J850" s="38"/>
      <c r="K850" s="39"/>
      <c r="L850" s="62"/>
    </row>
    <row r="851" spans="1:12" ht="19.9" customHeight="1">
      <c r="A851" s="37"/>
      <c r="B851" s="37"/>
      <c r="C851" s="38"/>
      <c r="D851" s="37"/>
      <c r="E851" s="37"/>
      <c r="F851" s="38"/>
      <c r="G851" s="37"/>
      <c r="H851" s="60"/>
      <c r="I851" s="38"/>
      <c r="J851" s="38"/>
      <c r="K851" s="39"/>
      <c r="L851" s="62"/>
    </row>
    <row r="852" spans="1:12" ht="19.9" customHeight="1">
      <c r="A852" s="37"/>
      <c r="B852" s="37"/>
      <c r="C852" s="38"/>
      <c r="D852" s="37"/>
      <c r="E852" s="37"/>
      <c r="F852" s="38"/>
      <c r="G852" s="37"/>
      <c r="H852" s="60"/>
      <c r="I852" s="38"/>
      <c r="J852" s="38"/>
      <c r="K852" s="39"/>
      <c r="L852" s="62"/>
    </row>
    <row r="853" spans="1:12" ht="19.9" customHeight="1">
      <c r="A853" s="37"/>
      <c r="B853" s="37"/>
      <c r="C853" s="38"/>
      <c r="D853" s="37"/>
      <c r="E853" s="37"/>
      <c r="F853" s="38"/>
      <c r="G853" s="37"/>
      <c r="H853" s="60"/>
      <c r="I853" s="38"/>
      <c r="J853" s="38"/>
      <c r="K853" s="39"/>
      <c r="L853" s="62"/>
    </row>
    <row r="854" spans="1:12" ht="19.9" customHeight="1">
      <c r="A854" s="37"/>
      <c r="B854" s="37"/>
      <c r="C854" s="38"/>
      <c r="D854" s="37"/>
      <c r="E854" s="37"/>
      <c r="F854" s="38"/>
      <c r="G854" s="37"/>
      <c r="H854" s="60"/>
      <c r="I854" s="38"/>
      <c r="J854" s="38"/>
      <c r="K854" s="39"/>
      <c r="L854" s="62"/>
    </row>
    <row r="855" spans="1:12" ht="19.9" customHeight="1">
      <c r="A855" s="37"/>
      <c r="B855" s="37"/>
      <c r="C855" s="38"/>
      <c r="D855" s="37"/>
      <c r="E855" s="37"/>
      <c r="F855" s="38"/>
      <c r="G855" s="37"/>
      <c r="H855" s="60"/>
      <c r="I855" s="38"/>
      <c r="J855" s="38"/>
      <c r="K855" s="39"/>
      <c r="L855" s="62"/>
    </row>
    <row r="856" spans="1:12" ht="19.9" customHeight="1">
      <c r="A856" s="37"/>
      <c r="B856" s="37"/>
      <c r="C856" s="38"/>
      <c r="D856" s="37"/>
      <c r="E856" s="37"/>
      <c r="F856" s="38"/>
      <c r="G856" s="37"/>
      <c r="H856" s="60"/>
      <c r="I856" s="38"/>
      <c r="J856" s="38"/>
      <c r="K856" s="39"/>
      <c r="L856" s="62"/>
    </row>
    <row r="857" spans="1:12" ht="19.9" customHeight="1">
      <c r="A857" s="37"/>
      <c r="B857" s="37"/>
      <c r="C857" s="38"/>
      <c r="D857" s="37"/>
      <c r="E857" s="37"/>
      <c r="F857" s="38"/>
      <c r="G857" s="37"/>
      <c r="H857" s="60"/>
      <c r="I857" s="38"/>
      <c r="J857" s="38"/>
      <c r="K857" s="39"/>
      <c r="L857" s="62"/>
    </row>
    <row r="858" spans="1:12" ht="19.9" customHeight="1">
      <c r="A858" s="37"/>
      <c r="B858" s="37"/>
      <c r="C858" s="38"/>
      <c r="D858" s="37"/>
      <c r="E858" s="37"/>
      <c r="F858" s="38"/>
      <c r="G858" s="37"/>
      <c r="H858" s="60"/>
      <c r="I858" s="38"/>
      <c r="J858" s="38"/>
      <c r="K858" s="39"/>
      <c r="L858" s="62"/>
    </row>
    <row r="859" spans="1:12" ht="19.9" customHeight="1">
      <c r="A859" s="37"/>
      <c r="B859" s="37"/>
      <c r="C859" s="38"/>
      <c r="D859" s="37"/>
      <c r="E859" s="37"/>
      <c r="F859" s="38"/>
      <c r="G859" s="37"/>
      <c r="H859" s="60"/>
      <c r="I859" s="38"/>
      <c r="J859" s="38"/>
      <c r="K859" s="39"/>
      <c r="L859" s="62"/>
    </row>
    <row r="860" spans="1:12" ht="19.9" customHeight="1">
      <c r="A860" s="37"/>
      <c r="B860" s="37"/>
      <c r="C860" s="38"/>
      <c r="D860" s="37"/>
      <c r="E860" s="37"/>
      <c r="F860" s="38"/>
      <c r="G860" s="37"/>
      <c r="H860" s="60"/>
      <c r="I860" s="38"/>
      <c r="J860" s="38"/>
      <c r="K860" s="39"/>
      <c r="L860" s="62"/>
    </row>
    <row r="861" spans="1:12" ht="19.9" customHeight="1">
      <c r="A861" s="37"/>
      <c r="B861" s="37"/>
      <c r="C861" s="38"/>
      <c r="D861" s="37"/>
      <c r="E861" s="37"/>
      <c r="F861" s="38"/>
      <c r="G861" s="37"/>
      <c r="H861" s="60"/>
      <c r="I861" s="38"/>
      <c r="J861" s="38"/>
      <c r="K861" s="39"/>
      <c r="L861" s="62"/>
    </row>
    <row r="862" spans="1:12" ht="19.9" customHeight="1">
      <c r="A862" s="37"/>
      <c r="B862" s="37"/>
      <c r="C862" s="38"/>
      <c r="D862" s="37"/>
      <c r="E862" s="37"/>
      <c r="F862" s="38"/>
      <c r="G862" s="37"/>
      <c r="H862" s="60"/>
      <c r="I862" s="38"/>
      <c r="J862" s="38"/>
      <c r="K862" s="39"/>
      <c r="L862" s="62"/>
    </row>
    <row r="863" spans="1:12" ht="19.9" customHeight="1">
      <c r="A863" s="37"/>
      <c r="B863" s="37"/>
      <c r="C863" s="38"/>
      <c r="D863" s="37"/>
      <c r="E863" s="37"/>
      <c r="F863" s="38"/>
      <c r="G863" s="37"/>
      <c r="H863" s="60"/>
      <c r="I863" s="38"/>
      <c r="J863" s="38"/>
      <c r="K863" s="39"/>
      <c r="L863" s="62"/>
    </row>
    <row r="864" spans="1:12" ht="19.9" customHeight="1">
      <c r="A864" s="37"/>
      <c r="B864" s="37"/>
      <c r="C864" s="38"/>
      <c r="D864" s="37"/>
      <c r="E864" s="37"/>
      <c r="F864" s="38"/>
      <c r="G864" s="37"/>
      <c r="H864" s="60"/>
      <c r="I864" s="38"/>
      <c r="J864" s="38"/>
      <c r="K864" s="39"/>
      <c r="L864" s="62"/>
    </row>
    <row r="865" spans="1:12" ht="19.9" customHeight="1">
      <c r="A865" s="37"/>
      <c r="B865" s="37"/>
      <c r="C865" s="38"/>
      <c r="D865" s="37"/>
      <c r="E865" s="37"/>
      <c r="F865" s="38"/>
      <c r="G865" s="37"/>
      <c r="H865" s="60"/>
      <c r="I865" s="38"/>
      <c r="J865" s="38"/>
      <c r="K865" s="39"/>
      <c r="L865" s="62"/>
    </row>
    <row r="866" spans="1:12" ht="19.9" customHeight="1">
      <c r="A866" s="37"/>
      <c r="B866" s="37"/>
      <c r="C866" s="38"/>
      <c r="D866" s="37"/>
      <c r="E866" s="37"/>
      <c r="F866" s="38"/>
      <c r="G866" s="37"/>
      <c r="H866" s="60"/>
      <c r="I866" s="38"/>
      <c r="J866" s="38"/>
      <c r="K866" s="39"/>
      <c r="L866" s="62"/>
    </row>
    <row r="867" spans="1:12" ht="19.9" customHeight="1">
      <c r="A867" s="37"/>
      <c r="B867" s="37"/>
      <c r="C867" s="38"/>
      <c r="D867" s="37"/>
      <c r="E867" s="37"/>
      <c r="F867" s="38"/>
      <c r="G867" s="37"/>
      <c r="H867" s="60"/>
      <c r="I867" s="38"/>
      <c r="J867" s="38"/>
      <c r="K867" s="39"/>
      <c r="L867" s="62"/>
    </row>
    <row r="868" spans="1:12" ht="19.9" customHeight="1">
      <c r="A868" s="37"/>
      <c r="B868" s="37"/>
      <c r="C868" s="38"/>
      <c r="D868" s="37"/>
      <c r="E868" s="37"/>
      <c r="F868" s="38"/>
      <c r="G868" s="37"/>
      <c r="H868" s="60"/>
      <c r="I868" s="38"/>
      <c r="J868" s="38"/>
      <c r="K868" s="39"/>
      <c r="L868" s="62"/>
    </row>
    <row r="869" spans="1:12" ht="19.9" customHeight="1">
      <c r="A869" s="37"/>
      <c r="B869" s="37"/>
      <c r="C869" s="38"/>
      <c r="D869" s="37"/>
      <c r="E869" s="37"/>
      <c r="F869" s="38"/>
      <c r="G869" s="37"/>
      <c r="H869" s="60"/>
      <c r="I869" s="38"/>
      <c r="J869" s="38"/>
      <c r="K869" s="39"/>
      <c r="L869" s="62"/>
    </row>
    <row r="870" spans="1:12" ht="19.9" customHeight="1">
      <c r="A870" s="37"/>
      <c r="B870" s="37"/>
      <c r="C870" s="38"/>
      <c r="D870" s="37"/>
      <c r="E870" s="37"/>
      <c r="F870" s="38"/>
      <c r="G870" s="37"/>
      <c r="H870" s="60"/>
      <c r="I870" s="38"/>
      <c r="J870" s="38"/>
      <c r="K870" s="39"/>
      <c r="L870" s="62"/>
    </row>
    <row r="871" spans="1:12" ht="19.9" customHeight="1">
      <c r="A871" s="37"/>
      <c r="B871" s="37"/>
      <c r="C871" s="38"/>
      <c r="D871" s="37"/>
      <c r="E871" s="37"/>
      <c r="F871" s="38"/>
      <c r="G871" s="37"/>
      <c r="H871" s="60"/>
      <c r="I871" s="38"/>
      <c r="J871" s="38"/>
      <c r="K871" s="39"/>
      <c r="L871" s="62"/>
    </row>
    <row r="872" spans="1:12" ht="19.9" customHeight="1">
      <c r="A872" s="37"/>
      <c r="B872" s="37"/>
      <c r="C872" s="38"/>
      <c r="D872" s="37"/>
      <c r="E872" s="37"/>
      <c r="F872" s="38"/>
      <c r="G872" s="37"/>
      <c r="H872" s="60"/>
      <c r="I872" s="38"/>
      <c r="J872" s="38"/>
      <c r="K872" s="39"/>
      <c r="L872" s="62"/>
    </row>
    <row r="873" spans="1:12" ht="19.9" customHeight="1">
      <c r="A873" s="37"/>
      <c r="B873" s="37"/>
      <c r="C873" s="38"/>
      <c r="D873" s="37"/>
      <c r="E873" s="37"/>
      <c r="F873" s="38"/>
      <c r="G873" s="37"/>
      <c r="H873" s="60"/>
      <c r="I873" s="38"/>
      <c r="J873" s="38"/>
      <c r="K873" s="39"/>
      <c r="L873" s="62"/>
    </row>
    <row r="874" spans="1:12" ht="19.9" customHeight="1">
      <c r="A874" s="37"/>
      <c r="B874" s="37"/>
      <c r="C874" s="38"/>
      <c r="D874" s="37"/>
      <c r="E874" s="37"/>
      <c r="F874" s="38"/>
      <c r="G874" s="37"/>
      <c r="H874" s="60"/>
      <c r="I874" s="38"/>
      <c r="J874" s="38"/>
      <c r="K874" s="39"/>
      <c r="L874" s="62"/>
    </row>
    <row r="875" spans="1:12" ht="19.9" customHeight="1">
      <c r="A875" s="37"/>
      <c r="B875" s="37"/>
      <c r="C875" s="38"/>
      <c r="D875" s="37"/>
      <c r="E875" s="37"/>
      <c r="F875" s="38"/>
      <c r="G875" s="37"/>
      <c r="H875" s="60"/>
      <c r="I875" s="38"/>
      <c r="J875" s="38"/>
      <c r="K875" s="39"/>
      <c r="L875" s="62"/>
    </row>
    <row r="876" spans="1:12" ht="19.9" customHeight="1">
      <c r="A876" s="37"/>
      <c r="B876" s="37"/>
      <c r="C876" s="38"/>
      <c r="D876" s="37"/>
      <c r="E876" s="37"/>
      <c r="F876" s="38"/>
      <c r="G876" s="37"/>
      <c r="H876" s="60"/>
      <c r="I876" s="38"/>
      <c r="J876" s="38"/>
      <c r="K876" s="39"/>
      <c r="L876" s="62"/>
    </row>
    <row r="877" spans="1:12" ht="19.9" customHeight="1">
      <c r="A877" s="37"/>
      <c r="B877" s="37"/>
      <c r="C877" s="38"/>
      <c r="D877" s="37"/>
      <c r="E877" s="37"/>
      <c r="F877" s="38"/>
      <c r="G877" s="37"/>
      <c r="H877" s="60"/>
      <c r="I877" s="38"/>
      <c r="J877" s="38"/>
      <c r="K877" s="39"/>
      <c r="L877" s="62"/>
    </row>
    <row r="878" spans="1:12" ht="19.9" customHeight="1">
      <c r="A878" s="37"/>
      <c r="B878" s="37"/>
      <c r="C878" s="38"/>
      <c r="D878" s="37"/>
      <c r="E878" s="37"/>
      <c r="F878" s="38"/>
      <c r="G878" s="37"/>
      <c r="H878" s="60"/>
      <c r="I878" s="38"/>
      <c r="J878" s="38"/>
      <c r="K878" s="39"/>
      <c r="L878" s="62"/>
    </row>
    <row r="879" spans="1:12" ht="19.9" customHeight="1">
      <c r="A879" s="37"/>
      <c r="B879" s="37"/>
      <c r="C879" s="38"/>
      <c r="D879" s="37"/>
      <c r="E879" s="37"/>
      <c r="F879" s="38"/>
      <c r="G879" s="37"/>
      <c r="H879" s="60"/>
      <c r="I879" s="38"/>
      <c r="J879" s="38"/>
      <c r="K879" s="39"/>
      <c r="L879" s="62"/>
    </row>
    <row r="880" spans="1:12" ht="19.9" customHeight="1">
      <c r="A880" s="37"/>
      <c r="B880" s="37"/>
      <c r="C880" s="38"/>
      <c r="D880" s="37"/>
      <c r="E880" s="37"/>
      <c r="F880" s="38"/>
      <c r="G880" s="37"/>
      <c r="H880" s="60"/>
      <c r="I880" s="38"/>
      <c r="J880" s="38"/>
      <c r="K880" s="39"/>
      <c r="L880" s="62"/>
    </row>
    <row r="881" spans="1:12" ht="19.9" customHeight="1">
      <c r="A881" s="37"/>
      <c r="B881" s="37"/>
      <c r="C881" s="38"/>
      <c r="D881" s="37"/>
      <c r="E881" s="37"/>
      <c r="F881" s="38"/>
      <c r="G881" s="37"/>
      <c r="H881" s="60"/>
      <c r="I881" s="38"/>
      <c r="J881" s="38"/>
      <c r="K881" s="39"/>
      <c r="L881" s="62"/>
    </row>
    <row r="882" spans="1:12" ht="19.9" customHeight="1">
      <c r="A882" s="37"/>
      <c r="B882" s="37"/>
      <c r="C882" s="38"/>
      <c r="D882" s="37"/>
      <c r="E882" s="37"/>
      <c r="F882" s="38"/>
      <c r="G882" s="37"/>
      <c r="H882" s="60"/>
      <c r="I882" s="38"/>
      <c r="J882" s="38"/>
      <c r="K882" s="39"/>
      <c r="L882" s="62"/>
    </row>
    <row r="883" spans="1:12" ht="19.9" customHeight="1">
      <c r="A883" s="37"/>
      <c r="B883" s="37"/>
      <c r="C883" s="38"/>
      <c r="D883" s="37"/>
      <c r="E883" s="37"/>
      <c r="F883" s="38"/>
      <c r="G883" s="37"/>
      <c r="H883" s="60"/>
      <c r="I883" s="38"/>
      <c r="J883" s="38"/>
      <c r="K883" s="39"/>
      <c r="L883" s="62"/>
    </row>
    <row r="884" spans="1:12" ht="19.9" customHeight="1">
      <c r="A884" s="37"/>
      <c r="B884" s="37"/>
      <c r="C884" s="38"/>
      <c r="D884" s="37"/>
      <c r="E884" s="37"/>
      <c r="F884" s="38"/>
      <c r="G884" s="37"/>
      <c r="H884" s="60"/>
      <c r="I884" s="38"/>
      <c r="J884" s="38"/>
      <c r="K884" s="39"/>
      <c r="L884" s="62"/>
    </row>
    <row r="885" spans="1:12" ht="19.9" customHeight="1">
      <c r="A885" s="37"/>
      <c r="B885" s="37"/>
      <c r="C885" s="38"/>
      <c r="D885" s="37"/>
      <c r="E885" s="37"/>
      <c r="F885" s="38"/>
      <c r="G885" s="37"/>
      <c r="H885" s="60"/>
      <c r="I885" s="38"/>
      <c r="J885" s="38"/>
      <c r="K885" s="39"/>
      <c r="L885" s="62"/>
    </row>
    <row r="886" spans="1:12" ht="19.9" customHeight="1">
      <c r="A886" s="37"/>
      <c r="B886" s="37"/>
      <c r="C886" s="38"/>
      <c r="D886" s="37"/>
      <c r="E886" s="37"/>
      <c r="F886" s="38"/>
      <c r="G886" s="37"/>
      <c r="H886" s="60"/>
      <c r="I886" s="38"/>
      <c r="J886" s="38"/>
      <c r="K886" s="39"/>
      <c r="L886" s="62"/>
    </row>
    <row r="887" spans="1:12" ht="19.9" customHeight="1">
      <c r="A887" s="37"/>
      <c r="B887" s="37"/>
      <c r="C887" s="38"/>
      <c r="D887" s="37"/>
      <c r="E887" s="37"/>
      <c r="F887" s="38"/>
      <c r="G887" s="37"/>
      <c r="H887" s="60"/>
      <c r="I887" s="38"/>
      <c r="J887" s="38"/>
      <c r="K887" s="39"/>
      <c r="L887" s="62"/>
    </row>
    <row r="888" spans="1:12" ht="19.9" customHeight="1">
      <c r="A888" s="37"/>
      <c r="B888" s="37"/>
      <c r="C888" s="38"/>
      <c r="D888" s="37"/>
      <c r="E888" s="37"/>
      <c r="F888" s="38"/>
      <c r="G888" s="37"/>
      <c r="H888" s="60"/>
      <c r="I888" s="38"/>
      <c r="J888" s="38"/>
      <c r="K888" s="39"/>
      <c r="L888" s="62"/>
    </row>
    <row r="889" spans="1:12" ht="19.9" customHeight="1">
      <c r="A889" s="37"/>
      <c r="B889" s="37"/>
      <c r="C889" s="38"/>
      <c r="D889" s="37"/>
      <c r="E889" s="37"/>
      <c r="F889" s="38"/>
      <c r="G889" s="37"/>
      <c r="H889" s="60"/>
      <c r="I889" s="38"/>
      <c r="J889" s="38"/>
      <c r="K889" s="39"/>
      <c r="L889" s="62"/>
    </row>
    <row r="890" spans="1:12" ht="19.9" customHeight="1">
      <c r="A890" s="37"/>
      <c r="B890" s="37"/>
      <c r="C890" s="38"/>
      <c r="D890" s="37"/>
      <c r="E890" s="37"/>
      <c r="F890" s="38"/>
      <c r="G890" s="37"/>
      <c r="H890" s="60"/>
      <c r="I890" s="38"/>
      <c r="J890" s="38"/>
      <c r="K890" s="39"/>
      <c r="L890" s="62"/>
    </row>
    <row r="891" spans="1:12" ht="19.9" customHeight="1">
      <c r="A891" s="37"/>
      <c r="B891" s="37"/>
      <c r="C891" s="38"/>
      <c r="D891" s="37"/>
      <c r="E891" s="37"/>
      <c r="F891" s="38"/>
      <c r="G891" s="37"/>
      <c r="H891" s="60"/>
      <c r="I891" s="38"/>
      <c r="J891" s="38"/>
      <c r="K891" s="39"/>
      <c r="L891" s="62"/>
    </row>
    <row r="892" spans="1:12" ht="19.9" customHeight="1">
      <c r="A892" s="37"/>
      <c r="B892" s="37"/>
      <c r="C892" s="38"/>
      <c r="D892" s="37"/>
      <c r="E892" s="37"/>
      <c r="F892" s="38"/>
      <c r="G892" s="37"/>
      <c r="H892" s="60"/>
      <c r="I892" s="38"/>
      <c r="J892" s="38"/>
      <c r="K892" s="39"/>
      <c r="L892" s="62"/>
    </row>
    <row r="893" spans="1:12" ht="19.9" customHeight="1">
      <c r="A893" s="37"/>
      <c r="B893" s="37"/>
      <c r="C893" s="38"/>
      <c r="D893" s="37"/>
      <c r="E893" s="37"/>
      <c r="F893" s="38"/>
      <c r="G893" s="37"/>
      <c r="H893" s="60"/>
      <c r="I893" s="38"/>
      <c r="J893" s="38"/>
      <c r="K893" s="39"/>
      <c r="L893" s="62"/>
    </row>
    <row r="894" spans="1:12" ht="19.9" customHeight="1">
      <c r="A894" s="37"/>
      <c r="B894" s="37"/>
      <c r="C894" s="38"/>
      <c r="D894" s="37"/>
      <c r="E894" s="37"/>
      <c r="F894" s="38"/>
      <c r="G894" s="37"/>
      <c r="H894" s="60"/>
      <c r="I894" s="38"/>
      <c r="J894" s="38"/>
      <c r="K894" s="39"/>
      <c r="L894" s="62"/>
    </row>
    <row r="895" spans="1:12" ht="19.9" customHeight="1">
      <c r="A895" s="37"/>
      <c r="B895" s="37"/>
      <c r="C895" s="38"/>
      <c r="D895" s="37"/>
      <c r="E895" s="37"/>
      <c r="F895" s="38"/>
      <c r="G895" s="37"/>
      <c r="H895" s="60"/>
      <c r="I895" s="38"/>
      <c r="J895" s="38"/>
      <c r="K895" s="39"/>
      <c r="L895" s="62"/>
    </row>
    <row r="896" spans="1:12" ht="19.9" customHeight="1">
      <c r="A896" s="37"/>
      <c r="B896" s="37"/>
      <c r="C896" s="38"/>
      <c r="D896" s="37"/>
      <c r="E896" s="37"/>
      <c r="F896" s="38"/>
      <c r="G896" s="37"/>
      <c r="H896" s="60"/>
      <c r="I896" s="38"/>
      <c r="J896" s="38"/>
      <c r="K896" s="39"/>
      <c r="L896" s="62"/>
    </row>
    <row r="897" spans="1:12" ht="19.9" customHeight="1">
      <c r="A897" s="37"/>
      <c r="B897" s="37"/>
      <c r="C897" s="38"/>
      <c r="D897" s="37"/>
      <c r="E897" s="37"/>
      <c r="F897" s="38"/>
      <c r="G897" s="37"/>
      <c r="H897" s="60"/>
      <c r="I897" s="38"/>
      <c r="J897" s="38"/>
      <c r="K897" s="39"/>
      <c r="L897" s="62"/>
    </row>
    <row r="898" spans="1:12" ht="19.9" customHeight="1">
      <c r="A898" s="37"/>
      <c r="B898" s="37"/>
      <c r="C898" s="38"/>
      <c r="D898" s="37"/>
      <c r="E898" s="37"/>
      <c r="F898" s="38"/>
      <c r="G898" s="37"/>
      <c r="H898" s="60"/>
      <c r="I898" s="38"/>
      <c r="J898" s="38"/>
      <c r="K898" s="39"/>
      <c r="L898" s="62"/>
    </row>
    <row r="899" spans="1:12" ht="19.9" customHeight="1">
      <c r="A899" s="37"/>
      <c r="B899" s="37"/>
      <c r="C899" s="38"/>
      <c r="D899" s="37"/>
      <c r="E899" s="37"/>
      <c r="F899" s="38"/>
      <c r="G899" s="37"/>
      <c r="H899" s="60"/>
      <c r="I899" s="38"/>
      <c r="J899" s="38"/>
      <c r="K899" s="39"/>
      <c r="L899" s="62"/>
    </row>
    <row r="900" spans="1:12" ht="19.9" customHeight="1">
      <c r="A900" s="37"/>
      <c r="B900" s="37"/>
      <c r="C900" s="38"/>
      <c r="D900" s="37"/>
      <c r="E900" s="37"/>
      <c r="F900" s="38"/>
      <c r="G900" s="37"/>
      <c r="H900" s="60"/>
      <c r="I900" s="38"/>
      <c r="J900" s="38"/>
      <c r="K900" s="39"/>
      <c r="L900" s="62"/>
    </row>
    <row r="901" spans="1:12" ht="19.9" customHeight="1">
      <c r="A901" s="37"/>
      <c r="B901" s="37"/>
      <c r="C901" s="38"/>
      <c r="D901" s="37"/>
      <c r="E901" s="37"/>
      <c r="F901" s="38"/>
      <c r="G901" s="37"/>
      <c r="H901" s="60"/>
      <c r="I901" s="38"/>
      <c r="J901" s="38"/>
      <c r="K901" s="39"/>
      <c r="L901" s="62"/>
    </row>
    <row r="902" spans="1:12" ht="19.9" customHeight="1">
      <c r="A902" s="37"/>
      <c r="B902" s="37"/>
      <c r="C902" s="38"/>
      <c r="D902" s="37"/>
      <c r="E902" s="37"/>
      <c r="F902" s="38"/>
      <c r="G902" s="37"/>
      <c r="H902" s="60"/>
      <c r="I902" s="38"/>
      <c r="J902" s="38"/>
      <c r="K902" s="39"/>
      <c r="L902" s="62"/>
    </row>
    <row r="903" spans="1:12" ht="19.9" customHeight="1">
      <c r="A903" s="37"/>
      <c r="B903" s="37"/>
      <c r="C903" s="38"/>
      <c r="D903" s="37"/>
      <c r="E903" s="37"/>
      <c r="F903" s="38"/>
      <c r="G903" s="37"/>
      <c r="H903" s="60"/>
      <c r="I903" s="38"/>
      <c r="J903" s="38"/>
      <c r="K903" s="39"/>
      <c r="L903" s="62"/>
    </row>
    <row r="904" spans="1:12" ht="19.9" customHeight="1">
      <c r="A904" s="37"/>
      <c r="B904" s="37"/>
      <c r="C904" s="38"/>
      <c r="D904" s="37"/>
      <c r="E904" s="37"/>
      <c r="F904" s="38"/>
      <c r="G904" s="37"/>
      <c r="H904" s="60"/>
      <c r="I904" s="38"/>
      <c r="J904" s="38"/>
      <c r="K904" s="39"/>
      <c r="L904" s="62"/>
    </row>
    <row r="905" spans="1:12" ht="19.9" customHeight="1">
      <c r="A905" s="37"/>
      <c r="B905" s="37"/>
      <c r="C905" s="38"/>
      <c r="D905" s="37"/>
      <c r="E905" s="37"/>
      <c r="F905" s="38"/>
      <c r="G905" s="37"/>
      <c r="H905" s="60"/>
      <c r="I905" s="38"/>
      <c r="J905" s="38"/>
      <c r="K905" s="39"/>
      <c r="L905" s="62"/>
    </row>
    <row r="906" spans="1:12" ht="19.9" customHeight="1">
      <c r="A906" s="37"/>
      <c r="B906" s="37"/>
      <c r="C906" s="38"/>
      <c r="D906" s="37"/>
      <c r="E906" s="37"/>
      <c r="F906" s="38"/>
      <c r="G906" s="37"/>
      <c r="H906" s="60"/>
      <c r="I906" s="38"/>
      <c r="J906" s="38"/>
      <c r="K906" s="39"/>
      <c r="L906" s="62"/>
    </row>
    <row r="907" spans="1:12" ht="19.9" customHeight="1">
      <c r="A907" s="37"/>
      <c r="B907" s="37"/>
      <c r="C907" s="38"/>
      <c r="D907" s="37"/>
      <c r="E907" s="37"/>
      <c r="F907" s="38"/>
      <c r="G907" s="37"/>
      <c r="H907" s="60"/>
      <c r="I907" s="38"/>
      <c r="J907" s="38"/>
      <c r="K907" s="39"/>
      <c r="L907" s="62"/>
    </row>
    <row r="908" spans="1:12" ht="19.9" customHeight="1">
      <c r="A908" s="37"/>
      <c r="B908" s="37"/>
      <c r="C908" s="38"/>
      <c r="D908" s="37"/>
      <c r="E908" s="37"/>
      <c r="F908" s="38"/>
      <c r="G908" s="37"/>
      <c r="H908" s="60"/>
      <c r="I908" s="38"/>
      <c r="J908" s="38"/>
      <c r="K908" s="39"/>
      <c r="L908" s="62"/>
    </row>
    <row r="909" spans="1:12" ht="19.9" customHeight="1">
      <c r="A909" s="37"/>
      <c r="B909" s="37"/>
      <c r="C909" s="38"/>
      <c r="D909" s="37"/>
      <c r="E909" s="37"/>
      <c r="F909" s="38"/>
      <c r="G909" s="37"/>
      <c r="H909" s="60"/>
      <c r="I909" s="38"/>
      <c r="J909" s="38"/>
      <c r="K909" s="39"/>
      <c r="L909" s="62"/>
    </row>
    <row r="910" spans="1:12" ht="19.9" customHeight="1">
      <c r="A910" s="37"/>
      <c r="B910" s="37"/>
      <c r="C910" s="38"/>
      <c r="D910" s="37"/>
      <c r="E910" s="37"/>
      <c r="F910" s="38"/>
      <c r="G910" s="37"/>
      <c r="H910" s="60"/>
      <c r="I910" s="38"/>
      <c r="J910" s="38"/>
      <c r="K910" s="39"/>
      <c r="L910" s="62"/>
    </row>
    <row r="911" spans="1:12" ht="19.9" customHeight="1">
      <c r="A911" s="37"/>
      <c r="B911" s="37"/>
      <c r="C911" s="38"/>
      <c r="D911" s="37"/>
      <c r="E911" s="37"/>
      <c r="F911" s="38"/>
      <c r="G911" s="37"/>
      <c r="H911" s="60"/>
      <c r="I911" s="38"/>
      <c r="J911" s="38"/>
      <c r="K911" s="39"/>
      <c r="L911" s="62"/>
    </row>
    <row r="912" spans="1:12" ht="19.9" customHeight="1">
      <c r="A912" s="37"/>
      <c r="B912" s="37"/>
      <c r="C912" s="38"/>
      <c r="D912" s="37"/>
      <c r="E912" s="37"/>
      <c r="F912" s="38"/>
      <c r="G912" s="37"/>
      <c r="H912" s="60"/>
      <c r="I912" s="38"/>
      <c r="J912" s="38"/>
      <c r="K912" s="39"/>
      <c r="L912" s="62"/>
    </row>
    <row r="913" spans="1:12" ht="19.9" customHeight="1">
      <c r="A913" s="37"/>
      <c r="B913" s="37"/>
      <c r="C913" s="38"/>
      <c r="D913" s="37"/>
      <c r="E913" s="37"/>
      <c r="F913" s="38"/>
      <c r="G913" s="37"/>
      <c r="H913" s="60"/>
      <c r="I913" s="38"/>
      <c r="J913" s="38"/>
      <c r="K913" s="39"/>
      <c r="L913" s="62"/>
    </row>
    <row r="914" spans="1:12" ht="19.9" customHeight="1">
      <c r="A914" s="37"/>
      <c r="B914" s="37"/>
      <c r="C914" s="38"/>
      <c r="D914" s="37"/>
      <c r="E914" s="37"/>
      <c r="F914" s="38"/>
      <c r="G914" s="37"/>
      <c r="H914" s="60"/>
      <c r="I914" s="38"/>
      <c r="J914" s="38"/>
      <c r="K914" s="39"/>
      <c r="L914" s="62"/>
    </row>
    <row r="915" spans="1:12" ht="19.9" customHeight="1">
      <c r="A915" s="37"/>
      <c r="B915" s="37"/>
      <c r="C915" s="38"/>
      <c r="D915" s="37"/>
      <c r="E915" s="37"/>
      <c r="F915" s="38"/>
      <c r="G915" s="37"/>
      <c r="H915" s="60"/>
      <c r="I915" s="38"/>
      <c r="J915" s="38"/>
      <c r="K915" s="39"/>
      <c r="L915" s="62"/>
    </row>
    <row r="916" spans="1:12" ht="19.9" customHeight="1">
      <c r="A916" s="37"/>
      <c r="B916" s="37"/>
      <c r="C916" s="38"/>
      <c r="D916" s="37"/>
      <c r="E916" s="37"/>
      <c r="F916" s="38"/>
      <c r="G916" s="37"/>
      <c r="H916" s="60"/>
      <c r="I916" s="38"/>
      <c r="J916" s="38"/>
      <c r="K916" s="39"/>
      <c r="L916" s="62"/>
    </row>
    <row r="917" spans="1:12" ht="19.9" customHeight="1">
      <c r="A917" s="37"/>
      <c r="B917" s="37"/>
      <c r="C917" s="38"/>
      <c r="D917" s="37"/>
      <c r="E917" s="37"/>
      <c r="F917" s="38"/>
      <c r="G917" s="37"/>
      <c r="H917" s="60"/>
      <c r="I917" s="38"/>
      <c r="J917" s="38"/>
      <c r="K917" s="39"/>
      <c r="L917" s="62"/>
    </row>
    <row r="918" spans="1:12" ht="19.9" customHeight="1">
      <c r="A918" s="37"/>
      <c r="B918" s="37"/>
      <c r="C918" s="38"/>
      <c r="D918" s="37"/>
      <c r="E918" s="37"/>
      <c r="F918" s="38"/>
      <c r="G918" s="37"/>
      <c r="H918" s="60"/>
      <c r="I918" s="38"/>
      <c r="J918" s="38"/>
      <c r="K918" s="39"/>
      <c r="L918" s="62"/>
    </row>
    <row r="919" spans="1:12" ht="19.9" customHeight="1">
      <c r="A919" s="37"/>
      <c r="B919" s="37"/>
      <c r="C919" s="38"/>
      <c r="D919" s="37"/>
      <c r="E919" s="37"/>
      <c r="F919" s="38"/>
      <c r="G919" s="37"/>
      <c r="H919" s="60"/>
      <c r="I919" s="38"/>
      <c r="J919" s="38"/>
      <c r="K919" s="39"/>
      <c r="L919" s="62"/>
    </row>
    <row r="920" spans="1:12" ht="19.9" customHeight="1">
      <c r="A920" s="37"/>
      <c r="B920" s="37"/>
      <c r="C920" s="38"/>
      <c r="D920" s="37"/>
      <c r="E920" s="37"/>
      <c r="F920" s="38"/>
      <c r="G920" s="37"/>
      <c r="H920" s="60"/>
      <c r="I920" s="38"/>
      <c r="J920" s="38"/>
      <c r="K920" s="39"/>
      <c r="L920" s="62"/>
    </row>
    <row r="921" spans="1:12" ht="19.9" customHeight="1">
      <c r="A921" s="37"/>
      <c r="B921" s="37"/>
      <c r="C921" s="38"/>
      <c r="D921" s="37"/>
      <c r="E921" s="37"/>
      <c r="F921" s="38"/>
      <c r="G921" s="37"/>
      <c r="H921" s="60"/>
      <c r="I921" s="38"/>
      <c r="J921" s="38"/>
      <c r="K921" s="39"/>
      <c r="L921" s="62"/>
    </row>
    <row r="922" spans="1:12" ht="19.9" customHeight="1">
      <c r="A922" s="37"/>
      <c r="B922" s="37"/>
      <c r="C922" s="38"/>
      <c r="D922" s="37"/>
      <c r="E922" s="37"/>
      <c r="F922" s="38"/>
      <c r="G922" s="37"/>
      <c r="H922" s="60"/>
      <c r="I922" s="38"/>
      <c r="J922" s="38"/>
      <c r="K922" s="39"/>
      <c r="L922" s="62"/>
    </row>
    <row r="923" spans="1:12" ht="19.9" customHeight="1">
      <c r="A923" s="37"/>
      <c r="B923" s="37"/>
      <c r="C923" s="38"/>
      <c r="D923" s="37"/>
      <c r="E923" s="37"/>
      <c r="F923" s="38"/>
      <c r="G923" s="37"/>
      <c r="H923" s="60"/>
      <c r="I923" s="38"/>
      <c r="J923" s="38"/>
      <c r="K923" s="39"/>
      <c r="L923" s="62"/>
    </row>
    <row r="924" spans="1:12" ht="19.9" customHeight="1">
      <c r="A924" s="37"/>
      <c r="B924" s="37"/>
      <c r="C924" s="38"/>
      <c r="D924" s="37"/>
      <c r="E924" s="37"/>
      <c r="F924" s="38"/>
      <c r="G924" s="37"/>
      <c r="H924" s="60"/>
      <c r="I924" s="38"/>
      <c r="J924" s="38"/>
      <c r="K924" s="39"/>
      <c r="L924" s="62"/>
    </row>
    <row r="925" spans="1:12" ht="19.9" customHeight="1">
      <c r="A925" s="37"/>
      <c r="B925" s="37"/>
      <c r="C925" s="38"/>
      <c r="D925" s="37"/>
      <c r="E925" s="37"/>
      <c r="F925" s="38"/>
      <c r="G925" s="37"/>
      <c r="H925" s="60"/>
      <c r="I925" s="38"/>
      <c r="J925" s="38"/>
      <c r="K925" s="39"/>
      <c r="L925" s="62"/>
    </row>
    <row r="926" spans="1:12" ht="19.9" customHeight="1">
      <c r="A926" s="37"/>
      <c r="B926" s="37"/>
      <c r="C926" s="38"/>
      <c r="D926" s="37"/>
      <c r="E926" s="37"/>
      <c r="F926" s="38"/>
      <c r="G926" s="37"/>
      <c r="H926" s="60"/>
      <c r="I926" s="38"/>
      <c r="J926" s="38"/>
      <c r="K926" s="39"/>
      <c r="L926" s="62"/>
    </row>
    <row r="927" spans="1:12" ht="19.9" customHeight="1">
      <c r="A927" s="37"/>
      <c r="B927" s="37"/>
      <c r="C927" s="38"/>
      <c r="D927" s="37"/>
      <c r="E927" s="37"/>
      <c r="F927" s="38"/>
      <c r="G927" s="37"/>
      <c r="H927" s="60"/>
      <c r="I927" s="38"/>
      <c r="J927" s="38"/>
      <c r="K927" s="39"/>
      <c r="L927" s="62"/>
    </row>
    <row r="928" spans="1:12" ht="19.9" customHeight="1">
      <c r="A928" s="37"/>
      <c r="B928" s="37"/>
      <c r="C928" s="38"/>
      <c r="D928" s="37"/>
      <c r="E928" s="37"/>
      <c r="F928" s="38"/>
      <c r="G928" s="37"/>
      <c r="H928" s="60"/>
      <c r="I928" s="38"/>
      <c r="J928" s="38"/>
      <c r="K928" s="39"/>
      <c r="L928" s="62"/>
    </row>
    <row r="929" spans="1:12" ht="19.9" customHeight="1">
      <c r="A929" s="37"/>
      <c r="B929" s="37"/>
      <c r="C929" s="38"/>
      <c r="D929" s="37"/>
      <c r="E929" s="37"/>
      <c r="F929" s="38"/>
      <c r="G929" s="37"/>
      <c r="H929" s="60"/>
      <c r="I929" s="38"/>
      <c r="J929" s="38"/>
      <c r="K929" s="39"/>
      <c r="L929" s="62"/>
    </row>
    <row r="930" spans="1:12" ht="19.9" customHeight="1">
      <c r="A930" s="37"/>
      <c r="B930" s="37"/>
      <c r="C930" s="38"/>
      <c r="D930" s="37"/>
      <c r="E930" s="37"/>
      <c r="F930" s="38"/>
      <c r="G930" s="37"/>
      <c r="H930" s="60"/>
      <c r="I930" s="38"/>
      <c r="J930" s="38"/>
      <c r="K930" s="39"/>
      <c r="L930" s="62"/>
    </row>
    <row r="931" spans="1:12" ht="19.9" customHeight="1">
      <c r="A931" s="37"/>
      <c r="B931" s="37"/>
      <c r="C931" s="38"/>
      <c r="D931" s="37"/>
      <c r="E931" s="37"/>
      <c r="F931" s="38"/>
      <c r="G931" s="37"/>
      <c r="H931" s="60"/>
      <c r="I931" s="38"/>
      <c r="J931" s="38"/>
      <c r="K931" s="39"/>
      <c r="L931" s="62"/>
    </row>
    <row r="932" spans="1:12" ht="19.9" customHeight="1">
      <c r="A932" s="37"/>
      <c r="B932" s="37"/>
      <c r="C932" s="38"/>
      <c r="D932" s="37"/>
      <c r="E932" s="37"/>
      <c r="F932" s="38"/>
      <c r="G932" s="37"/>
      <c r="H932" s="60"/>
      <c r="I932" s="38"/>
      <c r="J932" s="38"/>
      <c r="K932" s="39"/>
      <c r="L932" s="62"/>
    </row>
    <row r="933" spans="1:12" ht="19.9" customHeight="1">
      <c r="A933" s="37"/>
      <c r="B933" s="37"/>
      <c r="C933" s="38"/>
      <c r="D933" s="37"/>
      <c r="E933" s="37"/>
      <c r="F933" s="38"/>
      <c r="G933" s="37"/>
      <c r="H933" s="60"/>
      <c r="I933" s="38"/>
      <c r="J933" s="38"/>
      <c r="K933" s="39"/>
      <c r="L933" s="62"/>
    </row>
    <row r="934" spans="1:12" ht="19.9" customHeight="1">
      <c r="A934" s="37"/>
      <c r="B934" s="37"/>
      <c r="C934" s="38"/>
      <c r="D934" s="37"/>
      <c r="E934" s="37"/>
      <c r="F934" s="38"/>
      <c r="G934" s="37"/>
      <c r="H934" s="60"/>
      <c r="I934" s="38"/>
      <c r="J934" s="38"/>
      <c r="K934" s="39"/>
      <c r="L934" s="62"/>
    </row>
    <row r="935" spans="1:12" ht="19.9" customHeight="1">
      <c r="A935" s="37"/>
      <c r="B935" s="37"/>
      <c r="C935" s="38"/>
      <c r="D935" s="37"/>
      <c r="E935" s="37"/>
      <c r="F935" s="38"/>
      <c r="G935" s="37"/>
      <c r="H935" s="60"/>
      <c r="I935" s="38"/>
      <c r="J935" s="38"/>
      <c r="K935" s="39"/>
      <c r="L935" s="62"/>
    </row>
    <row r="936" spans="1:12" ht="19.9" customHeight="1">
      <c r="A936" s="37"/>
      <c r="B936" s="37"/>
      <c r="C936" s="38"/>
      <c r="D936" s="37"/>
      <c r="E936" s="37"/>
      <c r="F936" s="38"/>
      <c r="G936" s="37"/>
      <c r="H936" s="60"/>
      <c r="I936" s="38"/>
      <c r="J936" s="38"/>
      <c r="K936" s="39"/>
      <c r="L936" s="62"/>
    </row>
    <row r="937" spans="1:12" ht="19.9" customHeight="1">
      <c r="A937" s="37"/>
      <c r="B937" s="37"/>
      <c r="C937" s="38"/>
      <c r="D937" s="37"/>
      <c r="E937" s="37"/>
      <c r="F937" s="38"/>
      <c r="G937" s="37"/>
      <c r="H937" s="60"/>
      <c r="I937" s="38"/>
      <c r="J937" s="38"/>
      <c r="K937" s="39"/>
      <c r="L937" s="62"/>
    </row>
    <row r="938" spans="1:12" ht="19.9" customHeight="1">
      <c r="A938" s="37"/>
      <c r="B938" s="37"/>
      <c r="C938" s="38"/>
      <c r="D938" s="37"/>
      <c r="E938" s="37"/>
      <c r="F938" s="38"/>
      <c r="G938" s="37"/>
      <c r="H938" s="60"/>
      <c r="I938" s="38"/>
      <c r="J938" s="38"/>
      <c r="K938" s="39"/>
      <c r="L938" s="62"/>
    </row>
    <row r="939" spans="1:12" ht="19.9" customHeight="1">
      <c r="A939" s="37"/>
      <c r="B939" s="37"/>
      <c r="C939" s="38"/>
      <c r="D939" s="37"/>
      <c r="E939" s="37"/>
      <c r="F939" s="38"/>
      <c r="G939" s="37"/>
      <c r="H939" s="60"/>
      <c r="I939" s="38"/>
      <c r="J939" s="38"/>
      <c r="K939" s="39"/>
      <c r="L939" s="62"/>
    </row>
    <row r="940" spans="1:12" ht="19.9" customHeight="1">
      <c r="A940" s="37"/>
      <c r="B940" s="37"/>
      <c r="C940" s="38"/>
      <c r="D940" s="37"/>
      <c r="E940" s="37"/>
      <c r="F940" s="38"/>
      <c r="G940" s="37"/>
      <c r="H940" s="60"/>
      <c r="I940" s="38"/>
      <c r="J940" s="38"/>
      <c r="K940" s="39"/>
      <c r="L940" s="62"/>
    </row>
    <row r="941" spans="1:12" ht="19.9" customHeight="1">
      <c r="A941" s="37"/>
      <c r="B941" s="37"/>
      <c r="C941" s="38"/>
      <c r="D941" s="37"/>
      <c r="E941" s="37"/>
      <c r="F941" s="38"/>
      <c r="G941" s="37"/>
      <c r="H941" s="60"/>
      <c r="I941" s="38"/>
      <c r="J941" s="38"/>
      <c r="K941" s="39"/>
      <c r="L941" s="62"/>
    </row>
    <row r="942" spans="1:12" ht="19.9" customHeight="1">
      <c r="A942" s="37"/>
      <c r="B942" s="37"/>
      <c r="C942" s="38"/>
      <c r="D942" s="37"/>
      <c r="E942" s="37"/>
      <c r="F942" s="38"/>
      <c r="G942" s="37"/>
      <c r="H942" s="60"/>
      <c r="I942" s="38"/>
      <c r="J942" s="38"/>
      <c r="K942" s="39"/>
      <c r="L942" s="62"/>
    </row>
    <row r="943" spans="1:12" ht="19.9" customHeight="1">
      <c r="A943" s="37"/>
      <c r="B943" s="37"/>
      <c r="C943" s="38"/>
      <c r="D943" s="37"/>
      <c r="E943" s="37"/>
      <c r="F943" s="38"/>
      <c r="G943" s="37"/>
      <c r="H943" s="60"/>
      <c r="I943" s="38"/>
      <c r="J943" s="38"/>
      <c r="K943" s="39"/>
      <c r="L943" s="62"/>
    </row>
    <row r="944" spans="1:12" ht="19.9" customHeight="1">
      <c r="A944" s="37"/>
      <c r="B944" s="37"/>
      <c r="C944" s="38"/>
      <c r="D944" s="37"/>
      <c r="E944" s="37"/>
      <c r="F944" s="38"/>
      <c r="G944" s="37"/>
      <c r="H944" s="60"/>
      <c r="I944" s="38"/>
      <c r="J944" s="38"/>
      <c r="K944" s="39"/>
      <c r="L944" s="62"/>
    </row>
    <row r="945" spans="1:12" ht="19.9" customHeight="1">
      <c r="A945" s="37"/>
      <c r="B945" s="37"/>
      <c r="C945" s="38"/>
      <c r="D945" s="37"/>
      <c r="E945" s="37"/>
      <c r="F945" s="38"/>
      <c r="G945" s="37"/>
      <c r="H945" s="60"/>
      <c r="I945" s="38"/>
      <c r="J945" s="38"/>
      <c r="K945" s="39"/>
      <c r="L945" s="62"/>
    </row>
    <row r="946" spans="1:12" ht="19.9" customHeight="1">
      <c r="A946" s="37"/>
      <c r="B946" s="37"/>
      <c r="C946" s="38"/>
      <c r="D946" s="37"/>
      <c r="E946" s="37"/>
      <c r="F946" s="38"/>
      <c r="G946" s="37"/>
      <c r="H946" s="60"/>
      <c r="I946" s="38"/>
      <c r="J946" s="38"/>
      <c r="K946" s="39"/>
      <c r="L946" s="62"/>
    </row>
    <row r="947" spans="1:12" ht="19.9" customHeight="1">
      <c r="A947" s="37"/>
      <c r="B947" s="37"/>
      <c r="C947" s="38"/>
      <c r="D947" s="37"/>
      <c r="E947" s="37"/>
      <c r="F947" s="38"/>
      <c r="G947" s="37"/>
      <c r="H947" s="60"/>
      <c r="I947" s="38"/>
      <c r="J947" s="38"/>
      <c r="K947" s="39"/>
      <c r="L947" s="62"/>
    </row>
    <row r="948" spans="1:12" ht="19.9" customHeight="1">
      <c r="A948" s="37"/>
      <c r="B948" s="37"/>
      <c r="C948" s="38"/>
      <c r="D948" s="37"/>
      <c r="E948" s="37"/>
      <c r="F948" s="38"/>
      <c r="G948" s="37"/>
      <c r="H948" s="60"/>
      <c r="I948" s="38"/>
      <c r="J948" s="38"/>
      <c r="K948" s="39"/>
      <c r="L948" s="62"/>
    </row>
    <row r="949" spans="1:12" ht="19.9" customHeight="1">
      <c r="A949" s="37"/>
      <c r="B949" s="37"/>
      <c r="C949" s="38"/>
      <c r="D949" s="37"/>
      <c r="E949" s="37"/>
      <c r="F949" s="38"/>
      <c r="G949" s="37"/>
      <c r="H949" s="60"/>
      <c r="I949" s="38"/>
      <c r="J949" s="38"/>
      <c r="K949" s="39"/>
      <c r="L949" s="62"/>
    </row>
    <row r="950" spans="1:12" ht="19.9" customHeight="1">
      <c r="A950" s="37"/>
      <c r="B950" s="37"/>
      <c r="C950" s="38"/>
      <c r="D950" s="37"/>
      <c r="E950" s="37"/>
      <c r="F950" s="38"/>
      <c r="G950" s="37"/>
      <c r="H950" s="60"/>
      <c r="I950" s="38"/>
      <c r="J950" s="38"/>
      <c r="K950" s="39"/>
      <c r="L950" s="62"/>
    </row>
    <row r="951" spans="1:12" ht="19.9" customHeight="1">
      <c r="A951" s="37"/>
      <c r="B951" s="37"/>
      <c r="C951" s="38"/>
      <c r="D951" s="37"/>
      <c r="E951" s="37"/>
      <c r="F951" s="38"/>
      <c r="G951" s="37"/>
      <c r="H951" s="60"/>
      <c r="I951" s="38"/>
      <c r="J951" s="38"/>
      <c r="K951" s="39"/>
      <c r="L951" s="62"/>
    </row>
    <row r="952" spans="1:12" ht="19.9" customHeight="1">
      <c r="A952" s="37"/>
      <c r="B952" s="37"/>
      <c r="C952" s="38"/>
      <c r="D952" s="37"/>
      <c r="E952" s="37"/>
      <c r="F952" s="38"/>
      <c r="G952" s="37"/>
      <c r="H952" s="60"/>
      <c r="I952" s="38"/>
      <c r="J952" s="38"/>
      <c r="K952" s="39"/>
      <c r="L952" s="62"/>
    </row>
    <row r="953" spans="1:12" ht="19.9" customHeight="1">
      <c r="A953" s="37"/>
      <c r="B953" s="37"/>
      <c r="C953" s="38"/>
      <c r="D953" s="37"/>
      <c r="E953" s="37"/>
      <c r="F953" s="38"/>
      <c r="G953" s="37"/>
      <c r="H953" s="60"/>
      <c r="I953" s="38"/>
      <c r="J953" s="38"/>
      <c r="K953" s="39"/>
      <c r="L953" s="62"/>
    </row>
    <row r="954" spans="1:12" ht="19.9" customHeight="1">
      <c r="A954" s="37"/>
      <c r="B954" s="37"/>
      <c r="C954" s="38"/>
      <c r="D954" s="37"/>
      <c r="E954" s="37"/>
      <c r="F954" s="38"/>
      <c r="G954" s="37"/>
      <c r="H954" s="60"/>
      <c r="I954" s="38"/>
      <c r="J954" s="38"/>
      <c r="K954" s="39"/>
      <c r="L954" s="62"/>
    </row>
    <row r="955" spans="1:12" ht="19.9" customHeight="1">
      <c r="A955" s="37"/>
      <c r="B955" s="37"/>
      <c r="C955" s="38"/>
      <c r="D955" s="37"/>
      <c r="E955" s="37"/>
      <c r="F955" s="38"/>
      <c r="G955" s="37"/>
      <c r="H955" s="60"/>
      <c r="I955" s="38"/>
      <c r="J955" s="38"/>
      <c r="K955" s="39"/>
      <c r="L955" s="62"/>
    </row>
    <row r="956" spans="1:12" ht="19.9" customHeight="1">
      <c r="A956" s="37"/>
      <c r="B956" s="37"/>
      <c r="C956" s="38"/>
      <c r="D956" s="37"/>
      <c r="E956" s="37"/>
      <c r="F956" s="38"/>
      <c r="G956" s="37"/>
      <c r="H956" s="60"/>
      <c r="I956" s="38"/>
      <c r="J956" s="38"/>
      <c r="K956" s="39"/>
      <c r="L956" s="62"/>
    </row>
    <row r="957" spans="1:12" ht="19.9" customHeight="1">
      <c r="A957" s="37"/>
      <c r="B957" s="37"/>
      <c r="C957" s="38"/>
      <c r="D957" s="37"/>
      <c r="E957" s="37"/>
      <c r="F957" s="38"/>
      <c r="G957" s="37"/>
      <c r="H957" s="60"/>
      <c r="I957" s="38"/>
      <c r="J957" s="38"/>
      <c r="K957" s="39"/>
      <c r="L957" s="62"/>
    </row>
    <row r="958" spans="1:12" ht="19.9" customHeight="1">
      <c r="A958" s="37"/>
      <c r="B958" s="37"/>
      <c r="C958" s="38"/>
      <c r="D958" s="37"/>
      <c r="E958" s="37"/>
      <c r="F958" s="38"/>
      <c r="G958" s="37"/>
      <c r="H958" s="60"/>
      <c r="I958" s="38"/>
      <c r="J958" s="38"/>
      <c r="K958" s="39"/>
      <c r="L958" s="62"/>
    </row>
    <row r="959" spans="1:12" ht="19.9" customHeight="1">
      <c r="A959" s="37"/>
      <c r="B959" s="37"/>
      <c r="C959" s="38"/>
      <c r="D959" s="37"/>
      <c r="E959" s="37"/>
      <c r="F959" s="38"/>
      <c r="G959" s="37"/>
      <c r="H959" s="60"/>
      <c r="I959" s="38"/>
      <c r="J959" s="38"/>
      <c r="K959" s="39"/>
      <c r="L959" s="62"/>
    </row>
    <row r="960" spans="1:12" ht="19.9" customHeight="1">
      <c r="A960" s="37"/>
      <c r="B960" s="37"/>
      <c r="C960" s="38"/>
      <c r="D960" s="37"/>
      <c r="E960" s="37"/>
      <c r="F960" s="38"/>
      <c r="G960" s="37"/>
      <c r="H960" s="60"/>
      <c r="I960" s="38"/>
      <c r="J960" s="38"/>
      <c r="K960" s="39"/>
      <c r="L960" s="62"/>
    </row>
    <row r="961" spans="1:12" ht="19.9" customHeight="1">
      <c r="A961" s="37"/>
      <c r="B961" s="37"/>
      <c r="C961" s="38"/>
      <c r="D961" s="37"/>
      <c r="E961" s="37"/>
      <c r="F961" s="38"/>
      <c r="G961" s="37"/>
      <c r="H961" s="60"/>
      <c r="I961" s="38"/>
      <c r="J961" s="38"/>
      <c r="K961" s="39"/>
      <c r="L961" s="62"/>
    </row>
    <row r="962" spans="1:12" ht="19.9" customHeight="1">
      <c r="A962" s="37"/>
      <c r="B962" s="37"/>
      <c r="C962" s="38"/>
      <c r="D962" s="37"/>
      <c r="E962" s="37"/>
      <c r="F962" s="38"/>
      <c r="G962" s="37"/>
      <c r="H962" s="60"/>
      <c r="I962" s="38"/>
      <c r="J962" s="38"/>
      <c r="K962" s="39"/>
      <c r="L962" s="62"/>
    </row>
    <row r="963" spans="1:12" ht="19.9" customHeight="1">
      <c r="A963" s="37"/>
      <c r="B963" s="37"/>
      <c r="C963" s="38"/>
      <c r="D963" s="37"/>
      <c r="E963" s="37"/>
      <c r="F963" s="38"/>
      <c r="G963" s="37"/>
      <c r="H963" s="60"/>
      <c r="I963" s="38"/>
      <c r="J963" s="38"/>
      <c r="K963" s="39"/>
      <c r="L963" s="62"/>
    </row>
    <row r="964" spans="1:12" ht="19.9" customHeight="1">
      <c r="A964" s="37"/>
      <c r="B964" s="37"/>
      <c r="C964" s="38"/>
      <c r="D964" s="37"/>
      <c r="E964" s="37"/>
      <c r="F964" s="38"/>
      <c r="G964" s="37"/>
      <c r="H964" s="60"/>
      <c r="I964" s="38"/>
      <c r="J964" s="38"/>
      <c r="K964" s="39"/>
      <c r="L964" s="62"/>
    </row>
    <row r="965" spans="1:12" ht="19.9" customHeight="1">
      <c r="A965" s="37"/>
      <c r="B965" s="37"/>
      <c r="C965" s="38"/>
      <c r="D965" s="37"/>
      <c r="E965" s="37"/>
      <c r="F965" s="38"/>
      <c r="G965" s="37"/>
      <c r="H965" s="60"/>
      <c r="I965" s="38"/>
      <c r="J965" s="38"/>
      <c r="K965" s="39"/>
      <c r="L965" s="62"/>
    </row>
    <row r="966" spans="1:12" ht="19.9" customHeight="1">
      <c r="A966" s="37"/>
      <c r="B966" s="37"/>
      <c r="C966" s="38"/>
      <c r="D966" s="37"/>
      <c r="E966" s="37"/>
      <c r="F966" s="38"/>
      <c r="G966" s="37"/>
      <c r="H966" s="60"/>
      <c r="I966" s="38"/>
      <c r="J966" s="38"/>
      <c r="K966" s="39"/>
      <c r="L966" s="62"/>
    </row>
    <row r="967" spans="1:12" ht="19.9" customHeight="1">
      <c r="A967" s="37"/>
      <c r="B967" s="37"/>
      <c r="C967" s="38"/>
      <c r="D967" s="37"/>
      <c r="E967" s="37"/>
      <c r="F967" s="38"/>
      <c r="G967" s="37"/>
      <c r="H967" s="60"/>
      <c r="I967" s="38"/>
      <c r="J967" s="38"/>
      <c r="K967" s="39"/>
      <c r="L967" s="62"/>
    </row>
    <row r="968" spans="1:12" ht="19.9" customHeight="1">
      <c r="A968" s="37"/>
      <c r="B968" s="37"/>
      <c r="C968" s="38"/>
      <c r="D968" s="37"/>
      <c r="E968" s="37"/>
      <c r="F968" s="38"/>
      <c r="G968" s="37"/>
      <c r="H968" s="60"/>
      <c r="I968" s="38"/>
      <c r="J968" s="38"/>
      <c r="K968" s="39"/>
      <c r="L968" s="62"/>
    </row>
    <row r="969" spans="1:12" ht="19.9" customHeight="1">
      <c r="A969" s="37"/>
      <c r="B969" s="37"/>
      <c r="C969" s="38"/>
      <c r="D969" s="37"/>
      <c r="E969" s="37"/>
      <c r="F969" s="38"/>
      <c r="G969" s="37"/>
      <c r="H969" s="60"/>
      <c r="I969" s="38"/>
      <c r="J969" s="38"/>
      <c r="K969" s="39"/>
      <c r="L969" s="62"/>
    </row>
    <row r="970" spans="1:12" ht="19.9" customHeight="1">
      <c r="A970" s="37"/>
      <c r="B970" s="37"/>
      <c r="C970" s="38"/>
      <c r="D970" s="37"/>
      <c r="E970" s="37"/>
      <c r="F970" s="38"/>
      <c r="G970" s="37"/>
      <c r="H970" s="60"/>
      <c r="I970" s="38"/>
      <c r="J970" s="38"/>
      <c r="K970" s="39"/>
      <c r="L970" s="62"/>
    </row>
    <row r="971" spans="1:12" ht="19.9" customHeight="1">
      <c r="A971" s="37"/>
      <c r="B971" s="37"/>
      <c r="C971" s="38"/>
      <c r="D971" s="37"/>
      <c r="E971" s="37"/>
      <c r="F971" s="38"/>
      <c r="G971" s="37"/>
      <c r="H971" s="60"/>
      <c r="I971" s="38"/>
      <c r="J971" s="38"/>
      <c r="K971" s="39"/>
      <c r="L971" s="62"/>
    </row>
    <row r="972" spans="1:12" ht="19.9" customHeight="1">
      <c r="A972" s="37"/>
      <c r="B972" s="37"/>
      <c r="C972" s="38"/>
      <c r="D972" s="37"/>
      <c r="E972" s="37"/>
      <c r="F972" s="38"/>
      <c r="G972" s="37"/>
      <c r="H972" s="60"/>
      <c r="I972" s="38"/>
      <c r="J972" s="38"/>
      <c r="K972" s="39"/>
      <c r="L972" s="62"/>
    </row>
    <row r="973" spans="1:12" ht="19.9" customHeight="1">
      <c r="A973" s="37"/>
      <c r="B973" s="37"/>
      <c r="C973" s="38"/>
      <c r="D973" s="37"/>
      <c r="E973" s="37"/>
      <c r="F973" s="38"/>
      <c r="G973" s="37"/>
      <c r="H973" s="60"/>
      <c r="I973" s="38"/>
      <c r="J973" s="38"/>
      <c r="K973" s="39"/>
      <c r="L973" s="62"/>
    </row>
    <row r="974" spans="1:12" ht="19.9" customHeight="1">
      <c r="A974" s="37"/>
      <c r="B974" s="37"/>
      <c r="C974" s="38"/>
      <c r="D974" s="37"/>
      <c r="E974" s="37"/>
      <c r="F974" s="38"/>
      <c r="G974" s="37"/>
      <c r="H974" s="60"/>
      <c r="I974" s="38"/>
      <c r="J974" s="38"/>
      <c r="K974" s="39"/>
      <c r="L974" s="62"/>
    </row>
    <row r="975" spans="1:12" ht="19.9" customHeight="1">
      <c r="A975" s="37"/>
      <c r="B975" s="37"/>
      <c r="C975" s="38"/>
      <c r="D975" s="37"/>
      <c r="E975" s="37"/>
      <c r="F975" s="38"/>
      <c r="G975" s="37"/>
      <c r="H975" s="60"/>
      <c r="I975" s="38"/>
      <c r="J975" s="38"/>
      <c r="K975" s="39"/>
      <c r="L975" s="62"/>
    </row>
    <row r="976" spans="1:12" ht="19.9" customHeight="1">
      <c r="A976" s="37"/>
      <c r="B976" s="37"/>
      <c r="C976" s="38"/>
      <c r="D976" s="37"/>
      <c r="E976" s="37"/>
      <c r="F976" s="38"/>
      <c r="G976" s="37"/>
      <c r="H976" s="60"/>
      <c r="I976" s="38"/>
      <c r="J976" s="38"/>
      <c r="K976" s="39"/>
      <c r="L976" s="62"/>
    </row>
    <row r="977" spans="1:12" ht="19.9" customHeight="1">
      <c r="A977" s="37"/>
      <c r="B977" s="37"/>
      <c r="C977" s="38"/>
      <c r="D977" s="37"/>
      <c r="E977" s="37"/>
      <c r="F977" s="38"/>
      <c r="G977" s="37"/>
      <c r="H977" s="60"/>
      <c r="I977" s="38"/>
      <c r="J977" s="38"/>
      <c r="K977" s="39"/>
      <c r="L977" s="62"/>
    </row>
    <row r="978" spans="1:12" ht="19.9" customHeight="1">
      <c r="A978" s="37"/>
      <c r="B978" s="37"/>
      <c r="C978" s="38"/>
      <c r="D978" s="37"/>
      <c r="E978" s="37"/>
      <c r="F978" s="38"/>
      <c r="G978" s="37"/>
      <c r="H978" s="60"/>
      <c r="I978" s="38"/>
      <c r="J978" s="38"/>
      <c r="K978" s="39"/>
      <c r="L978" s="62"/>
    </row>
    <row r="979" spans="1:12" ht="19.9" customHeight="1">
      <c r="A979" s="37"/>
      <c r="B979" s="37"/>
      <c r="C979" s="38"/>
      <c r="D979" s="37"/>
      <c r="E979" s="37"/>
      <c r="F979" s="38"/>
      <c r="G979" s="37"/>
      <c r="H979" s="60"/>
      <c r="I979" s="38"/>
      <c r="J979" s="38"/>
      <c r="K979" s="39"/>
      <c r="L979" s="62"/>
    </row>
    <row r="980" spans="1:12" ht="19.9" customHeight="1">
      <c r="A980" s="37"/>
      <c r="B980" s="37"/>
      <c r="C980" s="38"/>
      <c r="D980" s="37"/>
      <c r="E980" s="37"/>
      <c r="F980" s="38"/>
      <c r="G980" s="37"/>
      <c r="H980" s="60"/>
      <c r="I980" s="38"/>
      <c r="J980" s="38"/>
      <c r="K980" s="39"/>
      <c r="L980" s="62"/>
    </row>
    <row r="981" spans="1:12" ht="19.9" customHeight="1">
      <c r="A981" s="37"/>
      <c r="B981" s="37"/>
      <c r="C981" s="38"/>
      <c r="D981" s="37"/>
      <c r="E981" s="37"/>
      <c r="F981" s="38"/>
      <c r="G981" s="37"/>
      <c r="H981" s="60"/>
      <c r="I981" s="38"/>
      <c r="J981" s="38"/>
      <c r="K981" s="39"/>
      <c r="L981" s="62"/>
    </row>
    <row r="982" spans="1:12" ht="19.9" customHeight="1">
      <c r="A982" s="37"/>
      <c r="B982" s="37"/>
      <c r="C982" s="38"/>
      <c r="D982" s="37"/>
      <c r="E982" s="37"/>
      <c r="F982" s="38"/>
      <c r="G982" s="37"/>
      <c r="H982" s="60"/>
      <c r="I982" s="38"/>
      <c r="J982" s="38"/>
      <c r="K982" s="39"/>
      <c r="L982" s="62"/>
    </row>
    <row r="983" spans="1:12" ht="19.9" customHeight="1">
      <c r="A983" s="37"/>
      <c r="B983" s="37"/>
      <c r="C983" s="38"/>
      <c r="D983" s="37"/>
      <c r="E983" s="37"/>
      <c r="F983" s="38"/>
      <c r="G983" s="37"/>
      <c r="H983" s="60"/>
      <c r="I983" s="38"/>
      <c r="J983" s="38"/>
      <c r="K983" s="39"/>
      <c r="L983" s="62"/>
    </row>
    <row r="984" spans="1:12" ht="19.9" customHeight="1">
      <c r="A984" s="37"/>
      <c r="B984" s="37"/>
      <c r="C984" s="38"/>
      <c r="D984" s="37"/>
      <c r="E984" s="37"/>
      <c r="F984" s="38"/>
      <c r="G984" s="37"/>
      <c r="H984" s="60"/>
      <c r="I984" s="38"/>
      <c r="J984" s="38"/>
      <c r="K984" s="39"/>
      <c r="L984" s="62"/>
    </row>
    <row r="985" spans="1:12" ht="19.9" customHeight="1">
      <c r="A985" s="37"/>
      <c r="B985" s="37"/>
      <c r="C985" s="38"/>
      <c r="D985" s="37"/>
      <c r="E985" s="37"/>
      <c r="F985" s="38"/>
      <c r="G985" s="37"/>
      <c r="H985" s="60"/>
      <c r="I985" s="38"/>
      <c r="J985" s="38"/>
      <c r="K985" s="39"/>
      <c r="L985" s="62"/>
    </row>
    <row r="986" spans="1:12" ht="19.9" customHeight="1">
      <c r="A986" s="37"/>
      <c r="B986" s="37"/>
      <c r="C986" s="38"/>
      <c r="D986" s="37"/>
      <c r="E986" s="37"/>
      <c r="F986" s="38"/>
      <c r="G986" s="37"/>
      <c r="H986" s="60"/>
      <c r="I986" s="38"/>
      <c r="J986" s="38"/>
      <c r="K986" s="39"/>
      <c r="L986" s="62"/>
    </row>
    <row r="987" spans="1:12" ht="19.9" customHeight="1">
      <c r="A987" s="37"/>
      <c r="B987" s="37"/>
      <c r="C987" s="38"/>
      <c r="D987" s="37"/>
      <c r="E987" s="37"/>
      <c r="F987" s="38"/>
      <c r="G987" s="37"/>
      <c r="H987" s="60"/>
      <c r="I987" s="38"/>
      <c r="J987" s="38"/>
      <c r="K987" s="39"/>
      <c r="L987" s="62"/>
    </row>
    <row r="988" spans="1:12" ht="19.9" customHeight="1">
      <c r="A988" s="37"/>
      <c r="B988" s="37"/>
      <c r="C988" s="38"/>
      <c r="D988" s="37"/>
      <c r="E988" s="37"/>
      <c r="F988" s="38"/>
      <c r="G988" s="37"/>
      <c r="H988" s="60"/>
      <c r="I988" s="38"/>
      <c r="J988" s="38"/>
      <c r="K988" s="39"/>
      <c r="L988" s="62"/>
    </row>
    <row r="989" spans="1:12" ht="19.9" customHeight="1">
      <c r="A989" s="37"/>
      <c r="B989" s="37"/>
      <c r="C989" s="38"/>
      <c r="D989" s="37"/>
      <c r="E989" s="37"/>
      <c r="F989" s="38"/>
      <c r="G989" s="37"/>
      <c r="H989" s="60"/>
      <c r="I989" s="38"/>
      <c r="J989" s="38"/>
      <c r="K989" s="39"/>
      <c r="L989" s="62"/>
    </row>
    <row r="990" spans="1:12" ht="19.9" customHeight="1">
      <c r="A990" s="37"/>
      <c r="B990" s="37"/>
      <c r="C990" s="38"/>
      <c r="D990" s="37"/>
      <c r="E990" s="37"/>
      <c r="F990" s="38"/>
      <c r="G990" s="37"/>
      <c r="H990" s="60"/>
      <c r="I990" s="38"/>
      <c r="J990" s="38"/>
      <c r="K990" s="39"/>
      <c r="L990" s="62"/>
    </row>
    <row r="991" spans="1:12" ht="19.9" customHeight="1">
      <c r="A991" s="37"/>
      <c r="B991" s="37"/>
      <c r="C991" s="38"/>
      <c r="D991" s="37"/>
      <c r="E991" s="37"/>
      <c r="F991" s="38"/>
      <c r="G991" s="37"/>
      <c r="H991" s="60"/>
      <c r="I991" s="38"/>
      <c r="J991" s="38"/>
      <c r="K991" s="39"/>
      <c r="L991" s="62"/>
    </row>
    <row r="992" spans="1:12" ht="19.9" customHeight="1">
      <c r="A992" s="37"/>
      <c r="B992" s="37"/>
      <c r="C992" s="38"/>
      <c r="D992" s="37"/>
      <c r="E992" s="37"/>
      <c r="F992" s="38"/>
      <c r="G992" s="37"/>
      <c r="H992" s="60"/>
      <c r="I992" s="38"/>
      <c r="J992" s="38"/>
      <c r="K992" s="39"/>
      <c r="L992" s="62"/>
    </row>
    <row r="993" spans="1:12" ht="19.9" customHeight="1">
      <c r="A993" s="37"/>
      <c r="B993" s="37"/>
      <c r="C993" s="38"/>
      <c r="D993" s="37"/>
      <c r="E993" s="37"/>
      <c r="F993" s="38"/>
      <c r="G993" s="37"/>
      <c r="H993" s="60"/>
      <c r="I993" s="38"/>
      <c r="J993" s="38"/>
      <c r="K993" s="39"/>
      <c r="L993" s="62"/>
    </row>
    <row r="994" spans="1:12" ht="19.9" customHeight="1">
      <c r="A994" s="37"/>
      <c r="B994" s="37"/>
      <c r="C994" s="38"/>
      <c r="D994" s="37"/>
      <c r="E994" s="37"/>
      <c r="F994" s="38"/>
      <c r="G994" s="37"/>
      <c r="H994" s="60"/>
      <c r="I994" s="38"/>
      <c r="J994" s="38"/>
      <c r="K994" s="39"/>
      <c r="L994" s="62"/>
    </row>
    <row r="995" spans="1:12" ht="19.9" customHeight="1">
      <c r="A995" s="37"/>
      <c r="B995" s="37"/>
      <c r="C995" s="38"/>
      <c r="D995" s="37"/>
      <c r="E995" s="37"/>
      <c r="F995" s="38"/>
      <c r="G995" s="37"/>
      <c r="H995" s="60"/>
      <c r="I995" s="38"/>
      <c r="J995" s="38"/>
      <c r="K995" s="39"/>
      <c r="L995" s="62"/>
    </row>
    <row r="996" spans="1:12" ht="19.9" customHeight="1">
      <c r="A996" s="37"/>
      <c r="B996" s="37"/>
      <c r="C996" s="38"/>
      <c r="D996" s="37"/>
      <c r="E996" s="37"/>
      <c r="F996" s="38"/>
      <c r="G996" s="37"/>
      <c r="H996" s="60"/>
      <c r="I996" s="38"/>
      <c r="J996" s="38"/>
      <c r="K996" s="39"/>
      <c r="L996" s="62"/>
    </row>
    <row r="997" spans="1:12" ht="19.9" customHeight="1">
      <c r="A997" s="37"/>
      <c r="B997" s="37"/>
      <c r="C997" s="38"/>
      <c r="D997" s="37"/>
      <c r="E997" s="37"/>
      <c r="F997" s="38"/>
      <c r="G997" s="37"/>
      <c r="H997" s="60"/>
      <c r="I997" s="38"/>
      <c r="J997" s="38"/>
      <c r="K997" s="39"/>
      <c r="L997" s="62"/>
    </row>
    <row r="998" spans="1:12" ht="19.9" customHeight="1">
      <c r="A998" s="37"/>
      <c r="B998" s="37"/>
      <c r="C998" s="38"/>
      <c r="D998" s="37"/>
      <c r="E998" s="37"/>
      <c r="F998" s="38"/>
      <c r="G998" s="37"/>
      <c r="H998" s="60"/>
      <c r="I998" s="38"/>
      <c r="J998" s="38"/>
      <c r="K998" s="39"/>
      <c r="L998" s="62"/>
    </row>
    <row r="999" spans="1:12" ht="19.9" customHeight="1">
      <c r="A999" s="37"/>
      <c r="B999" s="37"/>
      <c r="C999" s="38"/>
      <c r="D999" s="37"/>
      <c r="E999" s="37"/>
      <c r="F999" s="38"/>
      <c r="G999" s="37"/>
      <c r="H999" s="60"/>
      <c r="I999" s="38"/>
      <c r="J999" s="38"/>
      <c r="K999" s="39"/>
      <c r="L999" s="62"/>
    </row>
    <row r="1000" spans="1:12" ht="19.9" customHeight="1">
      <c r="A1000" s="37"/>
      <c r="B1000" s="37"/>
      <c r="C1000" s="38"/>
      <c r="D1000" s="37"/>
      <c r="E1000" s="37"/>
      <c r="F1000" s="38"/>
      <c r="G1000" s="37"/>
      <c r="H1000" s="60"/>
      <c r="I1000" s="38"/>
      <c r="J1000" s="38"/>
      <c r="K1000" s="39"/>
      <c r="L1000" s="62"/>
    </row>
    <row r="1001" spans="1:12" ht="19.9" customHeight="1">
      <c r="A1001" s="37"/>
      <c r="B1001" s="37"/>
      <c r="C1001" s="38"/>
      <c r="D1001" s="37"/>
      <c r="E1001" s="37"/>
      <c r="F1001" s="38"/>
      <c r="G1001" s="37"/>
      <c r="H1001" s="60"/>
      <c r="I1001" s="38"/>
      <c r="J1001" s="38"/>
      <c r="K1001" s="39"/>
      <c r="L1001" s="62"/>
    </row>
  </sheetData>
  <sheetProtection formatCells="0" formatColumns="0" formatRows="0" sort="0" autoFilter="0" pivotTables="0"/>
  <dataValidations count="1">
    <dataValidation type="list" allowBlank="1" showInputMessage="1" showErrorMessage="1" sqref="F3:F160">
      <formula1>"浅水Ⅰ型浮游生物网,浅水Ⅱ型浮游生物网,浅水Ⅲ型浮游生物网,小型浮游生物网,大型浮游生物网,WP2网"</formula1>
    </dataValidation>
  </dataValidations>
  <pageMargins left="0.7" right="0.7" top="0.75" bottom="0.75" header="0.3" footer="0.3"/>
  <pageSetup orientation="portrait" paperSize="9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2605"/>
  <sheetViews>
    <sheetView workbookViewId="0" topLeftCell="A13">
      <selection pane="topLeft" activeCell="F3" sqref="F3:F34"/>
    </sheetView>
  </sheetViews>
  <sheetFormatPr defaultRowHeight="13.5"/>
  <cols>
    <col min="1" max="1" width="20" customWidth="1"/>
    <col min="2" max="2" width="37.875" customWidth="1"/>
    <col min="3" max="3" width="6.5" bestFit="1" customWidth="1"/>
    <col min="5" max="5" width="15.125" bestFit="1" customWidth="1"/>
    <col min="7" max="7" width="9.5" bestFit="1" customWidth="1"/>
    <col min="8" max="8" width="5.25" bestFit="1" customWidth="1"/>
    <col min="9" max="9" width="28.875" customWidth="1"/>
  </cols>
  <sheetData>
    <row r="1" spans="1:11" ht="23.25" customHeight="1">
      <c r="A1" s="1" t="s">
        <v>5314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20.25" customHeight="1">
      <c r="A2" s="32" t="s">
        <v>5298</v>
      </c>
      <c r="B2" s="32" t="s">
        <v>5299</v>
      </c>
      <c r="C2" s="32" t="s">
        <v>5300</v>
      </c>
      <c r="D2" s="32" t="s">
        <v>5301</v>
      </c>
      <c r="E2" s="32" t="s">
        <v>5302</v>
      </c>
      <c r="F2" s="32" t="s">
        <v>5303</v>
      </c>
      <c r="G2" s="32" t="s">
        <v>5304</v>
      </c>
      <c r="H2" s="32" t="s">
        <v>5305</v>
      </c>
      <c r="I2" s="32" t="s">
        <v>5306</v>
      </c>
      <c r="J2" s="32" t="s">
        <v>5307</v>
      </c>
      <c r="K2" s="32" t="s">
        <v>5308</v>
      </c>
    </row>
    <row r="3" spans="1:11" ht="20.25" customHeight="1">
      <c r="A3" s="84" t="s">
        <v>33</v>
      </c>
      <c r="B3" s="85" t="s">
        <v>34</v>
      </c>
      <c r="C3" s="85" t="s">
        <v>35</v>
      </c>
      <c r="D3" s="85" t="s">
        <v>36</v>
      </c>
      <c r="E3" s="84" t="s">
        <v>24</v>
      </c>
      <c r="F3" s="86">
        <v>100000</v>
      </c>
      <c r="G3" s="86">
        <v>2070000</v>
      </c>
      <c r="H3" s="87"/>
      <c r="I3" s="85" t="s">
        <v>5348</v>
      </c>
      <c r="J3" s="88" t="str">
        <f t="shared" si="0" ref="J3:K66">IF(COUNTIF(C:C,C3)&gt;=2,"重复","不重复")</f>
        <v>不重复</v>
      </c>
      <c r="K3" s="88" t="str">
        <f t="shared" si="0"/>
        <v>不重复</v>
      </c>
    </row>
    <row r="4" spans="1:11" ht="20.25" customHeight="1">
      <c r="A4" s="89" t="s">
        <v>5349</v>
      </c>
      <c r="B4" s="90" t="s">
        <v>5350</v>
      </c>
      <c r="C4" s="90" t="s">
        <v>22</v>
      </c>
      <c r="D4" s="90" t="s">
        <v>5351</v>
      </c>
      <c r="E4" s="89" t="s">
        <v>24</v>
      </c>
      <c r="F4" s="91">
        <v>101000</v>
      </c>
      <c r="G4" s="91">
        <v>2070000</v>
      </c>
      <c r="H4" s="87"/>
      <c r="I4" s="90" t="s">
        <v>25</v>
      </c>
      <c r="J4" s="88" t="str">
        <f t="shared" si="0"/>
        <v>不重复</v>
      </c>
      <c r="K4" s="88" t="str">
        <f t="shared" si="0"/>
        <v>不重复</v>
      </c>
    </row>
    <row r="5" spans="1:11" ht="20.25" customHeight="1">
      <c r="A5" s="89" t="s">
        <v>5352</v>
      </c>
      <c r="B5" s="90" t="s">
        <v>5353</v>
      </c>
      <c r="C5" s="90" t="s">
        <v>5354</v>
      </c>
      <c r="D5" s="90" t="s">
        <v>5355</v>
      </c>
      <c r="E5" s="89" t="s">
        <v>24</v>
      </c>
      <c r="F5" s="91">
        <v>101001</v>
      </c>
      <c r="G5" s="91">
        <v>2070000</v>
      </c>
      <c r="H5" s="87"/>
      <c r="I5" s="90" t="s">
        <v>25</v>
      </c>
      <c r="J5" s="88" t="str">
        <f t="shared" si="0"/>
        <v>不重复</v>
      </c>
      <c r="K5" s="88" t="str">
        <f t="shared" si="0"/>
        <v>不重复</v>
      </c>
    </row>
    <row r="6" spans="1:11" ht="20.25" customHeight="1">
      <c r="A6" s="89" t="s">
        <v>5356</v>
      </c>
      <c r="B6" s="90" t="s">
        <v>5357</v>
      </c>
      <c r="C6" s="90" t="s">
        <v>5358</v>
      </c>
      <c r="D6" s="90" t="s">
        <v>5359</v>
      </c>
      <c r="E6" s="89" t="s">
        <v>24</v>
      </c>
      <c r="F6" s="91">
        <v>101005</v>
      </c>
      <c r="G6" s="91">
        <v>2070000</v>
      </c>
      <c r="H6" s="87"/>
      <c r="I6" s="90" t="s">
        <v>25</v>
      </c>
      <c r="J6" s="88" t="str">
        <f t="shared" si="0"/>
        <v>不重复</v>
      </c>
      <c r="K6" s="88" t="str">
        <f t="shared" si="0"/>
        <v>不重复</v>
      </c>
    </row>
    <row r="7" spans="1:11" ht="20.25" customHeight="1">
      <c r="A7" s="89" t="s">
        <v>5360</v>
      </c>
      <c r="B7" s="90" t="s">
        <v>31</v>
      </c>
      <c r="C7" s="90" t="s">
        <v>32</v>
      </c>
      <c r="D7" s="90" t="s">
        <v>5361</v>
      </c>
      <c r="E7" s="89" t="s">
        <v>24</v>
      </c>
      <c r="F7" s="91">
        <v>101013</v>
      </c>
      <c r="G7" s="91">
        <v>2070000</v>
      </c>
      <c r="H7" s="87"/>
      <c r="I7" s="90" t="s">
        <v>25</v>
      </c>
      <c r="J7" s="88" t="str">
        <f t="shared" si="0"/>
        <v>不重复</v>
      </c>
      <c r="K7" s="88" t="str">
        <f t="shared" si="0"/>
        <v>不重复</v>
      </c>
    </row>
    <row r="8" spans="1:11" ht="20.25" customHeight="1">
      <c r="A8" s="89" t="s">
        <v>5362</v>
      </c>
      <c r="B8" s="90" t="s">
        <v>5363</v>
      </c>
      <c r="C8" s="90" t="s">
        <v>1550</v>
      </c>
      <c r="D8" s="90" t="s">
        <v>5364</v>
      </c>
      <c r="E8" s="89" t="s">
        <v>24</v>
      </c>
      <c r="F8" s="91">
        <v>101021</v>
      </c>
      <c r="G8" s="91">
        <v>2070000</v>
      </c>
      <c r="H8" s="87"/>
      <c r="I8" s="90" t="s">
        <v>25</v>
      </c>
      <c r="J8" s="88" t="str">
        <f t="shared" si="0"/>
        <v>重复</v>
      </c>
      <c r="K8" s="88" t="str">
        <f t="shared" si="0"/>
        <v>不重复</v>
      </c>
    </row>
    <row r="9" spans="1:11" ht="20.25" customHeight="1">
      <c r="A9" s="89" t="s">
        <v>5365</v>
      </c>
      <c r="B9" s="90" t="s">
        <v>5366</v>
      </c>
      <c r="C9" s="90" t="s">
        <v>5367</v>
      </c>
      <c r="D9" s="90" t="s">
        <v>5368</v>
      </c>
      <c r="E9" s="89" t="s">
        <v>24</v>
      </c>
      <c r="F9" s="91">
        <v>101023</v>
      </c>
      <c r="G9" s="91">
        <v>2070000</v>
      </c>
      <c r="H9" s="87"/>
      <c r="I9" s="90" t="s">
        <v>25</v>
      </c>
      <c r="J9" s="88" t="str">
        <f t="shared" si="0"/>
        <v>不重复</v>
      </c>
      <c r="K9" s="88" t="str">
        <f t="shared" si="0"/>
        <v>不重复</v>
      </c>
    </row>
    <row r="10" spans="1:11" ht="20.25" customHeight="1">
      <c r="A10" s="84" t="s">
        <v>5369</v>
      </c>
      <c r="B10" s="85" t="s">
        <v>40</v>
      </c>
      <c r="C10" s="85" t="s">
        <v>41</v>
      </c>
      <c r="D10" s="85" t="s">
        <v>5370</v>
      </c>
      <c r="E10" s="84" t="s">
        <v>24</v>
      </c>
      <c r="F10" s="86">
        <v>101043</v>
      </c>
      <c r="G10" s="86">
        <v>2070000</v>
      </c>
      <c r="H10" s="87"/>
      <c r="I10" s="85" t="s">
        <v>25</v>
      </c>
      <c r="J10" s="88" t="str">
        <f t="shared" si="0"/>
        <v>不重复</v>
      </c>
      <c r="K10" s="88" t="str">
        <f t="shared" si="0"/>
        <v>不重复</v>
      </c>
    </row>
    <row r="11" spans="1:11" ht="20.25" customHeight="1">
      <c r="A11" s="89" t="s">
        <v>5371</v>
      </c>
      <c r="B11" s="90" t="s">
        <v>37</v>
      </c>
      <c r="C11" s="90" t="s">
        <v>38</v>
      </c>
      <c r="D11" s="90" t="s">
        <v>39</v>
      </c>
      <c r="E11" s="89" t="s">
        <v>24</v>
      </c>
      <c r="F11" s="91">
        <v>101044</v>
      </c>
      <c r="G11" s="91">
        <v>2070000</v>
      </c>
      <c r="H11" s="87"/>
      <c r="I11" s="90" t="s">
        <v>25</v>
      </c>
      <c r="J11" s="88" t="str">
        <f t="shared" si="0"/>
        <v>不重复</v>
      </c>
      <c r="K11" s="88" t="str">
        <f t="shared" si="0"/>
        <v>不重复</v>
      </c>
    </row>
    <row r="12" spans="1:11" ht="20.25" customHeight="1">
      <c r="A12" s="89" t="s">
        <v>830</v>
      </c>
      <c r="B12" s="90" t="s">
        <v>5372</v>
      </c>
      <c r="C12" s="90" t="s">
        <v>831</v>
      </c>
      <c r="D12" s="90" t="s">
        <v>832</v>
      </c>
      <c r="E12" s="89" t="s">
        <v>45</v>
      </c>
      <c r="F12" s="91">
        <v>210001</v>
      </c>
      <c r="G12" s="91">
        <v>5020000</v>
      </c>
      <c r="H12" s="87"/>
      <c r="I12" s="90" t="s">
        <v>5373</v>
      </c>
      <c r="J12" s="88" t="str">
        <f t="shared" si="0"/>
        <v>不重复</v>
      </c>
      <c r="K12" s="88" t="str">
        <f t="shared" si="0"/>
        <v>不重复</v>
      </c>
    </row>
    <row r="13" spans="1:11" ht="20.25" customHeight="1">
      <c r="A13" s="89" t="s">
        <v>5374</v>
      </c>
      <c r="B13" s="90" t="s">
        <v>5375</v>
      </c>
      <c r="C13" s="90" t="s">
        <v>834</v>
      </c>
      <c r="D13" s="90" t="s">
        <v>5376</v>
      </c>
      <c r="E13" s="89" t="s">
        <v>45</v>
      </c>
      <c r="F13" s="91">
        <v>210002</v>
      </c>
      <c r="G13" s="91">
        <v>5020000</v>
      </c>
      <c r="H13" s="87"/>
      <c r="I13" s="90" t="s">
        <v>25</v>
      </c>
      <c r="J13" s="88" t="str">
        <f t="shared" si="0"/>
        <v>重复</v>
      </c>
      <c r="K13" s="88" t="str">
        <f t="shared" si="0"/>
        <v>不重复</v>
      </c>
    </row>
    <row r="14" spans="1:11" ht="20.25" customHeight="1">
      <c r="A14" s="89" t="s">
        <v>833</v>
      </c>
      <c r="B14" s="90" t="s">
        <v>5377</v>
      </c>
      <c r="C14" s="90" t="s">
        <v>834</v>
      </c>
      <c r="D14" s="90" t="s">
        <v>835</v>
      </c>
      <c r="E14" s="89" t="s">
        <v>45</v>
      </c>
      <c r="F14" s="91">
        <v>210003</v>
      </c>
      <c r="G14" s="91">
        <v>5020000</v>
      </c>
      <c r="H14" s="87"/>
      <c r="I14" s="90" t="s">
        <v>5378</v>
      </c>
      <c r="J14" s="88" t="str">
        <f t="shared" si="0"/>
        <v>重复</v>
      </c>
      <c r="K14" s="88" t="str">
        <f t="shared" si="0"/>
        <v>不重复</v>
      </c>
    </row>
    <row r="15" spans="1:11" ht="20.25" customHeight="1">
      <c r="A15" s="84" t="s">
        <v>5379</v>
      </c>
      <c r="B15" s="85" t="s">
        <v>5380</v>
      </c>
      <c r="C15" s="85" t="s">
        <v>837</v>
      </c>
      <c r="D15" s="85" t="s">
        <v>5381</v>
      </c>
      <c r="E15" s="84" t="s">
        <v>45</v>
      </c>
      <c r="F15" s="86">
        <v>210004</v>
      </c>
      <c r="G15" s="86">
        <v>5020000</v>
      </c>
      <c r="H15" s="87"/>
      <c r="I15" s="85" t="s">
        <v>25</v>
      </c>
      <c r="J15" s="88" t="str">
        <f t="shared" si="0"/>
        <v>重复</v>
      </c>
      <c r="K15" s="88" t="str">
        <f t="shared" si="0"/>
        <v>不重复</v>
      </c>
    </row>
    <row r="16" spans="1:11" ht="20.25" customHeight="1">
      <c r="A16" s="84" t="s">
        <v>836</v>
      </c>
      <c r="B16" s="85" t="s">
        <v>5382</v>
      </c>
      <c r="C16" s="85" t="s">
        <v>837</v>
      </c>
      <c r="D16" s="85" t="s">
        <v>838</v>
      </c>
      <c r="E16" s="84" t="s">
        <v>45</v>
      </c>
      <c r="F16" s="86">
        <v>210005</v>
      </c>
      <c r="G16" s="86">
        <v>5020000</v>
      </c>
      <c r="H16" s="87"/>
      <c r="I16" s="85" t="s">
        <v>5383</v>
      </c>
      <c r="J16" s="88" t="str">
        <f t="shared" si="0"/>
        <v>重复</v>
      </c>
      <c r="K16" s="88" t="str">
        <f t="shared" si="0"/>
        <v>不重复</v>
      </c>
    </row>
    <row r="17" spans="1:11" ht="20.25" customHeight="1">
      <c r="A17" s="84" t="s">
        <v>5384</v>
      </c>
      <c r="B17" s="85" t="s">
        <v>5385</v>
      </c>
      <c r="C17" s="85" t="s">
        <v>840</v>
      </c>
      <c r="D17" s="85" t="s">
        <v>5386</v>
      </c>
      <c r="E17" s="84" t="s">
        <v>45</v>
      </c>
      <c r="F17" s="86">
        <v>210006</v>
      </c>
      <c r="G17" s="86">
        <v>5020000</v>
      </c>
      <c r="H17" s="87"/>
      <c r="I17" s="85" t="s">
        <v>25</v>
      </c>
      <c r="J17" s="88" t="str">
        <f t="shared" si="0"/>
        <v>重复</v>
      </c>
      <c r="K17" s="88" t="str">
        <f t="shared" si="0"/>
        <v>不重复</v>
      </c>
    </row>
    <row r="18" spans="1:11" ht="20.25" customHeight="1">
      <c r="A18" s="84" t="s">
        <v>839</v>
      </c>
      <c r="B18" s="85" t="s">
        <v>5387</v>
      </c>
      <c r="C18" s="85" t="s">
        <v>840</v>
      </c>
      <c r="D18" s="85" t="s">
        <v>841</v>
      </c>
      <c r="E18" s="84" t="s">
        <v>45</v>
      </c>
      <c r="F18" s="86">
        <v>210007</v>
      </c>
      <c r="G18" s="86">
        <v>5020000</v>
      </c>
      <c r="H18" s="87"/>
      <c r="I18" s="85" t="s">
        <v>5388</v>
      </c>
      <c r="J18" s="88" t="str">
        <f t="shared" si="0"/>
        <v>重复</v>
      </c>
      <c r="K18" s="88" t="str">
        <f t="shared" si="0"/>
        <v>不重复</v>
      </c>
    </row>
    <row r="19" spans="1:11" ht="20.25" customHeight="1">
      <c r="A19" s="89" t="s">
        <v>5389</v>
      </c>
      <c r="B19" s="90" t="s">
        <v>5390</v>
      </c>
      <c r="C19" s="90" t="s">
        <v>5391</v>
      </c>
      <c r="D19" s="90" t="s">
        <v>5392</v>
      </c>
      <c r="E19" s="89" t="s">
        <v>45</v>
      </c>
      <c r="F19" s="91">
        <v>210008</v>
      </c>
      <c r="G19" s="91">
        <v>5020000</v>
      </c>
      <c r="H19" s="87"/>
      <c r="I19" s="90" t="s">
        <v>25</v>
      </c>
      <c r="J19" s="88" t="str">
        <f t="shared" si="0"/>
        <v>不重复</v>
      </c>
      <c r="K19" s="88" t="str">
        <f t="shared" si="0"/>
        <v>不重复</v>
      </c>
    </row>
    <row r="20" spans="1:11" ht="20.25" customHeight="1">
      <c r="A20" s="89" t="s">
        <v>855</v>
      </c>
      <c r="B20" s="90" t="s">
        <v>5393</v>
      </c>
      <c r="C20" s="90" t="s">
        <v>856</v>
      </c>
      <c r="D20" s="90" t="s">
        <v>857</v>
      </c>
      <c r="E20" s="89" t="s">
        <v>45</v>
      </c>
      <c r="F20" s="91">
        <v>210009</v>
      </c>
      <c r="G20" s="91">
        <v>5020000</v>
      </c>
      <c r="H20" s="87"/>
      <c r="I20" s="90" t="s">
        <v>5394</v>
      </c>
      <c r="J20" s="88" t="str">
        <f t="shared" si="0"/>
        <v>不重复</v>
      </c>
      <c r="K20" s="88" t="str">
        <f t="shared" si="0"/>
        <v>不重复</v>
      </c>
    </row>
    <row r="21" spans="1:11" ht="20.25" customHeight="1">
      <c r="A21" s="89" t="s">
        <v>858</v>
      </c>
      <c r="B21" s="90" t="s">
        <v>5395</v>
      </c>
      <c r="C21" s="90" t="s">
        <v>859</v>
      </c>
      <c r="D21" s="90" t="s">
        <v>860</v>
      </c>
      <c r="E21" s="89" t="s">
        <v>45</v>
      </c>
      <c r="F21" s="91">
        <v>210010</v>
      </c>
      <c r="G21" s="91">
        <v>5020000</v>
      </c>
      <c r="H21" s="87"/>
      <c r="I21" s="90" t="s">
        <v>5396</v>
      </c>
      <c r="J21" s="88" t="str">
        <f t="shared" si="0"/>
        <v>不重复</v>
      </c>
      <c r="K21" s="88" t="str">
        <f t="shared" si="0"/>
        <v>不重复</v>
      </c>
    </row>
    <row r="22" spans="1:11" ht="20.25" customHeight="1">
      <c r="A22" s="89" t="s">
        <v>861</v>
      </c>
      <c r="B22" s="90" t="s">
        <v>862</v>
      </c>
      <c r="C22" s="90" t="s">
        <v>863</v>
      </c>
      <c r="D22" s="90" t="s">
        <v>864</v>
      </c>
      <c r="E22" s="89" t="s">
        <v>45</v>
      </c>
      <c r="F22" s="91">
        <v>210011</v>
      </c>
      <c r="G22" s="91">
        <v>5020000</v>
      </c>
      <c r="H22" s="87"/>
      <c r="I22" s="90" t="s">
        <v>5397</v>
      </c>
      <c r="J22" s="88" t="str">
        <f t="shared" si="0"/>
        <v>重复</v>
      </c>
      <c r="K22" s="88" t="str">
        <f t="shared" si="0"/>
        <v>不重复</v>
      </c>
    </row>
    <row r="23" spans="1:11" ht="20.25" customHeight="1">
      <c r="A23" s="84" t="s">
        <v>5398</v>
      </c>
      <c r="B23" s="85" t="s">
        <v>5399</v>
      </c>
      <c r="C23" s="85" t="s">
        <v>5400</v>
      </c>
      <c r="D23" s="85" t="s">
        <v>5401</v>
      </c>
      <c r="E23" s="84" t="s">
        <v>45</v>
      </c>
      <c r="F23" s="86">
        <v>210012</v>
      </c>
      <c r="G23" s="86">
        <v>5020000</v>
      </c>
      <c r="H23" s="87"/>
      <c r="I23" s="85" t="s">
        <v>25</v>
      </c>
      <c r="J23" s="88" t="str">
        <f t="shared" si="0"/>
        <v>不重复</v>
      </c>
      <c r="K23" s="88" t="str">
        <f t="shared" si="0"/>
        <v>不重复</v>
      </c>
    </row>
    <row r="24" spans="1:11" ht="20.25" customHeight="1">
      <c r="A24" s="84" t="s">
        <v>865</v>
      </c>
      <c r="B24" s="85" t="s">
        <v>5402</v>
      </c>
      <c r="C24" s="85" t="s">
        <v>144</v>
      </c>
      <c r="D24" s="85" t="s">
        <v>866</v>
      </c>
      <c r="E24" s="84" t="s">
        <v>45</v>
      </c>
      <c r="F24" s="86">
        <v>210013</v>
      </c>
      <c r="G24" s="86">
        <v>5020000</v>
      </c>
      <c r="H24" s="87"/>
      <c r="I24" s="85" t="s">
        <v>5403</v>
      </c>
      <c r="J24" s="88" t="str">
        <f t="shared" si="0"/>
        <v>重复</v>
      </c>
      <c r="K24" s="88" t="str">
        <f t="shared" si="0"/>
        <v>不重复</v>
      </c>
    </row>
    <row r="25" spans="1:11" ht="20.25" customHeight="1">
      <c r="A25" s="84" t="s">
        <v>5404</v>
      </c>
      <c r="B25" s="85" t="s">
        <v>5405</v>
      </c>
      <c r="C25" s="85" t="s">
        <v>843</v>
      </c>
      <c r="D25" s="85" t="s">
        <v>5406</v>
      </c>
      <c r="E25" s="84" t="s">
        <v>45</v>
      </c>
      <c r="F25" s="86">
        <v>210014</v>
      </c>
      <c r="G25" s="86">
        <v>5020000</v>
      </c>
      <c r="H25" s="87"/>
      <c r="I25" s="85" t="s">
        <v>25</v>
      </c>
      <c r="J25" s="88" t="str">
        <f t="shared" si="0"/>
        <v>重复</v>
      </c>
      <c r="K25" s="88" t="str">
        <f t="shared" si="0"/>
        <v>不重复</v>
      </c>
    </row>
    <row r="26" spans="1:11" ht="20.25" customHeight="1">
      <c r="A26" s="84" t="s">
        <v>842</v>
      </c>
      <c r="B26" s="85" t="s">
        <v>5407</v>
      </c>
      <c r="C26" s="85" t="s">
        <v>843</v>
      </c>
      <c r="D26" s="85" t="s">
        <v>844</v>
      </c>
      <c r="E26" s="84" t="s">
        <v>45</v>
      </c>
      <c r="F26" s="86">
        <v>210015</v>
      </c>
      <c r="G26" s="86">
        <v>5020000</v>
      </c>
      <c r="H26" s="87"/>
      <c r="I26" s="85" t="s">
        <v>5408</v>
      </c>
      <c r="J26" s="88" t="str">
        <f t="shared" si="0"/>
        <v>重复</v>
      </c>
      <c r="K26" s="88" t="str">
        <f t="shared" si="0"/>
        <v>不重复</v>
      </c>
    </row>
    <row r="27" spans="1:11" ht="20.25" customHeight="1">
      <c r="A27" s="84" t="s">
        <v>848</v>
      </c>
      <c r="B27" s="85" t="s">
        <v>5409</v>
      </c>
      <c r="C27" s="85" t="s">
        <v>849</v>
      </c>
      <c r="D27" s="85" t="s">
        <v>5410</v>
      </c>
      <c r="E27" s="84" t="s">
        <v>45</v>
      </c>
      <c r="F27" s="86">
        <v>210016</v>
      </c>
      <c r="G27" s="86">
        <v>5020000</v>
      </c>
      <c r="H27" s="87"/>
      <c r="I27" s="85" t="s">
        <v>5411</v>
      </c>
      <c r="J27" s="88" t="str">
        <f t="shared" si="0"/>
        <v>重复</v>
      </c>
      <c r="K27" s="88" t="str">
        <f t="shared" si="0"/>
        <v>不重复</v>
      </c>
    </row>
    <row r="28" spans="1:11" ht="20.25" customHeight="1">
      <c r="A28" s="84" t="s">
        <v>845</v>
      </c>
      <c r="B28" s="85" t="s">
        <v>5412</v>
      </c>
      <c r="C28" s="85" t="s">
        <v>846</v>
      </c>
      <c r="D28" s="85" t="s">
        <v>847</v>
      </c>
      <c r="E28" s="84" t="s">
        <v>45</v>
      </c>
      <c r="F28" s="86">
        <v>210017</v>
      </c>
      <c r="G28" s="86">
        <v>5020000</v>
      </c>
      <c r="H28" s="87"/>
      <c r="I28" s="85" t="s">
        <v>5408</v>
      </c>
      <c r="J28" s="88" t="str">
        <f t="shared" si="0"/>
        <v>不重复</v>
      </c>
      <c r="K28" s="88" t="str">
        <f t="shared" si="0"/>
        <v>不重复</v>
      </c>
    </row>
    <row r="29" spans="1:11" ht="20.25" customHeight="1">
      <c r="A29" s="84" t="s">
        <v>5413</v>
      </c>
      <c r="B29" s="85" t="s">
        <v>5414</v>
      </c>
      <c r="C29" s="85" t="s">
        <v>663</v>
      </c>
      <c r="D29" s="85" t="s">
        <v>5415</v>
      </c>
      <c r="E29" s="84" t="s">
        <v>45</v>
      </c>
      <c r="F29" s="86">
        <v>210018</v>
      </c>
      <c r="G29" s="86">
        <v>5020000</v>
      </c>
      <c r="H29" s="87"/>
      <c r="I29" s="85" t="s">
        <v>25</v>
      </c>
      <c r="J29" s="88" t="str">
        <f t="shared" si="0"/>
        <v>重复</v>
      </c>
      <c r="K29" s="88" t="str">
        <f t="shared" si="0"/>
        <v>不重复</v>
      </c>
    </row>
    <row r="30" spans="1:11" ht="20.25" customHeight="1">
      <c r="A30" s="84" t="s">
        <v>850</v>
      </c>
      <c r="B30" s="85" t="s">
        <v>5416</v>
      </c>
      <c r="C30" s="85" t="s">
        <v>851</v>
      </c>
      <c r="D30" s="85" t="s">
        <v>852</v>
      </c>
      <c r="E30" s="84" t="s">
        <v>45</v>
      </c>
      <c r="F30" s="86">
        <v>210019</v>
      </c>
      <c r="G30" s="86">
        <v>5020000</v>
      </c>
      <c r="H30" s="87"/>
      <c r="I30" s="85" t="s">
        <v>5411</v>
      </c>
      <c r="J30" s="88" t="str">
        <f t="shared" si="0"/>
        <v>不重复</v>
      </c>
      <c r="K30" s="88" t="str">
        <f t="shared" si="0"/>
        <v>不重复</v>
      </c>
    </row>
    <row r="31" spans="1:11" ht="20.25" customHeight="1">
      <c r="A31" s="84" t="s">
        <v>853</v>
      </c>
      <c r="B31" s="85" t="s">
        <v>5417</v>
      </c>
      <c r="C31" s="85" t="s">
        <v>663</v>
      </c>
      <c r="D31" s="85" t="s">
        <v>854</v>
      </c>
      <c r="E31" s="84" t="s">
        <v>45</v>
      </c>
      <c r="F31" s="86">
        <v>210020</v>
      </c>
      <c r="G31" s="86">
        <v>5020000</v>
      </c>
      <c r="H31" s="87"/>
      <c r="I31" s="85" t="s">
        <v>5418</v>
      </c>
      <c r="J31" s="88" t="str">
        <f t="shared" si="0"/>
        <v>重复</v>
      </c>
      <c r="K31" s="88" t="str">
        <f t="shared" si="0"/>
        <v>不重复</v>
      </c>
    </row>
    <row r="32" spans="1:11" ht="20.25" customHeight="1">
      <c r="A32" s="84" t="s">
        <v>5419</v>
      </c>
      <c r="B32" s="85" t="s">
        <v>5420</v>
      </c>
      <c r="C32" s="85" t="s">
        <v>663</v>
      </c>
      <c r="D32" s="85" t="s">
        <v>5421</v>
      </c>
      <c r="E32" s="84" t="s">
        <v>45</v>
      </c>
      <c r="F32" s="86">
        <v>210021</v>
      </c>
      <c r="G32" s="86">
        <v>5020000</v>
      </c>
      <c r="H32" s="87"/>
      <c r="I32" s="85" t="s">
        <v>5422</v>
      </c>
      <c r="J32" s="88" t="str">
        <f t="shared" si="0"/>
        <v>重复</v>
      </c>
      <c r="K32" s="88" t="str">
        <f t="shared" si="0"/>
        <v>不重复</v>
      </c>
    </row>
    <row r="33" spans="1:11" ht="20.25" customHeight="1">
      <c r="A33" s="84" t="s">
        <v>853</v>
      </c>
      <c r="B33" s="85" t="s">
        <v>5423</v>
      </c>
      <c r="C33" s="85" t="s">
        <v>663</v>
      </c>
      <c r="D33" s="85" t="s">
        <v>5424</v>
      </c>
      <c r="E33" s="84" t="s">
        <v>45</v>
      </c>
      <c r="F33" s="86">
        <v>210022</v>
      </c>
      <c r="G33" s="86">
        <v>5020000</v>
      </c>
      <c r="H33" s="87"/>
      <c r="I33" s="85" t="s">
        <v>25</v>
      </c>
      <c r="J33" s="88" t="str">
        <f t="shared" si="0"/>
        <v>重复</v>
      </c>
      <c r="K33" s="88" t="str">
        <f t="shared" si="0"/>
        <v>不重复</v>
      </c>
    </row>
    <row r="34" spans="1:11" ht="20.25" customHeight="1">
      <c r="A34" s="89" t="s">
        <v>5425</v>
      </c>
      <c r="B34" s="90" t="s">
        <v>5426</v>
      </c>
      <c r="C34" s="90" t="s">
        <v>420</v>
      </c>
      <c r="D34" s="90" t="s">
        <v>5427</v>
      </c>
      <c r="E34" s="89" t="s">
        <v>45</v>
      </c>
      <c r="F34" s="91">
        <v>220000</v>
      </c>
      <c r="G34" s="91">
        <v>5020000</v>
      </c>
      <c r="H34" s="87"/>
      <c r="I34" s="90" t="s">
        <v>25</v>
      </c>
      <c r="J34" s="88" t="str">
        <f t="shared" si="0"/>
        <v>重复</v>
      </c>
      <c r="K34" s="88" t="str">
        <f t="shared" si="0"/>
        <v>不重复</v>
      </c>
    </row>
    <row r="35" spans="1:11" ht="20.25" customHeight="1">
      <c r="A35" s="89" t="s">
        <v>779</v>
      </c>
      <c r="B35" s="90" t="s">
        <v>5428</v>
      </c>
      <c r="C35" s="90" t="s">
        <v>749</v>
      </c>
      <c r="D35" s="90" t="s">
        <v>780</v>
      </c>
      <c r="E35" s="89" t="s">
        <v>45</v>
      </c>
      <c r="F35" s="91">
        <v>220001</v>
      </c>
      <c r="G35" s="91">
        <v>5020000</v>
      </c>
      <c r="H35" s="87"/>
      <c r="I35" s="90" t="s">
        <v>5429</v>
      </c>
      <c r="J35" s="88" t="str">
        <f t="shared" si="0"/>
        <v>不重复</v>
      </c>
      <c r="K35" s="88" t="str">
        <f t="shared" si="0"/>
        <v>不重复</v>
      </c>
    </row>
    <row r="36" spans="1:11" ht="20.25" customHeight="1">
      <c r="A36" s="89" t="s">
        <v>5430</v>
      </c>
      <c r="B36" s="90" t="s">
        <v>5431</v>
      </c>
      <c r="C36" s="90" t="s">
        <v>782</v>
      </c>
      <c r="D36" s="90" t="s">
        <v>5432</v>
      </c>
      <c r="E36" s="89" t="s">
        <v>45</v>
      </c>
      <c r="F36" s="91">
        <v>220002</v>
      </c>
      <c r="G36" s="91">
        <v>5020000</v>
      </c>
      <c r="H36" s="87"/>
      <c r="I36" s="90" t="s">
        <v>25</v>
      </c>
      <c r="J36" s="88" t="str">
        <f t="shared" si="0"/>
        <v>重复</v>
      </c>
      <c r="K36" s="88" t="str">
        <f t="shared" si="0"/>
        <v>不重复</v>
      </c>
    </row>
    <row r="37" spans="1:11" ht="20.25" customHeight="1">
      <c r="A37" s="89" t="s">
        <v>781</v>
      </c>
      <c r="B37" s="90" t="s">
        <v>5433</v>
      </c>
      <c r="C37" s="90" t="s">
        <v>782</v>
      </c>
      <c r="D37" s="90" t="s">
        <v>783</v>
      </c>
      <c r="E37" s="89" t="s">
        <v>45</v>
      </c>
      <c r="F37" s="91">
        <v>220003</v>
      </c>
      <c r="G37" s="91">
        <v>5020000</v>
      </c>
      <c r="H37" s="87"/>
      <c r="I37" s="90" t="s">
        <v>5434</v>
      </c>
      <c r="J37" s="88" t="str">
        <f t="shared" si="0"/>
        <v>重复</v>
      </c>
      <c r="K37" s="88" t="str">
        <f t="shared" si="0"/>
        <v>不重复</v>
      </c>
    </row>
    <row r="38" spans="1:11" ht="20.25" customHeight="1">
      <c r="A38" s="89" t="s">
        <v>5435</v>
      </c>
      <c r="B38" s="90" t="s">
        <v>5436</v>
      </c>
      <c r="C38" s="90" t="s">
        <v>1157</v>
      </c>
      <c r="D38" s="90" t="s">
        <v>5437</v>
      </c>
      <c r="E38" s="89" t="s">
        <v>45</v>
      </c>
      <c r="F38" s="91">
        <v>220004</v>
      </c>
      <c r="G38" s="91">
        <v>5020000</v>
      </c>
      <c r="H38" s="87"/>
      <c r="I38" s="90" t="s">
        <v>25</v>
      </c>
      <c r="J38" s="88" t="str">
        <f t="shared" si="0"/>
        <v>重复</v>
      </c>
      <c r="K38" s="88" t="str">
        <f t="shared" si="0"/>
        <v>不重复</v>
      </c>
    </row>
    <row r="39" spans="1:11" ht="20.25" customHeight="1">
      <c r="A39" s="89" t="s">
        <v>789</v>
      </c>
      <c r="B39" s="90" t="s">
        <v>5438</v>
      </c>
      <c r="C39" s="90" t="s">
        <v>790</v>
      </c>
      <c r="D39" s="90" t="s">
        <v>254</v>
      </c>
      <c r="E39" s="89" t="s">
        <v>45</v>
      </c>
      <c r="F39" s="91">
        <v>220005</v>
      </c>
      <c r="G39" s="91">
        <v>5020000</v>
      </c>
      <c r="H39" s="87"/>
      <c r="I39" s="90" t="s">
        <v>5439</v>
      </c>
      <c r="J39" s="88" t="str">
        <f t="shared" si="0"/>
        <v>不重复</v>
      </c>
      <c r="K39" s="88" t="str">
        <f t="shared" si="0"/>
        <v>不重复</v>
      </c>
    </row>
    <row r="40" spans="1:11" ht="20.25" customHeight="1">
      <c r="A40" s="89" t="s">
        <v>5440</v>
      </c>
      <c r="B40" s="90" t="s">
        <v>5441</v>
      </c>
      <c r="C40" s="90" t="s">
        <v>787</v>
      </c>
      <c r="D40" s="90" t="s">
        <v>788</v>
      </c>
      <c r="E40" s="89" t="s">
        <v>45</v>
      </c>
      <c r="F40" s="91">
        <v>220007</v>
      </c>
      <c r="G40" s="91">
        <v>5020000</v>
      </c>
      <c r="H40" s="87"/>
      <c r="I40" s="90" t="s">
        <v>5442</v>
      </c>
      <c r="J40" s="88" t="str">
        <f t="shared" si="0"/>
        <v>重复</v>
      </c>
      <c r="K40" s="88" t="str">
        <f t="shared" si="0"/>
        <v>不重复</v>
      </c>
    </row>
    <row r="41" spans="1:11" ht="20.25" customHeight="1">
      <c r="A41" s="89" t="s">
        <v>5443</v>
      </c>
      <c r="B41" s="90" t="s">
        <v>5444</v>
      </c>
      <c r="C41" s="90" t="s">
        <v>791</v>
      </c>
      <c r="D41" s="90" t="s">
        <v>792</v>
      </c>
      <c r="E41" s="89" t="s">
        <v>45</v>
      </c>
      <c r="F41" s="91">
        <v>220008</v>
      </c>
      <c r="G41" s="91">
        <v>5020000</v>
      </c>
      <c r="H41" s="87"/>
      <c r="I41" s="90" t="s">
        <v>5445</v>
      </c>
      <c r="J41" s="88" t="str">
        <f t="shared" si="0"/>
        <v>重复</v>
      </c>
      <c r="K41" s="88" t="str">
        <f t="shared" si="0"/>
        <v>不重复</v>
      </c>
    </row>
    <row r="42" spans="1:11" ht="20.25" customHeight="1">
      <c r="A42" s="89" t="s">
        <v>5446</v>
      </c>
      <c r="B42" s="90" t="s">
        <v>5447</v>
      </c>
      <c r="C42" s="90" t="s">
        <v>4012</v>
      </c>
      <c r="D42" s="90" t="s">
        <v>5448</v>
      </c>
      <c r="E42" s="89" t="s">
        <v>45</v>
      </c>
      <c r="F42" s="91">
        <v>220009</v>
      </c>
      <c r="G42" s="91">
        <v>5020000</v>
      </c>
      <c r="H42" s="87"/>
      <c r="I42" s="90" t="s">
        <v>25</v>
      </c>
      <c r="J42" s="88" t="str">
        <f t="shared" si="0"/>
        <v>重复</v>
      </c>
      <c r="K42" s="88" t="str">
        <f t="shared" si="0"/>
        <v>不重复</v>
      </c>
    </row>
    <row r="43" spans="1:11" ht="20.25" customHeight="1">
      <c r="A43" s="89" t="s">
        <v>784</v>
      </c>
      <c r="B43" s="90" t="s">
        <v>5449</v>
      </c>
      <c r="C43" s="90" t="s">
        <v>785</v>
      </c>
      <c r="D43" s="90" t="s">
        <v>786</v>
      </c>
      <c r="E43" s="89" t="s">
        <v>45</v>
      </c>
      <c r="F43" s="91">
        <v>220010</v>
      </c>
      <c r="G43" s="91">
        <v>5020000</v>
      </c>
      <c r="H43" s="87"/>
      <c r="I43" s="90" t="s">
        <v>5397</v>
      </c>
      <c r="J43" s="88" t="str">
        <f t="shared" si="0"/>
        <v>重复</v>
      </c>
      <c r="K43" s="88" t="str">
        <f t="shared" si="0"/>
        <v>不重复</v>
      </c>
    </row>
    <row r="44" spans="1:11" ht="20.25" customHeight="1">
      <c r="A44" s="84" t="s">
        <v>5450</v>
      </c>
      <c r="B44" s="85" t="s">
        <v>5451</v>
      </c>
      <c r="C44" s="85" t="s">
        <v>161</v>
      </c>
      <c r="D44" s="85" t="s">
        <v>5452</v>
      </c>
      <c r="E44" s="84" t="s">
        <v>45</v>
      </c>
      <c r="F44" s="86">
        <v>220011</v>
      </c>
      <c r="G44" s="86">
        <v>5020000</v>
      </c>
      <c r="H44" s="87"/>
      <c r="I44" s="85" t="s">
        <v>25</v>
      </c>
      <c r="J44" s="88" t="str">
        <f t="shared" si="0"/>
        <v>重复</v>
      </c>
      <c r="K44" s="88" t="str">
        <f t="shared" si="0"/>
        <v>不重复</v>
      </c>
    </row>
    <row r="45" spans="1:11" ht="20.25" customHeight="1">
      <c r="A45" s="84" t="s">
        <v>793</v>
      </c>
      <c r="B45" s="85" t="s">
        <v>5453</v>
      </c>
      <c r="C45" s="85" t="s">
        <v>794</v>
      </c>
      <c r="D45" s="85" t="s">
        <v>795</v>
      </c>
      <c r="E45" s="84" t="s">
        <v>45</v>
      </c>
      <c r="F45" s="86">
        <v>220012</v>
      </c>
      <c r="G45" s="86">
        <v>5020000</v>
      </c>
      <c r="H45" s="87"/>
      <c r="I45" s="85" t="s">
        <v>5454</v>
      </c>
      <c r="J45" s="88" t="str">
        <f t="shared" si="0"/>
        <v>不重复</v>
      </c>
      <c r="K45" s="88" t="str">
        <f t="shared" si="0"/>
        <v>不重复</v>
      </c>
    </row>
    <row r="46" spans="1:11" ht="20.25" customHeight="1">
      <c r="A46" s="84" t="s">
        <v>5455</v>
      </c>
      <c r="B46" s="85" t="s">
        <v>5456</v>
      </c>
      <c r="C46" s="85" t="s">
        <v>5457</v>
      </c>
      <c r="D46" s="85" t="s">
        <v>5458</v>
      </c>
      <c r="E46" s="84" t="s">
        <v>45</v>
      </c>
      <c r="F46" s="86">
        <v>220013</v>
      </c>
      <c r="G46" s="86">
        <v>5020000</v>
      </c>
      <c r="H46" s="87"/>
      <c r="I46" s="85" t="s">
        <v>25</v>
      </c>
      <c r="J46" s="88" t="str">
        <f t="shared" si="0"/>
        <v>重复</v>
      </c>
      <c r="K46" s="88" t="str">
        <f t="shared" si="0"/>
        <v>不重复</v>
      </c>
    </row>
    <row r="47" spans="1:11" ht="20.25" customHeight="1">
      <c r="A47" s="84" t="s">
        <v>796</v>
      </c>
      <c r="B47" s="85" t="s">
        <v>5459</v>
      </c>
      <c r="C47" s="85" t="s">
        <v>797</v>
      </c>
      <c r="D47" s="85" t="s">
        <v>798</v>
      </c>
      <c r="E47" s="84" t="s">
        <v>45</v>
      </c>
      <c r="F47" s="86">
        <v>220014</v>
      </c>
      <c r="G47" s="86">
        <v>5020000</v>
      </c>
      <c r="H47" s="87"/>
      <c r="I47" s="85" t="s">
        <v>5460</v>
      </c>
      <c r="J47" s="88" t="str">
        <f t="shared" si="0"/>
        <v>不重复</v>
      </c>
      <c r="K47" s="88" t="str">
        <f t="shared" si="0"/>
        <v>不重复</v>
      </c>
    </row>
    <row r="48" spans="1:11" ht="20.25" customHeight="1">
      <c r="A48" s="89" t="s">
        <v>5461</v>
      </c>
      <c r="B48" s="90" t="s">
        <v>5462</v>
      </c>
      <c r="C48" s="90" t="s">
        <v>877</v>
      </c>
      <c r="D48" s="90" t="s">
        <v>651</v>
      </c>
      <c r="E48" s="89" t="s">
        <v>45</v>
      </c>
      <c r="F48" s="91">
        <v>220015</v>
      </c>
      <c r="G48" s="91">
        <v>5020000</v>
      </c>
      <c r="H48" s="87"/>
      <c r="I48" s="90" t="s">
        <v>25</v>
      </c>
      <c r="J48" s="88" t="str">
        <f t="shared" si="0"/>
        <v>重复</v>
      </c>
      <c r="K48" s="88" t="str">
        <f t="shared" si="0"/>
        <v>不重复</v>
      </c>
    </row>
    <row r="49" spans="1:11" ht="20.25" customHeight="1">
      <c r="A49" s="89" t="s">
        <v>802</v>
      </c>
      <c r="B49" s="90" t="s">
        <v>5463</v>
      </c>
      <c r="C49" s="90" t="s">
        <v>803</v>
      </c>
      <c r="D49" s="90" t="s">
        <v>804</v>
      </c>
      <c r="E49" s="89" t="s">
        <v>45</v>
      </c>
      <c r="F49" s="91">
        <v>220016</v>
      </c>
      <c r="G49" s="91">
        <v>5020000</v>
      </c>
      <c r="H49" s="87"/>
      <c r="I49" s="90" t="s">
        <v>5464</v>
      </c>
      <c r="J49" s="88" t="str">
        <f t="shared" si="0"/>
        <v>不重复</v>
      </c>
      <c r="K49" s="88" t="str">
        <f t="shared" si="0"/>
        <v>不重复</v>
      </c>
    </row>
    <row r="50" spans="1:11" ht="20.25" customHeight="1">
      <c r="A50" s="89" t="s">
        <v>799</v>
      </c>
      <c r="B50" s="90" t="s">
        <v>5465</v>
      </c>
      <c r="C50" s="90" t="s">
        <v>800</v>
      </c>
      <c r="D50" s="90" t="s">
        <v>801</v>
      </c>
      <c r="E50" s="89" t="s">
        <v>45</v>
      </c>
      <c r="F50" s="91">
        <v>220018</v>
      </c>
      <c r="G50" s="91">
        <v>5020000</v>
      </c>
      <c r="H50" s="87"/>
      <c r="I50" s="90" t="s">
        <v>5466</v>
      </c>
      <c r="J50" s="88" t="str">
        <f t="shared" si="0"/>
        <v>不重复</v>
      </c>
      <c r="K50" s="88" t="str">
        <f t="shared" si="0"/>
        <v>不重复</v>
      </c>
    </row>
    <row r="51" spans="1:11" ht="20.25" customHeight="1">
      <c r="A51" s="89" t="s">
        <v>805</v>
      </c>
      <c r="B51" s="90" t="s">
        <v>5467</v>
      </c>
      <c r="C51" s="90" t="s">
        <v>806</v>
      </c>
      <c r="D51" s="90" t="s">
        <v>5468</v>
      </c>
      <c r="E51" s="89" t="s">
        <v>45</v>
      </c>
      <c r="F51" s="91">
        <v>220020</v>
      </c>
      <c r="G51" s="91">
        <v>5020000</v>
      </c>
      <c r="H51" s="87"/>
      <c r="I51" s="90" t="s">
        <v>5469</v>
      </c>
      <c r="J51" s="88" t="str">
        <f t="shared" si="0"/>
        <v>重复</v>
      </c>
      <c r="K51" s="88" t="str">
        <f t="shared" si="0"/>
        <v>不重复</v>
      </c>
    </row>
    <row r="52" spans="1:11" ht="20.25" customHeight="1">
      <c r="A52" s="89" t="s">
        <v>807</v>
      </c>
      <c r="B52" s="90" t="s">
        <v>5470</v>
      </c>
      <c r="C52" s="90" t="s">
        <v>808</v>
      </c>
      <c r="D52" s="90" t="s">
        <v>5471</v>
      </c>
      <c r="E52" s="89" t="s">
        <v>45</v>
      </c>
      <c r="F52" s="91">
        <v>220021</v>
      </c>
      <c r="G52" s="91">
        <v>5020000</v>
      </c>
      <c r="H52" s="87"/>
      <c r="I52" s="90" t="s">
        <v>5472</v>
      </c>
      <c r="J52" s="88" t="str">
        <f t="shared" si="0"/>
        <v>不重复</v>
      </c>
      <c r="K52" s="88" t="str">
        <f t="shared" si="0"/>
        <v>不重复</v>
      </c>
    </row>
    <row r="53" spans="1:11" ht="20.25" customHeight="1">
      <c r="A53" s="89" t="s">
        <v>809</v>
      </c>
      <c r="B53" s="90" t="s">
        <v>5473</v>
      </c>
      <c r="C53" s="90" t="s">
        <v>810</v>
      </c>
      <c r="D53" s="90" t="s">
        <v>811</v>
      </c>
      <c r="E53" s="89" t="s">
        <v>45</v>
      </c>
      <c r="F53" s="91">
        <v>220022</v>
      </c>
      <c r="G53" s="91">
        <v>5020000</v>
      </c>
      <c r="H53" s="87"/>
      <c r="I53" s="90" t="s">
        <v>5474</v>
      </c>
      <c r="J53" s="88" t="str">
        <f t="shared" si="0"/>
        <v>不重复</v>
      </c>
      <c r="K53" s="88" t="str">
        <f t="shared" si="0"/>
        <v>不重复</v>
      </c>
    </row>
    <row r="54" spans="1:11" ht="20.25" customHeight="1">
      <c r="A54" s="89" t="s">
        <v>5475</v>
      </c>
      <c r="B54" s="90" t="s">
        <v>5476</v>
      </c>
      <c r="C54" s="90" t="s">
        <v>816</v>
      </c>
      <c r="D54" s="90" t="s">
        <v>5477</v>
      </c>
      <c r="E54" s="89" t="s">
        <v>45</v>
      </c>
      <c r="F54" s="91">
        <v>220023</v>
      </c>
      <c r="G54" s="91">
        <v>5020000</v>
      </c>
      <c r="H54" s="87"/>
      <c r="I54" s="90" t="s">
        <v>25</v>
      </c>
      <c r="J54" s="88" t="str">
        <f t="shared" si="0"/>
        <v>重复</v>
      </c>
      <c r="K54" s="88" t="str">
        <f t="shared" si="0"/>
        <v>不重复</v>
      </c>
    </row>
    <row r="55" spans="1:11" ht="20.25" customHeight="1">
      <c r="A55" s="89" t="s">
        <v>812</v>
      </c>
      <c r="B55" s="90" t="s">
        <v>5478</v>
      </c>
      <c r="C55" s="90" t="s">
        <v>813</v>
      </c>
      <c r="D55" s="90" t="s">
        <v>814</v>
      </c>
      <c r="E55" s="89" t="s">
        <v>45</v>
      </c>
      <c r="F55" s="91">
        <v>220024</v>
      </c>
      <c r="G55" s="91">
        <v>5020000</v>
      </c>
      <c r="H55" s="87"/>
      <c r="I55" s="90" t="s">
        <v>5472</v>
      </c>
      <c r="J55" s="88" t="str">
        <f t="shared" si="0"/>
        <v>重复</v>
      </c>
      <c r="K55" s="88" t="str">
        <f t="shared" si="0"/>
        <v>不重复</v>
      </c>
    </row>
    <row r="56" spans="1:11" ht="20.25" customHeight="1">
      <c r="A56" s="89" t="s">
        <v>815</v>
      </c>
      <c r="B56" s="90" t="s">
        <v>5479</v>
      </c>
      <c r="C56" s="90" t="s">
        <v>816</v>
      </c>
      <c r="D56" s="90" t="s">
        <v>817</v>
      </c>
      <c r="E56" s="89" t="s">
        <v>45</v>
      </c>
      <c r="F56" s="91">
        <v>220025</v>
      </c>
      <c r="G56" s="91">
        <v>5020000</v>
      </c>
      <c r="H56" s="87"/>
      <c r="I56" s="90" t="s">
        <v>5442</v>
      </c>
      <c r="J56" s="88" t="str">
        <f t="shared" si="0"/>
        <v>重复</v>
      </c>
      <c r="K56" s="88" t="str">
        <f t="shared" si="0"/>
        <v>不重复</v>
      </c>
    </row>
    <row r="57" spans="1:11" ht="20.25" customHeight="1">
      <c r="A57" s="89" t="s">
        <v>5480</v>
      </c>
      <c r="B57" s="90" t="s">
        <v>5481</v>
      </c>
      <c r="C57" s="90" t="s">
        <v>436</v>
      </c>
      <c r="D57" s="90" t="s">
        <v>5482</v>
      </c>
      <c r="E57" s="89" t="s">
        <v>45</v>
      </c>
      <c r="F57" s="91">
        <v>220026</v>
      </c>
      <c r="G57" s="91">
        <v>5020000</v>
      </c>
      <c r="H57" s="87"/>
      <c r="I57" s="90" t="s">
        <v>25</v>
      </c>
      <c r="J57" s="88" t="str">
        <f t="shared" si="0"/>
        <v>重复</v>
      </c>
      <c r="K57" s="88" t="str">
        <f t="shared" si="0"/>
        <v>不重复</v>
      </c>
    </row>
    <row r="58" spans="1:11" ht="20.25" customHeight="1">
      <c r="A58" s="89" t="s">
        <v>818</v>
      </c>
      <c r="B58" s="90" t="s">
        <v>5483</v>
      </c>
      <c r="C58" s="90" t="s">
        <v>819</v>
      </c>
      <c r="D58" s="90" t="s">
        <v>820</v>
      </c>
      <c r="E58" s="89" t="s">
        <v>45</v>
      </c>
      <c r="F58" s="91">
        <v>220027</v>
      </c>
      <c r="G58" s="91">
        <v>5020000</v>
      </c>
      <c r="H58" s="87"/>
      <c r="I58" s="90" t="s">
        <v>5442</v>
      </c>
      <c r="J58" s="88" t="str">
        <f t="shared" si="0"/>
        <v>不重复</v>
      </c>
      <c r="K58" s="88" t="str">
        <f t="shared" si="0"/>
        <v>不重复</v>
      </c>
    </row>
    <row r="59" spans="1:11" ht="20.25" customHeight="1">
      <c r="A59" s="84" t="s">
        <v>5484</v>
      </c>
      <c r="B59" s="85" t="s">
        <v>5485</v>
      </c>
      <c r="C59" s="85" t="s">
        <v>420</v>
      </c>
      <c r="D59" s="85" t="s">
        <v>5486</v>
      </c>
      <c r="E59" s="84" t="s">
        <v>45</v>
      </c>
      <c r="F59" s="86">
        <v>220028</v>
      </c>
      <c r="G59" s="86">
        <v>5020000</v>
      </c>
      <c r="H59" s="87"/>
      <c r="I59" s="85" t="s">
        <v>25</v>
      </c>
      <c r="J59" s="88" t="str">
        <f t="shared" si="0"/>
        <v>重复</v>
      </c>
      <c r="K59" s="88" t="str">
        <f t="shared" si="0"/>
        <v>不重复</v>
      </c>
    </row>
    <row r="60" spans="1:11" ht="20.25" customHeight="1">
      <c r="A60" s="84" t="s">
        <v>821</v>
      </c>
      <c r="B60" s="85" t="s">
        <v>5487</v>
      </c>
      <c r="C60" s="85" t="s">
        <v>822</v>
      </c>
      <c r="D60" s="85" t="s">
        <v>823</v>
      </c>
      <c r="E60" s="84" t="s">
        <v>45</v>
      </c>
      <c r="F60" s="86">
        <v>220029</v>
      </c>
      <c r="G60" s="86">
        <v>5020000</v>
      </c>
      <c r="H60" s="87"/>
      <c r="I60" s="85" t="s">
        <v>5442</v>
      </c>
      <c r="J60" s="88" t="str">
        <f t="shared" si="0"/>
        <v>不重复</v>
      </c>
      <c r="K60" s="88" t="str">
        <f t="shared" si="0"/>
        <v>不重复</v>
      </c>
    </row>
    <row r="61" spans="1:11" ht="20.25" customHeight="1">
      <c r="A61" s="84" t="s">
        <v>824</v>
      </c>
      <c r="B61" s="85" t="s">
        <v>5488</v>
      </c>
      <c r="C61" s="85" t="s">
        <v>825</v>
      </c>
      <c r="D61" s="85" t="s">
        <v>826</v>
      </c>
      <c r="E61" s="84" t="s">
        <v>45</v>
      </c>
      <c r="F61" s="86">
        <v>220030</v>
      </c>
      <c r="G61" s="86">
        <v>5020000</v>
      </c>
      <c r="H61" s="87"/>
      <c r="I61" s="85" t="s">
        <v>5489</v>
      </c>
      <c r="J61" s="88" t="str">
        <f t="shared" si="0"/>
        <v>不重复</v>
      </c>
      <c r="K61" s="88" t="str">
        <f t="shared" si="0"/>
        <v>不重复</v>
      </c>
    </row>
    <row r="62" spans="1:11" ht="20.25" customHeight="1">
      <c r="A62" s="84" t="s">
        <v>5490</v>
      </c>
      <c r="B62" s="85" t="s">
        <v>5491</v>
      </c>
      <c r="C62" s="85" t="s">
        <v>2159</v>
      </c>
      <c r="D62" s="85" t="s">
        <v>5492</v>
      </c>
      <c r="E62" s="84" t="s">
        <v>45</v>
      </c>
      <c r="F62" s="86">
        <v>220031</v>
      </c>
      <c r="G62" s="86">
        <v>5020000</v>
      </c>
      <c r="H62" s="87"/>
      <c r="I62" s="85" t="s">
        <v>25</v>
      </c>
      <c r="J62" s="88" t="str">
        <f t="shared" si="0"/>
        <v>重复</v>
      </c>
      <c r="K62" s="88" t="str">
        <f t="shared" si="0"/>
        <v>不重复</v>
      </c>
    </row>
    <row r="63" spans="1:11" ht="20.25" customHeight="1">
      <c r="A63" s="84" t="s">
        <v>827</v>
      </c>
      <c r="B63" s="85" t="s">
        <v>5493</v>
      </c>
      <c r="C63" s="85" t="s">
        <v>828</v>
      </c>
      <c r="D63" s="85" t="s">
        <v>829</v>
      </c>
      <c r="E63" s="84" t="s">
        <v>45</v>
      </c>
      <c r="F63" s="86">
        <v>220032</v>
      </c>
      <c r="G63" s="86">
        <v>5020000</v>
      </c>
      <c r="H63" s="87"/>
      <c r="I63" s="85" t="s">
        <v>5489</v>
      </c>
      <c r="J63" s="88" t="str">
        <f t="shared" si="0"/>
        <v>重复</v>
      </c>
      <c r="K63" s="88" t="str">
        <f t="shared" si="0"/>
        <v>不重复</v>
      </c>
    </row>
    <row r="64" spans="1:11" ht="20.25" customHeight="1">
      <c r="A64" s="84" t="s">
        <v>5494</v>
      </c>
      <c r="B64" s="85" t="s">
        <v>5495</v>
      </c>
      <c r="C64" s="85" t="s">
        <v>1230</v>
      </c>
      <c r="D64" s="85" t="s">
        <v>5496</v>
      </c>
      <c r="E64" s="84" t="s">
        <v>45</v>
      </c>
      <c r="F64" s="86">
        <v>231000</v>
      </c>
      <c r="G64" s="86">
        <v>5020000</v>
      </c>
      <c r="H64" s="87"/>
      <c r="I64" s="85" t="s">
        <v>25</v>
      </c>
      <c r="J64" s="88" t="str">
        <f t="shared" si="0"/>
        <v>重复</v>
      </c>
      <c r="K64" s="88" t="str">
        <f t="shared" si="0"/>
        <v>不重复</v>
      </c>
    </row>
    <row r="65" spans="1:11" ht="20.25" customHeight="1">
      <c r="A65" s="84" t="s">
        <v>42</v>
      </c>
      <c r="B65" s="85" t="s">
        <v>5497</v>
      </c>
      <c r="C65" s="85" t="s">
        <v>43</v>
      </c>
      <c r="D65" s="85" t="s">
        <v>44</v>
      </c>
      <c r="E65" s="84" t="s">
        <v>45</v>
      </c>
      <c r="F65" s="86">
        <v>231001</v>
      </c>
      <c r="G65" s="86">
        <v>5020000</v>
      </c>
      <c r="H65" s="87"/>
      <c r="I65" s="85" t="s">
        <v>5498</v>
      </c>
      <c r="J65" s="88" t="str">
        <f t="shared" si="0"/>
        <v>不重复</v>
      </c>
      <c r="K65" s="88" t="str">
        <f t="shared" si="0"/>
        <v>不重复</v>
      </c>
    </row>
    <row r="66" spans="1:11" ht="20.25" customHeight="1">
      <c r="A66" s="84" t="s">
        <v>5499</v>
      </c>
      <c r="B66" s="85" t="s">
        <v>5500</v>
      </c>
      <c r="C66" s="85" t="s">
        <v>80</v>
      </c>
      <c r="D66" s="85" t="s">
        <v>5501</v>
      </c>
      <c r="E66" s="84" t="s">
        <v>45</v>
      </c>
      <c r="F66" s="86">
        <v>231002</v>
      </c>
      <c r="G66" s="86">
        <v>5020000</v>
      </c>
      <c r="H66" s="87"/>
      <c r="I66" s="85" t="s">
        <v>5502</v>
      </c>
      <c r="J66" s="88" t="str">
        <f t="shared" si="0"/>
        <v>重复</v>
      </c>
      <c r="K66" s="88" t="str">
        <f t="shared" si="0"/>
        <v>不重复</v>
      </c>
    </row>
    <row r="67" spans="1:11" ht="20.25" customHeight="1">
      <c r="A67" s="84" t="s">
        <v>46</v>
      </c>
      <c r="B67" s="85" t="s">
        <v>5503</v>
      </c>
      <c r="C67" s="85" t="s">
        <v>47</v>
      </c>
      <c r="D67" s="85" t="s">
        <v>48</v>
      </c>
      <c r="E67" s="84" t="s">
        <v>45</v>
      </c>
      <c r="F67" s="86">
        <v>231003</v>
      </c>
      <c r="G67" s="86">
        <v>5020000</v>
      </c>
      <c r="H67" s="87"/>
      <c r="I67" s="85" t="s">
        <v>5504</v>
      </c>
      <c r="J67" s="88" t="str">
        <f t="shared" si="1" ref="J67:K130">IF(COUNTIF(C:C,C67)&gt;=2,"重复","不重复")</f>
        <v>不重复</v>
      </c>
      <c r="K67" s="88" t="str">
        <f t="shared" si="1"/>
        <v>不重复</v>
      </c>
    </row>
    <row r="68" spans="1:11" ht="20.25" customHeight="1">
      <c r="A68" s="89" t="s">
        <v>5505</v>
      </c>
      <c r="B68" s="90" t="s">
        <v>64</v>
      </c>
      <c r="C68" s="90" t="s">
        <v>320</v>
      </c>
      <c r="D68" s="90" t="s">
        <v>66</v>
      </c>
      <c r="E68" s="89" t="s">
        <v>45</v>
      </c>
      <c r="F68" s="91">
        <v>231004</v>
      </c>
      <c r="G68" s="91">
        <v>5020000</v>
      </c>
      <c r="H68" s="87"/>
      <c r="I68" s="90" t="s">
        <v>25</v>
      </c>
      <c r="J68" s="88" t="str">
        <f t="shared" si="1"/>
        <v>重复</v>
      </c>
      <c r="K68" s="88" t="str">
        <f t="shared" si="1"/>
        <v>不重复</v>
      </c>
    </row>
    <row r="69" spans="1:11" ht="20.25" customHeight="1">
      <c r="A69" s="89" t="s">
        <v>5506</v>
      </c>
      <c r="B69" s="90" t="s">
        <v>5507</v>
      </c>
      <c r="C69" s="90" t="s">
        <v>5508</v>
      </c>
      <c r="D69" s="90" t="s">
        <v>50</v>
      </c>
      <c r="E69" s="89" t="s">
        <v>45</v>
      </c>
      <c r="F69" s="91">
        <v>231006</v>
      </c>
      <c r="G69" s="91">
        <v>5020000</v>
      </c>
      <c r="H69" s="87"/>
      <c r="I69" s="90" t="s">
        <v>5509</v>
      </c>
      <c r="J69" s="88" t="str">
        <f t="shared" si="1"/>
        <v>不重复</v>
      </c>
      <c r="K69" s="88" t="str">
        <f t="shared" si="1"/>
        <v>不重复</v>
      </c>
    </row>
    <row r="70" spans="1:11" ht="20.25" customHeight="1">
      <c r="A70" s="89" t="s">
        <v>5510</v>
      </c>
      <c r="B70" s="90" t="s">
        <v>5511</v>
      </c>
      <c r="C70" s="90" t="s">
        <v>51</v>
      </c>
      <c r="D70" s="90" t="s">
        <v>52</v>
      </c>
      <c r="E70" s="89" t="s">
        <v>45</v>
      </c>
      <c r="F70" s="91">
        <v>231007</v>
      </c>
      <c r="G70" s="91">
        <v>5020000</v>
      </c>
      <c r="H70" s="87"/>
      <c r="I70" s="90" t="s">
        <v>5512</v>
      </c>
      <c r="J70" s="88" t="str">
        <f t="shared" si="1"/>
        <v>不重复</v>
      </c>
      <c r="K70" s="88" t="str">
        <f t="shared" si="1"/>
        <v>不重复</v>
      </c>
    </row>
    <row r="71" spans="1:11" ht="20.25" customHeight="1">
      <c r="A71" s="89" t="s">
        <v>5513</v>
      </c>
      <c r="B71" s="90" t="s">
        <v>5514</v>
      </c>
      <c r="C71" s="90" t="s">
        <v>318</v>
      </c>
      <c r="D71" s="90" t="s">
        <v>54</v>
      </c>
      <c r="E71" s="89" t="s">
        <v>45</v>
      </c>
      <c r="F71" s="91">
        <v>231008</v>
      </c>
      <c r="G71" s="91">
        <v>5020000</v>
      </c>
      <c r="H71" s="87"/>
      <c r="I71" s="90" t="s">
        <v>5515</v>
      </c>
      <c r="J71" s="88" t="str">
        <f t="shared" si="1"/>
        <v>重复</v>
      </c>
      <c r="K71" s="88" t="str">
        <f t="shared" si="1"/>
        <v>不重复</v>
      </c>
    </row>
    <row r="72" spans="1:11" ht="20.25" customHeight="1">
      <c r="A72" s="89" t="s">
        <v>5516</v>
      </c>
      <c r="B72" s="90" t="s">
        <v>5517</v>
      </c>
      <c r="C72" s="90" t="s">
        <v>5518</v>
      </c>
      <c r="D72" s="90" t="s">
        <v>5519</v>
      </c>
      <c r="E72" s="89" t="s">
        <v>45</v>
      </c>
      <c r="F72" s="91">
        <v>231009</v>
      </c>
      <c r="G72" s="91">
        <v>5020000</v>
      </c>
      <c r="H72" s="87"/>
      <c r="I72" s="90" t="s">
        <v>5520</v>
      </c>
      <c r="J72" s="88" t="str">
        <f t="shared" si="1"/>
        <v>重复</v>
      </c>
      <c r="K72" s="88" t="str">
        <f t="shared" si="1"/>
        <v>不重复</v>
      </c>
    </row>
    <row r="73" spans="1:11" ht="20.25" customHeight="1">
      <c r="A73" s="89" t="s">
        <v>5521</v>
      </c>
      <c r="B73" s="90" t="s">
        <v>5522</v>
      </c>
      <c r="C73" s="90" t="s">
        <v>5523</v>
      </c>
      <c r="D73" s="90" t="s">
        <v>55</v>
      </c>
      <c r="E73" s="89" t="s">
        <v>45</v>
      </c>
      <c r="F73" s="91">
        <v>231012</v>
      </c>
      <c r="G73" s="91">
        <v>5020000</v>
      </c>
      <c r="H73" s="87"/>
      <c r="I73" s="90" t="s">
        <v>5524</v>
      </c>
      <c r="J73" s="88" t="str">
        <f t="shared" si="1"/>
        <v>不重复</v>
      </c>
      <c r="K73" s="88" t="str">
        <f t="shared" si="1"/>
        <v>不重复</v>
      </c>
    </row>
    <row r="74" spans="1:11" ht="20.25" customHeight="1">
      <c r="A74" s="89" t="s">
        <v>5525</v>
      </c>
      <c r="B74" s="90" t="s">
        <v>5526</v>
      </c>
      <c r="C74" s="90" t="s">
        <v>56</v>
      </c>
      <c r="D74" s="90" t="s">
        <v>57</v>
      </c>
      <c r="E74" s="89" t="s">
        <v>45</v>
      </c>
      <c r="F74" s="91">
        <v>231013</v>
      </c>
      <c r="G74" s="91">
        <v>5020000</v>
      </c>
      <c r="H74" s="87"/>
      <c r="I74" s="90" t="s">
        <v>5498</v>
      </c>
      <c r="J74" s="88" t="str">
        <f t="shared" si="1"/>
        <v>不重复</v>
      </c>
      <c r="K74" s="88" t="str">
        <f t="shared" si="1"/>
        <v>不重复</v>
      </c>
    </row>
    <row r="75" spans="1:11" ht="20.25" customHeight="1">
      <c r="A75" s="89" t="s">
        <v>5527</v>
      </c>
      <c r="B75" s="90" t="s">
        <v>5528</v>
      </c>
      <c r="C75" s="90" t="s">
        <v>5529</v>
      </c>
      <c r="D75" s="90" t="s">
        <v>58</v>
      </c>
      <c r="E75" s="89" t="s">
        <v>45</v>
      </c>
      <c r="F75" s="91">
        <v>231014</v>
      </c>
      <c r="G75" s="91">
        <v>5020000</v>
      </c>
      <c r="H75" s="87"/>
      <c r="I75" s="90" t="s">
        <v>5530</v>
      </c>
      <c r="J75" s="88" t="str">
        <f t="shared" si="1"/>
        <v>不重复</v>
      </c>
      <c r="K75" s="88" t="str">
        <f t="shared" si="1"/>
        <v>不重复</v>
      </c>
    </row>
    <row r="76" spans="1:11" ht="20.25" customHeight="1">
      <c r="A76" s="89" t="s">
        <v>5531</v>
      </c>
      <c r="B76" s="90" t="s">
        <v>5532</v>
      </c>
      <c r="C76" s="90" t="s">
        <v>5533</v>
      </c>
      <c r="D76" s="90" t="s">
        <v>59</v>
      </c>
      <c r="E76" s="89" t="s">
        <v>45</v>
      </c>
      <c r="F76" s="91">
        <v>231015</v>
      </c>
      <c r="G76" s="91">
        <v>5020000</v>
      </c>
      <c r="H76" s="87"/>
      <c r="I76" s="90" t="s">
        <v>5534</v>
      </c>
      <c r="J76" s="88" t="str">
        <f t="shared" si="1"/>
        <v>不重复</v>
      </c>
      <c r="K76" s="88" t="str">
        <f t="shared" si="1"/>
        <v>不重复</v>
      </c>
    </row>
    <row r="77" spans="1:11" ht="20.25" customHeight="1">
      <c r="A77" s="89" t="s">
        <v>5535</v>
      </c>
      <c r="B77" s="90" t="s">
        <v>5536</v>
      </c>
      <c r="C77" s="90" t="s">
        <v>5537</v>
      </c>
      <c r="D77" s="90" t="s">
        <v>63</v>
      </c>
      <c r="E77" s="89" t="s">
        <v>45</v>
      </c>
      <c r="F77" s="91">
        <v>231016</v>
      </c>
      <c r="G77" s="91">
        <v>5020000</v>
      </c>
      <c r="H77" s="87"/>
      <c r="I77" s="90" t="s">
        <v>5538</v>
      </c>
      <c r="J77" s="88" t="str">
        <f t="shared" si="1"/>
        <v>重复</v>
      </c>
      <c r="K77" s="88" t="str">
        <f t="shared" si="1"/>
        <v>不重复</v>
      </c>
    </row>
    <row r="78" spans="1:11" ht="20.25" customHeight="1">
      <c r="A78" s="89" t="s">
        <v>88</v>
      </c>
      <c r="B78" s="90" t="s">
        <v>89</v>
      </c>
      <c r="C78" s="90" t="s">
        <v>74</v>
      </c>
      <c r="D78" s="90" t="s">
        <v>90</v>
      </c>
      <c r="E78" s="89" t="s">
        <v>45</v>
      </c>
      <c r="F78" s="91">
        <v>231017</v>
      </c>
      <c r="G78" s="91">
        <v>5020000</v>
      </c>
      <c r="H78" s="87"/>
      <c r="I78" s="90" t="s">
        <v>25</v>
      </c>
      <c r="J78" s="88" t="str">
        <f t="shared" si="1"/>
        <v>重复</v>
      </c>
      <c r="K78" s="88" t="str">
        <f t="shared" si="1"/>
        <v>不重复</v>
      </c>
    </row>
    <row r="79" spans="1:11" ht="20.25" customHeight="1">
      <c r="A79" s="89" t="s">
        <v>67</v>
      </c>
      <c r="B79" s="90" t="s">
        <v>5539</v>
      </c>
      <c r="C79" s="90" t="s">
        <v>68</v>
      </c>
      <c r="D79" s="90" t="s">
        <v>69</v>
      </c>
      <c r="E79" s="89" t="s">
        <v>45</v>
      </c>
      <c r="F79" s="91">
        <v>231018</v>
      </c>
      <c r="G79" s="91">
        <v>5020000</v>
      </c>
      <c r="H79" s="87"/>
      <c r="I79" s="90" t="s">
        <v>5540</v>
      </c>
      <c r="J79" s="88" t="str">
        <f t="shared" si="1"/>
        <v>重复</v>
      </c>
      <c r="K79" s="88" t="str">
        <f t="shared" si="1"/>
        <v>不重复</v>
      </c>
    </row>
    <row r="80" spans="1:11" ht="20.25" customHeight="1">
      <c r="A80" s="89" t="s">
        <v>70</v>
      </c>
      <c r="B80" s="90" t="s">
        <v>5541</v>
      </c>
      <c r="C80" s="90" t="s">
        <v>71</v>
      </c>
      <c r="D80" s="90" t="s">
        <v>72</v>
      </c>
      <c r="E80" s="89" t="s">
        <v>45</v>
      </c>
      <c r="F80" s="91">
        <v>231019</v>
      </c>
      <c r="G80" s="91">
        <v>5020000</v>
      </c>
      <c r="H80" s="87"/>
      <c r="I80" s="90" t="s">
        <v>5383</v>
      </c>
      <c r="J80" s="88" t="str">
        <f t="shared" si="1"/>
        <v>不重复</v>
      </c>
      <c r="K80" s="88" t="str">
        <f t="shared" si="1"/>
        <v>不重复</v>
      </c>
    </row>
    <row r="81" spans="1:11" ht="20.25" customHeight="1">
      <c r="A81" s="89" t="s">
        <v>73</v>
      </c>
      <c r="B81" s="90" t="s">
        <v>5542</v>
      </c>
      <c r="C81" s="90" t="s">
        <v>74</v>
      </c>
      <c r="D81" s="90" t="s">
        <v>75</v>
      </c>
      <c r="E81" s="89" t="s">
        <v>45</v>
      </c>
      <c r="F81" s="91">
        <v>231020</v>
      </c>
      <c r="G81" s="91">
        <v>5020000</v>
      </c>
      <c r="H81" s="87"/>
      <c r="I81" s="90" t="s">
        <v>5543</v>
      </c>
      <c r="J81" s="88" t="str">
        <f t="shared" si="1"/>
        <v>重复</v>
      </c>
      <c r="K81" s="88" t="str">
        <f t="shared" si="1"/>
        <v>不重复</v>
      </c>
    </row>
    <row r="82" spans="1:11" ht="20.25" customHeight="1">
      <c r="A82" s="89" t="s">
        <v>76</v>
      </c>
      <c r="B82" s="90" t="s">
        <v>5544</v>
      </c>
      <c r="C82" s="90" t="s">
        <v>77</v>
      </c>
      <c r="D82" s="90" t="s">
        <v>78</v>
      </c>
      <c r="E82" s="89" t="s">
        <v>45</v>
      </c>
      <c r="F82" s="91">
        <v>231021</v>
      </c>
      <c r="G82" s="91">
        <v>5020000</v>
      </c>
      <c r="H82" s="87"/>
      <c r="I82" s="90" t="s">
        <v>5545</v>
      </c>
      <c r="J82" s="88" t="str">
        <f t="shared" si="1"/>
        <v>不重复</v>
      </c>
      <c r="K82" s="88" t="str">
        <f t="shared" si="1"/>
        <v>不重复</v>
      </c>
    </row>
    <row r="83" spans="1:11" ht="20.25" customHeight="1">
      <c r="A83" s="89" t="s">
        <v>79</v>
      </c>
      <c r="B83" s="90" t="s">
        <v>5546</v>
      </c>
      <c r="C83" s="90" t="s">
        <v>80</v>
      </c>
      <c r="D83" s="90" t="s">
        <v>81</v>
      </c>
      <c r="E83" s="89" t="s">
        <v>45</v>
      </c>
      <c r="F83" s="91">
        <v>231022</v>
      </c>
      <c r="G83" s="91">
        <v>5020000</v>
      </c>
      <c r="H83" s="87"/>
      <c r="I83" s="90" t="s">
        <v>5547</v>
      </c>
      <c r="J83" s="88" t="str">
        <f t="shared" si="1"/>
        <v>重复</v>
      </c>
      <c r="K83" s="88" t="str">
        <f t="shared" si="1"/>
        <v>不重复</v>
      </c>
    </row>
    <row r="84" spans="1:11" ht="20.25" customHeight="1">
      <c r="A84" s="89" t="s">
        <v>82</v>
      </c>
      <c r="B84" s="90" t="s">
        <v>5548</v>
      </c>
      <c r="C84" s="90" t="s">
        <v>83</v>
      </c>
      <c r="D84" s="90" t="s">
        <v>84</v>
      </c>
      <c r="E84" s="89" t="s">
        <v>45</v>
      </c>
      <c r="F84" s="91">
        <v>231023</v>
      </c>
      <c r="G84" s="91">
        <v>5020000</v>
      </c>
      <c r="H84" s="87"/>
      <c r="I84" s="90" t="s">
        <v>5549</v>
      </c>
      <c r="J84" s="88" t="str">
        <f t="shared" si="1"/>
        <v>不重复</v>
      </c>
      <c r="K84" s="88" t="str">
        <f t="shared" si="1"/>
        <v>不重复</v>
      </c>
    </row>
    <row r="85" spans="1:11" ht="20.25" customHeight="1">
      <c r="A85" s="89" t="s">
        <v>5550</v>
      </c>
      <c r="B85" s="90" t="s">
        <v>5551</v>
      </c>
      <c r="C85" s="90" t="s">
        <v>734</v>
      </c>
      <c r="D85" s="90" t="s">
        <v>5552</v>
      </c>
      <c r="E85" s="89" t="s">
        <v>45</v>
      </c>
      <c r="F85" s="91">
        <v>231024</v>
      </c>
      <c r="G85" s="91">
        <v>5020000</v>
      </c>
      <c r="H85" s="87"/>
      <c r="I85" s="90" t="s">
        <v>5553</v>
      </c>
      <c r="J85" s="88" t="str">
        <f t="shared" si="1"/>
        <v>重复</v>
      </c>
      <c r="K85" s="88" t="str">
        <f t="shared" si="1"/>
        <v>不重复</v>
      </c>
    </row>
    <row r="86" spans="1:11" ht="20.25" customHeight="1">
      <c r="A86" s="89" t="s">
        <v>85</v>
      </c>
      <c r="B86" s="90" t="s">
        <v>5554</v>
      </c>
      <c r="C86" s="90" t="s">
        <v>86</v>
      </c>
      <c r="D86" s="90" t="s">
        <v>87</v>
      </c>
      <c r="E86" s="89" t="s">
        <v>45</v>
      </c>
      <c r="F86" s="91">
        <v>231025</v>
      </c>
      <c r="G86" s="91">
        <v>5020000</v>
      </c>
      <c r="H86" s="87"/>
      <c r="I86" s="90" t="s">
        <v>5498</v>
      </c>
      <c r="J86" s="88" t="str">
        <f t="shared" si="1"/>
        <v>不重复</v>
      </c>
      <c r="K86" s="88" t="str">
        <f t="shared" si="1"/>
        <v>不重复</v>
      </c>
    </row>
    <row r="87" spans="1:11" ht="20.25" customHeight="1">
      <c r="A87" s="89" t="s">
        <v>5555</v>
      </c>
      <c r="B87" s="90" t="s">
        <v>5556</v>
      </c>
      <c r="C87" s="90" t="s">
        <v>4033</v>
      </c>
      <c r="D87" s="90" t="s">
        <v>5557</v>
      </c>
      <c r="E87" s="89" t="s">
        <v>45</v>
      </c>
      <c r="F87" s="91">
        <v>231026</v>
      </c>
      <c r="G87" s="91">
        <v>5020000</v>
      </c>
      <c r="H87" s="87"/>
      <c r="I87" s="90" t="s">
        <v>25</v>
      </c>
      <c r="J87" s="88" t="str">
        <f t="shared" si="1"/>
        <v>不重复</v>
      </c>
      <c r="K87" s="88" t="str">
        <f t="shared" si="1"/>
        <v>不重复</v>
      </c>
    </row>
    <row r="88" spans="1:11" ht="20.25" customHeight="1">
      <c r="A88" s="89" t="s">
        <v>94</v>
      </c>
      <c r="B88" s="90" t="s">
        <v>5558</v>
      </c>
      <c r="C88" s="90" t="s">
        <v>95</v>
      </c>
      <c r="D88" s="90" t="s">
        <v>96</v>
      </c>
      <c r="E88" s="89" t="s">
        <v>45</v>
      </c>
      <c r="F88" s="91">
        <v>231027</v>
      </c>
      <c r="G88" s="91">
        <v>5020000</v>
      </c>
      <c r="H88" s="87"/>
      <c r="I88" s="90" t="s">
        <v>5559</v>
      </c>
      <c r="J88" s="88" t="str">
        <f t="shared" si="1"/>
        <v>不重复</v>
      </c>
      <c r="K88" s="88" t="str">
        <f t="shared" si="1"/>
        <v>不重复</v>
      </c>
    </row>
    <row r="89" spans="1:11" ht="20.25" customHeight="1">
      <c r="A89" s="84" t="s">
        <v>5560</v>
      </c>
      <c r="B89" s="85" t="s">
        <v>5561</v>
      </c>
      <c r="C89" s="85" t="s">
        <v>5562</v>
      </c>
      <c r="D89" s="85" t="s">
        <v>5563</v>
      </c>
      <c r="E89" s="84" t="s">
        <v>45</v>
      </c>
      <c r="F89" s="86">
        <v>231028</v>
      </c>
      <c r="G89" s="86">
        <v>5020000</v>
      </c>
      <c r="H89" s="87"/>
      <c r="I89" s="85" t="s">
        <v>25</v>
      </c>
      <c r="J89" s="88" t="str">
        <f t="shared" si="1"/>
        <v>不重复</v>
      </c>
      <c r="K89" s="88" t="str">
        <f t="shared" si="1"/>
        <v>不重复</v>
      </c>
    </row>
    <row r="90" spans="1:11" ht="20.25" customHeight="1">
      <c r="A90" s="84" t="s">
        <v>91</v>
      </c>
      <c r="B90" s="85" t="s">
        <v>5564</v>
      </c>
      <c r="C90" s="85" t="s">
        <v>92</v>
      </c>
      <c r="D90" s="85" t="s">
        <v>93</v>
      </c>
      <c r="E90" s="84" t="s">
        <v>45</v>
      </c>
      <c r="F90" s="86">
        <v>231029</v>
      </c>
      <c r="G90" s="86">
        <v>5020000</v>
      </c>
      <c r="H90" s="87"/>
      <c r="I90" s="85" t="s">
        <v>5565</v>
      </c>
      <c r="J90" s="88" t="str">
        <f t="shared" si="1"/>
        <v>重复</v>
      </c>
      <c r="K90" s="88" t="str">
        <f t="shared" si="1"/>
        <v>不重复</v>
      </c>
    </row>
    <row r="91" spans="1:11" ht="20.25" customHeight="1">
      <c r="A91" s="84" t="s">
        <v>5566</v>
      </c>
      <c r="B91" s="85" t="s">
        <v>5567</v>
      </c>
      <c r="C91" s="85" t="s">
        <v>5568</v>
      </c>
      <c r="D91" s="85" t="s">
        <v>5569</v>
      </c>
      <c r="E91" s="84" t="s">
        <v>45</v>
      </c>
      <c r="F91" s="86">
        <v>231030</v>
      </c>
      <c r="G91" s="86">
        <v>5020000</v>
      </c>
      <c r="H91" s="87"/>
      <c r="I91" s="85" t="s">
        <v>5570</v>
      </c>
      <c r="J91" s="88" t="str">
        <f t="shared" si="1"/>
        <v>不重复</v>
      </c>
      <c r="K91" s="88" t="str">
        <f t="shared" si="1"/>
        <v>不重复</v>
      </c>
    </row>
    <row r="92" spans="1:11" ht="20.25" customHeight="1">
      <c r="A92" s="84" t="s">
        <v>5571</v>
      </c>
      <c r="B92" s="85" t="s">
        <v>5572</v>
      </c>
      <c r="C92" s="85" t="s">
        <v>914</v>
      </c>
      <c r="D92" s="85" t="s">
        <v>5573</v>
      </c>
      <c r="E92" s="84" t="s">
        <v>45</v>
      </c>
      <c r="F92" s="86">
        <v>231031</v>
      </c>
      <c r="G92" s="86">
        <v>5020000</v>
      </c>
      <c r="H92" s="87"/>
      <c r="I92" s="85" t="s">
        <v>25</v>
      </c>
      <c r="J92" s="88" t="str">
        <f t="shared" si="1"/>
        <v>重复</v>
      </c>
      <c r="K92" s="88" t="str">
        <f t="shared" si="1"/>
        <v>不重复</v>
      </c>
    </row>
    <row r="93" spans="1:11" ht="20.25" customHeight="1">
      <c r="A93" s="84" t="s">
        <v>5574</v>
      </c>
      <c r="B93" s="85" t="s">
        <v>5575</v>
      </c>
      <c r="C93" s="85" t="s">
        <v>5576</v>
      </c>
      <c r="D93" s="85" t="s">
        <v>5577</v>
      </c>
      <c r="E93" s="84" t="s">
        <v>45</v>
      </c>
      <c r="F93" s="86">
        <v>231032</v>
      </c>
      <c r="G93" s="86">
        <v>5020000</v>
      </c>
      <c r="H93" s="87"/>
      <c r="I93" s="85" t="s">
        <v>5553</v>
      </c>
      <c r="J93" s="88" t="str">
        <f t="shared" si="1"/>
        <v>不重复</v>
      </c>
      <c r="K93" s="88" t="str">
        <f t="shared" si="1"/>
        <v>不重复</v>
      </c>
    </row>
    <row r="94" spans="1:11" ht="20.25" customHeight="1">
      <c r="A94" s="84" t="s">
        <v>5578</v>
      </c>
      <c r="B94" s="85" t="s">
        <v>5579</v>
      </c>
      <c r="C94" s="85" t="s">
        <v>105</v>
      </c>
      <c r="D94" s="85" t="s">
        <v>5580</v>
      </c>
      <c r="E94" s="84" t="s">
        <v>45</v>
      </c>
      <c r="F94" s="86">
        <v>231033</v>
      </c>
      <c r="G94" s="86">
        <v>5020000</v>
      </c>
      <c r="H94" s="87"/>
      <c r="I94" s="85" t="s">
        <v>25</v>
      </c>
      <c r="J94" s="88" t="str">
        <f t="shared" si="1"/>
        <v>重复</v>
      </c>
      <c r="K94" s="88" t="str">
        <f t="shared" si="1"/>
        <v>不重复</v>
      </c>
    </row>
    <row r="95" spans="1:11" ht="20.25" customHeight="1">
      <c r="A95" s="84" t="s">
        <v>101</v>
      </c>
      <c r="B95" s="85" t="s">
        <v>5581</v>
      </c>
      <c r="C95" s="85" t="s">
        <v>102</v>
      </c>
      <c r="D95" s="85" t="s">
        <v>5582</v>
      </c>
      <c r="E95" s="84" t="s">
        <v>45</v>
      </c>
      <c r="F95" s="86">
        <v>231034</v>
      </c>
      <c r="G95" s="86">
        <v>5020000</v>
      </c>
      <c r="H95" s="87"/>
      <c r="I95" s="85" t="s">
        <v>5583</v>
      </c>
      <c r="J95" s="88" t="str">
        <f t="shared" si="1"/>
        <v>不重复</v>
      </c>
      <c r="K95" s="88" t="str">
        <f t="shared" si="1"/>
        <v>不重复</v>
      </c>
    </row>
    <row r="96" spans="1:11" ht="20.25" customHeight="1">
      <c r="A96" s="84" t="s">
        <v>104</v>
      </c>
      <c r="B96" s="85" t="s">
        <v>5584</v>
      </c>
      <c r="C96" s="85" t="s">
        <v>105</v>
      </c>
      <c r="D96" s="85" t="s">
        <v>106</v>
      </c>
      <c r="E96" s="84" t="s">
        <v>45</v>
      </c>
      <c r="F96" s="86">
        <v>231035</v>
      </c>
      <c r="G96" s="86">
        <v>5020000</v>
      </c>
      <c r="H96" s="87"/>
      <c r="I96" s="85" t="s">
        <v>5396</v>
      </c>
      <c r="J96" s="88" t="str">
        <f t="shared" si="1"/>
        <v>重复</v>
      </c>
      <c r="K96" s="88" t="str">
        <f t="shared" si="1"/>
        <v>不重复</v>
      </c>
    </row>
    <row r="97" spans="1:11" ht="20.25" customHeight="1">
      <c r="A97" s="89" t="s">
        <v>5585</v>
      </c>
      <c r="B97" s="90" t="s">
        <v>5586</v>
      </c>
      <c r="C97" s="90" t="s">
        <v>99</v>
      </c>
      <c r="D97" s="90" t="s">
        <v>5587</v>
      </c>
      <c r="E97" s="89" t="s">
        <v>45</v>
      </c>
      <c r="F97" s="91">
        <v>231036</v>
      </c>
      <c r="G97" s="91">
        <v>5020000</v>
      </c>
      <c r="H97" s="87"/>
      <c r="I97" s="90" t="s">
        <v>25</v>
      </c>
      <c r="J97" s="88" t="str">
        <f t="shared" si="1"/>
        <v>重复</v>
      </c>
      <c r="K97" s="88" t="str">
        <f t="shared" si="1"/>
        <v>不重复</v>
      </c>
    </row>
    <row r="98" spans="1:11" ht="20.25" customHeight="1">
      <c r="A98" s="89" t="s">
        <v>98</v>
      </c>
      <c r="B98" s="90" t="s">
        <v>5588</v>
      </c>
      <c r="C98" s="90" t="s">
        <v>99</v>
      </c>
      <c r="D98" s="90" t="s">
        <v>100</v>
      </c>
      <c r="E98" s="89" t="s">
        <v>45</v>
      </c>
      <c r="F98" s="91">
        <v>231037</v>
      </c>
      <c r="G98" s="91">
        <v>5020000</v>
      </c>
      <c r="H98" s="87"/>
      <c r="I98" s="90" t="s">
        <v>5373</v>
      </c>
      <c r="J98" s="88" t="str">
        <f t="shared" si="1"/>
        <v>重复</v>
      </c>
      <c r="K98" s="88" t="str">
        <f t="shared" si="1"/>
        <v>不重复</v>
      </c>
    </row>
    <row r="99" spans="1:11" ht="20.25" customHeight="1">
      <c r="A99" s="89" t="s">
        <v>5589</v>
      </c>
      <c r="B99" s="90" t="s">
        <v>5590</v>
      </c>
      <c r="C99" s="90" t="s">
        <v>1371</v>
      </c>
      <c r="D99" s="90" t="s">
        <v>5591</v>
      </c>
      <c r="E99" s="89" t="s">
        <v>45</v>
      </c>
      <c r="F99" s="91">
        <v>231038</v>
      </c>
      <c r="G99" s="91">
        <v>5020000</v>
      </c>
      <c r="H99" s="87"/>
      <c r="I99" s="90" t="s">
        <v>25</v>
      </c>
      <c r="J99" s="88" t="str">
        <f t="shared" si="1"/>
        <v>重复</v>
      </c>
      <c r="K99" s="88" t="str">
        <f t="shared" si="1"/>
        <v>不重复</v>
      </c>
    </row>
    <row r="100" spans="1:11" ht="20.25" customHeight="1">
      <c r="A100" s="89" t="s">
        <v>115</v>
      </c>
      <c r="B100" s="90" t="s">
        <v>5592</v>
      </c>
      <c r="C100" s="90" t="s">
        <v>116</v>
      </c>
      <c r="D100" s="90" t="s">
        <v>5199</v>
      </c>
      <c r="E100" s="89" t="s">
        <v>45</v>
      </c>
      <c r="F100" s="91">
        <v>231039</v>
      </c>
      <c r="G100" s="91">
        <v>5020000</v>
      </c>
      <c r="H100" s="87"/>
      <c r="I100" s="90" t="s">
        <v>5593</v>
      </c>
      <c r="J100" s="88" t="str">
        <f t="shared" si="1"/>
        <v>重复</v>
      </c>
      <c r="K100" s="88" t="str">
        <f t="shared" si="1"/>
        <v>不重复</v>
      </c>
    </row>
    <row r="101" spans="1:11" ht="20.25" customHeight="1">
      <c r="A101" s="89" t="s">
        <v>118</v>
      </c>
      <c r="B101" s="90" t="s">
        <v>5594</v>
      </c>
      <c r="C101" s="90" t="s">
        <v>119</v>
      </c>
      <c r="D101" s="90" t="s">
        <v>5595</v>
      </c>
      <c r="E101" s="89" t="s">
        <v>45</v>
      </c>
      <c r="F101" s="91">
        <v>231040</v>
      </c>
      <c r="G101" s="91">
        <v>5020000</v>
      </c>
      <c r="H101" s="87"/>
      <c r="I101" s="90" t="s">
        <v>5596</v>
      </c>
      <c r="J101" s="88" t="str">
        <f t="shared" si="1"/>
        <v>不重复</v>
      </c>
      <c r="K101" s="88" t="str">
        <f t="shared" si="1"/>
        <v>不重复</v>
      </c>
    </row>
    <row r="102" spans="1:11" ht="20.25" customHeight="1">
      <c r="A102" s="89" t="s">
        <v>123</v>
      </c>
      <c r="B102" s="90" t="s">
        <v>5597</v>
      </c>
      <c r="C102" s="90" t="s">
        <v>124</v>
      </c>
      <c r="D102" s="90" t="s">
        <v>280</v>
      </c>
      <c r="E102" s="89" t="s">
        <v>45</v>
      </c>
      <c r="F102" s="91">
        <v>231041</v>
      </c>
      <c r="G102" s="91">
        <v>5020000</v>
      </c>
      <c r="H102" s="87"/>
      <c r="I102" s="90" t="s">
        <v>5598</v>
      </c>
      <c r="J102" s="88" t="str">
        <f t="shared" si="1"/>
        <v>重复</v>
      </c>
      <c r="K102" s="88" t="str">
        <f t="shared" si="1"/>
        <v>不重复</v>
      </c>
    </row>
    <row r="103" spans="1:11" ht="20.25" customHeight="1">
      <c r="A103" s="89" t="s">
        <v>121</v>
      </c>
      <c r="B103" s="90" t="s">
        <v>5599</v>
      </c>
      <c r="C103" s="90" t="s">
        <v>122</v>
      </c>
      <c r="D103" s="90" t="s">
        <v>5600</v>
      </c>
      <c r="E103" s="89" t="s">
        <v>45</v>
      </c>
      <c r="F103" s="91">
        <v>231042</v>
      </c>
      <c r="G103" s="91">
        <v>5020000</v>
      </c>
      <c r="H103" s="87"/>
      <c r="I103" s="90" t="s">
        <v>5559</v>
      </c>
      <c r="J103" s="88" t="str">
        <f t="shared" si="1"/>
        <v>重复</v>
      </c>
      <c r="K103" s="88" t="str">
        <f t="shared" si="1"/>
        <v>不重复</v>
      </c>
    </row>
    <row r="104" spans="1:11" ht="20.25" customHeight="1">
      <c r="A104" s="89" t="s">
        <v>125</v>
      </c>
      <c r="B104" s="90" t="s">
        <v>5601</v>
      </c>
      <c r="C104" s="90" t="s">
        <v>126</v>
      </c>
      <c r="D104" s="90" t="s">
        <v>5602</v>
      </c>
      <c r="E104" s="89" t="s">
        <v>45</v>
      </c>
      <c r="F104" s="91">
        <v>231043</v>
      </c>
      <c r="G104" s="91">
        <v>5020000</v>
      </c>
      <c r="H104" s="87"/>
      <c r="I104" s="90" t="s">
        <v>5603</v>
      </c>
      <c r="J104" s="88" t="str">
        <f t="shared" si="1"/>
        <v>不重复</v>
      </c>
      <c r="K104" s="88" t="str">
        <f t="shared" si="1"/>
        <v>不重复</v>
      </c>
    </row>
    <row r="105" spans="1:11" ht="20.25" customHeight="1">
      <c r="A105" s="89" t="s">
        <v>5604</v>
      </c>
      <c r="B105" s="90" t="s">
        <v>5605</v>
      </c>
      <c r="C105" s="90" t="s">
        <v>5606</v>
      </c>
      <c r="D105" s="90" t="s">
        <v>5607</v>
      </c>
      <c r="E105" s="89" t="s">
        <v>45</v>
      </c>
      <c r="F105" s="91">
        <v>231044</v>
      </c>
      <c r="G105" s="91">
        <v>5020000</v>
      </c>
      <c r="H105" s="87"/>
      <c r="I105" s="90" t="s">
        <v>25</v>
      </c>
      <c r="J105" s="88" t="str">
        <f t="shared" si="1"/>
        <v>不重复</v>
      </c>
      <c r="K105" s="88" t="str">
        <f t="shared" si="1"/>
        <v>不重复</v>
      </c>
    </row>
    <row r="106" spans="1:11" ht="20.25" customHeight="1">
      <c r="A106" s="89" t="s">
        <v>258</v>
      </c>
      <c r="B106" s="90" t="s">
        <v>5608</v>
      </c>
      <c r="C106" s="90" t="s">
        <v>259</v>
      </c>
      <c r="D106" s="90" t="s">
        <v>5609</v>
      </c>
      <c r="E106" s="89" t="s">
        <v>45</v>
      </c>
      <c r="F106" s="91">
        <v>231045</v>
      </c>
      <c r="G106" s="91">
        <v>5020000</v>
      </c>
      <c r="H106" s="87"/>
      <c r="I106" s="90" t="s">
        <v>5610</v>
      </c>
      <c r="J106" s="88" t="str">
        <f t="shared" si="1"/>
        <v>重复</v>
      </c>
      <c r="K106" s="88" t="str">
        <f t="shared" si="1"/>
        <v>不重复</v>
      </c>
    </row>
    <row r="107" spans="1:11" ht="20.25" customHeight="1">
      <c r="A107" s="84" t="s">
        <v>5611</v>
      </c>
      <c r="B107" s="85" t="s">
        <v>5612</v>
      </c>
      <c r="C107" s="85" t="s">
        <v>5613</v>
      </c>
      <c r="D107" s="85" t="s">
        <v>5614</v>
      </c>
      <c r="E107" s="84" t="s">
        <v>45</v>
      </c>
      <c r="F107" s="86">
        <v>231046</v>
      </c>
      <c r="G107" s="86">
        <v>5020000</v>
      </c>
      <c r="H107" s="87"/>
      <c r="I107" s="85" t="s">
        <v>25</v>
      </c>
      <c r="J107" s="88" t="str">
        <f t="shared" si="1"/>
        <v>不重复</v>
      </c>
      <c r="K107" s="88" t="str">
        <f t="shared" si="1"/>
        <v>不重复</v>
      </c>
    </row>
    <row r="108" spans="1:11" ht="20.25" customHeight="1">
      <c r="A108" s="84" t="s">
        <v>255</v>
      </c>
      <c r="B108" s="85" t="s">
        <v>5615</v>
      </c>
      <c r="C108" s="85" t="s">
        <v>256</v>
      </c>
      <c r="D108" s="85" t="s">
        <v>257</v>
      </c>
      <c r="E108" s="84" t="s">
        <v>45</v>
      </c>
      <c r="F108" s="86">
        <v>231047</v>
      </c>
      <c r="G108" s="86">
        <v>5020000</v>
      </c>
      <c r="H108" s="87"/>
      <c r="I108" s="85" t="s">
        <v>5616</v>
      </c>
      <c r="J108" s="88" t="str">
        <f t="shared" si="1"/>
        <v>重复</v>
      </c>
      <c r="K108" s="88" t="str">
        <f t="shared" si="1"/>
        <v>不重复</v>
      </c>
    </row>
    <row r="109" spans="1:11" ht="20.25" customHeight="1">
      <c r="A109" s="84" t="s">
        <v>5617</v>
      </c>
      <c r="B109" s="85" t="s">
        <v>5618</v>
      </c>
      <c r="C109" s="85" t="s">
        <v>5619</v>
      </c>
      <c r="D109" s="85" t="s">
        <v>5620</v>
      </c>
      <c r="E109" s="84" t="s">
        <v>45</v>
      </c>
      <c r="F109" s="86">
        <v>231048</v>
      </c>
      <c r="G109" s="86">
        <v>5020000</v>
      </c>
      <c r="H109" s="87"/>
      <c r="I109" s="85" t="s">
        <v>25</v>
      </c>
      <c r="J109" s="88" t="str">
        <f t="shared" si="1"/>
        <v>不重复</v>
      </c>
      <c r="K109" s="88" t="str">
        <f t="shared" si="1"/>
        <v>不重复</v>
      </c>
    </row>
    <row r="110" spans="1:11" ht="20.25" customHeight="1">
      <c r="A110" s="89" t="s">
        <v>5621</v>
      </c>
      <c r="B110" s="90" t="s">
        <v>5622</v>
      </c>
      <c r="C110" s="90" t="s">
        <v>4165</v>
      </c>
      <c r="D110" s="90" t="s">
        <v>5623</v>
      </c>
      <c r="E110" s="89" t="s">
        <v>45</v>
      </c>
      <c r="F110" s="91">
        <v>231049</v>
      </c>
      <c r="G110" s="91">
        <v>5020000</v>
      </c>
      <c r="H110" s="87"/>
      <c r="I110" s="90" t="s">
        <v>5624</v>
      </c>
      <c r="J110" s="88" t="str">
        <f t="shared" si="1"/>
        <v>重复</v>
      </c>
      <c r="K110" s="88" t="str">
        <f t="shared" si="1"/>
        <v>不重复</v>
      </c>
    </row>
    <row r="111" spans="1:11" ht="20.25" customHeight="1">
      <c r="A111" s="89" t="s">
        <v>5625</v>
      </c>
      <c r="B111" s="90" t="s">
        <v>5626</v>
      </c>
      <c r="C111" s="90" t="s">
        <v>593</v>
      </c>
      <c r="D111" s="90" t="s">
        <v>5627</v>
      </c>
      <c r="E111" s="89" t="s">
        <v>45</v>
      </c>
      <c r="F111" s="91">
        <v>231051</v>
      </c>
      <c r="G111" s="91">
        <v>5020000</v>
      </c>
      <c r="H111" s="87"/>
      <c r="I111" s="90" t="s">
        <v>5624</v>
      </c>
      <c r="J111" s="88" t="str">
        <f t="shared" si="1"/>
        <v>重复</v>
      </c>
      <c r="K111" s="88" t="str">
        <f t="shared" si="1"/>
        <v>不重复</v>
      </c>
    </row>
    <row r="112" spans="1:11" ht="20.25" customHeight="1">
      <c r="A112" s="89" t="s">
        <v>5628</v>
      </c>
      <c r="B112" s="90" t="s">
        <v>5629</v>
      </c>
      <c r="C112" s="90" t="s">
        <v>5630</v>
      </c>
      <c r="D112" s="90" t="s">
        <v>5631</v>
      </c>
      <c r="E112" s="89" t="s">
        <v>45</v>
      </c>
      <c r="F112" s="91">
        <v>231052</v>
      </c>
      <c r="G112" s="91">
        <v>5020000</v>
      </c>
      <c r="H112" s="87"/>
      <c r="I112" s="90" t="s">
        <v>5624</v>
      </c>
      <c r="J112" s="88" t="str">
        <f t="shared" si="1"/>
        <v>不重复</v>
      </c>
      <c r="K112" s="88" t="str">
        <f t="shared" si="1"/>
        <v>不重复</v>
      </c>
    </row>
    <row r="113" spans="1:11" ht="20.25" customHeight="1">
      <c r="A113" s="84" t="s">
        <v>5632</v>
      </c>
      <c r="B113" s="85" t="s">
        <v>5633</v>
      </c>
      <c r="C113" s="85" t="s">
        <v>5634</v>
      </c>
      <c r="D113" s="85" t="s">
        <v>5635</v>
      </c>
      <c r="E113" s="84" t="s">
        <v>45</v>
      </c>
      <c r="F113" s="86">
        <v>231053</v>
      </c>
      <c r="G113" s="86">
        <v>5020000</v>
      </c>
      <c r="H113" s="87"/>
      <c r="I113" s="85" t="s">
        <v>5624</v>
      </c>
      <c r="J113" s="88" t="str">
        <f t="shared" si="1"/>
        <v>不重复</v>
      </c>
      <c r="K113" s="88" t="str">
        <f t="shared" si="1"/>
        <v>不重复</v>
      </c>
    </row>
    <row r="114" spans="1:11" ht="20.25" customHeight="1">
      <c r="A114" s="84" t="s">
        <v>5636</v>
      </c>
      <c r="B114" s="85" t="s">
        <v>5637</v>
      </c>
      <c r="C114" s="85" t="s">
        <v>5638</v>
      </c>
      <c r="D114" s="85" t="s">
        <v>5639</v>
      </c>
      <c r="E114" s="84" t="s">
        <v>45</v>
      </c>
      <c r="F114" s="86">
        <v>231054</v>
      </c>
      <c r="G114" s="86">
        <v>5020000</v>
      </c>
      <c r="H114" s="87"/>
      <c r="I114" s="85" t="s">
        <v>5624</v>
      </c>
      <c r="J114" s="88" t="str">
        <f t="shared" si="1"/>
        <v>重复</v>
      </c>
      <c r="K114" s="88" t="str">
        <f t="shared" si="1"/>
        <v>不重复</v>
      </c>
    </row>
    <row r="115" spans="1:11" ht="20.25" customHeight="1">
      <c r="A115" s="84" t="s">
        <v>5640</v>
      </c>
      <c r="B115" s="85" t="s">
        <v>5641</v>
      </c>
      <c r="C115" s="85" t="s">
        <v>1208</v>
      </c>
      <c r="D115" s="85" t="s">
        <v>5642</v>
      </c>
      <c r="E115" s="84" t="s">
        <v>45</v>
      </c>
      <c r="F115" s="86">
        <v>231055</v>
      </c>
      <c r="G115" s="86">
        <v>5020000</v>
      </c>
      <c r="H115" s="87"/>
      <c r="I115" s="85" t="s">
        <v>25</v>
      </c>
      <c r="J115" s="88" t="str">
        <f t="shared" si="1"/>
        <v>重复</v>
      </c>
      <c r="K115" s="88" t="str">
        <f t="shared" si="1"/>
        <v>不重复</v>
      </c>
    </row>
    <row r="116" spans="1:11" ht="20.25" customHeight="1">
      <c r="A116" s="84" t="s">
        <v>5643</v>
      </c>
      <c r="B116" s="85" t="s">
        <v>5644</v>
      </c>
      <c r="C116" s="85" t="s">
        <v>2023</v>
      </c>
      <c r="D116" s="85" t="s">
        <v>5645</v>
      </c>
      <c r="E116" s="84" t="s">
        <v>45</v>
      </c>
      <c r="F116" s="86">
        <v>231056</v>
      </c>
      <c r="G116" s="86">
        <v>5020000</v>
      </c>
      <c r="H116" s="87"/>
      <c r="I116" s="85" t="s">
        <v>5646</v>
      </c>
      <c r="J116" s="88" t="str">
        <f t="shared" si="1"/>
        <v>不重复</v>
      </c>
      <c r="K116" s="88" t="str">
        <f t="shared" si="1"/>
        <v>不重复</v>
      </c>
    </row>
    <row r="117" spans="1:11" ht="20.25" customHeight="1">
      <c r="A117" s="89" t="s">
        <v>5647</v>
      </c>
      <c r="B117" s="90" t="s">
        <v>5648</v>
      </c>
      <c r="C117" s="90" t="s">
        <v>5649</v>
      </c>
      <c r="D117" s="90" t="s">
        <v>5650</v>
      </c>
      <c r="E117" s="89" t="s">
        <v>45</v>
      </c>
      <c r="F117" s="91">
        <v>231057</v>
      </c>
      <c r="G117" s="91">
        <v>5020000</v>
      </c>
      <c r="H117" s="87"/>
      <c r="I117" s="90" t="s">
        <v>5624</v>
      </c>
      <c r="J117" s="88" t="str">
        <f t="shared" si="1"/>
        <v>不重复</v>
      </c>
      <c r="K117" s="88" t="str">
        <f t="shared" si="1"/>
        <v>不重复</v>
      </c>
    </row>
    <row r="118" spans="1:11" ht="20.25" customHeight="1">
      <c r="A118" s="89" t="s">
        <v>5651</v>
      </c>
      <c r="B118" s="90" t="s">
        <v>5652</v>
      </c>
      <c r="C118" s="90" t="s">
        <v>5653</v>
      </c>
      <c r="D118" s="90" t="s">
        <v>5654</v>
      </c>
      <c r="E118" s="89" t="s">
        <v>45</v>
      </c>
      <c r="F118" s="91">
        <v>231059</v>
      </c>
      <c r="G118" s="91">
        <v>5020000</v>
      </c>
      <c r="H118" s="87"/>
      <c r="I118" s="90" t="s">
        <v>5530</v>
      </c>
      <c r="J118" s="88" t="str">
        <f t="shared" si="1"/>
        <v>不重复</v>
      </c>
      <c r="K118" s="88" t="str">
        <f t="shared" si="1"/>
        <v>不重复</v>
      </c>
    </row>
    <row r="119" spans="1:11" ht="20.25" customHeight="1">
      <c r="A119" s="89" t="s">
        <v>5655</v>
      </c>
      <c r="B119" s="90" t="s">
        <v>5656</v>
      </c>
      <c r="C119" s="90" t="s">
        <v>5657</v>
      </c>
      <c r="D119" s="90" t="s">
        <v>5658</v>
      </c>
      <c r="E119" s="89" t="s">
        <v>45</v>
      </c>
      <c r="F119" s="91">
        <v>231061</v>
      </c>
      <c r="G119" s="91">
        <v>5020000</v>
      </c>
      <c r="H119" s="87"/>
      <c r="I119" s="90" t="s">
        <v>25</v>
      </c>
      <c r="J119" s="88" t="str">
        <f t="shared" si="1"/>
        <v>不重复</v>
      </c>
      <c r="K119" s="88" t="str">
        <f t="shared" si="1"/>
        <v>不重复</v>
      </c>
    </row>
    <row r="120" spans="1:11" ht="20.25" customHeight="1">
      <c r="A120" s="89" t="s">
        <v>5659</v>
      </c>
      <c r="B120" s="90" t="s">
        <v>5660</v>
      </c>
      <c r="C120" s="90" t="s">
        <v>5661</v>
      </c>
      <c r="D120" s="90" t="s">
        <v>5662</v>
      </c>
      <c r="E120" s="89" t="s">
        <v>45</v>
      </c>
      <c r="F120" s="91">
        <v>231062</v>
      </c>
      <c r="G120" s="91">
        <v>5020000</v>
      </c>
      <c r="H120" s="87"/>
      <c r="I120" s="90" t="s">
        <v>25</v>
      </c>
      <c r="J120" s="88" t="str">
        <f t="shared" si="1"/>
        <v>不重复</v>
      </c>
      <c r="K120" s="88" t="str">
        <f t="shared" si="1"/>
        <v>不重复</v>
      </c>
    </row>
    <row r="121" spans="1:11" ht="20.25" customHeight="1">
      <c r="A121" s="84" t="s">
        <v>5663</v>
      </c>
      <c r="B121" s="85" t="s">
        <v>5664</v>
      </c>
      <c r="C121" s="85" t="s">
        <v>5665</v>
      </c>
      <c r="D121" s="85" t="s">
        <v>5666</v>
      </c>
      <c r="E121" s="84" t="s">
        <v>45</v>
      </c>
      <c r="F121" s="86">
        <v>231063</v>
      </c>
      <c r="G121" s="86">
        <v>5020000</v>
      </c>
      <c r="H121" s="87"/>
      <c r="I121" s="85" t="s">
        <v>25</v>
      </c>
      <c r="J121" s="88" t="str">
        <f t="shared" si="1"/>
        <v>不重复</v>
      </c>
      <c r="K121" s="88" t="str">
        <f t="shared" si="1"/>
        <v>不重复</v>
      </c>
    </row>
    <row r="122" spans="1:11" ht="20.25" customHeight="1">
      <c r="A122" s="84" t="s">
        <v>5667</v>
      </c>
      <c r="B122" s="85" t="s">
        <v>5668</v>
      </c>
      <c r="C122" s="85" t="s">
        <v>5669</v>
      </c>
      <c r="D122" s="85" t="s">
        <v>5670</v>
      </c>
      <c r="E122" s="84" t="s">
        <v>45</v>
      </c>
      <c r="F122" s="86">
        <v>231064</v>
      </c>
      <c r="G122" s="86">
        <v>5020000</v>
      </c>
      <c r="H122" s="87"/>
      <c r="I122" s="85" t="s">
        <v>25</v>
      </c>
      <c r="J122" s="88" t="str">
        <f t="shared" si="1"/>
        <v>不重复</v>
      </c>
      <c r="K122" s="88" t="str">
        <f t="shared" si="1"/>
        <v>不重复</v>
      </c>
    </row>
    <row r="123" spans="1:11" ht="20.25" customHeight="1">
      <c r="A123" s="89" t="s">
        <v>137</v>
      </c>
      <c r="B123" s="90" t="s">
        <v>5671</v>
      </c>
      <c r="C123" s="90" t="s">
        <v>138</v>
      </c>
      <c r="D123" s="90" t="s">
        <v>139</v>
      </c>
      <c r="E123" s="89" t="s">
        <v>45</v>
      </c>
      <c r="F123" s="91">
        <v>232001</v>
      </c>
      <c r="G123" s="91">
        <v>5020000</v>
      </c>
      <c r="H123" s="87"/>
      <c r="I123" s="90" t="s">
        <v>5672</v>
      </c>
      <c r="J123" s="88" t="str">
        <f t="shared" si="1"/>
        <v>重复</v>
      </c>
      <c r="K123" s="88" t="str">
        <f t="shared" si="1"/>
        <v>不重复</v>
      </c>
    </row>
    <row r="124" spans="1:11" ht="20.25" customHeight="1">
      <c r="A124" s="89" t="s">
        <v>146</v>
      </c>
      <c r="B124" s="90" t="s">
        <v>147</v>
      </c>
      <c r="C124" s="90" t="s">
        <v>148</v>
      </c>
      <c r="D124" s="90" t="s">
        <v>5673</v>
      </c>
      <c r="E124" s="89" t="s">
        <v>45</v>
      </c>
      <c r="F124" s="91">
        <v>232002</v>
      </c>
      <c r="G124" s="91">
        <v>5020000</v>
      </c>
      <c r="H124" s="87"/>
      <c r="I124" s="90" t="s">
        <v>25</v>
      </c>
      <c r="J124" s="88" t="str">
        <f t="shared" si="1"/>
        <v>重复</v>
      </c>
      <c r="K124" s="88" t="str">
        <f t="shared" si="1"/>
        <v>不重复</v>
      </c>
    </row>
    <row r="125" spans="1:11" ht="20.25" customHeight="1">
      <c r="A125" s="89" t="s">
        <v>140</v>
      </c>
      <c r="B125" s="90" t="s">
        <v>5674</v>
      </c>
      <c r="C125" s="90" t="s">
        <v>141</v>
      </c>
      <c r="D125" s="90" t="s">
        <v>142</v>
      </c>
      <c r="E125" s="89" t="s">
        <v>45</v>
      </c>
      <c r="F125" s="91">
        <v>232003</v>
      </c>
      <c r="G125" s="91">
        <v>5020000</v>
      </c>
      <c r="H125" s="87"/>
      <c r="I125" s="90" t="s">
        <v>5675</v>
      </c>
      <c r="J125" s="88" t="str">
        <f t="shared" si="1"/>
        <v>不重复</v>
      </c>
      <c r="K125" s="88" t="str">
        <f t="shared" si="1"/>
        <v>不重复</v>
      </c>
    </row>
    <row r="126" spans="1:11" ht="20.25" customHeight="1">
      <c r="A126" s="89" t="s">
        <v>143</v>
      </c>
      <c r="B126" s="90" t="s">
        <v>5676</v>
      </c>
      <c r="C126" s="90" t="s">
        <v>144</v>
      </c>
      <c r="D126" s="90" t="s">
        <v>145</v>
      </c>
      <c r="E126" s="89" t="s">
        <v>45</v>
      </c>
      <c r="F126" s="91">
        <v>232004</v>
      </c>
      <c r="G126" s="91">
        <v>5020000</v>
      </c>
      <c r="H126" s="87"/>
      <c r="I126" s="90" t="s">
        <v>5677</v>
      </c>
      <c r="J126" s="88" t="str">
        <f t="shared" si="1"/>
        <v>重复</v>
      </c>
      <c r="K126" s="88" t="str">
        <f t="shared" si="1"/>
        <v>不重复</v>
      </c>
    </row>
    <row r="127" spans="1:11" ht="20.25" customHeight="1">
      <c r="A127" s="89" t="s">
        <v>149</v>
      </c>
      <c r="B127" s="90" t="s">
        <v>5678</v>
      </c>
      <c r="C127" s="90" t="s">
        <v>150</v>
      </c>
      <c r="D127" s="90" t="s">
        <v>151</v>
      </c>
      <c r="E127" s="89" t="s">
        <v>45</v>
      </c>
      <c r="F127" s="91">
        <v>232006</v>
      </c>
      <c r="G127" s="91">
        <v>5020000</v>
      </c>
      <c r="H127" s="87"/>
      <c r="I127" s="90" t="s">
        <v>5679</v>
      </c>
      <c r="J127" s="88" t="str">
        <f t="shared" si="1"/>
        <v>不重复</v>
      </c>
      <c r="K127" s="88" t="str">
        <f t="shared" si="1"/>
        <v>不重复</v>
      </c>
    </row>
    <row r="128" spans="1:11" ht="20.25" customHeight="1">
      <c r="A128" s="89" t="s">
        <v>152</v>
      </c>
      <c r="B128" s="90" t="s">
        <v>5680</v>
      </c>
      <c r="C128" s="90" t="s">
        <v>153</v>
      </c>
      <c r="D128" s="90" t="s">
        <v>5681</v>
      </c>
      <c r="E128" s="89" t="s">
        <v>45</v>
      </c>
      <c r="F128" s="91">
        <v>232007</v>
      </c>
      <c r="G128" s="91">
        <v>5020000</v>
      </c>
      <c r="H128" s="87"/>
      <c r="I128" s="90" t="s">
        <v>5682</v>
      </c>
      <c r="J128" s="88" t="str">
        <f t="shared" si="1"/>
        <v>不重复</v>
      </c>
      <c r="K128" s="88" t="str">
        <f t="shared" si="1"/>
        <v>不重复</v>
      </c>
    </row>
    <row r="129" spans="1:11" ht="20.25" customHeight="1">
      <c r="A129" s="89" t="s">
        <v>5683</v>
      </c>
      <c r="B129" s="90" t="s">
        <v>5684</v>
      </c>
      <c r="C129" s="90" t="s">
        <v>650</v>
      </c>
      <c r="D129" s="90" t="s">
        <v>5685</v>
      </c>
      <c r="E129" s="89" t="s">
        <v>45</v>
      </c>
      <c r="F129" s="91">
        <v>232008</v>
      </c>
      <c r="G129" s="91">
        <v>5020000</v>
      </c>
      <c r="H129" s="87"/>
      <c r="I129" s="90" t="s">
        <v>25</v>
      </c>
      <c r="J129" s="88" t="str">
        <f t="shared" si="1"/>
        <v>重复</v>
      </c>
      <c r="K129" s="88" t="str">
        <f t="shared" si="1"/>
        <v>不重复</v>
      </c>
    </row>
    <row r="130" spans="1:11" ht="20.25" customHeight="1">
      <c r="A130" s="89" t="s">
        <v>131</v>
      </c>
      <c r="B130" s="90" t="s">
        <v>5686</v>
      </c>
      <c r="C130" s="90" t="s">
        <v>132</v>
      </c>
      <c r="D130" s="90" t="s">
        <v>133</v>
      </c>
      <c r="E130" s="89" t="s">
        <v>45</v>
      </c>
      <c r="F130" s="91">
        <v>232009</v>
      </c>
      <c r="G130" s="91">
        <v>5020000</v>
      </c>
      <c r="H130" s="87"/>
      <c r="I130" s="90" t="s">
        <v>5687</v>
      </c>
      <c r="J130" s="88" t="str">
        <f t="shared" si="1"/>
        <v>不重复</v>
      </c>
      <c r="K130" s="88" t="str">
        <f t="shared" si="1"/>
        <v>不重复</v>
      </c>
    </row>
    <row r="131" spans="1:11" ht="20.25" customHeight="1">
      <c r="A131" s="89" t="s">
        <v>134</v>
      </c>
      <c r="B131" s="90" t="s">
        <v>5688</v>
      </c>
      <c r="C131" s="90" t="s">
        <v>135</v>
      </c>
      <c r="D131" s="90" t="s">
        <v>136</v>
      </c>
      <c r="E131" s="89" t="s">
        <v>45</v>
      </c>
      <c r="F131" s="91">
        <v>232010</v>
      </c>
      <c r="G131" s="91">
        <v>5020000</v>
      </c>
      <c r="H131" s="87"/>
      <c r="I131" s="90" t="s">
        <v>5679</v>
      </c>
      <c r="J131" s="88" t="str">
        <f t="shared" si="2" ref="J131:K194">IF(COUNTIF(C:C,C131)&gt;=2,"重复","不重复")</f>
        <v>不重复</v>
      </c>
      <c r="K131" s="88" t="str">
        <f t="shared" si="2"/>
        <v>不重复</v>
      </c>
    </row>
    <row r="132" spans="1:11" ht="20.25" customHeight="1">
      <c r="A132" s="84" t="s">
        <v>5689</v>
      </c>
      <c r="B132" s="85" t="s">
        <v>5690</v>
      </c>
      <c r="C132" s="85" t="s">
        <v>5691</v>
      </c>
      <c r="D132" s="85" t="s">
        <v>5692</v>
      </c>
      <c r="E132" s="84" t="s">
        <v>45</v>
      </c>
      <c r="F132" s="86">
        <v>232011</v>
      </c>
      <c r="G132" s="86">
        <v>5020000</v>
      </c>
      <c r="H132" s="87"/>
      <c r="I132" s="85" t="s">
        <v>25</v>
      </c>
      <c r="J132" s="88" t="str">
        <f t="shared" si="2"/>
        <v>不重复</v>
      </c>
      <c r="K132" s="88" t="str">
        <f t="shared" si="2"/>
        <v>不重复</v>
      </c>
    </row>
    <row r="133" spans="1:11" ht="20.25" customHeight="1">
      <c r="A133" s="84" t="s">
        <v>154</v>
      </c>
      <c r="B133" s="85" t="s">
        <v>5693</v>
      </c>
      <c r="C133" s="85" t="s">
        <v>155</v>
      </c>
      <c r="D133" s="85" t="s">
        <v>156</v>
      </c>
      <c r="E133" s="84" t="s">
        <v>45</v>
      </c>
      <c r="F133" s="86">
        <v>232012</v>
      </c>
      <c r="G133" s="86">
        <v>5020000</v>
      </c>
      <c r="H133" s="87"/>
      <c r="I133" s="85" t="s">
        <v>5694</v>
      </c>
      <c r="J133" s="88" t="str">
        <f t="shared" si="2"/>
        <v>不重复</v>
      </c>
      <c r="K133" s="88" t="str">
        <f t="shared" si="2"/>
        <v>不重复</v>
      </c>
    </row>
    <row r="134" spans="1:11" ht="20.25" customHeight="1">
      <c r="A134" s="89" t="s">
        <v>10049</v>
      </c>
      <c r="B134" s="90" t="s">
        <v>5695</v>
      </c>
      <c r="C134" s="90" t="s">
        <v>372</v>
      </c>
      <c r="D134" s="90" t="s">
        <v>653</v>
      </c>
      <c r="E134" s="89" t="s">
        <v>45</v>
      </c>
      <c r="F134" s="91">
        <v>232013</v>
      </c>
      <c r="G134" s="91">
        <v>5020000</v>
      </c>
      <c r="H134" s="87"/>
      <c r="I134" s="90" t="s">
        <v>25</v>
      </c>
      <c r="J134" s="88" t="str">
        <f t="shared" si="2"/>
        <v>重复</v>
      </c>
      <c r="K134" s="88" t="str">
        <f t="shared" si="2"/>
        <v>不重复</v>
      </c>
    </row>
    <row r="135" spans="1:11" ht="20.25" customHeight="1">
      <c r="A135" s="89" t="s">
        <v>5696</v>
      </c>
      <c r="B135" s="90" t="s">
        <v>5697</v>
      </c>
      <c r="C135" s="90" t="s">
        <v>3134</v>
      </c>
      <c r="D135" s="90" t="s">
        <v>5698</v>
      </c>
      <c r="E135" s="89" t="s">
        <v>45</v>
      </c>
      <c r="F135" s="91">
        <v>232014</v>
      </c>
      <c r="G135" s="91">
        <v>5020000</v>
      </c>
      <c r="H135" s="87"/>
      <c r="I135" s="90" t="s">
        <v>5502</v>
      </c>
      <c r="J135" s="88" t="str">
        <f t="shared" si="2"/>
        <v>重复</v>
      </c>
      <c r="K135" s="88" t="str">
        <f t="shared" si="2"/>
        <v>不重复</v>
      </c>
    </row>
    <row r="136" spans="1:11" ht="20.25" customHeight="1">
      <c r="A136" s="89" t="s">
        <v>5699</v>
      </c>
      <c r="B136" s="90" t="s">
        <v>5700</v>
      </c>
      <c r="C136" s="90" t="s">
        <v>5701</v>
      </c>
      <c r="D136" s="90" t="s">
        <v>5702</v>
      </c>
      <c r="E136" s="89" t="s">
        <v>45</v>
      </c>
      <c r="F136" s="91">
        <v>232015</v>
      </c>
      <c r="G136" s="91">
        <v>5020000</v>
      </c>
      <c r="H136" s="87"/>
      <c r="I136" s="90" t="s">
        <v>25</v>
      </c>
      <c r="J136" s="88" t="str">
        <f t="shared" si="2"/>
        <v>不重复</v>
      </c>
      <c r="K136" s="88" t="str">
        <f t="shared" si="2"/>
        <v>不重复</v>
      </c>
    </row>
    <row r="137" spans="1:11" ht="20.25" customHeight="1">
      <c r="A137" s="89" t="s">
        <v>157</v>
      </c>
      <c r="B137" s="90" t="s">
        <v>5703</v>
      </c>
      <c r="C137" s="90" t="s">
        <v>158</v>
      </c>
      <c r="D137" s="90" t="s">
        <v>159</v>
      </c>
      <c r="E137" s="89" t="s">
        <v>45</v>
      </c>
      <c r="F137" s="91">
        <v>232016</v>
      </c>
      <c r="G137" s="91">
        <v>5020000</v>
      </c>
      <c r="H137" s="87"/>
      <c r="I137" s="90" t="s">
        <v>10050</v>
      </c>
      <c r="J137" s="88" t="str">
        <f t="shared" si="2"/>
        <v>不重复</v>
      </c>
      <c r="K137" s="88" t="str">
        <f t="shared" si="2"/>
        <v>不重复</v>
      </c>
    </row>
    <row r="138" spans="1:11" ht="20.25" customHeight="1">
      <c r="A138" s="84" t="s">
        <v>5704</v>
      </c>
      <c r="B138" s="85" t="s">
        <v>5705</v>
      </c>
      <c r="C138" s="85" t="s">
        <v>161</v>
      </c>
      <c r="D138" s="85" t="s">
        <v>5706</v>
      </c>
      <c r="E138" s="84" t="s">
        <v>45</v>
      </c>
      <c r="F138" s="86">
        <v>232017</v>
      </c>
      <c r="G138" s="86">
        <v>5020000</v>
      </c>
      <c r="H138" s="87"/>
      <c r="I138" s="85" t="s">
        <v>25</v>
      </c>
      <c r="J138" s="88" t="str">
        <f t="shared" si="2"/>
        <v>重复</v>
      </c>
      <c r="K138" s="88" t="str">
        <f t="shared" si="2"/>
        <v>不重复</v>
      </c>
    </row>
    <row r="139" spans="1:11" ht="20.25" customHeight="1">
      <c r="A139" s="84" t="s">
        <v>160</v>
      </c>
      <c r="B139" s="85" t="s">
        <v>5707</v>
      </c>
      <c r="C139" s="85" t="s">
        <v>161</v>
      </c>
      <c r="D139" s="85" t="s">
        <v>162</v>
      </c>
      <c r="E139" s="84" t="s">
        <v>45</v>
      </c>
      <c r="F139" s="86">
        <v>232018</v>
      </c>
      <c r="G139" s="86">
        <v>5020000</v>
      </c>
      <c r="H139" s="87"/>
      <c r="I139" s="85" t="s">
        <v>5708</v>
      </c>
      <c r="J139" s="88" t="str">
        <f t="shared" si="2"/>
        <v>重复</v>
      </c>
      <c r="K139" s="88" t="str">
        <f t="shared" si="2"/>
        <v>不重复</v>
      </c>
    </row>
    <row r="140" spans="1:11" ht="20.25" customHeight="1">
      <c r="A140" s="89" t="s">
        <v>178</v>
      </c>
      <c r="B140" s="90" t="s">
        <v>179</v>
      </c>
      <c r="C140" s="90" t="s">
        <v>167</v>
      </c>
      <c r="D140" s="90" t="s">
        <v>180</v>
      </c>
      <c r="E140" s="89" t="s">
        <v>45</v>
      </c>
      <c r="F140" s="91">
        <v>232019</v>
      </c>
      <c r="G140" s="91">
        <v>5020000</v>
      </c>
      <c r="H140" s="87"/>
      <c r="I140" s="90" t="s">
        <v>25</v>
      </c>
      <c r="J140" s="88" t="str">
        <f t="shared" si="2"/>
        <v>重复</v>
      </c>
      <c r="K140" s="88" t="str">
        <f t="shared" si="2"/>
        <v>不重复</v>
      </c>
    </row>
    <row r="141" spans="1:11" ht="20.25" customHeight="1">
      <c r="A141" s="89" t="s">
        <v>163</v>
      </c>
      <c r="B141" s="90" t="s">
        <v>5709</v>
      </c>
      <c r="C141" s="90" t="s">
        <v>164</v>
      </c>
      <c r="D141" s="90" t="s">
        <v>165</v>
      </c>
      <c r="E141" s="89" t="s">
        <v>45</v>
      </c>
      <c r="F141" s="91">
        <v>232020</v>
      </c>
      <c r="G141" s="91">
        <v>5020000</v>
      </c>
      <c r="H141" s="87"/>
      <c r="I141" s="90" t="s">
        <v>5559</v>
      </c>
      <c r="J141" s="88" t="str">
        <f t="shared" si="2"/>
        <v>重复</v>
      </c>
      <c r="K141" s="88" t="str">
        <f t="shared" si="2"/>
        <v>不重复</v>
      </c>
    </row>
    <row r="142" spans="1:11" ht="20.25" customHeight="1">
      <c r="A142" s="89" t="s">
        <v>166</v>
      </c>
      <c r="B142" s="90" t="s">
        <v>5710</v>
      </c>
      <c r="C142" s="90" t="s">
        <v>167</v>
      </c>
      <c r="D142" s="90" t="s">
        <v>168</v>
      </c>
      <c r="E142" s="89" t="s">
        <v>45</v>
      </c>
      <c r="F142" s="91">
        <v>232021</v>
      </c>
      <c r="G142" s="91">
        <v>5020000</v>
      </c>
      <c r="H142" s="87"/>
      <c r="I142" s="90" t="s">
        <v>5543</v>
      </c>
      <c r="J142" s="88" t="str">
        <f t="shared" si="2"/>
        <v>重复</v>
      </c>
      <c r="K142" s="88" t="str">
        <f t="shared" si="2"/>
        <v>不重复</v>
      </c>
    </row>
    <row r="143" spans="1:11" ht="20.25" customHeight="1">
      <c r="A143" s="89" t="s">
        <v>169</v>
      </c>
      <c r="B143" s="90" t="s">
        <v>5711</v>
      </c>
      <c r="C143" s="90" t="s">
        <v>170</v>
      </c>
      <c r="D143" s="90" t="s">
        <v>171</v>
      </c>
      <c r="E143" s="89" t="s">
        <v>45</v>
      </c>
      <c r="F143" s="91">
        <v>232022</v>
      </c>
      <c r="G143" s="91">
        <v>5020000</v>
      </c>
      <c r="H143" s="87"/>
      <c r="I143" s="90" t="s">
        <v>5712</v>
      </c>
      <c r="J143" s="88" t="str">
        <f t="shared" si="2"/>
        <v>不重复</v>
      </c>
      <c r="K143" s="88" t="str">
        <f t="shared" si="2"/>
        <v>不重复</v>
      </c>
    </row>
    <row r="144" spans="1:11" ht="20.25" customHeight="1">
      <c r="A144" s="89" t="s">
        <v>172</v>
      </c>
      <c r="B144" s="90" t="s">
        <v>5713</v>
      </c>
      <c r="C144" s="90" t="s">
        <v>173</v>
      </c>
      <c r="D144" s="90" t="s">
        <v>174</v>
      </c>
      <c r="E144" s="89" t="s">
        <v>45</v>
      </c>
      <c r="F144" s="91">
        <v>232023</v>
      </c>
      <c r="G144" s="91">
        <v>5020000</v>
      </c>
      <c r="H144" s="87"/>
      <c r="I144" s="90" t="s">
        <v>5559</v>
      </c>
      <c r="J144" s="88" t="str">
        <f t="shared" si="2"/>
        <v>重复</v>
      </c>
      <c r="K144" s="88" t="str">
        <f t="shared" si="2"/>
        <v>不重复</v>
      </c>
    </row>
    <row r="145" spans="1:11" ht="20.25" customHeight="1">
      <c r="A145" s="89" t="s">
        <v>175</v>
      </c>
      <c r="B145" s="90" t="s">
        <v>5714</v>
      </c>
      <c r="C145" s="90" t="s">
        <v>176</v>
      </c>
      <c r="D145" s="90" t="s">
        <v>177</v>
      </c>
      <c r="E145" s="89" t="s">
        <v>45</v>
      </c>
      <c r="F145" s="91">
        <v>232024</v>
      </c>
      <c r="G145" s="91">
        <v>5020000</v>
      </c>
      <c r="H145" s="87"/>
      <c r="I145" s="90" t="s">
        <v>5559</v>
      </c>
      <c r="J145" s="88" t="str">
        <f t="shared" si="2"/>
        <v>重复</v>
      </c>
      <c r="K145" s="88" t="str">
        <f t="shared" si="2"/>
        <v>不重复</v>
      </c>
    </row>
    <row r="146" spans="1:11" ht="20.25" customHeight="1">
      <c r="A146" s="89" t="s">
        <v>5715</v>
      </c>
      <c r="B146" s="90" t="s">
        <v>5716</v>
      </c>
      <c r="C146" s="90" t="s">
        <v>5717</v>
      </c>
      <c r="D146" s="90" t="s">
        <v>5718</v>
      </c>
      <c r="E146" s="89" t="s">
        <v>45</v>
      </c>
      <c r="F146" s="91">
        <v>232025</v>
      </c>
      <c r="G146" s="91">
        <v>5020000</v>
      </c>
      <c r="H146" s="87"/>
      <c r="I146" s="90" t="s">
        <v>25</v>
      </c>
      <c r="J146" s="88" t="str">
        <f t="shared" si="2"/>
        <v>不重复</v>
      </c>
      <c r="K146" s="88" t="str">
        <f t="shared" si="2"/>
        <v>不重复</v>
      </c>
    </row>
    <row r="147" spans="1:11" ht="20.25" customHeight="1">
      <c r="A147" s="89" t="s">
        <v>181</v>
      </c>
      <c r="B147" s="90" t="s">
        <v>5719</v>
      </c>
      <c r="C147" s="90" t="s">
        <v>182</v>
      </c>
      <c r="D147" s="90" t="s">
        <v>183</v>
      </c>
      <c r="E147" s="89" t="s">
        <v>45</v>
      </c>
      <c r="F147" s="91">
        <v>232026</v>
      </c>
      <c r="G147" s="91">
        <v>5020000</v>
      </c>
      <c r="H147" s="87"/>
      <c r="I147" s="90" t="s">
        <v>5720</v>
      </c>
      <c r="J147" s="88" t="str">
        <f t="shared" si="2"/>
        <v>重复</v>
      </c>
      <c r="K147" s="88" t="str">
        <f t="shared" si="2"/>
        <v>不重复</v>
      </c>
    </row>
    <row r="148" spans="1:11" ht="20.25" customHeight="1">
      <c r="A148" s="89" t="s">
        <v>5721</v>
      </c>
      <c r="B148" s="90" t="s">
        <v>5722</v>
      </c>
      <c r="C148" s="90" t="s">
        <v>5723</v>
      </c>
      <c r="D148" s="90" t="s">
        <v>5724</v>
      </c>
      <c r="E148" s="89" t="s">
        <v>45</v>
      </c>
      <c r="F148" s="91">
        <v>232027</v>
      </c>
      <c r="G148" s="91">
        <v>5020000</v>
      </c>
      <c r="H148" s="87"/>
      <c r="I148" s="90" t="s">
        <v>25</v>
      </c>
      <c r="J148" s="88" t="str">
        <f t="shared" si="2"/>
        <v>不重复</v>
      </c>
      <c r="K148" s="88" t="str">
        <f t="shared" si="2"/>
        <v>不重复</v>
      </c>
    </row>
    <row r="149" spans="1:11" ht="20.25" customHeight="1">
      <c r="A149" s="89" t="s">
        <v>187</v>
      </c>
      <c r="B149" s="90" t="s">
        <v>5725</v>
      </c>
      <c r="C149" s="90" t="s">
        <v>188</v>
      </c>
      <c r="D149" s="90" t="s">
        <v>189</v>
      </c>
      <c r="E149" s="89" t="s">
        <v>45</v>
      </c>
      <c r="F149" s="91">
        <v>232028</v>
      </c>
      <c r="G149" s="91">
        <v>5020000</v>
      </c>
      <c r="H149" s="87"/>
      <c r="I149" s="90" t="s">
        <v>5726</v>
      </c>
      <c r="J149" s="88" t="str">
        <f t="shared" si="2"/>
        <v>不重复</v>
      </c>
      <c r="K149" s="88" t="str">
        <f t="shared" si="2"/>
        <v>不重复</v>
      </c>
    </row>
    <row r="150" spans="1:11" ht="20.25" customHeight="1">
      <c r="A150" s="89" t="s">
        <v>184</v>
      </c>
      <c r="B150" s="90" t="s">
        <v>5727</v>
      </c>
      <c r="C150" s="90" t="s">
        <v>185</v>
      </c>
      <c r="D150" s="90" t="s">
        <v>186</v>
      </c>
      <c r="E150" s="89" t="s">
        <v>45</v>
      </c>
      <c r="F150" s="91">
        <v>232030</v>
      </c>
      <c r="G150" s="91">
        <v>5020000</v>
      </c>
      <c r="H150" s="87"/>
      <c r="I150" s="90" t="s">
        <v>5498</v>
      </c>
      <c r="J150" s="88" t="str">
        <f t="shared" si="2"/>
        <v>不重复</v>
      </c>
      <c r="K150" s="88" t="str">
        <f t="shared" si="2"/>
        <v>不重复</v>
      </c>
    </row>
    <row r="151" spans="1:11" ht="20.25" customHeight="1">
      <c r="A151" s="89" t="s">
        <v>5728</v>
      </c>
      <c r="B151" s="90" t="s">
        <v>5729</v>
      </c>
      <c r="C151" s="90" t="s">
        <v>1208</v>
      </c>
      <c r="D151" s="90" t="s">
        <v>5730</v>
      </c>
      <c r="E151" s="89" t="s">
        <v>45</v>
      </c>
      <c r="F151" s="91">
        <v>232031</v>
      </c>
      <c r="G151" s="91">
        <v>5020000</v>
      </c>
      <c r="H151" s="87"/>
      <c r="I151" s="90" t="s">
        <v>25</v>
      </c>
      <c r="J151" s="88" t="str">
        <f t="shared" si="2"/>
        <v>重复</v>
      </c>
      <c r="K151" s="88" t="str">
        <f t="shared" si="2"/>
        <v>不重复</v>
      </c>
    </row>
    <row r="152" spans="1:11" ht="20.25" customHeight="1">
      <c r="A152" s="89" t="s">
        <v>190</v>
      </c>
      <c r="B152" s="90" t="s">
        <v>5731</v>
      </c>
      <c r="C152" s="90" t="s">
        <v>191</v>
      </c>
      <c r="D152" s="90" t="s">
        <v>192</v>
      </c>
      <c r="E152" s="89" t="s">
        <v>45</v>
      </c>
      <c r="F152" s="91">
        <v>232032</v>
      </c>
      <c r="G152" s="91">
        <v>5020000</v>
      </c>
      <c r="H152" s="87"/>
      <c r="I152" s="90" t="s">
        <v>5732</v>
      </c>
      <c r="J152" s="88" t="str">
        <f t="shared" si="2"/>
        <v>重复</v>
      </c>
      <c r="K152" s="88" t="str">
        <f t="shared" si="2"/>
        <v>不重复</v>
      </c>
    </row>
    <row r="153" spans="1:11" ht="20.25" customHeight="1">
      <c r="A153" s="89" t="s">
        <v>208</v>
      </c>
      <c r="B153" s="90" t="s">
        <v>209</v>
      </c>
      <c r="C153" s="90" t="s">
        <v>210</v>
      </c>
      <c r="D153" s="90" t="s">
        <v>211</v>
      </c>
      <c r="E153" s="89" t="s">
        <v>45</v>
      </c>
      <c r="F153" s="91">
        <v>232033</v>
      </c>
      <c r="G153" s="91">
        <v>5020000</v>
      </c>
      <c r="H153" s="87"/>
      <c r="I153" s="90" t="s">
        <v>25</v>
      </c>
      <c r="J153" s="88" t="str">
        <f t="shared" si="2"/>
        <v>重复</v>
      </c>
      <c r="K153" s="88" t="str">
        <f t="shared" si="2"/>
        <v>不重复</v>
      </c>
    </row>
    <row r="154" spans="1:11" ht="20.25" customHeight="1">
      <c r="A154" s="89" t="s">
        <v>196</v>
      </c>
      <c r="B154" s="90" t="s">
        <v>5733</v>
      </c>
      <c r="C154" s="90" t="s">
        <v>197</v>
      </c>
      <c r="D154" s="90" t="s">
        <v>198</v>
      </c>
      <c r="E154" s="89" t="s">
        <v>45</v>
      </c>
      <c r="F154" s="91">
        <v>232034</v>
      </c>
      <c r="G154" s="91">
        <v>5020000</v>
      </c>
      <c r="H154" s="87"/>
      <c r="I154" s="90" t="s">
        <v>5734</v>
      </c>
      <c r="J154" s="88" t="str">
        <f t="shared" si="2"/>
        <v>不重复</v>
      </c>
      <c r="K154" s="88" t="str">
        <f t="shared" si="2"/>
        <v>不重复</v>
      </c>
    </row>
    <row r="155" spans="1:11" ht="20.25" customHeight="1">
      <c r="A155" s="89" t="s">
        <v>193</v>
      </c>
      <c r="B155" s="90" t="s">
        <v>5735</v>
      </c>
      <c r="C155" s="90" t="s">
        <v>194</v>
      </c>
      <c r="D155" s="90" t="s">
        <v>195</v>
      </c>
      <c r="E155" s="89" t="s">
        <v>45</v>
      </c>
      <c r="F155" s="91">
        <v>232035</v>
      </c>
      <c r="G155" s="91">
        <v>5020000</v>
      </c>
      <c r="H155" s="87"/>
      <c r="I155" s="90" t="s">
        <v>5736</v>
      </c>
      <c r="J155" s="88" t="str">
        <f t="shared" si="2"/>
        <v>不重复</v>
      </c>
      <c r="K155" s="88" t="str">
        <f t="shared" si="2"/>
        <v>不重复</v>
      </c>
    </row>
    <row r="156" spans="1:11" ht="20.25" customHeight="1">
      <c r="A156" s="89" t="s">
        <v>5737</v>
      </c>
      <c r="B156" s="90" t="s">
        <v>5738</v>
      </c>
      <c r="C156" s="90" t="s">
        <v>2292</v>
      </c>
      <c r="D156" s="90" t="s">
        <v>5739</v>
      </c>
      <c r="E156" s="89" t="s">
        <v>45</v>
      </c>
      <c r="F156" s="91">
        <v>232036</v>
      </c>
      <c r="G156" s="91">
        <v>5020000</v>
      </c>
      <c r="H156" s="87"/>
      <c r="I156" s="90" t="s">
        <v>5553</v>
      </c>
      <c r="J156" s="88" t="str">
        <f t="shared" si="2"/>
        <v>重复</v>
      </c>
      <c r="K156" s="88" t="str">
        <f t="shared" si="2"/>
        <v>不重复</v>
      </c>
    </row>
    <row r="157" spans="1:11" ht="20.25" customHeight="1">
      <c r="A157" s="89" t="s">
        <v>5740</v>
      </c>
      <c r="B157" s="90" t="s">
        <v>5741</v>
      </c>
      <c r="C157" s="90" t="s">
        <v>5742</v>
      </c>
      <c r="D157" s="90" t="s">
        <v>5743</v>
      </c>
      <c r="E157" s="89" t="s">
        <v>45</v>
      </c>
      <c r="F157" s="91">
        <v>232037</v>
      </c>
      <c r="G157" s="91">
        <v>5020000</v>
      </c>
      <c r="H157" s="87"/>
      <c r="I157" s="90" t="s">
        <v>5553</v>
      </c>
      <c r="J157" s="88" t="str">
        <f t="shared" si="2"/>
        <v>不重复</v>
      </c>
      <c r="K157" s="88" t="str">
        <f t="shared" si="2"/>
        <v>不重复</v>
      </c>
    </row>
    <row r="158" spans="1:11" ht="20.25" customHeight="1">
      <c r="A158" s="89" t="s">
        <v>199</v>
      </c>
      <c r="B158" s="90" t="s">
        <v>5744</v>
      </c>
      <c r="C158" s="90" t="s">
        <v>200</v>
      </c>
      <c r="D158" s="90" t="s">
        <v>5745</v>
      </c>
      <c r="E158" s="89" t="s">
        <v>45</v>
      </c>
      <c r="F158" s="91">
        <v>232038</v>
      </c>
      <c r="G158" s="91">
        <v>5020000</v>
      </c>
      <c r="H158" s="87"/>
      <c r="I158" s="90" t="s">
        <v>5746</v>
      </c>
      <c r="J158" s="88" t="str">
        <f t="shared" si="2"/>
        <v>不重复</v>
      </c>
      <c r="K158" s="88" t="str">
        <f t="shared" si="2"/>
        <v>不重复</v>
      </c>
    </row>
    <row r="159" spans="1:11" ht="20.25" customHeight="1">
      <c r="A159" s="89" t="s">
        <v>202</v>
      </c>
      <c r="B159" s="90" t="s">
        <v>5747</v>
      </c>
      <c r="C159" s="90" t="s">
        <v>203</v>
      </c>
      <c r="D159" s="90" t="s">
        <v>204</v>
      </c>
      <c r="E159" s="89" t="s">
        <v>45</v>
      </c>
      <c r="F159" s="91">
        <v>232039</v>
      </c>
      <c r="G159" s="91">
        <v>5020000</v>
      </c>
      <c r="H159" s="87"/>
      <c r="I159" s="90" t="s">
        <v>5498</v>
      </c>
      <c r="J159" s="88" t="str">
        <f t="shared" si="2"/>
        <v>不重复</v>
      </c>
      <c r="K159" s="88" t="str">
        <f t="shared" si="2"/>
        <v>不重复</v>
      </c>
    </row>
    <row r="160" spans="1:11" ht="20.25" customHeight="1">
      <c r="A160" s="89" t="s">
        <v>205</v>
      </c>
      <c r="B160" s="90" t="s">
        <v>5748</v>
      </c>
      <c r="C160" s="90" t="s">
        <v>206</v>
      </c>
      <c r="D160" s="90" t="s">
        <v>207</v>
      </c>
      <c r="E160" s="89" t="s">
        <v>45</v>
      </c>
      <c r="F160" s="91">
        <v>232040</v>
      </c>
      <c r="G160" s="91">
        <v>5020000</v>
      </c>
      <c r="H160" s="87"/>
      <c r="I160" s="90" t="s">
        <v>5749</v>
      </c>
      <c r="J160" s="88" t="str">
        <f t="shared" si="2"/>
        <v>重复</v>
      </c>
      <c r="K160" s="88" t="str">
        <f t="shared" si="2"/>
        <v>不重复</v>
      </c>
    </row>
    <row r="161" spans="1:11" ht="20.25" customHeight="1">
      <c r="A161" s="89" t="s">
        <v>221</v>
      </c>
      <c r="B161" s="90" t="s">
        <v>222</v>
      </c>
      <c r="C161" s="90" t="s">
        <v>5750</v>
      </c>
      <c r="D161" s="90" t="s">
        <v>5751</v>
      </c>
      <c r="E161" s="89" t="s">
        <v>45</v>
      </c>
      <c r="F161" s="91">
        <v>232041</v>
      </c>
      <c r="G161" s="91">
        <v>5020000</v>
      </c>
      <c r="H161" s="87"/>
      <c r="I161" s="90" t="s">
        <v>25</v>
      </c>
      <c r="J161" s="88" t="str">
        <f t="shared" si="2"/>
        <v>重复</v>
      </c>
      <c r="K161" s="88" t="str">
        <f t="shared" si="2"/>
        <v>不重复</v>
      </c>
    </row>
    <row r="162" spans="1:11" ht="20.25" customHeight="1">
      <c r="A162" s="89" t="s">
        <v>212</v>
      </c>
      <c r="B162" s="90" t="s">
        <v>5752</v>
      </c>
      <c r="C162" s="90" t="s">
        <v>213</v>
      </c>
      <c r="D162" s="90" t="s">
        <v>214</v>
      </c>
      <c r="E162" s="89" t="s">
        <v>45</v>
      </c>
      <c r="F162" s="91">
        <v>232042</v>
      </c>
      <c r="G162" s="91">
        <v>5020000</v>
      </c>
      <c r="H162" s="87"/>
      <c r="I162" s="90" t="s">
        <v>5753</v>
      </c>
      <c r="J162" s="88" t="str">
        <f t="shared" si="2"/>
        <v>不重复</v>
      </c>
      <c r="K162" s="88" t="str">
        <f t="shared" si="2"/>
        <v>不重复</v>
      </c>
    </row>
    <row r="163" spans="1:11" ht="20.25" customHeight="1">
      <c r="A163" s="89" t="s">
        <v>215</v>
      </c>
      <c r="B163" s="90" t="s">
        <v>5754</v>
      </c>
      <c r="C163" s="90" t="s">
        <v>216</v>
      </c>
      <c r="D163" s="90" t="s">
        <v>217</v>
      </c>
      <c r="E163" s="89" t="s">
        <v>45</v>
      </c>
      <c r="F163" s="91">
        <v>232043</v>
      </c>
      <c r="G163" s="91">
        <v>5020000</v>
      </c>
      <c r="H163" s="87"/>
      <c r="I163" s="90" t="s">
        <v>5498</v>
      </c>
      <c r="J163" s="88" t="str">
        <f t="shared" si="2"/>
        <v>不重复</v>
      </c>
      <c r="K163" s="88" t="str">
        <f t="shared" si="2"/>
        <v>不重复</v>
      </c>
    </row>
    <row r="164" spans="1:11" ht="20.25" customHeight="1">
      <c r="A164" s="89" t="s">
        <v>5755</v>
      </c>
      <c r="B164" s="90" t="s">
        <v>5756</v>
      </c>
      <c r="C164" s="90" t="s">
        <v>1017</v>
      </c>
      <c r="D164" s="90" t="s">
        <v>5757</v>
      </c>
      <c r="E164" s="89" t="s">
        <v>45</v>
      </c>
      <c r="F164" s="91">
        <v>232044</v>
      </c>
      <c r="G164" s="91">
        <v>5020000</v>
      </c>
      <c r="H164" s="87"/>
      <c r="I164" s="90" t="s">
        <v>5498</v>
      </c>
      <c r="J164" s="88" t="str">
        <f t="shared" si="2"/>
        <v>重复</v>
      </c>
      <c r="K164" s="88" t="str">
        <f t="shared" si="2"/>
        <v>不重复</v>
      </c>
    </row>
    <row r="165" spans="1:11" ht="20.25" customHeight="1">
      <c r="A165" s="89" t="s">
        <v>218</v>
      </c>
      <c r="B165" s="90" t="s">
        <v>5758</v>
      </c>
      <c r="C165" s="90" t="s">
        <v>219</v>
      </c>
      <c r="D165" s="90" t="s">
        <v>220</v>
      </c>
      <c r="E165" s="89" t="s">
        <v>45</v>
      </c>
      <c r="F165" s="91">
        <v>232045</v>
      </c>
      <c r="G165" s="91">
        <v>5020000</v>
      </c>
      <c r="H165" s="87"/>
      <c r="I165" s="90" t="s">
        <v>5759</v>
      </c>
      <c r="J165" s="88" t="str">
        <f t="shared" si="2"/>
        <v>重复</v>
      </c>
      <c r="K165" s="88" t="str">
        <f t="shared" si="2"/>
        <v>不重复</v>
      </c>
    </row>
    <row r="166" spans="1:11" ht="20.25" customHeight="1">
      <c r="A166" s="84" t="s">
        <v>5760</v>
      </c>
      <c r="B166" s="85" t="s">
        <v>5761</v>
      </c>
      <c r="C166" s="85" t="s">
        <v>1061</v>
      </c>
      <c r="D166" s="85" t="s">
        <v>5762</v>
      </c>
      <c r="E166" s="84" t="s">
        <v>45</v>
      </c>
      <c r="F166" s="86">
        <v>232046</v>
      </c>
      <c r="G166" s="86">
        <v>5020000</v>
      </c>
      <c r="H166" s="87"/>
      <c r="I166" s="85" t="s">
        <v>25</v>
      </c>
      <c r="J166" s="88" t="str">
        <f t="shared" si="2"/>
        <v>重复</v>
      </c>
      <c r="K166" s="88" t="str">
        <f t="shared" si="2"/>
        <v>不重复</v>
      </c>
    </row>
    <row r="167" spans="1:11" ht="20.25" customHeight="1">
      <c r="A167" s="84" t="s">
        <v>223</v>
      </c>
      <c r="B167" s="85" t="s">
        <v>5763</v>
      </c>
      <c r="C167" s="85" t="s">
        <v>116</v>
      </c>
      <c r="D167" s="85" t="s">
        <v>224</v>
      </c>
      <c r="E167" s="84" t="s">
        <v>45</v>
      </c>
      <c r="F167" s="86">
        <v>232047</v>
      </c>
      <c r="G167" s="86">
        <v>5020000</v>
      </c>
      <c r="H167" s="87"/>
      <c r="I167" s="85" t="s">
        <v>5764</v>
      </c>
      <c r="J167" s="88" t="str">
        <f t="shared" si="2"/>
        <v>重复</v>
      </c>
      <c r="K167" s="88" t="str">
        <f t="shared" si="2"/>
        <v>不重复</v>
      </c>
    </row>
    <row r="168" spans="1:11" ht="20.25" customHeight="1">
      <c r="A168" s="84" t="s">
        <v>225</v>
      </c>
      <c r="B168" s="85" t="s">
        <v>5765</v>
      </c>
      <c r="C168" s="85" t="s">
        <v>226</v>
      </c>
      <c r="D168" s="85" t="s">
        <v>227</v>
      </c>
      <c r="E168" s="84" t="s">
        <v>45</v>
      </c>
      <c r="F168" s="86">
        <v>232048</v>
      </c>
      <c r="G168" s="86">
        <v>5020000</v>
      </c>
      <c r="H168" s="87"/>
      <c r="I168" s="85" t="s">
        <v>5766</v>
      </c>
      <c r="J168" s="88" t="str">
        <f t="shared" si="2"/>
        <v>不重复</v>
      </c>
      <c r="K168" s="88" t="str">
        <f t="shared" si="2"/>
        <v>不重复</v>
      </c>
    </row>
    <row r="169" spans="1:11" ht="20.25" customHeight="1">
      <c r="A169" s="84" t="s">
        <v>5767</v>
      </c>
      <c r="B169" s="85" t="s">
        <v>5768</v>
      </c>
      <c r="C169" s="85" t="s">
        <v>232</v>
      </c>
      <c r="D169" s="85" t="s">
        <v>5769</v>
      </c>
      <c r="E169" s="84" t="s">
        <v>45</v>
      </c>
      <c r="F169" s="86">
        <v>232049</v>
      </c>
      <c r="G169" s="86">
        <v>5020000</v>
      </c>
      <c r="H169" s="87"/>
      <c r="I169" s="85" t="s">
        <v>25</v>
      </c>
      <c r="J169" s="88" t="str">
        <f t="shared" si="2"/>
        <v>重复</v>
      </c>
      <c r="K169" s="88" t="str">
        <f t="shared" si="2"/>
        <v>不重复</v>
      </c>
    </row>
    <row r="170" spans="1:11" ht="20.25" customHeight="1">
      <c r="A170" s="84" t="s">
        <v>231</v>
      </c>
      <c r="B170" s="85" t="s">
        <v>5770</v>
      </c>
      <c r="C170" s="85" t="s">
        <v>232</v>
      </c>
      <c r="D170" s="85" t="s">
        <v>233</v>
      </c>
      <c r="E170" s="84" t="s">
        <v>45</v>
      </c>
      <c r="F170" s="86">
        <v>232050</v>
      </c>
      <c r="G170" s="86">
        <v>5020000</v>
      </c>
      <c r="H170" s="87"/>
      <c r="I170" s="85" t="s">
        <v>5771</v>
      </c>
      <c r="J170" s="88" t="str">
        <f t="shared" si="2"/>
        <v>重复</v>
      </c>
      <c r="K170" s="88" t="str">
        <f t="shared" si="2"/>
        <v>不重复</v>
      </c>
    </row>
    <row r="171" spans="1:11" ht="20.25" customHeight="1">
      <c r="A171" s="84" t="s">
        <v>5772</v>
      </c>
      <c r="B171" s="85" t="s">
        <v>5773</v>
      </c>
      <c r="C171" s="85" t="s">
        <v>5774</v>
      </c>
      <c r="D171" s="85" t="s">
        <v>5775</v>
      </c>
      <c r="E171" s="84" t="s">
        <v>45</v>
      </c>
      <c r="F171" s="86">
        <v>232051</v>
      </c>
      <c r="G171" s="86">
        <v>5020000</v>
      </c>
      <c r="H171" s="87"/>
      <c r="I171" s="85" t="s">
        <v>25</v>
      </c>
      <c r="J171" s="88" t="str">
        <f t="shared" si="2"/>
        <v>不重复</v>
      </c>
      <c r="K171" s="88" t="str">
        <f t="shared" si="2"/>
        <v>不重复</v>
      </c>
    </row>
    <row r="172" spans="1:11" ht="20.25" customHeight="1">
      <c r="A172" s="84" t="s">
        <v>234</v>
      </c>
      <c r="B172" s="85" t="s">
        <v>5776</v>
      </c>
      <c r="C172" s="85" t="s">
        <v>235</v>
      </c>
      <c r="D172" s="85" t="s">
        <v>236</v>
      </c>
      <c r="E172" s="84" t="s">
        <v>45</v>
      </c>
      <c r="F172" s="86">
        <v>232052</v>
      </c>
      <c r="G172" s="86">
        <v>5020000</v>
      </c>
      <c r="H172" s="87"/>
      <c r="I172" s="85" t="s">
        <v>5777</v>
      </c>
      <c r="J172" s="88" t="str">
        <f t="shared" si="2"/>
        <v>重复</v>
      </c>
      <c r="K172" s="88" t="str">
        <f t="shared" si="2"/>
        <v>不重复</v>
      </c>
    </row>
    <row r="173" spans="1:11" ht="20.25" customHeight="1">
      <c r="A173" s="84" t="s">
        <v>5778</v>
      </c>
      <c r="B173" s="85" t="s">
        <v>5779</v>
      </c>
      <c r="C173" s="85" t="s">
        <v>238</v>
      </c>
      <c r="D173" s="85" t="s">
        <v>5780</v>
      </c>
      <c r="E173" s="84" t="s">
        <v>45</v>
      </c>
      <c r="F173" s="86">
        <v>232053</v>
      </c>
      <c r="G173" s="86">
        <v>5020000</v>
      </c>
      <c r="H173" s="87"/>
      <c r="I173" s="85" t="s">
        <v>25</v>
      </c>
      <c r="J173" s="88" t="str">
        <f t="shared" si="2"/>
        <v>重复</v>
      </c>
      <c r="K173" s="88" t="str">
        <f t="shared" si="2"/>
        <v>不重复</v>
      </c>
    </row>
    <row r="174" spans="1:11" ht="20.25" customHeight="1">
      <c r="A174" s="84" t="s">
        <v>237</v>
      </c>
      <c r="B174" s="85" t="s">
        <v>5781</v>
      </c>
      <c r="C174" s="85" t="s">
        <v>238</v>
      </c>
      <c r="D174" s="85" t="s">
        <v>239</v>
      </c>
      <c r="E174" s="84" t="s">
        <v>45</v>
      </c>
      <c r="F174" s="86">
        <v>232054</v>
      </c>
      <c r="G174" s="86">
        <v>5020000</v>
      </c>
      <c r="H174" s="87"/>
      <c r="I174" s="85" t="s">
        <v>5782</v>
      </c>
      <c r="J174" s="88" t="str">
        <f t="shared" si="2"/>
        <v>重复</v>
      </c>
      <c r="K174" s="88" t="str">
        <f t="shared" si="2"/>
        <v>不重复</v>
      </c>
    </row>
    <row r="175" spans="1:11" ht="20.25" customHeight="1">
      <c r="A175" s="84" t="s">
        <v>775</v>
      </c>
      <c r="B175" s="85" t="s">
        <v>776</v>
      </c>
      <c r="C175" s="85" t="s">
        <v>843</v>
      </c>
      <c r="D175" s="85" t="s">
        <v>5783</v>
      </c>
      <c r="E175" s="84" t="s">
        <v>45</v>
      </c>
      <c r="F175" s="86">
        <v>232055</v>
      </c>
      <c r="G175" s="86">
        <v>5020000</v>
      </c>
      <c r="H175" s="87"/>
      <c r="I175" s="85" t="s">
        <v>25</v>
      </c>
      <c r="J175" s="88" t="str">
        <f t="shared" si="2"/>
        <v>重复</v>
      </c>
      <c r="K175" s="88" t="str">
        <f t="shared" si="2"/>
        <v>不重复</v>
      </c>
    </row>
    <row r="176" spans="1:11" ht="20.25" customHeight="1">
      <c r="A176" s="84" t="s">
        <v>764</v>
      </c>
      <c r="B176" s="85" t="s">
        <v>5784</v>
      </c>
      <c r="C176" s="85" t="s">
        <v>60</v>
      </c>
      <c r="D176" s="85" t="s">
        <v>765</v>
      </c>
      <c r="E176" s="84" t="s">
        <v>45</v>
      </c>
      <c r="F176" s="86">
        <v>232056</v>
      </c>
      <c r="G176" s="86">
        <v>5020000</v>
      </c>
      <c r="H176" s="87"/>
      <c r="I176" s="85" t="s">
        <v>5785</v>
      </c>
      <c r="J176" s="88" t="str">
        <f t="shared" si="2"/>
        <v>重复</v>
      </c>
      <c r="K176" s="88" t="str">
        <f t="shared" si="2"/>
        <v>不重复</v>
      </c>
    </row>
    <row r="177" spans="1:11" ht="20.25" customHeight="1">
      <c r="A177" s="84" t="s">
        <v>766</v>
      </c>
      <c r="B177" s="85" t="s">
        <v>5786</v>
      </c>
      <c r="C177" s="85" t="s">
        <v>767</v>
      </c>
      <c r="D177" s="85" t="s">
        <v>768</v>
      </c>
      <c r="E177" s="84" t="s">
        <v>45</v>
      </c>
      <c r="F177" s="86">
        <v>232057</v>
      </c>
      <c r="G177" s="86">
        <v>5020000</v>
      </c>
      <c r="H177" s="87"/>
      <c r="I177" s="85" t="s">
        <v>5787</v>
      </c>
      <c r="J177" s="88" t="str">
        <f t="shared" si="2"/>
        <v>不重复</v>
      </c>
      <c r="K177" s="88" t="str">
        <f t="shared" si="2"/>
        <v>不重复</v>
      </c>
    </row>
    <row r="178" spans="1:11" ht="20.25" customHeight="1">
      <c r="A178" s="84" t="s">
        <v>769</v>
      </c>
      <c r="B178" s="85" t="s">
        <v>5788</v>
      </c>
      <c r="C178" s="85" t="s">
        <v>770</v>
      </c>
      <c r="D178" s="85" t="s">
        <v>771</v>
      </c>
      <c r="E178" s="84" t="s">
        <v>45</v>
      </c>
      <c r="F178" s="86">
        <v>232058</v>
      </c>
      <c r="G178" s="86">
        <v>5020000</v>
      </c>
      <c r="H178" s="87"/>
      <c r="I178" s="85" t="s">
        <v>5789</v>
      </c>
      <c r="J178" s="88" t="str">
        <f t="shared" si="2"/>
        <v>不重复</v>
      </c>
      <c r="K178" s="88" t="str">
        <f t="shared" si="2"/>
        <v>不重复</v>
      </c>
    </row>
    <row r="179" spans="1:11" ht="20.25" customHeight="1">
      <c r="A179" s="84" t="s">
        <v>772</v>
      </c>
      <c r="B179" s="85" t="s">
        <v>5790</v>
      </c>
      <c r="C179" s="85" t="s">
        <v>773</v>
      </c>
      <c r="D179" s="85" t="s">
        <v>774</v>
      </c>
      <c r="E179" s="84" t="s">
        <v>45</v>
      </c>
      <c r="F179" s="86">
        <v>232059</v>
      </c>
      <c r="G179" s="86">
        <v>5020000</v>
      </c>
      <c r="H179" s="87"/>
      <c r="I179" s="85" t="s">
        <v>5791</v>
      </c>
      <c r="J179" s="88" t="str">
        <f t="shared" si="2"/>
        <v>不重复</v>
      </c>
      <c r="K179" s="88" t="str">
        <f t="shared" si="2"/>
        <v>不重复</v>
      </c>
    </row>
    <row r="180" spans="1:11" ht="20.25" customHeight="1">
      <c r="A180" s="89" t="s">
        <v>5792</v>
      </c>
      <c r="B180" s="90" t="s">
        <v>5793</v>
      </c>
      <c r="C180" s="90" t="s">
        <v>5794</v>
      </c>
      <c r="D180" s="90" t="s">
        <v>5795</v>
      </c>
      <c r="E180" s="89" t="s">
        <v>45</v>
      </c>
      <c r="F180" s="91">
        <v>232060</v>
      </c>
      <c r="G180" s="91">
        <v>5020000</v>
      </c>
      <c r="H180" s="87"/>
      <c r="I180" s="90" t="s">
        <v>25</v>
      </c>
      <c r="J180" s="88" t="str">
        <f t="shared" si="2"/>
        <v>不重复</v>
      </c>
      <c r="K180" s="88" t="str">
        <f t="shared" si="2"/>
        <v>不重复</v>
      </c>
    </row>
    <row r="181" spans="1:11" ht="20.25" customHeight="1">
      <c r="A181" s="89" t="s">
        <v>247</v>
      </c>
      <c r="B181" s="90" t="s">
        <v>5796</v>
      </c>
      <c r="C181" s="90" t="s">
        <v>248</v>
      </c>
      <c r="D181" s="90" t="s">
        <v>249</v>
      </c>
      <c r="E181" s="89" t="s">
        <v>45</v>
      </c>
      <c r="F181" s="91">
        <v>232061</v>
      </c>
      <c r="G181" s="91">
        <v>5020000</v>
      </c>
      <c r="H181" s="87"/>
      <c r="I181" s="90" t="s">
        <v>5439</v>
      </c>
      <c r="J181" s="88" t="str">
        <f t="shared" si="2"/>
        <v>重复</v>
      </c>
      <c r="K181" s="88" t="str">
        <f t="shared" si="2"/>
        <v>不重复</v>
      </c>
    </row>
    <row r="182" spans="1:11" ht="20.25" customHeight="1">
      <c r="A182" s="89" t="s">
        <v>5797</v>
      </c>
      <c r="B182" s="90" t="s">
        <v>5798</v>
      </c>
      <c r="C182" s="90" t="s">
        <v>5799</v>
      </c>
      <c r="D182" s="90" t="s">
        <v>5800</v>
      </c>
      <c r="E182" s="89" t="s">
        <v>45</v>
      </c>
      <c r="F182" s="91">
        <v>232062</v>
      </c>
      <c r="G182" s="91">
        <v>5020000</v>
      </c>
      <c r="H182" s="87"/>
      <c r="I182" s="90" t="s">
        <v>5553</v>
      </c>
      <c r="J182" s="88" t="str">
        <f t="shared" si="2"/>
        <v>不重复</v>
      </c>
      <c r="K182" s="88" t="str">
        <f t="shared" si="2"/>
        <v>不重复</v>
      </c>
    </row>
    <row r="183" spans="1:11" ht="20.25" customHeight="1">
      <c r="A183" s="89" t="s">
        <v>5801</v>
      </c>
      <c r="B183" s="90" t="s">
        <v>5802</v>
      </c>
      <c r="C183" s="90" t="s">
        <v>5803</v>
      </c>
      <c r="D183" s="90" t="s">
        <v>5804</v>
      </c>
      <c r="E183" s="89" t="s">
        <v>45</v>
      </c>
      <c r="F183" s="91">
        <v>232063</v>
      </c>
      <c r="G183" s="91">
        <v>5020000</v>
      </c>
      <c r="H183" s="87"/>
      <c r="I183" s="90" t="s">
        <v>25</v>
      </c>
      <c r="J183" s="88" t="str">
        <f t="shared" si="2"/>
        <v>不重复</v>
      </c>
      <c r="K183" s="88" t="str">
        <f t="shared" si="2"/>
        <v>不重复</v>
      </c>
    </row>
    <row r="184" spans="1:11" ht="20.25" customHeight="1">
      <c r="A184" s="89" t="s">
        <v>5805</v>
      </c>
      <c r="B184" s="90" t="s">
        <v>5806</v>
      </c>
      <c r="C184" s="90" t="s">
        <v>5807</v>
      </c>
      <c r="D184" s="90" t="s">
        <v>5808</v>
      </c>
      <c r="E184" s="89" t="s">
        <v>45</v>
      </c>
      <c r="F184" s="91">
        <v>232064</v>
      </c>
      <c r="G184" s="91">
        <v>5020000</v>
      </c>
      <c r="H184" s="87"/>
      <c r="I184" s="90" t="s">
        <v>5553</v>
      </c>
      <c r="J184" s="88" t="str">
        <f t="shared" si="2"/>
        <v>不重复</v>
      </c>
      <c r="K184" s="88" t="str">
        <f t="shared" si="2"/>
        <v>不重复</v>
      </c>
    </row>
    <row r="185" spans="1:11" ht="20.25" customHeight="1">
      <c r="A185" s="89" t="s">
        <v>250</v>
      </c>
      <c r="B185" s="90" t="s">
        <v>5809</v>
      </c>
      <c r="C185" s="90" t="s">
        <v>251</v>
      </c>
      <c r="D185" s="90" t="s">
        <v>252</v>
      </c>
      <c r="E185" s="89" t="s">
        <v>45</v>
      </c>
      <c r="F185" s="91">
        <v>232065</v>
      </c>
      <c r="G185" s="91">
        <v>5020000</v>
      </c>
      <c r="H185" s="87"/>
      <c r="I185" s="90" t="s">
        <v>5753</v>
      </c>
      <c r="J185" s="88" t="str">
        <f t="shared" si="2"/>
        <v>不重复</v>
      </c>
      <c r="K185" s="88" t="str">
        <f t="shared" si="2"/>
        <v>不重复</v>
      </c>
    </row>
    <row r="186" spans="1:11" ht="20.25" customHeight="1">
      <c r="A186" s="89" t="s">
        <v>5810</v>
      </c>
      <c r="B186" s="90" t="s">
        <v>5811</v>
      </c>
      <c r="C186" s="90" t="s">
        <v>5812</v>
      </c>
      <c r="D186" s="90" t="s">
        <v>5813</v>
      </c>
      <c r="E186" s="89" t="s">
        <v>45</v>
      </c>
      <c r="F186" s="91">
        <v>232066</v>
      </c>
      <c r="G186" s="91">
        <v>5020000</v>
      </c>
      <c r="H186" s="87"/>
      <c r="I186" s="90" t="s">
        <v>25</v>
      </c>
      <c r="J186" s="88" t="str">
        <f t="shared" si="2"/>
        <v>不重复</v>
      </c>
      <c r="K186" s="88" t="str">
        <f t="shared" si="2"/>
        <v>不重复</v>
      </c>
    </row>
    <row r="187" spans="1:11" ht="20.25" customHeight="1">
      <c r="A187" s="89" t="s">
        <v>244</v>
      </c>
      <c r="B187" s="90" t="s">
        <v>5814</v>
      </c>
      <c r="C187" s="90" t="s">
        <v>245</v>
      </c>
      <c r="D187" s="90" t="s">
        <v>246</v>
      </c>
      <c r="E187" s="89" t="s">
        <v>45</v>
      </c>
      <c r="F187" s="91">
        <v>232067</v>
      </c>
      <c r="G187" s="91">
        <v>5020000</v>
      </c>
      <c r="H187" s="87"/>
      <c r="I187" s="90" t="s">
        <v>5610</v>
      </c>
      <c r="J187" s="88" t="str">
        <f t="shared" si="2"/>
        <v>不重复</v>
      </c>
      <c r="K187" s="88" t="str">
        <f t="shared" si="2"/>
        <v>不重复</v>
      </c>
    </row>
    <row r="188" spans="1:11" ht="20.25" customHeight="1">
      <c r="A188" s="84" t="s">
        <v>5815</v>
      </c>
      <c r="B188" s="85" t="s">
        <v>5816</v>
      </c>
      <c r="C188" s="85" t="s">
        <v>242</v>
      </c>
      <c r="D188" s="85" t="s">
        <v>5817</v>
      </c>
      <c r="E188" s="84" t="s">
        <v>45</v>
      </c>
      <c r="F188" s="86">
        <v>232068</v>
      </c>
      <c r="G188" s="86">
        <v>5020000</v>
      </c>
      <c r="H188" s="87"/>
      <c r="I188" s="85" t="s">
        <v>25</v>
      </c>
      <c r="J188" s="88" t="str">
        <f t="shared" si="2"/>
        <v>重复</v>
      </c>
      <c r="K188" s="88" t="str">
        <f t="shared" si="2"/>
        <v>不重复</v>
      </c>
    </row>
    <row r="189" spans="1:11" ht="20.25" customHeight="1">
      <c r="A189" s="84" t="s">
        <v>240</v>
      </c>
      <c r="B189" s="85" t="s">
        <v>241</v>
      </c>
      <c r="C189" s="85" t="s">
        <v>242</v>
      </c>
      <c r="D189" s="85" t="s">
        <v>5818</v>
      </c>
      <c r="E189" s="84" t="s">
        <v>45</v>
      </c>
      <c r="F189" s="86">
        <v>232069</v>
      </c>
      <c r="G189" s="86">
        <v>5020000</v>
      </c>
      <c r="H189" s="87"/>
      <c r="I189" s="85" t="s">
        <v>5819</v>
      </c>
      <c r="J189" s="88" t="str">
        <f t="shared" si="2"/>
        <v>重复</v>
      </c>
      <c r="K189" s="88" t="str">
        <f t="shared" si="2"/>
        <v>不重复</v>
      </c>
    </row>
    <row r="190" spans="1:11" ht="20.25" customHeight="1">
      <c r="A190" s="89" t="s">
        <v>5820</v>
      </c>
      <c r="B190" s="90" t="s">
        <v>5821</v>
      </c>
      <c r="C190" s="90" t="s">
        <v>5822</v>
      </c>
      <c r="D190" s="90" t="s">
        <v>201</v>
      </c>
      <c r="E190" s="89" t="s">
        <v>45</v>
      </c>
      <c r="F190" s="91">
        <v>232070</v>
      </c>
      <c r="G190" s="91">
        <v>5020000</v>
      </c>
      <c r="H190" s="87"/>
      <c r="I190" s="90" t="s">
        <v>25</v>
      </c>
      <c r="J190" s="88" t="str">
        <f t="shared" si="2"/>
        <v>重复</v>
      </c>
      <c r="K190" s="88" t="str">
        <f t="shared" si="2"/>
        <v>不重复</v>
      </c>
    </row>
    <row r="191" spans="1:11" ht="20.25" customHeight="1">
      <c r="A191" s="89" t="s">
        <v>5823</v>
      </c>
      <c r="B191" s="90" t="s">
        <v>5824</v>
      </c>
      <c r="C191" s="90" t="s">
        <v>5825</v>
      </c>
      <c r="D191" s="90" t="s">
        <v>5826</v>
      </c>
      <c r="E191" s="89" t="s">
        <v>45</v>
      </c>
      <c r="F191" s="91">
        <v>232071</v>
      </c>
      <c r="G191" s="91">
        <v>5020000</v>
      </c>
      <c r="H191" s="87"/>
      <c r="I191" s="90" t="s">
        <v>5624</v>
      </c>
      <c r="J191" s="88" t="str">
        <f t="shared" si="2"/>
        <v>不重复</v>
      </c>
      <c r="K191" s="88" t="str">
        <f t="shared" si="2"/>
        <v>不重复</v>
      </c>
    </row>
    <row r="192" spans="1:11" ht="20.25" customHeight="1">
      <c r="A192" s="84" t="s">
        <v>5827</v>
      </c>
      <c r="B192" s="85" t="s">
        <v>5828</v>
      </c>
      <c r="C192" s="85" t="s">
        <v>5829</v>
      </c>
      <c r="D192" s="85" t="s">
        <v>5830</v>
      </c>
      <c r="E192" s="84" t="s">
        <v>45</v>
      </c>
      <c r="F192" s="86">
        <v>232072</v>
      </c>
      <c r="G192" s="86">
        <v>5020000</v>
      </c>
      <c r="H192" s="87"/>
      <c r="I192" s="85" t="s">
        <v>25</v>
      </c>
      <c r="J192" s="88" t="str">
        <f t="shared" si="2"/>
        <v>不重复</v>
      </c>
      <c r="K192" s="88" t="str">
        <f t="shared" si="2"/>
        <v>不重复</v>
      </c>
    </row>
    <row r="193" spans="1:11" ht="20.25" customHeight="1">
      <c r="A193" s="89" t="s">
        <v>5831</v>
      </c>
      <c r="B193" s="90" t="s">
        <v>5832</v>
      </c>
      <c r="C193" s="90" t="s">
        <v>1371</v>
      </c>
      <c r="D193" s="90" t="s">
        <v>5833</v>
      </c>
      <c r="E193" s="89" t="s">
        <v>45</v>
      </c>
      <c r="F193" s="91">
        <v>232073</v>
      </c>
      <c r="G193" s="91">
        <v>5020000</v>
      </c>
      <c r="H193" s="87"/>
      <c r="I193" s="90" t="s">
        <v>25</v>
      </c>
      <c r="J193" s="88" t="str">
        <f t="shared" si="2"/>
        <v>重复</v>
      </c>
      <c r="K193" s="88" t="str">
        <f t="shared" si="2"/>
        <v>不重复</v>
      </c>
    </row>
    <row r="194" spans="1:11" ht="20.25" customHeight="1">
      <c r="A194" s="84" t="s">
        <v>5834</v>
      </c>
      <c r="B194" s="85" t="s">
        <v>5835</v>
      </c>
      <c r="C194" s="85" t="s">
        <v>281</v>
      </c>
      <c r="D194" s="85" t="s">
        <v>5836</v>
      </c>
      <c r="E194" s="84" t="s">
        <v>45</v>
      </c>
      <c r="F194" s="86">
        <v>234000</v>
      </c>
      <c r="G194" s="86">
        <v>5020000</v>
      </c>
      <c r="H194" s="87"/>
      <c r="I194" s="85" t="s">
        <v>25</v>
      </c>
      <c r="J194" s="88" t="str">
        <f t="shared" si="2"/>
        <v>重复</v>
      </c>
      <c r="K194" s="88" t="str">
        <f t="shared" si="2"/>
        <v>不重复</v>
      </c>
    </row>
    <row r="195" spans="1:11" ht="20.25" customHeight="1">
      <c r="A195" s="84" t="s">
        <v>5837</v>
      </c>
      <c r="B195" s="85" t="s">
        <v>5838</v>
      </c>
      <c r="C195" s="85" t="s">
        <v>1792</v>
      </c>
      <c r="D195" s="85" t="s">
        <v>5839</v>
      </c>
      <c r="E195" s="84" t="s">
        <v>45</v>
      </c>
      <c r="F195" s="86">
        <v>234002</v>
      </c>
      <c r="G195" s="86">
        <v>5020000</v>
      </c>
      <c r="H195" s="87"/>
      <c r="I195" s="85" t="s">
        <v>25</v>
      </c>
      <c r="J195" s="88" t="str">
        <f t="shared" si="3" ref="J195:K258">IF(COUNTIF(C:C,C195)&gt;=2,"重复","不重复")</f>
        <v>不重复</v>
      </c>
      <c r="K195" s="88" t="str">
        <f t="shared" si="3"/>
        <v>不重复</v>
      </c>
    </row>
    <row r="196" spans="1:11" ht="20.25" customHeight="1">
      <c r="A196" s="84" t="s">
        <v>282</v>
      </c>
      <c r="B196" s="85" t="s">
        <v>5840</v>
      </c>
      <c r="C196" s="85" t="s">
        <v>283</v>
      </c>
      <c r="D196" s="85" t="s">
        <v>284</v>
      </c>
      <c r="E196" s="84" t="s">
        <v>45</v>
      </c>
      <c r="F196" s="86">
        <v>234003</v>
      </c>
      <c r="G196" s="86">
        <v>5020000</v>
      </c>
      <c r="H196" s="87"/>
      <c r="I196" s="85" t="s">
        <v>5498</v>
      </c>
      <c r="J196" s="88" t="str">
        <f t="shared" si="3"/>
        <v>不重复</v>
      </c>
      <c r="K196" s="88" t="str">
        <f t="shared" si="3"/>
        <v>不重复</v>
      </c>
    </row>
    <row r="197" spans="1:11" ht="20.25" customHeight="1">
      <c r="A197" s="84" t="s">
        <v>5841</v>
      </c>
      <c r="B197" s="85" t="s">
        <v>5842</v>
      </c>
      <c r="C197" s="85" t="s">
        <v>281</v>
      </c>
      <c r="D197" s="85" t="s">
        <v>5843</v>
      </c>
      <c r="E197" s="84" t="s">
        <v>45</v>
      </c>
      <c r="F197" s="86">
        <v>234004</v>
      </c>
      <c r="G197" s="86">
        <v>5020000</v>
      </c>
      <c r="H197" s="87"/>
      <c r="I197" s="85" t="s">
        <v>25</v>
      </c>
      <c r="J197" s="88" t="str">
        <f t="shared" si="3"/>
        <v>重复</v>
      </c>
      <c r="K197" s="88" t="str">
        <f t="shared" si="3"/>
        <v>不重复</v>
      </c>
    </row>
    <row r="198" spans="1:11" ht="20.25" customHeight="1">
      <c r="A198" s="84" t="s">
        <v>285</v>
      </c>
      <c r="B198" s="85" t="s">
        <v>5844</v>
      </c>
      <c r="C198" s="85" t="s">
        <v>281</v>
      </c>
      <c r="D198" s="85" t="s">
        <v>286</v>
      </c>
      <c r="E198" s="84" t="s">
        <v>45</v>
      </c>
      <c r="F198" s="86">
        <v>234005</v>
      </c>
      <c r="G198" s="86">
        <v>5020000</v>
      </c>
      <c r="H198" s="87"/>
      <c r="I198" s="85" t="s">
        <v>5845</v>
      </c>
      <c r="J198" s="88" t="str">
        <f t="shared" si="3"/>
        <v>重复</v>
      </c>
      <c r="K198" s="88" t="str">
        <f t="shared" si="3"/>
        <v>不重复</v>
      </c>
    </row>
    <row r="199" spans="1:11" ht="20.25" customHeight="1">
      <c r="A199" s="84" t="s">
        <v>5846</v>
      </c>
      <c r="B199" s="85" t="s">
        <v>5847</v>
      </c>
      <c r="C199" s="85" t="s">
        <v>5848</v>
      </c>
      <c r="D199" s="85" t="s">
        <v>5849</v>
      </c>
      <c r="E199" s="84" t="s">
        <v>45</v>
      </c>
      <c r="F199" s="86">
        <v>234006</v>
      </c>
      <c r="G199" s="86">
        <v>5020000</v>
      </c>
      <c r="H199" s="87"/>
      <c r="I199" s="85" t="s">
        <v>5850</v>
      </c>
      <c r="J199" s="88" t="str">
        <f t="shared" si="3"/>
        <v>不重复</v>
      </c>
      <c r="K199" s="88" t="str">
        <f t="shared" si="3"/>
        <v>不重复</v>
      </c>
    </row>
    <row r="200" spans="1:11" ht="20.25" customHeight="1">
      <c r="A200" s="89" t="s">
        <v>5851</v>
      </c>
      <c r="B200" s="90" t="s">
        <v>5852</v>
      </c>
      <c r="C200" s="90" t="s">
        <v>4021</v>
      </c>
      <c r="D200" s="90" t="s">
        <v>5853</v>
      </c>
      <c r="E200" s="89" t="s">
        <v>45</v>
      </c>
      <c r="F200" s="91">
        <v>235000</v>
      </c>
      <c r="G200" s="91">
        <v>5020000</v>
      </c>
      <c r="H200" s="87"/>
      <c r="I200" s="90" t="s">
        <v>25</v>
      </c>
      <c r="J200" s="88" t="str">
        <f t="shared" si="3"/>
        <v>不重复</v>
      </c>
      <c r="K200" s="88" t="str">
        <f t="shared" si="3"/>
        <v>不重复</v>
      </c>
    </row>
    <row r="201" spans="1:11" ht="20.25" customHeight="1">
      <c r="A201" s="89" t="s">
        <v>278</v>
      </c>
      <c r="B201" s="90" t="s">
        <v>5854</v>
      </c>
      <c r="C201" s="90" t="s">
        <v>279</v>
      </c>
      <c r="D201" s="90" t="s">
        <v>5855</v>
      </c>
      <c r="E201" s="89" t="s">
        <v>45</v>
      </c>
      <c r="F201" s="91">
        <v>235001</v>
      </c>
      <c r="G201" s="91">
        <v>5020000</v>
      </c>
      <c r="H201" s="87"/>
      <c r="I201" s="90" t="s">
        <v>5856</v>
      </c>
      <c r="J201" s="88" t="str">
        <f t="shared" si="3"/>
        <v>不重复</v>
      </c>
      <c r="K201" s="88" t="str">
        <f t="shared" si="3"/>
        <v>不重复</v>
      </c>
    </row>
    <row r="202" spans="1:11" ht="20.25" customHeight="1">
      <c r="A202" s="89" t="s">
        <v>5857</v>
      </c>
      <c r="B202" s="90" t="s">
        <v>5858</v>
      </c>
      <c r="C202" s="90" t="s">
        <v>259</v>
      </c>
      <c r="D202" s="90" t="s">
        <v>5859</v>
      </c>
      <c r="E202" s="89" t="s">
        <v>45</v>
      </c>
      <c r="F202" s="91">
        <v>235002</v>
      </c>
      <c r="G202" s="91">
        <v>5020000</v>
      </c>
      <c r="H202" s="87"/>
      <c r="I202" s="90" t="s">
        <v>5624</v>
      </c>
      <c r="J202" s="88" t="str">
        <f t="shared" si="3"/>
        <v>重复</v>
      </c>
      <c r="K202" s="88" t="str">
        <f t="shared" si="3"/>
        <v>不重复</v>
      </c>
    </row>
    <row r="203" spans="1:11" ht="20.25" customHeight="1">
      <c r="A203" s="89" t="s">
        <v>261</v>
      </c>
      <c r="B203" s="90" t="s">
        <v>5860</v>
      </c>
      <c r="C203" s="90" t="s">
        <v>262</v>
      </c>
      <c r="D203" s="90" t="s">
        <v>263</v>
      </c>
      <c r="E203" s="89" t="s">
        <v>45</v>
      </c>
      <c r="F203" s="91">
        <v>236001</v>
      </c>
      <c r="G203" s="91">
        <v>5020000</v>
      </c>
      <c r="H203" s="87"/>
      <c r="I203" s="90" t="s">
        <v>5861</v>
      </c>
      <c r="J203" s="88" t="str">
        <f t="shared" si="3"/>
        <v>重复</v>
      </c>
      <c r="K203" s="88" t="str">
        <f t="shared" si="3"/>
        <v>不重复</v>
      </c>
    </row>
    <row r="204" spans="1:11" ht="20.25" customHeight="1">
      <c r="A204" s="89" t="s">
        <v>269</v>
      </c>
      <c r="B204" s="90" t="s">
        <v>5862</v>
      </c>
      <c r="C204" s="90" t="s">
        <v>270</v>
      </c>
      <c r="D204" s="90" t="s">
        <v>271</v>
      </c>
      <c r="E204" s="89" t="s">
        <v>45</v>
      </c>
      <c r="F204" s="91">
        <v>236003</v>
      </c>
      <c r="G204" s="91">
        <v>5020000</v>
      </c>
      <c r="H204" s="87"/>
      <c r="I204" s="90" t="s">
        <v>5863</v>
      </c>
      <c r="J204" s="88" t="str">
        <f t="shared" si="3"/>
        <v>不重复</v>
      </c>
      <c r="K204" s="88" t="str">
        <f t="shared" si="3"/>
        <v>不重复</v>
      </c>
    </row>
    <row r="205" spans="1:11" ht="20.25" customHeight="1">
      <c r="A205" s="89" t="s">
        <v>272</v>
      </c>
      <c r="B205" s="90" t="s">
        <v>5864</v>
      </c>
      <c r="C205" s="90" t="s">
        <v>273</v>
      </c>
      <c r="D205" s="90" t="s">
        <v>274</v>
      </c>
      <c r="E205" s="89" t="s">
        <v>45</v>
      </c>
      <c r="F205" s="91">
        <v>236004</v>
      </c>
      <c r="G205" s="91">
        <v>5020000</v>
      </c>
      <c r="H205" s="87"/>
      <c r="I205" s="90" t="s">
        <v>5396</v>
      </c>
      <c r="J205" s="88" t="str">
        <f t="shared" si="3"/>
        <v>不重复</v>
      </c>
      <c r="K205" s="88" t="str">
        <f t="shared" si="3"/>
        <v>不重复</v>
      </c>
    </row>
    <row r="206" spans="1:11" ht="20.25" customHeight="1">
      <c r="A206" s="84" t="s">
        <v>5865</v>
      </c>
      <c r="B206" s="85" t="s">
        <v>5866</v>
      </c>
      <c r="C206" s="85" t="s">
        <v>869</v>
      </c>
      <c r="D206" s="85" t="s">
        <v>5867</v>
      </c>
      <c r="E206" s="84" t="s">
        <v>45</v>
      </c>
      <c r="F206" s="86">
        <v>236005</v>
      </c>
      <c r="G206" s="86">
        <v>5020000</v>
      </c>
      <c r="H206" s="87"/>
      <c r="I206" s="85" t="s">
        <v>25</v>
      </c>
      <c r="J206" s="88" t="str">
        <f t="shared" si="3"/>
        <v>重复</v>
      </c>
      <c r="K206" s="88" t="str">
        <f t="shared" si="3"/>
        <v>不重复</v>
      </c>
    </row>
    <row r="207" spans="1:11" ht="20.25" customHeight="1">
      <c r="A207" s="84" t="s">
        <v>275</v>
      </c>
      <c r="B207" s="85" t="s">
        <v>5868</v>
      </c>
      <c r="C207" s="85" t="s">
        <v>276</v>
      </c>
      <c r="D207" s="85" t="s">
        <v>277</v>
      </c>
      <c r="E207" s="84" t="s">
        <v>45</v>
      </c>
      <c r="F207" s="86">
        <v>236006</v>
      </c>
      <c r="G207" s="86">
        <v>5020000</v>
      </c>
      <c r="H207" s="87"/>
      <c r="I207" s="85" t="s">
        <v>5869</v>
      </c>
      <c r="J207" s="88" t="str">
        <f t="shared" si="3"/>
        <v>不重复</v>
      </c>
      <c r="K207" s="88" t="str">
        <f t="shared" si="3"/>
        <v>不重复</v>
      </c>
    </row>
    <row r="208" spans="1:11" ht="20.25" customHeight="1">
      <c r="A208" s="89" t="s">
        <v>266</v>
      </c>
      <c r="B208" s="90" t="s">
        <v>5870</v>
      </c>
      <c r="C208" s="90" t="s">
        <v>267</v>
      </c>
      <c r="D208" s="90" t="s">
        <v>268</v>
      </c>
      <c r="E208" s="89" t="s">
        <v>45</v>
      </c>
      <c r="F208" s="91">
        <v>236008</v>
      </c>
      <c r="G208" s="91">
        <v>5020000</v>
      </c>
      <c r="H208" s="87"/>
      <c r="I208" s="90" t="s">
        <v>5871</v>
      </c>
      <c r="J208" s="88" t="str">
        <f t="shared" si="3"/>
        <v>不重复</v>
      </c>
      <c r="K208" s="88" t="str">
        <f t="shared" si="3"/>
        <v>不重复</v>
      </c>
    </row>
    <row r="209" spans="1:11" ht="20.25" customHeight="1">
      <c r="A209" s="89" t="s">
        <v>309</v>
      </c>
      <c r="B209" s="90" t="s">
        <v>5872</v>
      </c>
      <c r="C209" s="90" t="s">
        <v>310</v>
      </c>
      <c r="D209" s="90" t="s">
        <v>5873</v>
      </c>
      <c r="E209" s="89" t="s">
        <v>45</v>
      </c>
      <c r="F209" s="91">
        <v>236010</v>
      </c>
      <c r="G209" s="91">
        <v>5020000</v>
      </c>
      <c r="H209" s="87"/>
      <c r="I209" s="90" t="s">
        <v>5616</v>
      </c>
      <c r="J209" s="88" t="str">
        <f t="shared" si="3"/>
        <v>重复</v>
      </c>
      <c r="K209" s="88" t="str">
        <f t="shared" si="3"/>
        <v>不重复</v>
      </c>
    </row>
    <row r="210" spans="1:11" ht="20.25" customHeight="1">
      <c r="A210" s="89" t="s">
        <v>5874</v>
      </c>
      <c r="B210" s="90" t="s">
        <v>5875</v>
      </c>
      <c r="C210" s="90" t="s">
        <v>295</v>
      </c>
      <c r="D210" s="90" t="s">
        <v>5876</v>
      </c>
      <c r="E210" s="89" t="s">
        <v>45</v>
      </c>
      <c r="F210" s="91">
        <v>236011</v>
      </c>
      <c r="G210" s="91">
        <v>5020000</v>
      </c>
      <c r="H210" s="87"/>
      <c r="I210" s="90" t="s">
        <v>25</v>
      </c>
      <c r="J210" s="88" t="str">
        <f t="shared" si="3"/>
        <v>重复</v>
      </c>
      <c r="K210" s="88" t="str">
        <f t="shared" si="3"/>
        <v>不重复</v>
      </c>
    </row>
    <row r="211" spans="1:11" ht="20.25" customHeight="1">
      <c r="A211" s="89" t="s">
        <v>5877</v>
      </c>
      <c r="B211" s="90" t="s">
        <v>5878</v>
      </c>
      <c r="C211" s="90" t="s">
        <v>3685</v>
      </c>
      <c r="D211" s="90" t="s">
        <v>5879</v>
      </c>
      <c r="E211" s="89" t="s">
        <v>45</v>
      </c>
      <c r="F211" s="91">
        <v>236012</v>
      </c>
      <c r="G211" s="91">
        <v>5020000</v>
      </c>
      <c r="H211" s="87"/>
      <c r="I211" s="90" t="s">
        <v>5880</v>
      </c>
      <c r="J211" s="88" t="str">
        <f t="shared" si="3"/>
        <v>重复</v>
      </c>
      <c r="K211" s="88" t="str">
        <f t="shared" si="3"/>
        <v>不重复</v>
      </c>
    </row>
    <row r="212" spans="1:11" ht="20.25" customHeight="1">
      <c r="A212" s="89" t="s">
        <v>297</v>
      </c>
      <c r="B212" s="90" t="s">
        <v>5881</v>
      </c>
      <c r="C212" s="90" t="s">
        <v>298</v>
      </c>
      <c r="D212" s="90" t="s">
        <v>299</v>
      </c>
      <c r="E212" s="89" t="s">
        <v>45</v>
      </c>
      <c r="F212" s="91">
        <v>236013</v>
      </c>
      <c r="G212" s="91">
        <v>5020000</v>
      </c>
      <c r="H212" s="87"/>
      <c r="I212" s="90" t="s">
        <v>5603</v>
      </c>
      <c r="J212" s="88" t="str">
        <f t="shared" si="3"/>
        <v>不重复</v>
      </c>
      <c r="K212" s="88" t="str">
        <f t="shared" si="3"/>
        <v>不重复</v>
      </c>
    </row>
    <row r="213" spans="1:11" ht="20.25" customHeight="1">
      <c r="A213" s="89" t="s">
        <v>5882</v>
      </c>
      <c r="B213" s="90" t="s">
        <v>5883</v>
      </c>
      <c r="C213" s="90" t="s">
        <v>426</v>
      </c>
      <c r="D213" s="90" t="s">
        <v>5884</v>
      </c>
      <c r="E213" s="89" t="s">
        <v>45</v>
      </c>
      <c r="F213" s="91">
        <v>236014</v>
      </c>
      <c r="G213" s="91">
        <v>5020000</v>
      </c>
      <c r="H213" s="87"/>
      <c r="I213" s="90" t="s">
        <v>5885</v>
      </c>
      <c r="J213" s="88" t="str">
        <f t="shared" si="3"/>
        <v>重复</v>
      </c>
      <c r="K213" s="88" t="str">
        <f t="shared" si="3"/>
        <v>不重复</v>
      </c>
    </row>
    <row r="214" spans="1:11" ht="20.25" customHeight="1">
      <c r="A214" s="89" t="s">
        <v>293</v>
      </c>
      <c r="B214" s="90" t="s">
        <v>294</v>
      </c>
      <c r="C214" s="90" t="s">
        <v>295</v>
      </c>
      <c r="D214" s="90" t="s">
        <v>296</v>
      </c>
      <c r="E214" s="89" t="s">
        <v>45</v>
      </c>
      <c r="F214" s="91">
        <v>236015</v>
      </c>
      <c r="G214" s="91">
        <v>5020000</v>
      </c>
      <c r="H214" s="87"/>
      <c r="I214" s="90" t="s">
        <v>5687</v>
      </c>
      <c r="J214" s="88" t="str">
        <f t="shared" si="3"/>
        <v>重复</v>
      </c>
      <c r="K214" s="88" t="str">
        <f t="shared" si="3"/>
        <v>不重复</v>
      </c>
    </row>
    <row r="215" spans="1:11" ht="20.25" customHeight="1">
      <c r="A215" s="89" t="s">
        <v>5886</v>
      </c>
      <c r="B215" s="90" t="s">
        <v>5887</v>
      </c>
      <c r="C215" s="90" t="s">
        <v>2350</v>
      </c>
      <c r="D215" s="90" t="s">
        <v>5888</v>
      </c>
      <c r="E215" s="89" t="s">
        <v>45</v>
      </c>
      <c r="F215" s="91">
        <v>236016</v>
      </c>
      <c r="G215" s="91">
        <v>5020000</v>
      </c>
      <c r="H215" s="87"/>
      <c r="I215" s="90" t="s">
        <v>5889</v>
      </c>
      <c r="J215" s="88" t="str">
        <f t="shared" si="3"/>
        <v>重复</v>
      </c>
      <c r="K215" s="88" t="str">
        <f t="shared" si="3"/>
        <v>不重复</v>
      </c>
    </row>
    <row r="216" spans="1:11" ht="20.25" customHeight="1">
      <c r="A216" s="89" t="s">
        <v>5890</v>
      </c>
      <c r="B216" s="90" t="s">
        <v>5891</v>
      </c>
      <c r="C216" s="90" t="s">
        <v>1569</v>
      </c>
      <c r="D216" s="90" t="s">
        <v>5892</v>
      </c>
      <c r="E216" s="89" t="s">
        <v>45</v>
      </c>
      <c r="F216" s="91">
        <v>236017</v>
      </c>
      <c r="G216" s="91">
        <v>5020000</v>
      </c>
      <c r="H216" s="87"/>
      <c r="I216" s="90" t="s">
        <v>5885</v>
      </c>
      <c r="J216" s="88" t="str">
        <f t="shared" si="3"/>
        <v>不重复</v>
      </c>
      <c r="K216" s="88" t="str">
        <f t="shared" si="3"/>
        <v>不重复</v>
      </c>
    </row>
    <row r="217" spans="1:11" ht="20.25" customHeight="1">
      <c r="A217" s="89" t="s">
        <v>300</v>
      </c>
      <c r="B217" s="90" t="s">
        <v>5893</v>
      </c>
      <c r="C217" s="90" t="s">
        <v>301</v>
      </c>
      <c r="D217" s="90" t="s">
        <v>302</v>
      </c>
      <c r="E217" s="89" t="s">
        <v>45</v>
      </c>
      <c r="F217" s="91">
        <v>236018</v>
      </c>
      <c r="G217" s="91">
        <v>5020000</v>
      </c>
      <c r="H217" s="87"/>
      <c r="I217" s="90" t="s">
        <v>5394</v>
      </c>
      <c r="J217" s="88" t="str">
        <f t="shared" si="3"/>
        <v>不重复</v>
      </c>
      <c r="K217" s="88" t="str">
        <f t="shared" si="3"/>
        <v>不重复</v>
      </c>
    </row>
    <row r="218" spans="1:11" ht="20.25" customHeight="1">
      <c r="A218" s="89" t="s">
        <v>5894</v>
      </c>
      <c r="B218" s="90" t="s">
        <v>5895</v>
      </c>
      <c r="C218" s="90" t="s">
        <v>5896</v>
      </c>
      <c r="D218" s="90" t="s">
        <v>5258</v>
      </c>
      <c r="E218" s="89" t="s">
        <v>45</v>
      </c>
      <c r="F218" s="91">
        <v>236019</v>
      </c>
      <c r="G218" s="91">
        <v>5020000</v>
      </c>
      <c r="H218" s="87"/>
      <c r="I218" s="90" t="s">
        <v>5885</v>
      </c>
      <c r="J218" s="88" t="str">
        <f t="shared" si="3"/>
        <v>不重复</v>
      </c>
      <c r="K218" s="88" t="str">
        <f t="shared" si="3"/>
        <v>不重复</v>
      </c>
    </row>
    <row r="219" spans="1:11" ht="20.25" customHeight="1">
      <c r="A219" s="89" t="s">
        <v>5897</v>
      </c>
      <c r="B219" s="90" t="s">
        <v>5898</v>
      </c>
      <c r="C219" s="90" t="s">
        <v>1265</v>
      </c>
      <c r="D219" s="90" t="s">
        <v>5899</v>
      </c>
      <c r="E219" s="89" t="s">
        <v>45</v>
      </c>
      <c r="F219" s="91">
        <v>236020</v>
      </c>
      <c r="G219" s="91">
        <v>5020000</v>
      </c>
      <c r="H219" s="87"/>
      <c r="I219" s="90" t="s">
        <v>5889</v>
      </c>
      <c r="J219" s="88" t="str">
        <f t="shared" si="3"/>
        <v>重复</v>
      </c>
      <c r="K219" s="88" t="str">
        <f t="shared" si="3"/>
        <v>不重复</v>
      </c>
    </row>
    <row r="220" spans="1:11" ht="20.25" customHeight="1">
      <c r="A220" s="89" t="s">
        <v>5900</v>
      </c>
      <c r="B220" s="90" t="s">
        <v>5901</v>
      </c>
      <c r="C220" s="90" t="s">
        <v>5902</v>
      </c>
      <c r="D220" s="90" t="s">
        <v>5903</v>
      </c>
      <c r="E220" s="89" t="s">
        <v>45</v>
      </c>
      <c r="F220" s="91">
        <v>236021</v>
      </c>
      <c r="G220" s="91">
        <v>5020000</v>
      </c>
      <c r="H220" s="87"/>
      <c r="I220" s="90" t="s">
        <v>5885</v>
      </c>
      <c r="J220" s="88" t="str">
        <f t="shared" si="3"/>
        <v>不重复</v>
      </c>
      <c r="K220" s="88" t="str">
        <f t="shared" si="3"/>
        <v>不重复</v>
      </c>
    </row>
    <row r="221" spans="1:11" ht="20.25" customHeight="1">
      <c r="A221" s="89" t="s">
        <v>5904</v>
      </c>
      <c r="B221" s="90" t="s">
        <v>5905</v>
      </c>
      <c r="C221" s="90" t="s">
        <v>553</v>
      </c>
      <c r="D221" s="90" t="s">
        <v>2074</v>
      </c>
      <c r="E221" s="89" t="s">
        <v>45</v>
      </c>
      <c r="F221" s="91">
        <v>236022</v>
      </c>
      <c r="G221" s="91">
        <v>5020000</v>
      </c>
      <c r="H221" s="87"/>
      <c r="I221" s="90" t="s">
        <v>5889</v>
      </c>
      <c r="J221" s="88" t="str">
        <f t="shared" si="3"/>
        <v>重复</v>
      </c>
      <c r="K221" s="88" t="str">
        <f t="shared" si="3"/>
        <v>不重复</v>
      </c>
    </row>
    <row r="222" spans="1:11" ht="20.25" customHeight="1">
      <c r="A222" s="89" t="s">
        <v>5906</v>
      </c>
      <c r="B222" s="90" t="s">
        <v>5907</v>
      </c>
      <c r="C222" s="90" t="s">
        <v>620</v>
      </c>
      <c r="D222" s="90" t="s">
        <v>5908</v>
      </c>
      <c r="E222" s="89" t="s">
        <v>45</v>
      </c>
      <c r="F222" s="91">
        <v>236023</v>
      </c>
      <c r="G222" s="91">
        <v>5020000</v>
      </c>
      <c r="H222" s="87"/>
      <c r="I222" s="90" t="s">
        <v>5885</v>
      </c>
      <c r="J222" s="88" t="str">
        <f t="shared" si="3"/>
        <v>重复</v>
      </c>
      <c r="K222" s="88" t="str">
        <f t="shared" si="3"/>
        <v>不重复</v>
      </c>
    </row>
    <row r="223" spans="1:11" ht="20.25" customHeight="1">
      <c r="A223" s="89" t="s">
        <v>5909</v>
      </c>
      <c r="B223" s="90" t="s">
        <v>5910</v>
      </c>
      <c r="C223" s="90" t="s">
        <v>5911</v>
      </c>
      <c r="D223" s="90" t="s">
        <v>5912</v>
      </c>
      <c r="E223" s="89" t="s">
        <v>45</v>
      </c>
      <c r="F223" s="91">
        <v>236024</v>
      </c>
      <c r="G223" s="91">
        <v>5020000</v>
      </c>
      <c r="H223" s="87"/>
      <c r="I223" s="90" t="s">
        <v>5913</v>
      </c>
      <c r="J223" s="88" t="str">
        <f t="shared" si="3"/>
        <v>不重复</v>
      </c>
      <c r="K223" s="88" t="str">
        <f t="shared" si="3"/>
        <v>不重复</v>
      </c>
    </row>
    <row r="224" spans="1:11" ht="20.25" customHeight="1">
      <c r="A224" s="89" t="s">
        <v>5914</v>
      </c>
      <c r="B224" s="90" t="s">
        <v>5915</v>
      </c>
      <c r="C224" s="90" t="s">
        <v>816</v>
      </c>
      <c r="D224" s="90" t="s">
        <v>5916</v>
      </c>
      <c r="E224" s="89" t="s">
        <v>45</v>
      </c>
      <c r="F224" s="91">
        <v>236025</v>
      </c>
      <c r="G224" s="91">
        <v>5020000</v>
      </c>
      <c r="H224" s="87"/>
      <c r="I224" s="90" t="s">
        <v>25</v>
      </c>
      <c r="J224" s="88" t="str">
        <f t="shared" si="3"/>
        <v>重复</v>
      </c>
      <c r="K224" s="88" t="str">
        <f t="shared" si="3"/>
        <v>不重复</v>
      </c>
    </row>
    <row r="225" spans="1:11" ht="20.25" customHeight="1">
      <c r="A225" s="89" t="s">
        <v>306</v>
      </c>
      <c r="B225" s="90" t="s">
        <v>5917</v>
      </c>
      <c r="C225" s="90" t="s">
        <v>307</v>
      </c>
      <c r="D225" s="90" t="s">
        <v>308</v>
      </c>
      <c r="E225" s="89" t="s">
        <v>45</v>
      </c>
      <c r="F225" s="91">
        <v>236026</v>
      </c>
      <c r="G225" s="91">
        <v>5020000</v>
      </c>
      <c r="H225" s="87"/>
      <c r="I225" s="90" t="s">
        <v>5869</v>
      </c>
      <c r="J225" s="88" t="str">
        <f t="shared" si="3"/>
        <v>重复</v>
      </c>
      <c r="K225" s="88" t="str">
        <f t="shared" si="3"/>
        <v>不重复</v>
      </c>
    </row>
    <row r="226" spans="1:11" ht="20.25" customHeight="1">
      <c r="A226" s="84" t="s">
        <v>5918</v>
      </c>
      <c r="B226" s="85" t="s">
        <v>5919</v>
      </c>
      <c r="C226" s="85" t="s">
        <v>5920</v>
      </c>
      <c r="D226" s="85" t="s">
        <v>5921</v>
      </c>
      <c r="E226" s="84" t="s">
        <v>45</v>
      </c>
      <c r="F226" s="86">
        <v>236027</v>
      </c>
      <c r="G226" s="86">
        <v>5020000</v>
      </c>
      <c r="H226" s="87"/>
      <c r="I226" s="85" t="s">
        <v>25</v>
      </c>
      <c r="J226" s="88" t="str">
        <f t="shared" si="3"/>
        <v>不重复</v>
      </c>
      <c r="K226" s="88" t="str">
        <f t="shared" si="3"/>
        <v>不重复</v>
      </c>
    </row>
    <row r="227" spans="1:11" ht="20.25" customHeight="1">
      <c r="A227" s="84" t="s">
        <v>311</v>
      </c>
      <c r="B227" s="85" t="s">
        <v>5922</v>
      </c>
      <c r="C227" s="85" t="s">
        <v>312</v>
      </c>
      <c r="D227" s="85" t="s">
        <v>313</v>
      </c>
      <c r="E227" s="84" t="s">
        <v>45</v>
      </c>
      <c r="F227" s="86">
        <v>236028</v>
      </c>
      <c r="G227" s="86">
        <v>5020000</v>
      </c>
      <c r="H227" s="87"/>
      <c r="I227" s="85" t="s">
        <v>5923</v>
      </c>
      <c r="J227" s="88" t="str">
        <f t="shared" si="3"/>
        <v>重复</v>
      </c>
      <c r="K227" s="88" t="str">
        <f t="shared" si="3"/>
        <v>不重复</v>
      </c>
    </row>
    <row r="228" spans="1:11" ht="20.25" customHeight="1">
      <c r="A228" s="89" t="s">
        <v>5924</v>
      </c>
      <c r="B228" s="90" t="s">
        <v>5925</v>
      </c>
      <c r="C228" s="90" t="s">
        <v>631</v>
      </c>
      <c r="D228" s="90" t="s">
        <v>5926</v>
      </c>
      <c r="E228" s="89" t="s">
        <v>45</v>
      </c>
      <c r="F228" s="91">
        <v>236029</v>
      </c>
      <c r="G228" s="91">
        <v>5020000</v>
      </c>
      <c r="H228" s="87"/>
      <c r="I228" s="90" t="s">
        <v>25</v>
      </c>
      <c r="J228" s="88" t="str">
        <f t="shared" si="3"/>
        <v>重复</v>
      </c>
      <c r="K228" s="88" t="str">
        <f t="shared" si="3"/>
        <v>不重复</v>
      </c>
    </row>
    <row r="229" spans="1:11" ht="20.25" customHeight="1">
      <c r="A229" s="89" t="s">
        <v>287</v>
      </c>
      <c r="B229" s="90" t="s">
        <v>5927</v>
      </c>
      <c r="C229" s="90" t="s">
        <v>288</v>
      </c>
      <c r="D229" s="90" t="s">
        <v>289</v>
      </c>
      <c r="E229" s="89" t="s">
        <v>45</v>
      </c>
      <c r="F229" s="91">
        <v>236030</v>
      </c>
      <c r="G229" s="91">
        <v>5020000</v>
      </c>
      <c r="H229" s="87"/>
      <c r="I229" s="90" t="s">
        <v>5928</v>
      </c>
      <c r="J229" s="88" t="str">
        <f t="shared" si="3"/>
        <v>重复</v>
      </c>
      <c r="K229" s="88" t="str">
        <f t="shared" si="3"/>
        <v>不重复</v>
      </c>
    </row>
    <row r="230" spans="1:11" ht="20.25" customHeight="1">
      <c r="A230" s="89" t="s">
        <v>5929</v>
      </c>
      <c r="B230" s="90" t="s">
        <v>5930</v>
      </c>
      <c r="C230" s="90" t="s">
        <v>5931</v>
      </c>
      <c r="D230" s="90" t="s">
        <v>5932</v>
      </c>
      <c r="E230" s="89" t="s">
        <v>45</v>
      </c>
      <c r="F230" s="91">
        <v>236031</v>
      </c>
      <c r="G230" s="91">
        <v>5020000</v>
      </c>
      <c r="H230" s="87"/>
      <c r="I230" s="90" t="s">
        <v>25</v>
      </c>
      <c r="J230" s="88" t="str">
        <f t="shared" si="3"/>
        <v>重复</v>
      </c>
      <c r="K230" s="88" t="str">
        <f t="shared" si="3"/>
        <v>不重复</v>
      </c>
    </row>
    <row r="231" spans="1:11" ht="20.25" customHeight="1">
      <c r="A231" s="89" t="s">
        <v>290</v>
      </c>
      <c r="B231" s="90" t="s">
        <v>5933</v>
      </c>
      <c r="C231" s="90" t="s">
        <v>291</v>
      </c>
      <c r="D231" s="90" t="s">
        <v>292</v>
      </c>
      <c r="E231" s="89" t="s">
        <v>45</v>
      </c>
      <c r="F231" s="91">
        <v>236032</v>
      </c>
      <c r="G231" s="91">
        <v>5020000</v>
      </c>
      <c r="H231" s="87"/>
      <c r="I231" s="90" t="s">
        <v>5934</v>
      </c>
      <c r="J231" s="88" t="str">
        <f t="shared" si="3"/>
        <v>不重复</v>
      </c>
      <c r="K231" s="88" t="str">
        <f t="shared" si="3"/>
        <v>不重复</v>
      </c>
    </row>
    <row r="232" spans="1:11" ht="20.25" customHeight="1">
      <c r="A232" s="89" t="s">
        <v>5935</v>
      </c>
      <c r="B232" s="90" t="s">
        <v>5936</v>
      </c>
      <c r="C232" s="90" t="s">
        <v>5937</v>
      </c>
      <c r="D232" s="90" t="s">
        <v>5938</v>
      </c>
      <c r="E232" s="89" t="s">
        <v>45</v>
      </c>
      <c r="F232" s="91">
        <v>236033</v>
      </c>
      <c r="G232" s="91">
        <v>5020000</v>
      </c>
      <c r="H232" s="87"/>
      <c r="I232" s="90" t="s">
        <v>25</v>
      </c>
      <c r="J232" s="88" t="str">
        <f t="shared" si="3"/>
        <v>重复</v>
      </c>
      <c r="K232" s="88" t="str">
        <f t="shared" si="3"/>
        <v>不重复</v>
      </c>
    </row>
    <row r="233" spans="1:11" ht="20.25" customHeight="1">
      <c r="A233" s="89" t="s">
        <v>314</v>
      </c>
      <c r="B233" s="90" t="s">
        <v>5939</v>
      </c>
      <c r="C233" s="90" t="s">
        <v>315</v>
      </c>
      <c r="D233" s="90" t="s">
        <v>316</v>
      </c>
      <c r="E233" s="89" t="s">
        <v>45</v>
      </c>
      <c r="F233" s="91">
        <v>236034</v>
      </c>
      <c r="G233" s="91">
        <v>5020000</v>
      </c>
      <c r="H233" s="87"/>
      <c r="I233" s="90" t="s">
        <v>5940</v>
      </c>
      <c r="J233" s="88" t="str">
        <f t="shared" si="3"/>
        <v>不重复</v>
      </c>
      <c r="K233" s="88" t="str">
        <f t="shared" si="3"/>
        <v>不重复</v>
      </c>
    </row>
    <row r="234" spans="1:11" ht="20.25" customHeight="1">
      <c r="A234" s="89" t="s">
        <v>5941</v>
      </c>
      <c r="B234" s="90" t="s">
        <v>5942</v>
      </c>
      <c r="C234" s="90" t="s">
        <v>5943</v>
      </c>
      <c r="D234" s="90" t="s">
        <v>2078</v>
      </c>
      <c r="E234" s="89" t="s">
        <v>45</v>
      </c>
      <c r="F234" s="91">
        <v>236035</v>
      </c>
      <c r="G234" s="91">
        <v>5020000</v>
      </c>
      <c r="H234" s="87"/>
      <c r="I234" s="90" t="s">
        <v>25</v>
      </c>
      <c r="J234" s="88" t="str">
        <f t="shared" si="3"/>
        <v>不重复</v>
      </c>
      <c r="K234" s="88" t="str">
        <f t="shared" si="3"/>
        <v>不重复</v>
      </c>
    </row>
    <row r="235" spans="1:11" ht="20.25" customHeight="1">
      <c r="A235" s="89" t="s">
        <v>303</v>
      </c>
      <c r="B235" s="90" t="s">
        <v>5944</v>
      </c>
      <c r="C235" s="90" t="s">
        <v>304</v>
      </c>
      <c r="D235" s="90" t="s">
        <v>5945</v>
      </c>
      <c r="E235" s="89" t="s">
        <v>45</v>
      </c>
      <c r="F235" s="91">
        <v>236036</v>
      </c>
      <c r="G235" s="91">
        <v>5020000</v>
      </c>
      <c r="H235" s="87"/>
      <c r="I235" s="90" t="s">
        <v>5460</v>
      </c>
      <c r="J235" s="88" t="str">
        <f t="shared" si="3"/>
        <v>重复</v>
      </c>
      <c r="K235" s="88" t="str">
        <f t="shared" si="3"/>
        <v>不重复</v>
      </c>
    </row>
    <row r="236" spans="1:11" ht="20.25" customHeight="1">
      <c r="A236" s="89" t="s">
        <v>339</v>
      </c>
      <c r="B236" s="90" t="s">
        <v>340</v>
      </c>
      <c r="C236" s="90" t="s">
        <v>341</v>
      </c>
      <c r="D236" s="90" t="s">
        <v>342</v>
      </c>
      <c r="E236" s="89" t="s">
        <v>45</v>
      </c>
      <c r="F236" s="91">
        <v>236037</v>
      </c>
      <c r="G236" s="91">
        <v>5020000</v>
      </c>
      <c r="H236" s="87"/>
      <c r="I236" s="90" t="s">
        <v>25</v>
      </c>
      <c r="J236" s="88" t="str">
        <f t="shared" si="3"/>
        <v>重复</v>
      </c>
      <c r="K236" s="88" t="str">
        <f t="shared" si="3"/>
        <v>不重复</v>
      </c>
    </row>
    <row r="237" spans="1:11" ht="20.25" customHeight="1">
      <c r="A237" s="89" t="s">
        <v>322</v>
      </c>
      <c r="B237" s="90" t="s">
        <v>5946</v>
      </c>
      <c r="C237" s="90" t="s">
        <v>323</v>
      </c>
      <c r="D237" s="90" t="s">
        <v>324</v>
      </c>
      <c r="E237" s="89" t="s">
        <v>45</v>
      </c>
      <c r="F237" s="91">
        <v>236038</v>
      </c>
      <c r="G237" s="91">
        <v>5020000</v>
      </c>
      <c r="H237" s="87"/>
      <c r="I237" s="90" t="s">
        <v>5947</v>
      </c>
      <c r="J237" s="88" t="str">
        <f t="shared" si="3"/>
        <v>不重复</v>
      </c>
      <c r="K237" s="88" t="str">
        <f t="shared" si="3"/>
        <v>不重复</v>
      </c>
    </row>
    <row r="238" spans="1:11" ht="20.25" customHeight="1">
      <c r="A238" s="89" t="s">
        <v>325</v>
      </c>
      <c r="B238" s="90" t="s">
        <v>5948</v>
      </c>
      <c r="C238" s="90" t="s">
        <v>326</v>
      </c>
      <c r="D238" s="90" t="s">
        <v>327</v>
      </c>
      <c r="E238" s="89" t="s">
        <v>45</v>
      </c>
      <c r="F238" s="91">
        <v>236039</v>
      </c>
      <c r="G238" s="91">
        <v>5020000</v>
      </c>
      <c r="H238" s="87"/>
      <c r="I238" s="90" t="s">
        <v>5498</v>
      </c>
      <c r="J238" s="88" t="str">
        <f t="shared" si="3"/>
        <v>重复</v>
      </c>
      <c r="K238" s="88" t="str">
        <f t="shared" si="3"/>
        <v>不重复</v>
      </c>
    </row>
    <row r="239" spans="1:11" ht="20.25" customHeight="1">
      <c r="A239" s="89" t="s">
        <v>328</v>
      </c>
      <c r="B239" s="90" t="s">
        <v>5949</v>
      </c>
      <c r="C239" s="90" t="s">
        <v>329</v>
      </c>
      <c r="D239" s="90" t="s">
        <v>330</v>
      </c>
      <c r="E239" s="89" t="s">
        <v>45</v>
      </c>
      <c r="F239" s="91">
        <v>236040</v>
      </c>
      <c r="G239" s="91">
        <v>5020000</v>
      </c>
      <c r="H239" s="87"/>
      <c r="I239" s="90" t="s">
        <v>5383</v>
      </c>
      <c r="J239" s="88" t="str">
        <f t="shared" si="3"/>
        <v>不重复</v>
      </c>
      <c r="K239" s="88" t="str">
        <f t="shared" si="3"/>
        <v>不重复</v>
      </c>
    </row>
    <row r="240" spans="1:11" ht="20.25" customHeight="1">
      <c r="A240" s="89" t="s">
        <v>331</v>
      </c>
      <c r="B240" s="90" t="s">
        <v>5950</v>
      </c>
      <c r="C240" s="90" t="s">
        <v>332</v>
      </c>
      <c r="D240" s="90" t="s">
        <v>333</v>
      </c>
      <c r="E240" s="89" t="s">
        <v>45</v>
      </c>
      <c r="F240" s="91">
        <v>236041</v>
      </c>
      <c r="G240" s="91">
        <v>5020000</v>
      </c>
      <c r="H240" s="87"/>
      <c r="I240" s="90" t="s">
        <v>5708</v>
      </c>
      <c r="J240" s="88" t="str">
        <f t="shared" si="3"/>
        <v>不重复</v>
      </c>
      <c r="K240" s="88" t="str">
        <f t="shared" si="3"/>
        <v>不重复</v>
      </c>
    </row>
    <row r="241" spans="1:11" ht="20.25" customHeight="1">
      <c r="A241" s="89" t="s">
        <v>5951</v>
      </c>
      <c r="B241" s="90" t="s">
        <v>5952</v>
      </c>
      <c r="C241" s="90" t="s">
        <v>334</v>
      </c>
      <c r="D241" s="90" t="s">
        <v>335</v>
      </c>
      <c r="E241" s="89" t="s">
        <v>45</v>
      </c>
      <c r="F241" s="91">
        <v>236042</v>
      </c>
      <c r="G241" s="91">
        <v>5020000</v>
      </c>
      <c r="H241" s="87"/>
      <c r="I241" s="90" t="s">
        <v>5469</v>
      </c>
      <c r="J241" s="88" t="str">
        <f t="shared" si="3"/>
        <v>不重复</v>
      </c>
      <c r="K241" s="88" t="str">
        <f t="shared" si="3"/>
        <v>不重复</v>
      </c>
    </row>
    <row r="242" spans="1:11" ht="20.25" customHeight="1">
      <c r="A242" s="89" t="s">
        <v>336</v>
      </c>
      <c r="B242" s="90" t="s">
        <v>5953</v>
      </c>
      <c r="C242" s="90" t="s">
        <v>337</v>
      </c>
      <c r="D242" s="90" t="s">
        <v>338</v>
      </c>
      <c r="E242" s="89" t="s">
        <v>45</v>
      </c>
      <c r="F242" s="91">
        <v>236043</v>
      </c>
      <c r="G242" s="91">
        <v>5020000</v>
      </c>
      <c r="H242" s="87"/>
      <c r="I242" s="90" t="s">
        <v>5954</v>
      </c>
      <c r="J242" s="88" t="str">
        <f t="shared" si="3"/>
        <v>不重复</v>
      </c>
      <c r="K242" s="88" t="str">
        <f t="shared" si="3"/>
        <v>不重复</v>
      </c>
    </row>
    <row r="243" spans="1:11" ht="20.25" customHeight="1">
      <c r="A243" s="89" t="s">
        <v>5955</v>
      </c>
      <c r="B243" s="90" t="s">
        <v>5956</v>
      </c>
      <c r="C243" s="90" t="s">
        <v>1017</v>
      </c>
      <c r="D243" s="90" t="s">
        <v>5957</v>
      </c>
      <c r="E243" s="89" t="s">
        <v>45</v>
      </c>
      <c r="F243" s="91">
        <v>236044</v>
      </c>
      <c r="G243" s="91">
        <v>5020000</v>
      </c>
      <c r="H243" s="87"/>
      <c r="I243" s="90" t="s">
        <v>25</v>
      </c>
      <c r="J243" s="88" t="str">
        <f t="shared" si="3"/>
        <v>重复</v>
      </c>
      <c r="K243" s="88" t="str">
        <f t="shared" si="3"/>
        <v>不重复</v>
      </c>
    </row>
    <row r="244" spans="1:11" ht="20.25" customHeight="1">
      <c r="A244" s="89" t="s">
        <v>343</v>
      </c>
      <c r="B244" s="90" t="s">
        <v>5958</v>
      </c>
      <c r="C244" s="90" t="s">
        <v>112</v>
      </c>
      <c r="D244" s="90" t="s">
        <v>344</v>
      </c>
      <c r="E244" s="89" t="s">
        <v>45</v>
      </c>
      <c r="F244" s="91">
        <v>236045</v>
      </c>
      <c r="G244" s="91">
        <v>5020000</v>
      </c>
      <c r="H244" s="87"/>
      <c r="I244" s="90" t="s">
        <v>5959</v>
      </c>
      <c r="J244" s="88" t="str">
        <f t="shared" si="3"/>
        <v>不重复</v>
      </c>
      <c r="K244" s="88" t="str">
        <f t="shared" si="3"/>
        <v>不重复</v>
      </c>
    </row>
    <row r="245" spans="1:11" ht="20.25" customHeight="1">
      <c r="A245" s="89" t="s">
        <v>345</v>
      </c>
      <c r="B245" s="90" t="s">
        <v>5960</v>
      </c>
      <c r="C245" s="90" t="s">
        <v>346</v>
      </c>
      <c r="D245" s="90" t="s">
        <v>347</v>
      </c>
      <c r="E245" s="89" t="s">
        <v>45</v>
      </c>
      <c r="F245" s="91">
        <v>236046</v>
      </c>
      <c r="G245" s="91">
        <v>5020000</v>
      </c>
      <c r="H245" s="87"/>
      <c r="I245" s="90" t="s">
        <v>5961</v>
      </c>
      <c r="J245" s="88" t="str">
        <f t="shared" si="3"/>
        <v>重复</v>
      </c>
      <c r="K245" s="88" t="str">
        <f t="shared" si="3"/>
        <v>不重复</v>
      </c>
    </row>
    <row r="246" spans="1:11" ht="20.25" customHeight="1">
      <c r="A246" s="89" t="s">
        <v>348</v>
      </c>
      <c r="B246" s="90" t="s">
        <v>349</v>
      </c>
      <c r="C246" s="90" t="s">
        <v>350</v>
      </c>
      <c r="D246" s="90" t="s">
        <v>351</v>
      </c>
      <c r="E246" s="89" t="s">
        <v>45</v>
      </c>
      <c r="F246" s="91">
        <v>236047</v>
      </c>
      <c r="G246" s="91">
        <v>5020000</v>
      </c>
      <c r="H246" s="87"/>
      <c r="I246" s="90" t="s">
        <v>5962</v>
      </c>
      <c r="J246" s="88" t="str">
        <f t="shared" si="3"/>
        <v>重复</v>
      </c>
      <c r="K246" s="88" t="str">
        <f t="shared" si="3"/>
        <v>不重复</v>
      </c>
    </row>
    <row r="247" spans="1:11" ht="20.25" customHeight="1">
      <c r="A247" s="89" t="s">
        <v>5963</v>
      </c>
      <c r="B247" s="90" t="s">
        <v>5964</v>
      </c>
      <c r="C247" s="90" t="s">
        <v>5965</v>
      </c>
      <c r="D247" s="90" t="s">
        <v>5966</v>
      </c>
      <c r="E247" s="89" t="s">
        <v>45</v>
      </c>
      <c r="F247" s="91">
        <v>236049</v>
      </c>
      <c r="G247" s="91">
        <v>5020000</v>
      </c>
      <c r="H247" s="87"/>
      <c r="I247" s="90" t="s">
        <v>5624</v>
      </c>
      <c r="J247" s="88" t="str">
        <f t="shared" si="3"/>
        <v>不重复</v>
      </c>
      <c r="K247" s="88" t="str">
        <f t="shared" si="3"/>
        <v>不重复</v>
      </c>
    </row>
    <row r="248" spans="1:11" ht="20.25" customHeight="1">
      <c r="A248" s="89" t="s">
        <v>5967</v>
      </c>
      <c r="B248" s="90" t="s">
        <v>5968</v>
      </c>
      <c r="C248" s="90" t="s">
        <v>5969</v>
      </c>
      <c r="D248" s="90" t="s">
        <v>5970</v>
      </c>
      <c r="E248" s="89" t="s">
        <v>45</v>
      </c>
      <c r="F248" s="91">
        <v>236050</v>
      </c>
      <c r="G248" s="91">
        <v>5020000</v>
      </c>
      <c r="H248" s="87"/>
      <c r="I248" s="90" t="s">
        <v>5624</v>
      </c>
      <c r="J248" s="88" t="str">
        <f t="shared" si="3"/>
        <v>不重复</v>
      </c>
      <c r="K248" s="88" t="str">
        <f t="shared" si="3"/>
        <v>不重复</v>
      </c>
    </row>
    <row r="249" spans="1:11" ht="20.25" customHeight="1">
      <c r="A249" s="84" t="s">
        <v>5971</v>
      </c>
      <c r="B249" s="85" t="s">
        <v>5972</v>
      </c>
      <c r="C249" s="85" t="s">
        <v>320</v>
      </c>
      <c r="D249" s="85" t="s">
        <v>5973</v>
      </c>
      <c r="E249" s="84" t="s">
        <v>45</v>
      </c>
      <c r="F249" s="86">
        <v>236051</v>
      </c>
      <c r="G249" s="86">
        <v>5020000</v>
      </c>
      <c r="H249" s="87"/>
      <c r="I249" s="85" t="s">
        <v>25</v>
      </c>
      <c r="J249" s="88" t="str">
        <f t="shared" si="3"/>
        <v>重复</v>
      </c>
      <c r="K249" s="88" t="str">
        <f t="shared" si="3"/>
        <v>不重复</v>
      </c>
    </row>
    <row r="250" spans="1:11" ht="20.25" customHeight="1">
      <c r="A250" s="84" t="s">
        <v>5974</v>
      </c>
      <c r="B250" s="85" t="s">
        <v>5975</v>
      </c>
      <c r="C250" s="85" t="s">
        <v>5976</v>
      </c>
      <c r="D250" s="85" t="s">
        <v>5977</v>
      </c>
      <c r="E250" s="84" t="s">
        <v>45</v>
      </c>
      <c r="F250" s="86">
        <v>236052</v>
      </c>
      <c r="G250" s="86">
        <v>5020000</v>
      </c>
      <c r="H250" s="87"/>
      <c r="I250" s="85" t="s">
        <v>5624</v>
      </c>
      <c r="J250" s="88" t="str">
        <f t="shared" si="3"/>
        <v>不重复</v>
      </c>
      <c r="K250" s="88" t="str">
        <f t="shared" si="3"/>
        <v>不重复</v>
      </c>
    </row>
    <row r="251" spans="1:11" ht="20.25" customHeight="1">
      <c r="A251" s="89" t="s">
        <v>5978</v>
      </c>
      <c r="B251" s="90" t="s">
        <v>5979</v>
      </c>
      <c r="C251" s="90" t="s">
        <v>5980</v>
      </c>
      <c r="D251" s="90" t="s">
        <v>5981</v>
      </c>
      <c r="E251" s="89" t="s">
        <v>45</v>
      </c>
      <c r="F251" s="91">
        <v>236053</v>
      </c>
      <c r="G251" s="91">
        <v>5020000</v>
      </c>
      <c r="H251" s="87"/>
      <c r="I251" s="90" t="s">
        <v>5624</v>
      </c>
      <c r="J251" s="88" t="str">
        <f t="shared" si="3"/>
        <v>不重复</v>
      </c>
      <c r="K251" s="88" t="str">
        <f t="shared" si="3"/>
        <v>不重复</v>
      </c>
    </row>
    <row r="252" spans="1:11" ht="20.25" customHeight="1">
      <c r="A252" s="89" t="s">
        <v>5982</v>
      </c>
      <c r="B252" s="90" t="s">
        <v>5983</v>
      </c>
      <c r="C252" s="90" t="s">
        <v>1570</v>
      </c>
      <c r="D252" s="90" t="s">
        <v>5984</v>
      </c>
      <c r="E252" s="89" t="s">
        <v>45</v>
      </c>
      <c r="F252" s="91">
        <v>236054</v>
      </c>
      <c r="G252" s="91">
        <v>5020000</v>
      </c>
      <c r="H252" s="87"/>
      <c r="I252" s="90" t="s">
        <v>5624</v>
      </c>
      <c r="J252" s="88" t="str">
        <f t="shared" si="3"/>
        <v>不重复</v>
      </c>
      <c r="K252" s="88" t="str">
        <f t="shared" si="3"/>
        <v>不重复</v>
      </c>
    </row>
    <row r="253" spans="1:11" ht="20.25" customHeight="1">
      <c r="A253" s="84" t="s">
        <v>5985</v>
      </c>
      <c r="B253" s="85" t="s">
        <v>5986</v>
      </c>
      <c r="C253" s="85" t="s">
        <v>167</v>
      </c>
      <c r="D253" s="85" t="s">
        <v>5987</v>
      </c>
      <c r="E253" s="84" t="s">
        <v>45</v>
      </c>
      <c r="F253" s="86">
        <v>236056</v>
      </c>
      <c r="G253" s="86">
        <v>5020000</v>
      </c>
      <c r="H253" s="87"/>
      <c r="I253" s="85" t="s">
        <v>25</v>
      </c>
      <c r="J253" s="88" t="str">
        <f t="shared" si="3"/>
        <v>重复</v>
      </c>
      <c r="K253" s="88" t="str">
        <f t="shared" si="3"/>
        <v>不重复</v>
      </c>
    </row>
    <row r="254" spans="1:11" ht="20.25" customHeight="1">
      <c r="A254" s="89" t="s">
        <v>5988</v>
      </c>
      <c r="B254" s="90" t="s">
        <v>5989</v>
      </c>
      <c r="C254" s="90" t="s">
        <v>5990</v>
      </c>
      <c r="D254" s="90" t="s">
        <v>5991</v>
      </c>
      <c r="E254" s="89" t="s">
        <v>45</v>
      </c>
      <c r="F254" s="91">
        <v>236057</v>
      </c>
      <c r="G254" s="91">
        <v>5020000</v>
      </c>
      <c r="H254" s="87"/>
      <c r="I254" s="90" t="s">
        <v>25</v>
      </c>
      <c r="J254" s="88" t="str">
        <f t="shared" si="3"/>
        <v>不重复</v>
      </c>
      <c r="K254" s="88" t="str">
        <f t="shared" si="3"/>
        <v>不重复</v>
      </c>
    </row>
    <row r="255" spans="1:11" ht="20.25" customHeight="1">
      <c r="A255" s="89" t="s">
        <v>5992</v>
      </c>
      <c r="B255" s="90" t="s">
        <v>5993</v>
      </c>
      <c r="C255" s="90" t="s">
        <v>5011</v>
      </c>
      <c r="D255" s="90" t="s">
        <v>5994</v>
      </c>
      <c r="E255" s="89" t="s">
        <v>45</v>
      </c>
      <c r="F255" s="91">
        <v>236058</v>
      </c>
      <c r="G255" s="91">
        <v>5020000</v>
      </c>
      <c r="H255" s="87"/>
      <c r="I255" s="90" t="s">
        <v>25</v>
      </c>
      <c r="J255" s="88" t="str">
        <f t="shared" si="3"/>
        <v>重复</v>
      </c>
      <c r="K255" s="88" t="str">
        <f t="shared" si="3"/>
        <v>不重复</v>
      </c>
    </row>
    <row r="256" spans="1:11" ht="20.25" customHeight="1">
      <c r="A256" s="89" t="s">
        <v>5995</v>
      </c>
      <c r="B256" s="90" t="s">
        <v>5996</v>
      </c>
      <c r="C256" s="90" t="s">
        <v>949</v>
      </c>
      <c r="D256" s="90" t="s">
        <v>5997</v>
      </c>
      <c r="E256" s="89" t="s">
        <v>45</v>
      </c>
      <c r="F256" s="91">
        <v>236059</v>
      </c>
      <c r="G256" s="91">
        <v>5020000</v>
      </c>
      <c r="H256" s="87"/>
      <c r="I256" s="90" t="s">
        <v>25</v>
      </c>
      <c r="J256" s="88" t="str">
        <f t="shared" si="3"/>
        <v>重复</v>
      </c>
      <c r="K256" s="88" t="str">
        <f t="shared" si="3"/>
        <v>不重复</v>
      </c>
    </row>
    <row r="257" spans="1:11" ht="20.25" customHeight="1">
      <c r="A257" s="89" t="s">
        <v>5998</v>
      </c>
      <c r="B257" s="90" t="s">
        <v>5999</v>
      </c>
      <c r="C257" s="90" t="s">
        <v>25</v>
      </c>
      <c r="D257" s="90" t="s">
        <v>6000</v>
      </c>
      <c r="E257" s="89" t="s">
        <v>45</v>
      </c>
      <c r="F257" s="91">
        <v>236061</v>
      </c>
      <c r="G257" s="91">
        <v>5020000</v>
      </c>
      <c r="H257" s="87"/>
      <c r="I257" s="90" t="s">
        <v>25</v>
      </c>
      <c r="J257" s="88" t="str">
        <f t="shared" si="3"/>
        <v>重复</v>
      </c>
      <c r="K257" s="88" t="str">
        <f t="shared" si="3"/>
        <v>不重复</v>
      </c>
    </row>
    <row r="258" spans="1:11" ht="20.25" customHeight="1">
      <c r="A258" s="89" t="s">
        <v>6001</v>
      </c>
      <c r="B258" s="90" t="s">
        <v>6002</v>
      </c>
      <c r="C258" s="90" t="s">
        <v>2872</v>
      </c>
      <c r="D258" s="90" t="s">
        <v>6003</v>
      </c>
      <c r="E258" s="89" t="s">
        <v>45</v>
      </c>
      <c r="F258" s="91">
        <v>236062</v>
      </c>
      <c r="G258" s="91">
        <v>5020000</v>
      </c>
      <c r="H258" s="87"/>
      <c r="I258" s="90" t="s">
        <v>25</v>
      </c>
      <c r="J258" s="88" t="str">
        <f t="shared" si="3"/>
        <v>重复</v>
      </c>
      <c r="K258" s="88" t="str">
        <f t="shared" si="3"/>
        <v>不重复</v>
      </c>
    </row>
    <row r="259" spans="1:11" ht="20.25" customHeight="1">
      <c r="A259" s="84" t="s">
        <v>6004</v>
      </c>
      <c r="B259" s="85" t="s">
        <v>6005</v>
      </c>
      <c r="C259" s="85" t="s">
        <v>68</v>
      </c>
      <c r="D259" s="85" t="s">
        <v>6006</v>
      </c>
      <c r="E259" s="84" t="s">
        <v>45</v>
      </c>
      <c r="F259" s="86">
        <v>237000</v>
      </c>
      <c r="G259" s="86">
        <v>5020000</v>
      </c>
      <c r="H259" s="87"/>
      <c r="I259" s="85" t="s">
        <v>25</v>
      </c>
      <c r="J259" s="88" t="str">
        <f t="shared" si="4" ref="J259:K322">IF(COUNTIF(C:C,C259)&gt;=2,"重复","不重复")</f>
        <v>重复</v>
      </c>
      <c r="K259" s="88" t="str">
        <f t="shared" si="4"/>
        <v>不重复</v>
      </c>
    </row>
    <row r="260" spans="1:11" ht="20.25" customHeight="1">
      <c r="A260" s="84" t="s">
        <v>353</v>
      </c>
      <c r="B260" s="85" t="s">
        <v>6007</v>
      </c>
      <c r="C260" s="85" t="s">
        <v>68</v>
      </c>
      <c r="D260" s="85" t="s">
        <v>5204</v>
      </c>
      <c r="E260" s="84" t="s">
        <v>45</v>
      </c>
      <c r="F260" s="86">
        <v>237001</v>
      </c>
      <c r="G260" s="86">
        <v>5020000</v>
      </c>
      <c r="H260" s="87"/>
      <c r="I260" s="85" t="s">
        <v>6008</v>
      </c>
      <c r="J260" s="88" t="str">
        <f t="shared" si="4"/>
        <v>重复</v>
      </c>
      <c r="K260" s="88" t="str">
        <f t="shared" si="4"/>
        <v>不重复</v>
      </c>
    </row>
    <row r="261" spans="1:11" ht="20.25" customHeight="1">
      <c r="A261" s="84" t="s">
        <v>6009</v>
      </c>
      <c r="B261" s="85" t="s">
        <v>6010</v>
      </c>
      <c r="C261" s="85" t="s">
        <v>356</v>
      </c>
      <c r="D261" s="85" t="s">
        <v>6011</v>
      </c>
      <c r="E261" s="84" t="s">
        <v>45</v>
      </c>
      <c r="F261" s="86">
        <v>237002</v>
      </c>
      <c r="G261" s="86">
        <v>5020000</v>
      </c>
      <c r="H261" s="87"/>
      <c r="I261" s="85" t="s">
        <v>25</v>
      </c>
      <c r="J261" s="88" t="str">
        <f t="shared" si="4"/>
        <v>重复</v>
      </c>
      <c r="K261" s="88" t="str">
        <f t="shared" si="4"/>
        <v>不重复</v>
      </c>
    </row>
    <row r="262" spans="1:11" ht="20.25" customHeight="1">
      <c r="A262" s="84" t="s">
        <v>355</v>
      </c>
      <c r="B262" s="85" t="s">
        <v>6012</v>
      </c>
      <c r="C262" s="85" t="s">
        <v>356</v>
      </c>
      <c r="D262" s="85" t="s">
        <v>357</v>
      </c>
      <c r="E262" s="84" t="s">
        <v>45</v>
      </c>
      <c r="F262" s="86">
        <v>237003</v>
      </c>
      <c r="G262" s="86">
        <v>5020000</v>
      </c>
      <c r="H262" s="87"/>
      <c r="I262" s="85" t="s">
        <v>6008</v>
      </c>
      <c r="J262" s="88" t="str">
        <f t="shared" si="4"/>
        <v>重复</v>
      </c>
      <c r="K262" s="88" t="str">
        <f t="shared" si="4"/>
        <v>不重复</v>
      </c>
    </row>
    <row r="263" spans="1:11" ht="20.25" customHeight="1">
      <c r="A263" s="84" t="s">
        <v>6013</v>
      </c>
      <c r="B263" s="85" t="s">
        <v>371</v>
      </c>
      <c r="C263" s="85" t="s">
        <v>4243</v>
      </c>
      <c r="D263" s="85" t="s">
        <v>373</v>
      </c>
      <c r="E263" s="84" t="s">
        <v>45</v>
      </c>
      <c r="F263" s="86">
        <v>237004</v>
      </c>
      <c r="G263" s="86">
        <v>5020000</v>
      </c>
      <c r="H263" s="87"/>
      <c r="I263" s="85" t="s">
        <v>25</v>
      </c>
      <c r="J263" s="88" t="str">
        <f t="shared" si="4"/>
        <v>重复</v>
      </c>
      <c r="K263" s="88" t="str">
        <f t="shared" si="4"/>
        <v>不重复</v>
      </c>
    </row>
    <row r="264" spans="1:11" ht="20.25" customHeight="1">
      <c r="A264" s="84" t="s">
        <v>361</v>
      </c>
      <c r="B264" s="85" t="s">
        <v>6014</v>
      </c>
      <c r="C264" s="85" t="s">
        <v>362</v>
      </c>
      <c r="D264" s="85" t="s">
        <v>363</v>
      </c>
      <c r="E264" s="84" t="s">
        <v>45</v>
      </c>
      <c r="F264" s="86">
        <v>237005</v>
      </c>
      <c r="G264" s="86">
        <v>5020000</v>
      </c>
      <c r="H264" s="87"/>
      <c r="I264" s="85" t="s">
        <v>5913</v>
      </c>
      <c r="J264" s="88" t="str">
        <f t="shared" si="4"/>
        <v>不重复</v>
      </c>
      <c r="K264" s="88" t="str">
        <f t="shared" si="4"/>
        <v>不重复</v>
      </c>
    </row>
    <row r="265" spans="1:11" ht="20.25" customHeight="1">
      <c r="A265" s="84" t="s">
        <v>6015</v>
      </c>
      <c r="B265" s="85" t="s">
        <v>6016</v>
      </c>
      <c r="C265" s="85" t="s">
        <v>6017</v>
      </c>
      <c r="D265" s="85" t="s">
        <v>366</v>
      </c>
      <c r="E265" s="84" t="s">
        <v>45</v>
      </c>
      <c r="F265" s="86">
        <v>237006</v>
      </c>
      <c r="G265" s="86">
        <v>5020000</v>
      </c>
      <c r="H265" s="87"/>
      <c r="I265" s="85" t="s">
        <v>5913</v>
      </c>
      <c r="J265" s="88" t="str">
        <f t="shared" si="4"/>
        <v>不重复</v>
      </c>
      <c r="K265" s="88" t="str">
        <f t="shared" si="4"/>
        <v>不重复</v>
      </c>
    </row>
    <row r="266" spans="1:11" ht="20.25" customHeight="1">
      <c r="A266" s="84" t="s">
        <v>367</v>
      </c>
      <c r="B266" s="85" t="s">
        <v>6018</v>
      </c>
      <c r="C266" s="85" t="s">
        <v>368</v>
      </c>
      <c r="D266" s="85" t="s">
        <v>369</v>
      </c>
      <c r="E266" s="84" t="s">
        <v>45</v>
      </c>
      <c r="F266" s="86">
        <v>237007</v>
      </c>
      <c r="G266" s="86">
        <v>5020000</v>
      </c>
      <c r="H266" s="87"/>
      <c r="I266" s="85" t="s">
        <v>5498</v>
      </c>
      <c r="J266" s="88" t="str">
        <f t="shared" si="4"/>
        <v>不重复</v>
      </c>
      <c r="K266" s="88" t="str">
        <f t="shared" si="4"/>
        <v>不重复</v>
      </c>
    </row>
    <row r="267" spans="1:11" ht="20.25" customHeight="1">
      <c r="A267" s="84" t="s">
        <v>370</v>
      </c>
      <c r="B267" s="85" t="s">
        <v>6019</v>
      </c>
      <c r="C267" s="85" t="s">
        <v>372</v>
      </c>
      <c r="D267" s="85" t="s">
        <v>6020</v>
      </c>
      <c r="E267" s="84" t="s">
        <v>45</v>
      </c>
      <c r="F267" s="86">
        <v>237008</v>
      </c>
      <c r="G267" s="86">
        <v>5020000</v>
      </c>
      <c r="H267" s="87"/>
      <c r="I267" s="85" t="s">
        <v>25</v>
      </c>
      <c r="J267" s="88" t="str">
        <f t="shared" si="4"/>
        <v>重复</v>
      </c>
      <c r="K267" s="88" t="str">
        <f t="shared" si="4"/>
        <v>不重复</v>
      </c>
    </row>
    <row r="268" spans="1:11" ht="20.25" customHeight="1">
      <c r="A268" s="84" t="s">
        <v>374</v>
      </c>
      <c r="B268" s="85" t="s">
        <v>6021</v>
      </c>
      <c r="C268" s="85" t="s">
        <v>375</v>
      </c>
      <c r="D268" s="85" t="s">
        <v>376</v>
      </c>
      <c r="E268" s="84" t="s">
        <v>45</v>
      </c>
      <c r="F268" s="86">
        <v>237009</v>
      </c>
      <c r="G268" s="86">
        <v>5020000</v>
      </c>
      <c r="H268" s="87"/>
      <c r="I268" s="85" t="s">
        <v>5489</v>
      </c>
      <c r="J268" s="88" t="str">
        <f t="shared" si="4"/>
        <v>不重复</v>
      </c>
      <c r="K268" s="88" t="str">
        <f t="shared" si="4"/>
        <v>不重复</v>
      </c>
    </row>
    <row r="269" spans="1:11" ht="20.25" customHeight="1">
      <c r="A269" s="84" t="s">
        <v>6022</v>
      </c>
      <c r="B269" s="85" t="s">
        <v>6023</v>
      </c>
      <c r="C269" s="85" t="s">
        <v>304</v>
      </c>
      <c r="D269" s="85" t="s">
        <v>364</v>
      </c>
      <c r="E269" s="84" t="s">
        <v>45</v>
      </c>
      <c r="F269" s="86">
        <v>237010</v>
      </c>
      <c r="G269" s="86">
        <v>5020000</v>
      </c>
      <c r="H269" s="87"/>
      <c r="I269" s="84" t="s">
        <v>10051</v>
      </c>
      <c r="J269" s="88" t="str">
        <f t="shared" si="4"/>
        <v>重复</v>
      </c>
      <c r="K269" s="88" t="str">
        <f t="shared" si="4"/>
        <v>不重复</v>
      </c>
    </row>
    <row r="270" spans="1:11" ht="20.25" customHeight="1">
      <c r="A270" s="84" t="s">
        <v>378</v>
      </c>
      <c r="B270" s="85" t="s">
        <v>6024</v>
      </c>
      <c r="C270" s="85" t="s">
        <v>379</v>
      </c>
      <c r="D270" s="85" t="s">
        <v>380</v>
      </c>
      <c r="E270" s="84" t="s">
        <v>45</v>
      </c>
      <c r="F270" s="86">
        <v>237011</v>
      </c>
      <c r="G270" s="86">
        <v>5020000</v>
      </c>
      <c r="H270" s="87"/>
      <c r="I270" s="85" t="s">
        <v>5734</v>
      </c>
      <c r="J270" s="88" t="str">
        <f t="shared" si="4"/>
        <v>不重复</v>
      </c>
      <c r="K270" s="88" t="str">
        <f t="shared" si="4"/>
        <v>不重复</v>
      </c>
    </row>
    <row r="271" spans="1:11" ht="20.25" customHeight="1">
      <c r="A271" s="89" t="s">
        <v>6025</v>
      </c>
      <c r="B271" s="90" t="s">
        <v>6026</v>
      </c>
      <c r="C271" s="90" t="s">
        <v>6027</v>
      </c>
      <c r="D271" s="90" t="s">
        <v>6028</v>
      </c>
      <c r="E271" s="89" t="s">
        <v>45</v>
      </c>
      <c r="F271" s="91">
        <v>240000</v>
      </c>
      <c r="G271" s="91">
        <v>5020000</v>
      </c>
      <c r="H271" s="87"/>
      <c r="I271" s="90" t="s">
        <v>25</v>
      </c>
      <c r="J271" s="88" t="str">
        <f t="shared" si="4"/>
        <v>重复</v>
      </c>
      <c r="K271" s="88" t="str">
        <f t="shared" si="4"/>
        <v>不重复</v>
      </c>
    </row>
    <row r="272" spans="1:11" ht="20.25" customHeight="1">
      <c r="A272" s="89" t="s">
        <v>6029</v>
      </c>
      <c r="B272" s="90" t="s">
        <v>6030</v>
      </c>
      <c r="C272" s="90" t="s">
        <v>6027</v>
      </c>
      <c r="D272" s="90" t="s">
        <v>6031</v>
      </c>
      <c r="E272" s="89" t="s">
        <v>45</v>
      </c>
      <c r="F272" s="91">
        <v>240001</v>
      </c>
      <c r="G272" s="91">
        <v>5020000</v>
      </c>
      <c r="H272" s="87"/>
      <c r="I272" s="90" t="s">
        <v>5913</v>
      </c>
      <c r="J272" s="88" t="str">
        <f t="shared" si="4"/>
        <v>重复</v>
      </c>
      <c r="K272" s="88" t="str">
        <f t="shared" si="4"/>
        <v>不重复</v>
      </c>
    </row>
    <row r="273" spans="1:11" ht="20.25" customHeight="1">
      <c r="A273" s="89" t="s">
        <v>6032</v>
      </c>
      <c r="B273" s="90" t="s">
        <v>6033</v>
      </c>
      <c r="C273" s="90" t="s">
        <v>6034</v>
      </c>
      <c r="D273" s="90" t="s">
        <v>6035</v>
      </c>
      <c r="E273" s="89" t="s">
        <v>45</v>
      </c>
      <c r="F273" s="91">
        <v>240002</v>
      </c>
      <c r="G273" s="91">
        <v>5020000</v>
      </c>
      <c r="H273" s="87"/>
      <c r="I273" s="90" t="s">
        <v>5624</v>
      </c>
      <c r="J273" s="88" t="str">
        <f t="shared" si="4"/>
        <v>重复</v>
      </c>
      <c r="K273" s="88" t="str">
        <f t="shared" si="4"/>
        <v>不重复</v>
      </c>
    </row>
    <row r="274" spans="1:11" ht="20.25" customHeight="1">
      <c r="A274" s="89" t="s">
        <v>6036</v>
      </c>
      <c r="B274" s="90" t="s">
        <v>6037</v>
      </c>
      <c r="C274" s="90" t="s">
        <v>6034</v>
      </c>
      <c r="D274" s="90" t="s">
        <v>6038</v>
      </c>
      <c r="E274" s="89" t="s">
        <v>45</v>
      </c>
      <c r="F274" s="91">
        <v>240003</v>
      </c>
      <c r="G274" s="91">
        <v>5020000</v>
      </c>
      <c r="H274" s="87"/>
      <c r="I274" s="90" t="s">
        <v>5624</v>
      </c>
      <c r="J274" s="88" t="str">
        <f t="shared" si="4"/>
        <v>重复</v>
      </c>
      <c r="K274" s="88" t="str">
        <f t="shared" si="4"/>
        <v>不重复</v>
      </c>
    </row>
    <row r="275" spans="1:11" ht="20.25" customHeight="1">
      <c r="A275" s="89" t="s">
        <v>407</v>
      </c>
      <c r="B275" s="90" t="s">
        <v>408</v>
      </c>
      <c r="C275" s="90" t="s">
        <v>382</v>
      </c>
      <c r="D275" s="90" t="s">
        <v>409</v>
      </c>
      <c r="E275" s="89" t="s">
        <v>45</v>
      </c>
      <c r="F275" s="91">
        <v>251000</v>
      </c>
      <c r="G275" s="91">
        <v>5020000</v>
      </c>
      <c r="H275" s="87"/>
      <c r="I275" s="90" t="s">
        <v>25</v>
      </c>
      <c r="J275" s="88" t="str">
        <f t="shared" si="4"/>
        <v>重复</v>
      </c>
      <c r="K275" s="88" t="str">
        <f t="shared" si="4"/>
        <v>不重复</v>
      </c>
    </row>
    <row r="276" spans="1:11" ht="20.25" customHeight="1">
      <c r="A276" s="89" t="s">
        <v>381</v>
      </c>
      <c r="B276" s="90" t="s">
        <v>6039</v>
      </c>
      <c r="C276" s="90" t="s">
        <v>382</v>
      </c>
      <c r="D276" s="90" t="s">
        <v>383</v>
      </c>
      <c r="E276" s="89" t="s">
        <v>45</v>
      </c>
      <c r="F276" s="91">
        <v>251001</v>
      </c>
      <c r="G276" s="91">
        <v>5020000</v>
      </c>
      <c r="H276" s="87"/>
      <c r="I276" s="90" t="s">
        <v>5429</v>
      </c>
      <c r="J276" s="88" t="str">
        <f t="shared" si="4"/>
        <v>重复</v>
      </c>
      <c r="K276" s="88" t="str">
        <f t="shared" si="4"/>
        <v>不重复</v>
      </c>
    </row>
    <row r="277" spans="1:11" ht="20.25" customHeight="1">
      <c r="A277" s="89" t="s">
        <v>385</v>
      </c>
      <c r="B277" s="90" t="s">
        <v>6040</v>
      </c>
      <c r="C277" s="90" t="s">
        <v>386</v>
      </c>
      <c r="D277" s="90" t="s">
        <v>387</v>
      </c>
      <c r="E277" s="89" t="s">
        <v>45</v>
      </c>
      <c r="F277" s="91">
        <v>251002</v>
      </c>
      <c r="G277" s="91">
        <v>5020000</v>
      </c>
      <c r="H277" s="87"/>
      <c r="I277" s="90" t="s">
        <v>6041</v>
      </c>
      <c r="J277" s="88" t="str">
        <f t="shared" si="4"/>
        <v>不重复</v>
      </c>
      <c r="K277" s="88" t="str">
        <f t="shared" si="4"/>
        <v>不重复</v>
      </c>
    </row>
    <row r="278" spans="1:11" ht="20.25" customHeight="1">
      <c r="A278" s="89" t="s">
        <v>388</v>
      </c>
      <c r="B278" s="90" t="s">
        <v>6042</v>
      </c>
      <c r="C278" s="90" t="s">
        <v>389</v>
      </c>
      <c r="D278" s="90" t="s">
        <v>6043</v>
      </c>
      <c r="E278" s="89" t="s">
        <v>45</v>
      </c>
      <c r="F278" s="91">
        <v>251003</v>
      </c>
      <c r="G278" s="91">
        <v>5020000</v>
      </c>
      <c r="H278" s="87"/>
      <c r="I278" s="90" t="s">
        <v>5422</v>
      </c>
      <c r="J278" s="88" t="str">
        <f t="shared" si="4"/>
        <v>不重复</v>
      </c>
      <c r="K278" s="88" t="str">
        <f t="shared" si="4"/>
        <v>不重复</v>
      </c>
    </row>
    <row r="279" spans="1:11" ht="20.25" customHeight="1">
      <c r="A279" s="89" t="s">
        <v>391</v>
      </c>
      <c r="B279" s="90" t="s">
        <v>6044</v>
      </c>
      <c r="C279" s="90" t="s">
        <v>307</v>
      </c>
      <c r="D279" s="90" t="s">
        <v>390</v>
      </c>
      <c r="E279" s="89" t="s">
        <v>45</v>
      </c>
      <c r="F279" s="91">
        <v>251004</v>
      </c>
      <c r="G279" s="91">
        <v>5020000</v>
      </c>
      <c r="H279" s="87"/>
      <c r="I279" s="90" t="s">
        <v>6045</v>
      </c>
      <c r="J279" s="88" t="str">
        <f t="shared" si="4"/>
        <v>重复</v>
      </c>
      <c r="K279" s="88" t="str">
        <f t="shared" si="4"/>
        <v>不重复</v>
      </c>
    </row>
    <row r="280" spans="1:11" ht="20.25" customHeight="1">
      <c r="A280" s="89" t="s">
        <v>392</v>
      </c>
      <c r="B280" s="90" t="s">
        <v>6046</v>
      </c>
      <c r="C280" s="90" t="s">
        <v>393</v>
      </c>
      <c r="D280" s="90" t="s">
        <v>394</v>
      </c>
      <c r="E280" s="89" t="s">
        <v>45</v>
      </c>
      <c r="F280" s="91">
        <v>251005</v>
      </c>
      <c r="G280" s="91">
        <v>5020000</v>
      </c>
      <c r="H280" s="87"/>
      <c r="I280" s="90" t="s">
        <v>6047</v>
      </c>
      <c r="J280" s="88" t="str">
        <f t="shared" si="4"/>
        <v>不重复</v>
      </c>
      <c r="K280" s="88" t="str">
        <f t="shared" si="4"/>
        <v>不重复</v>
      </c>
    </row>
    <row r="281" spans="1:11" ht="20.25" customHeight="1">
      <c r="A281" s="89" t="s">
        <v>395</v>
      </c>
      <c r="B281" s="90" t="s">
        <v>6048</v>
      </c>
      <c r="C281" s="90" t="s">
        <v>396</v>
      </c>
      <c r="D281" s="90" t="s">
        <v>397</v>
      </c>
      <c r="E281" s="89" t="s">
        <v>45</v>
      </c>
      <c r="F281" s="91">
        <v>251006</v>
      </c>
      <c r="G281" s="91">
        <v>5020000</v>
      </c>
      <c r="H281" s="87"/>
      <c r="I281" s="90" t="s">
        <v>5373</v>
      </c>
      <c r="J281" s="88" t="str">
        <f t="shared" si="4"/>
        <v>重复</v>
      </c>
      <c r="K281" s="88" t="str">
        <f t="shared" si="4"/>
        <v>不重复</v>
      </c>
    </row>
    <row r="282" spans="1:11" ht="20.25" customHeight="1">
      <c r="A282" s="89" t="s">
        <v>398</v>
      </c>
      <c r="B282" s="90" t="s">
        <v>6049</v>
      </c>
      <c r="C282" s="90" t="s">
        <v>399</v>
      </c>
      <c r="D282" s="90" t="s">
        <v>400</v>
      </c>
      <c r="E282" s="89" t="s">
        <v>45</v>
      </c>
      <c r="F282" s="91">
        <v>251007</v>
      </c>
      <c r="G282" s="91">
        <v>5020000</v>
      </c>
      <c r="H282" s="87"/>
      <c r="I282" s="90" t="s">
        <v>6050</v>
      </c>
      <c r="J282" s="88" t="str">
        <f t="shared" si="4"/>
        <v>重复</v>
      </c>
      <c r="K282" s="88" t="str">
        <f t="shared" si="4"/>
        <v>不重复</v>
      </c>
    </row>
    <row r="283" spans="1:11" ht="20.25" customHeight="1">
      <c r="A283" s="89" t="s">
        <v>6051</v>
      </c>
      <c r="B283" s="90" t="s">
        <v>6052</v>
      </c>
      <c r="C283" s="90" t="s">
        <v>1585</v>
      </c>
      <c r="D283" s="90" t="s">
        <v>6053</v>
      </c>
      <c r="E283" s="89" t="s">
        <v>45</v>
      </c>
      <c r="F283" s="91">
        <v>251008</v>
      </c>
      <c r="G283" s="91">
        <v>5020000</v>
      </c>
      <c r="H283" s="87"/>
      <c r="I283" s="90" t="s">
        <v>5570</v>
      </c>
      <c r="J283" s="88" t="str">
        <f t="shared" si="4"/>
        <v>重复</v>
      </c>
      <c r="K283" s="88" t="str">
        <f t="shared" si="4"/>
        <v>不重复</v>
      </c>
    </row>
    <row r="284" spans="1:11" ht="20.25" customHeight="1">
      <c r="A284" s="89" t="s">
        <v>401</v>
      </c>
      <c r="B284" s="90" t="s">
        <v>6054</v>
      </c>
      <c r="C284" s="90" t="s">
        <v>402</v>
      </c>
      <c r="D284" s="90" t="s">
        <v>403</v>
      </c>
      <c r="E284" s="89" t="s">
        <v>45</v>
      </c>
      <c r="F284" s="91">
        <v>251009</v>
      </c>
      <c r="G284" s="91">
        <v>5020000</v>
      </c>
      <c r="H284" s="87"/>
      <c r="I284" s="90" t="s">
        <v>6045</v>
      </c>
      <c r="J284" s="88" t="str">
        <f t="shared" si="4"/>
        <v>重复</v>
      </c>
      <c r="K284" s="88" t="str">
        <f t="shared" si="4"/>
        <v>不重复</v>
      </c>
    </row>
    <row r="285" spans="1:11" ht="20.25" customHeight="1">
      <c r="A285" s="89" t="s">
        <v>404</v>
      </c>
      <c r="B285" s="90" t="s">
        <v>6055</v>
      </c>
      <c r="C285" s="90" t="s">
        <v>405</v>
      </c>
      <c r="D285" s="90" t="s">
        <v>406</v>
      </c>
      <c r="E285" s="89" t="s">
        <v>45</v>
      </c>
      <c r="F285" s="91">
        <v>251010</v>
      </c>
      <c r="G285" s="91">
        <v>5020000</v>
      </c>
      <c r="H285" s="87"/>
      <c r="I285" s="90" t="s">
        <v>6056</v>
      </c>
      <c r="J285" s="88" t="str">
        <f t="shared" si="4"/>
        <v>重复</v>
      </c>
      <c r="K285" s="88" t="str">
        <f t="shared" si="4"/>
        <v>不重复</v>
      </c>
    </row>
    <row r="286" spans="1:11" ht="20.25" customHeight="1">
      <c r="A286" s="89" t="s">
        <v>6057</v>
      </c>
      <c r="B286" s="90" t="s">
        <v>6058</v>
      </c>
      <c r="C286" s="90" t="s">
        <v>6059</v>
      </c>
      <c r="D286" s="90" t="s">
        <v>6060</v>
      </c>
      <c r="E286" s="89" t="s">
        <v>45</v>
      </c>
      <c r="F286" s="91">
        <v>251011</v>
      </c>
      <c r="G286" s="91">
        <v>5020000</v>
      </c>
      <c r="H286" s="87"/>
      <c r="I286" s="90" t="s">
        <v>25</v>
      </c>
      <c r="J286" s="88" t="str">
        <f t="shared" si="4"/>
        <v>不重复</v>
      </c>
      <c r="K286" s="88" t="str">
        <f t="shared" si="4"/>
        <v>不重复</v>
      </c>
    </row>
    <row r="287" spans="1:11" ht="20.25" customHeight="1">
      <c r="A287" s="89" t="s">
        <v>410</v>
      </c>
      <c r="B287" s="90" t="s">
        <v>6061</v>
      </c>
      <c r="C287" s="90" t="s">
        <v>326</v>
      </c>
      <c r="D287" s="90" t="s">
        <v>411</v>
      </c>
      <c r="E287" s="89" t="s">
        <v>45</v>
      </c>
      <c r="F287" s="91">
        <v>251012</v>
      </c>
      <c r="G287" s="91">
        <v>5020000</v>
      </c>
      <c r="H287" s="87"/>
      <c r="I287" s="90" t="s">
        <v>6062</v>
      </c>
      <c r="J287" s="88" t="str">
        <f t="shared" si="4"/>
        <v>重复</v>
      </c>
      <c r="K287" s="88" t="str">
        <f t="shared" si="4"/>
        <v>不重复</v>
      </c>
    </row>
    <row r="288" spans="1:11" ht="20.25" customHeight="1">
      <c r="A288" s="84" t="s">
        <v>6063</v>
      </c>
      <c r="B288" s="85" t="s">
        <v>6064</v>
      </c>
      <c r="C288" s="85" t="s">
        <v>413</v>
      </c>
      <c r="D288" s="85" t="s">
        <v>6065</v>
      </c>
      <c r="E288" s="84" t="s">
        <v>45</v>
      </c>
      <c r="F288" s="86">
        <v>251013</v>
      </c>
      <c r="G288" s="86">
        <v>5020000</v>
      </c>
      <c r="H288" s="87"/>
      <c r="I288" s="85" t="s">
        <v>25</v>
      </c>
      <c r="J288" s="88" t="str">
        <f t="shared" si="4"/>
        <v>重复</v>
      </c>
      <c r="K288" s="88" t="str">
        <f t="shared" si="4"/>
        <v>不重复</v>
      </c>
    </row>
    <row r="289" spans="1:11" ht="20.25" customHeight="1">
      <c r="A289" s="84" t="s">
        <v>412</v>
      </c>
      <c r="B289" s="85" t="s">
        <v>6066</v>
      </c>
      <c r="C289" s="85" t="s">
        <v>413</v>
      </c>
      <c r="D289" s="85" t="s">
        <v>414</v>
      </c>
      <c r="E289" s="84" t="s">
        <v>45</v>
      </c>
      <c r="F289" s="86">
        <v>251014</v>
      </c>
      <c r="G289" s="86">
        <v>5020000</v>
      </c>
      <c r="H289" s="87"/>
      <c r="I289" s="85" t="s">
        <v>6067</v>
      </c>
      <c r="J289" s="88" t="str">
        <f t="shared" si="4"/>
        <v>重复</v>
      </c>
      <c r="K289" s="88" t="str">
        <f t="shared" si="4"/>
        <v>不重复</v>
      </c>
    </row>
    <row r="290" spans="1:11" ht="20.25" customHeight="1">
      <c r="A290" s="89" t="s">
        <v>6068</v>
      </c>
      <c r="B290" s="90" t="s">
        <v>6069</v>
      </c>
      <c r="C290" s="90" t="s">
        <v>422</v>
      </c>
      <c r="D290" s="90" t="s">
        <v>6070</v>
      </c>
      <c r="E290" s="89" t="s">
        <v>45</v>
      </c>
      <c r="F290" s="91">
        <v>251015</v>
      </c>
      <c r="G290" s="91">
        <v>5020000</v>
      </c>
      <c r="H290" s="87"/>
      <c r="I290" s="90" t="s">
        <v>25</v>
      </c>
      <c r="J290" s="88" t="str">
        <f t="shared" si="4"/>
        <v>重复</v>
      </c>
      <c r="K290" s="88" t="str">
        <f t="shared" si="4"/>
        <v>不重复</v>
      </c>
    </row>
    <row r="291" spans="1:11" ht="20.25" customHeight="1">
      <c r="A291" s="89" t="s">
        <v>421</v>
      </c>
      <c r="B291" s="90" t="s">
        <v>6071</v>
      </c>
      <c r="C291" s="90" t="s">
        <v>422</v>
      </c>
      <c r="D291" s="90" t="s">
        <v>423</v>
      </c>
      <c r="E291" s="89" t="s">
        <v>45</v>
      </c>
      <c r="F291" s="91">
        <v>251016</v>
      </c>
      <c r="G291" s="91">
        <v>5020000</v>
      </c>
      <c r="H291" s="87"/>
      <c r="I291" s="90" t="s">
        <v>6072</v>
      </c>
      <c r="J291" s="88" t="str">
        <f t="shared" si="4"/>
        <v>重复</v>
      </c>
      <c r="K291" s="88" t="str">
        <f t="shared" si="4"/>
        <v>不重复</v>
      </c>
    </row>
    <row r="292" spans="1:11" ht="20.25" customHeight="1">
      <c r="A292" s="89" t="s">
        <v>424</v>
      </c>
      <c r="B292" s="90" t="s">
        <v>425</v>
      </c>
      <c r="C292" s="90" t="s">
        <v>426</v>
      </c>
      <c r="D292" s="90" t="s">
        <v>427</v>
      </c>
      <c r="E292" s="89" t="s">
        <v>45</v>
      </c>
      <c r="F292" s="91">
        <v>251017</v>
      </c>
      <c r="G292" s="91">
        <v>5020000</v>
      </c>
      <c r="H292" s="87"/>
      <c r="I292" s="90" t="s">
        <v>6073</v>
      </c>
      <c r="J292" s="88" t="str">
        <f t="shared" si="4"/>
        <v>重复</v>
      </c>
      <c r="K292" s="88" t="str">
        <f t="shared" si="4"/>
        <v>不重复</v>
      </c>
    </row>
    <row r="293" spans="1:11" ht="20.25" customHeight="1">
      <c r="A293" s="89" t="s">
        <v>428</v>
      </c>
      <c r="B293" s="90" t="s">
        <v>6074</v>
      </c>
      <c r="C293" s="90" t="s">
        <v>262</v>
      </c>
      <c r="D293" s="90" t="s">
        <v>429</v>
      </c>
      <c r="E293" s="89" t="s">
        <v>45</v>
      </c>
      <c r="F293" s="91">
        <v>251018</v>
      </c>
      <c r="G293" s="91">
        <v>5020000</v>
      </c>
      <c r="H293" s="87"/>
      <c r="I293" s="90" t="s">
        <v>6072</v>
      </c>
      <c r="J293" s="88" t="str">
        <f t="shared" si="4"/>
        <v>重复</v>
      </c>
      <c r="K293" s="88" t="str">
        <f t="shared" si="4"/>
        <v>不重复</v>
      </c>
    </row>
    <row r="294" spans="1:11" ht="20.25" customHeight="1">
      <c r="A294" s="89" t="s">
        <v>6075</v>
      </c>
      <c r="B294" s="90" t="s">
        <v>6076</v>
      </c>
      <c r="C294" s="90" t="s">
        <v>127</v>
      </c>
      <c r="D294" s="90" t="s">
        <v>3993</v>
      </c>
      <c r="E294" s="89" t="s">
        <v>45</v>
      </c>
      <c r="F294" s="91">
        <v>251019</v>
      </c>
      <c r="G294" s="91">
        <v>5020000</v>
      </c>
      <c r="H294" s="87"/>
      <c r="I294" s="90" t="s">
        <v>25</v>
      </c>
      <c r="J294" s="88" t="str">
        <f t="shared" si="4"/>
        <v>不重复</v>
      </c>
      <c r="K294" s="88" t="str">
        <f t="shared" si="4"/>
        <v>不重复</v>
      </c>
    </row>
    <row r="295" spans="1:11" ht="20.25" customHeight="1">
      <c r="A295" s="89" t="s">
        <v>592</v>
      </c>
      <c r="B295" s="90" t="s">
        <v>6077</v>
      </c>
      <c r="C295" s="90" t="s">
        <v>593</v>
      </c>
      <c r="D295" s="90" t="s">
        <v>594</v>
      </c>
      <c r="E295" s="89" t="s">
        <v>45</v>
      </c>
      <c r="F295" s="91">
        <v>251020</v>
      </c>
      <c r="G295" s="91">
        <v>5020000</v>
      </c>
      <c r="H295" s="87"/>
      <c r="I295" s="90" t="s">
        <v>6078</v>
      </c>
      <c r="J295" s="88" t="str">
        <f t="shared" si="4"/>
        <v>重复</v>
      </c>
      <c r="K295" s="88" t="str">
        <f t="shared" si="4"/>
        <v>不重复</v>
      </c>
    </row>
    <row r="296" spans="1:11" ht="20.25" customHeight="1">
      <c r="A296" s="89" t="s">
        <v>6079</v>
      </c>
      <c r="B296" s="90" t="s">
        <v>6080</v>
      </c>
      <c r="C296" s="90" t="s">
        <v>3299</v>
      </c>
      <c r="D296" s="90" t="s">
        <v>6081</v>
      </c>
      <c r="E296" s="89" t="s">
        <v>45</v>
      </c>
      <c r="F296" s="91">
        <v>251021</v>
      </c>
      <c r="G296" s="91">
        <v>5020000</v>
      </c>
      <c r="H296" s="87"/>
      <c r="I296" s="90" t="s">
        <v>5553</v>
      </c>
      <c r="J296" s="88" t="str">
        <f t="shared" si="4"/>
        <v>重复</v>
      </c>
      <c r="K296" s="88" t="str">
        <f t="shared" si="4"/>
        <v>不重复</v>
      </c>
    </row>
    <row r="297" spans="1:11" ht="20.25" customHeight="1">
      <c r="A297" s="89" t="s">
        <v>595</v>
      </c>
      <c r="B297" s="90" t="s">
        <v>6082</v>
      </c>
      <c r="C297" s="90" t="s">
        <v>596</v>
      </c>
      <c r="D297" s="90" t="s">
        <v>597</v>
      </c>
      <c r="E297" s="89" t="s">
        <v>45</v>
      </c>
      <c r="F297" s="91">
        <v>251022</v>
      </c>
      <c r="G297" s="91">
        <v>5020000</v>
      </c>
      <c r="H297" s="87"/>
      <c r="I297" s="90" t="s">
        <v>6078</v>
      </c>
      <c r="J297" s="88" t="str">
        <f t="shared" si="4"/>
        <v>重复</v>
      </c>
      <c r="K297" s="88" t="str">
        <f t="shared" si="4"/>
        <v>不重复</v>
      </c>
    </row>
    <row r="298" spans="1:11" ht="20.25" customHeight="1">
      <c r="A298" s="89" t="s">
        <v>6083</v>
      </c>
      <c r="B298" s="90" t="s">
        <v>6084</v>
      </c>
      <c r="C298" s="90" t="s">
        <v>482</v>
      </c>
      <c r="D298" s="90" t="s">
        <v>6085</v>
      </c>
      <c r="E298" s="89" t="s">
        <v>45</v>
      </c>
      <c r="F298" s="91">
        <v>251023</v>
      </c>
      <c r="G298" s="91">
        <v>5020000</v>
      </c>
      <c r="H298" s="87"/>
      <c r="I298" s="90" t="s">
        <v>25</v>
      </c>
      <c r="J298" s="88" t="str">
        <f t="shared" si="4"/>
        <v>重复</v>
      </c>
      <c r="K298" s="88" t="str">
        <f t="shared" si="4"/>
        <v>不重复</v>
      </c>
    </row>
    <row r="299" spans="1:11" ht="20.25" customHeight="1">
      <c r="A299" s="89" t="s">
        <v>481</v>
      </c>
      <c r="B299" s="90" t="s">
        <v>6086</v>
      </c>
      <c r="C299" s="90" t="s">
        <v>482</v>
      </c>
      <c r="D299" s="90" t="s">
        <v>483</v>
      </c>
      <c r="E299" s="89" t="s">
        <v>45</v>
      </c>
      <c r="F299" s="91">
        <v>251024</v>
      </c>
      <c r="G299" s="91">
        <v>5020000</v>
      </c>
      <c r="H299" s="87"/>
      <c r="I299" s="90" t="s">
        <v>6087</v>
      </c>
      <c r="J299" s="88" t="str">
        <f t="shared" si="4"/>
        <v>重复</v>
      </c>
      <c r="K299" s="88" t="str">
        <f t="shared" si="4"/>
        <v>不重复</v>
      </c>
    </row>
    <row r="300" spans="1:11" ht="20.25" customHeight="1">
      <c r="A300" s="89" t="s">
        <v>868</v>
      </c>
      <c r="B300" s="90" t="s">
        <v>6088</v>
      </c>
      <c r="C300" s="90" t="s">
        <v>869</v>
      </c>
      <c r="D300" s="90" t="s">
        <v>665</v>
      </c>
      <c r="E300" s="89" t="s">
        <v>45</v>
      </c>
      <c r="F300" s="91">
        <v>251025</v>
      </c>
      <c r="G300" s="91">
        <v>5020000</v>
      </c>
      <c r="H300" s="87"/>
      <c r="I300" s="90" t="s">
        <v>25</v>
      </c>
      <c r="J300" s="88" t="str">
        <f t="shared" si="4"/>
        <v>重复</v>
      </c>
      <c r="K300" s="88" t="str">
        <f t="shared" si="4"/>
        <v>不重复</v>
      </c>
    </row>
    <row r="301" spans="1:11" ht="20.25" customHeight="1">
      <c r="A301" s="89" t="s">
        <v>868</v>
      </c>
      <c r="B301" s="90" t="s">
        <v>6089</v>
      </c>
      <c r="C301" s="90" t="s">
        <v>869</v>
      </c>
      <c r="D301" s="90" t="s">
        <v>6090</v>
      </c>
      <c r="E301" s="89" t="s">
        <v>45</v>
      </c>
      <c r="F301" s="91">
        <v>251026</v>
      </c>
      <c r="G301" s="91">
        <v>5020000</v>
      </c>
      <c r="H301" s="87"/>
      <c r="I301" s="90" t="s">
        <v>5403</v>
      </c>
      <c r="J301" s="88" t="str">
        <f t="shared" si="4"/>
        <v>重复</v>
      </c>
      <c r="K301" s="88" t="str">
        <f t="shared" si="4"/>
        <v>不重复</v>
      </c>
    </row>
    <row r="302" spans="1:11" ht="20.25" customHeight="1">
      <c r="A302" s="89" t="s">
        <v>515</v>
      </c>
      <c r="B302" s="90" t="s">
        <v>516</v>
      </c>
      <c r="C302" s="90" t="s">
        <v>517</v>
      </c>
      <c r="D302" s="90" t="s">
        <v>518</v>
      </c>
      <c r="E302" s="89" t="s">
        <v>45</v>
      </c>
      <c r="F302" s="91">
        <v>251027</v>
      </c>
      <c r="G302" s="91">
        <v>5020000</v>
      </c>
      <c r="H302" s="87"/>
      <c r="I302" s="90" t="s">
        <v>25</v>
      </c>
      <c r="J302" s="88" t="str">
        <f t="shared" si="4"/>
        <v>不重复</v>
      </c>
      <c r="K302" s="88" t="str">
        <f t="shared" si="4"/>
        <v>不重复</v>
      </c>
    </row>
    <row r="303" spans="1:11" ht="20.25" customHeight="1">
      <c r="A303" s="89" t="s">
        <v>489</v>
      </c>
      <c r="B303" s="90" t="s">
        <v>6091</v>
      </c>
      <c r="C303" s="90" t="s">
        <v>490</v>
      </c>
      <c r="D303" s="90" t="s">
        <v>491</v>
      </c>
      <c r="E303" s="89" t="s">
        <v>45</v>
      </c>
      <c r="F303" s="91">
        <v>251028</v>
      </c>
      <c r="G303" s="91">
        <v>5020000</v>
      </c>
      <c r="H303" s="87"/>
      <c r="I303" s="90" t="s">
        <v>6078</v>
      </c>
      <c r="J303" s="88" t="str">
        <f t="shared" si="4"/>
        <v>不重复</v>
      </c>
      <c r="K303" s="88" t="str">
        <f t="shared" si="4"/>
        <v>不重复</v>
      </c>
    </row>
    <row r="304" spans="1:11" ht="20.25" customHeight="1">
      <c r="A304" s="89" t="s">
        <v>492</v>
      </c>
      <c r="B304" s="90" t="s">
        <v>6092</v>
      </c>
      <c r="C304" s="90" t="s">
        <v>493</v>
      </c>
      <c r="D304" s="90" t="s">
        <v>494</v>
      </c>
      <c r="E304" s="89" t="s">
        <v>45</v>
      </c>
      <c r="F304" s="91">
        <v>251029</v>
      </c>
      <c r="G304" s="91">
        <v>5020000</v>
      </c>
      <c r="H304" s="87"/>
      <c r="I304" s="90" t="s">
        <v>6045</v>
      </c>
      <c r="J304" s="88" t="str">
        <f t="shared" si="4"/>
        <v>不重复</v>
      </c>
      <c r="K304" s="88" t="str">
        <f t="shared" si="4"/>
        <v>不重复</v>
      </c>
    </row>
    <row r="305" spans="1:11" ht="20.25" customHeight="1">
      <c r="A305" s="89" t="s">
        <v>495</v>
      </c>
      <c r="B305" s="90" t="s">
        <v>6093</v>
      </c>
      <c r="C305" s="90" t="s">
        <v>496</v>
      </c>
      <c r="D305" s="90" t="s">
        <v>497</v>
      </c>
      <c r="E305" s="89" t="s">
        <v>45</v>
      </c>
      <c r="F305" s="91">
        <v>251031</v>
      </c>
      <c r="G305" s="91">
        <v>5020000</v>
      </c>
      <c r="H305" s="87"/>
      <c r="I305" s="90" t="s">
        <v>6094</v>
      </c>
      <c r="J305" s="88" t="str">
        <f t="shared" si="4"/>
        <v>不重复</v>
      </c>
      <c r="K305" s="88" t="str">
        <f t="shared" si="4"/>
        <v>不重复</v>
      </c>
    </row>
    <row r="306" spans="1:11" ht="20.25" customHeight="1">
      <c r="A306" s="89" t="s">
        <v>498</v>
      </c>
      <c r="B306" s="90" t="s">
        <v>6095</v>
      </c>
      <c r="C306" s="90" t="s">
        <v>499</v>
      </c>
      <c r="D306" s="90" t="s">
        <v>500</v>
      </c>
      <c r="E306" s="89" t="s">
        <v>45</v>
      </c>
      <c r="F306" s="91">
        <v>251032</v>
      </c>
      <c r="G306" s="91">
        <v>5020000</v>
      </c>
      <c r="H306" s="87"/>
      <c r="I306" s="90" t="s">
        <v>5515</v>
      </c>
      <c r="J306" s="88" t="str">
        <f t="shared" si="4"/>
        <v>重复</v>
      </c>
      <c r="K306" s="88" t="str">
        <f t="shared" si="4"/>
        <v>不重复</v>
      </c>
    </row>
    <row r="307" spans="1:11" ht="20.25" customHeight="1">
      <c r="A307" s="89" t="s">
        <v>501</v>
      </c>
      <c r="B307" s="90" t="s">
        <v>6096</v>
      </c>
      <c r="C307" s="90" t="s">
        <v>502</v>
      </c>
      <c r="D307" s="90" t="s">
        <v>503</v>
      </c>
      <c r="E307" s="89" t="s">
        <v>45</v>
      </c>
      <c r="F307" s="91">
        <v>251033</v>
      </c>
      <c r="G307" s="91">
        <v>5020000</v>
      </c>
      <c r="H307" s="87"/>
      <c r="I307" s="90" t="s">
        <v>5771</v>
      </c>
      <c r="J307" s="88" t="str">
        <f t="shared" si="4"/>
        <v>重复</v>
      </c>
      <c r="K307" s="88" t="str">
        <f t="shared" si="4"/>
        <v>不重复</v>
      </c>
    </row>
    <row r="308" spans="1:11" ht="20.25" customHeight="1">
      <c r="A308" s="89" t="s">
        <v>504</v>
      </c>
      <c r="B308" s="90" t="s">
        <v>6097</v>
      </c>
      <c r="C308" s="90" t="s">
        <v>505</v>
      </c>
      <c r="D308" s="90" t="s">
        <v>506</v>
      </c>
      <c r="E308" s="89" t="s">
        <v>45</v>
      </c>
      <c r="F308" s="91">
        <v>251034</v>
      </c>
      <c r="G308" s="91">
        <v>5020000</v>
      </c>
      <c r="H308" s="87"/>
      <c r="I308" s="90" t="s">
        <v>6045</v>
      </c>
      <c r="J308" s="88" t="str">
        <f t="shared" si="4"/>
        <v>不重复</v>
      </c>
      <c r="K308" s="88" t="str">
        <f t="shared" si="4"/>
        <v>不重复</v>
      </c>
    </row>
    <row r="309" spans="1:11" ht="20.25" customHeight="1">
      <c r="A309" s="89" t="s">
        <v>507</v>
      </c>
      <c r="B309" s="90" t="s">
        <v>6098</v>
      </c>
      <c r="C309" s="90" t="s">
        <v>508</v>
      </c>
      <c r="D309" s="90" t="s">
        <v>509</v>
      </c>
      <c r="E309" s="89" t="s">
        <v>45</v>
      </c>
      <c r="F309" s="91">
        <v>251035</v>
      </c>
      <c r="G309" s="91">
        <v>5020000</v>
      </c>
      <c r="H309" s="87"/>
      <c r="I309" s="90" t="s">
        <v>6047</v>
      </c>
      <c r="J309" s="88" t="str">
        <f t="shared" si="4"/>
        <v>不重复</v>
      </c>
      <c r="K309" s="88" t="str">
        <f t="shared" si="4"/>
        <v>不重复</v>
      </c>
    </row>
    <row r="310" spans="1:11" ht="20.25" customHeight="1">
      <c r="A310" s="89" t="s">
        <v>510</v>
      </c>
      <c r="B310" s="90" t="s">
        <v>6099</v>
      </c>
      <c r="C310" s="90" t="s">
        <v>499</v>
      </c>
      <c r="D310" s="90" t="s">
        <v>511</v>
      </c>
      <c r="E310" s="89" t="s">
        <v>45</v>
      </c>
      <c r="F310" s="91">
        <v>251036</v>
      </c>
      <c r="G310" s="91">
        <v>5020000</v>
      </c>
      <c r="H310" s="87"/>
      <c r="I310" s="90" t="s">
        <v>6100</v>
      </c>
      <c r="J310" s="88" t="str">
        <f t="shared" si="4"/>
        <v>重复</v>
      </c>
      <c r="K310" s="88" t="str">
        <f t="shared" si="4"/>
        <v>不重复</v>
      </c>
    </row>
    <row r="311" spans="1:11" ht="20.25" customHeight="1">
      <c r="A311" s="89" t="s">
        <v>512</v>
      </c>
      <c r="B311" s="90" t="s">
        <v>6101</v>
      </c>
      <c r="C311" s="90" t="s">
        <v>513</v>
      </c>
      <c r="D311" s="90" t="s">
        <v>514</v>
      </c>
      <c r="E311" s="89" t="s">
        <v>45</v>
      </c>
      <c r="F311" s="91">
        <v>251037</v>
      </c>
      <c r="G311" s="91">
        <v>5020000</v>
      </c>
      <c r="H311" s="87"/>
      <c r="I311" s="90" t="s">
        <v>6102</v>
      </c>
      <c r="J311" s="88" t="str">
        <f t="shared" si="4"/>
        <v>不重复</v>
      </c>
      <c r="K311" s="88" t="str">
        <f t="shared" si="4"/>
        <v>不重复</v>
      </c>
    </row>
    <row r="312" spans="1:11" ht="20.25" customHeight="1">
      <c r="A312" s="89" t="s">
        <v>555</v>
      </c>
      <c r="B312" s="90" t="s">
        <v>556</v>
      </c>
      <c r="C312" s="90" t="s">
        <v>539</v>
      </c>
      <c r="D312" s="90" t="s">
        <v>6103</v>
      </c>
      <c r="E312" s="89" t="s">
        <v>45</v>
      </c>
      <c r="F312" s="91">
        <v>251038</v>
      </c>
      <c r="G312" s="91">
        <v>5020000</v>
      </c>
      <c r="H312" s="87"/>
      <c r="I312" s="90" t="s">
        <v>25</v>
      </c>
      <c r="J312" s="88" t="str">
        <f t="shared" si="4"/>
        <v>重复</v>
      </c>
      <c r="K312" s="88" t="str">
        <f t="shared" si="4"/>
        <v>不重复</v>
      </c>
    </row>
    <row r="313" spans="1:11" ht="20.25" customHeight="1">
      <c r="A313" s="89" t="s">
        <v>522</v>
      </c>
      <c r="B313" s="90" t="s">
        <v>6104</v>
      </c>
      <c r="C313" s="90" t="s">
        <v>523</v>
      </c>
      <c r="D313" s="90" t="s">
        <v>524</v>
      </c>
      <c r="E313" s="89" t="s">
        <v>45</v>
      </c>
      <c r="F313" s="91">
        <v>251039</v>
      </c>
      <c r="G313" s="91">
        <v>5020000</v>
      </c>
      <c r="H313" s="87"/>
      <c r="I313" s="90" t="s">
        <v>6045</v>
      </c>
      <c r="J313" s="88" t="str">
        <f t="shared" si="4"/>
        <v>重复</v>
      </c>
      <c r="K313" s="88" t="str">
        <f t="shared" si="4"/>
        <v>不重复</v>
      </c>
    </row>
    <row r="314" spans="1:11" ht="20.25" customHeight="1">
      <c r="A314" s="89" t="s">
        <v>531</v>
      </c>
      <c r="B314" s="90" t="s">
        <v>6105</v>
      </c>
      <c r="C314" s="90" t="s">
        <v>532</v>
      </c>
      <c r="D314" s="90" t="s">
        <v>527</v>
      </c>
      <c r="E314" s="89" t="s">
        <v>45</v>
      </c>
      <c r="F314" s="91">
        <v>251040</v>
      </c>
      <c r="G314" s="91">
        <v>5020000</v>
      </c>
      <c r="H314" s="87"/>
      <c r="I314" s="90" t="s">
        <v>6106</v>
      </c>
      <c r="J314" s="88" t="str">
        <f t="shared" si="4"/>
        <v>不重复</v>
      </c>
      <c r="K314" s="88" t="str">
        <f t="shared" si="4"/>
        <v>不重复</v>
      </c>
    </row>
    <row r="315" spans="1:11" ht="20.25" customHeight="1">
      <c r="A315" s="89" t="s">
        <v>525</v>
      </c>
      <c r="B315" s="90" t="s">
        <v>6107</v>
      </c>
      <c r="C315" s="90" t="s">
        <v>526</v>
      </c>
      <c r="D315" s="90" t="s">
        <v>6108</v>
      </c>
      <c r="E315" s="89" t="s">
        <v>45</v>
      </c>
      <c r="F315" s="91">
        <v>251041</v>
      </c>
      <c r="G315" s="91">
        <v>5020000</v>
      </c>
      <c r="H315" s="87"/>
      <c r="I315" s="90" t="s">
        <v>5530</v>
      </c>
      <c r="J315" s="88" t="str">
        <f t="shared" si="4"/>
        <v>不重复</v>
      </c>
      <c r="K315" s="88" t="str">
        <f t="shared" si="4"/>
        <v>不重复</v>
      </c>
    </row>
    <row r="316" spans="1:11" ht="20.25" customHeight="1">
      <c r="A316" s="89" t="s">
        <v>528</v>
      </c>
      <c r="B316" s="90" t="s">
        <v>6109</v>
      </c>
      <c r="C316" s="90" t="s">
        <v>529</v>
      </c>
      <c r="D316" s="90" t="s">
        <v>530</v>
      </c>
      <c r="E316" s="89" t="s">
        <v>45</v>
      </c>
      <c r="F316" s="91">
        <v>251042</v>
      </c>
      <c r="G316" s="91">
        <v>5020000</v>
      </c>
      <c r="H316" s="87"/>
      <c r="I316" s="90" t="s">
        <v>6110</v>
      </c>
      <c r="J316" s="88" t="str">
        <f t="shared" si="4"/>
        <v>重复</v>
      </c>
      <c r="K316" s="88" t="str">
        <f t="shared" si="4"/>
        <v>不重复</v>
      </c>
    </row>
    <row r="317" spans="1:11" ht="20.25" customHeight="1">
      <c r="A317" s="89" t="s">
        <v>533</v>
      </c>
      <c r="B317" s="90" t="s">
        <v>534</v>
      </c>
      <c r="C317" s="90" t="s">
        <v>535</v>
      </c>
      <c r="D317" s="90" t="s">
        <v>536</v>
      </c>
      <c r="E317" s="89" t="s">
        <v>45</v>
      </c>
      <c r="F317" s="91">
        <v>251043</v>
      </c>
      <c r="G317" s="91">
        <v>5020000</v>
      </c>
      <c r="H317" s="87"/>
      <c r="I317" s="90" t="s">
        <v>5509</v>
      </c>
      <c r="J317" s="88" t="str">
        <f t="shared" si="4"/>
        <v>重复</v>
      </c>
      <c r="K317" s="88" t="str">
        <f t="shared" si="4"/>
        <v>不重复</v>
      </c>
    </row>
    <row r="318" spans="1:11" ht="20.25" customHeight="1">
      <c r="A318" s="89" t="s">
        <v>537</v>
      </c>
      <c r="B318" s="90" t="s">
        <v>538</v>
      </c>
      <c r="C318" s="90" t="s">
        <v>539</v>
      </c>
      <c r="D318" s="90" t="s">
        <v>540</v>
      </c>
      <c r="E318" s="89" t="s">
        <v>45</v>
      </c>
      <c r="F318" s="91">
        <v>251044</v>
      </c>
      <c r="G318" s="91">
        <v>5020000</v>
      </c>
      <c r="H318" s="87"/>
      <c r="I318" s="90" t="s">
        <v>6111</v>
      </c>
      <c r="J318" s="88" t="str">
        <f t="shared" si="4"/>
        <v>重复</v>
      </c>
      <c r="K318" s="88" t="str">
        <f t="shared" si="4"/>
        <v>不重复</v>
      </c>
    </row>
    <row r="319" spans="1:11" ht="20.25" customHeight="1">
      <c r="A319" s="89" t="s">
        <v>541</v>
      </c>
      <c r="B319" s="90" t="s">
        <v>6112</v>
      </c>
      <c r="C319" s="90" t="s">
        <v>542</v>
      </c>
      <c r="D319" s="90" t="s">
        <v>543</v>
      </c>
      <c r="E319" s="89" t="s">
        <v>45</v>
      </c>
      <c r="F319" s="91">
        <v>251045</v>
      </c>
      <c r="G319" s="91">
        <v>5020000</v>
      </c>
      <c r="H319" s="87"/>
      <c r="I319" s="90" t="s">
        <v>5396</v>
      </c>
      <c r="J319" s="88" t="str">
        <f t="shared" si="4"/>
        <v>不重复</v>
      </c>
      <c r="K319" s="88" t="str">
        <f t="shared" si="4"/>
        <v>不重复</v>
      </c>
    </row>
    <row r="320" spans="1:11" ht="20.25" customHeight="1">
      <c r="A320" s="89" t="s">
        <v>544</v>
      </c>
      <c r="B320" s="90" t="s">
        <v>6113</v>
      </c>
      <c r="C320" s="90" t="s">
        <v>111</v>
      </c>
      <c r="D320" s="90" t="s">
        <v>545</v>
      </c>
      <c r="E320" s="89" t="s">
        <v>45</v>
      </c>
      <c r="F320" s="91">
        <v>251046</v>
      </c>
      <c r="G320" s="91">
        <v>5020000</v>
      </c>
      <c r="H320" s="87"/>
      <c r="I320" s="90" t="s">
        <v>6114</v>
      </c>
      <c r="J320" s="88" t="str">
        <f t="shared" si="4"/>
        <v>重复</v>
      </c>
      <c r="K320" s="88" t="str">
        <f t="shared" si="4"/>
        <v>不重复</v>
      </c>
    </row>
    <row r="321" spans="1:11" ht="20.25" customHeight="1">
      <c r="A321" s="89" t="s">
        <v>546</v>
      </c>
      <c r="B321" s="90" t="s">
        <v>6115</v>
      </c>
      <c r="C321" s="90" t="s">
        <v>547</v>
      </c>
      <c r="D321" s="90" t="s">
        <v>548</v>
      </c>
      <c r="E321" s="89" t="s">
        <v>45</v>
      </c>
      <c r="F321" s="91">
        <v>251047</v>
      </c>
      <c r="G321" s="91">
        <v>5020000</v>
      </c>
      <c r="H321" s="87"/>
      <c r="I321" s="90" t="s">
        <v>6116</v>
      </c>
      <c r="J321" s="88" t="str">
        <f t="shared" si="4"/>
        <v>不重复</v>
      </c>
      <c r="K321" s="88" t="str">
        <f t="shared" si="4"/>
        <v>不重复</v>
      </c>
    </row>
    <row r="322" spans="1:11" ht="20.25" customHeight="1">
      <c r="A322" s="89" t="s">
        <v>549</v>
      </c>
      <c r="B322" s="90" t="s">
        <v>6117</v>
      </c>
      <c r="C322" s="90" t="s">
        <v>550</v>
      </c>
      <c r="D322" s="90" t="s">
        <v>551</v>
      </c>
      <c r="E322" s="89" t="s">
        <v>45</v>
      </c>
      <c r="F322" s="91">
        <v>251048</v>
      </c>
      <c r="G322" s="91">
        <v>5020000</v>
      </c>
      <c r="H322" s="87"/>
      <c r="I322" s="90" t="s">
        <v>6100</v>
      </c>
      <c r="J322" s="88" t="str">
        <f t="shared" si="4"/>
        <v>重复</v>
      </c>
      <c r="K322" s="88" t="str">
        <f t="shared" si="4"/>
        <v>不重复</v>
      </c>
    </row>
    <row r="323" spans="1:11" ht="20.25" customHeight="1">
      <c r="A323" s="89" t="s">
        <v>552</v>
      </c>
      <c r="B323" s="90" t="s">
        <v>6118</v>
      </c>
      <c r="C323" s="90" t="s">
        <v>553</v>
      </c>
      <c r="D323" s="90" t="s">
        <v>554</v>
      </c>
      <c r="E323" s="89" t="s">
        <v>45</v>
      </c>
      <c r="F323" s="91">
        <v>251049</v>
      </c>
      <c r="G323" s="91">
        <v>5020000</v>
      </c>
      <c r="H323" s="87"/>
      <c r="I323" s="90" t="s">
        <v>5396</v>
      </c>
      <c r="J323" s="88" t="str">
        <f t="shared" si="5" ref="J323:K386">IF(COUNTIF(C:C,C323)&gt;=2,"重复","不重复")</f>
        <v>重复</v>
      </c>
      <c r="K323" s="88" t="str">
        <f t="shared" si="5"/>
        <v>不重复</v>
      </c>
    </row>
    <row r="324" spans="1:11" ht="20.25" customHeight="1">
      <c r="A324" s="89" t="s">
        <v>519</v>
      </c>
      <c r="B324" s="90" t="s">
        <v>6119</v>
      </c>
      <c r="C324" s="90" t="s">
        <v>520</v>
      </c>
      <c r="D324" s="90" t="s">
        <v>521</v>
      </c>
      <c r="E324" s="89" t="s">
        <v>45</v>
      </c>
      <c r="F324" s="91">
        <v>251051</v>
      </c>
      <c r="G324" s="91">
        <v>5020000</v>
      </c>
      <c r="H324" s="87"/>
      <c r="I324" s="90" t="s">
        <v>6120</v>
      </c>
      <c r="J324" s="88" t="str">
        <f t="shared" si="5"/>
        <v>不重复</v>
      </c>
      <c r="K324" s="88" t="str">
        <f t="shared" si="5"/>
        <v>不重复</v>
      </c>
    </row>
    <row r="325" spans="1:11" ht="20.25" customHeight="1">
      <c r="A325" s="89" t="s">
        <v>6121</v>
      </c>
      <c r="B325" s="90" t="s">
        <v>6122</v>
      </c>
      <c r="C325" s="90" t="s">
        <v>6123</v>
      </c>
      <c r="D325" s="90" t="s">
        <v>6124</v>
      </c>
      <c r="E325" s="89" t="s">
        <v>45</v>
      </c>
      <c r="F325" s="91">
        <v>251052</v>
      </c>
      <c r="G325" s="91">
        <v>5020000</v>
      </c>
      <c r="H325" s="87"/>
      <c r="I325" s="90" t="s">
        <v>25</v>
      </c>
      <c r="J325" s="88" t="str">
        <f t="shared" si="5"/>
        <v>重复</v>
      </c>
      <c r="K325" s="88" t="str">
        <f t="shared" si="5"/>
        <v>不重复</v>
      </c>
    </row>
    <row r="326" spans="1:11" ht="20.25" customHeight="1">
      <c r="A326" s="89" t="s">
        <v>558</v>
      </c>
      <c r="B326" s="90" t="s">
        <v>6125</v>
      </c>
      <c r="C326" s="90" t="s">
        <v>559</v>
      </c>
      <c r="D326" s="90" t="s">
        <v>560</v>
      </c>
      <c r="E326" s="89" t="s">
        <v>45</v>
      </c>
      <c r="F326" s="91">
        <v>251053</v>
      </c>
      <c r="G326" s="91">
        <v>5020000</v>
      </c>
      <c r="H326" s="87"/>
      <c r="I326" s="90" t="s">
        <v>6126</v>
      </c>
      <c r="J326" s="88" t="str">
        <f t="shared" si="5"/>
        <v>重复</v>
      </c>
      <c r="K326" s="88" t="str">
        <f t="shared" si="5"/>
        <v>不重复</v>
      </c>
    </row>
    <row r="327" spans="1:11" ht="20.25" customHeight="1">
      <c r="A327" s="89" t="s">
        <v>561</v>
      </c>
      <c r="B327" s="90" t="s">
        <v>6127</v>
      </c>
      <c r="C327" s="90" t="s">
        <v>562</v>
      </c>
      <c r="D327" s="90" t="s">
        <v>563</v>
      </c>
      <c r="E327" s="89" t="s">
        <v>45</v>
      </c>
      <c r="F327" s="91">
        <v>251054</v>
      </c>
      <c r="G327" s="91">
        <v>5020000</v>
      </c>
      <c r="H327" s="87"/>
      <c r="I327" s="90" t="s">
        <v>6128</v>
      </c>
      <c r="J327" s="88" t="str">
        <f t="shared" si="5"/>
        <v>重复</v>
      </c>
      <c r="K327" s="88" t="str">
        <f t="shared" si="5"/>
        <v>不重复</v>
      </c>
    </row>
    <row r="328" spans="1:11" ht="20.25" customHeight="1">
      <c r="A328" s="89" t="s">
        <v>6129</v>
      </c>
      <c r="B328" s="90" t="s">
        <v>6130</v>
      </c>
      <c r="C328" s="90" t="s">
        <v>1444</v>
      </c>
      <c r="D328" s="90" t="s">
        <v>6131</v>
      </c>
      <c r="E328" s="89" t="s">
        <v>45</v>
      </c>
      <c r="F328" s="91">
        <v>251055</v>
      </c>
      <c r="G328" s="91">
        <v>5020000</v>
      </c>
      <c r="H328" s="87"/>
      <c r="I328" s="90" t="s">
        <v>6128</v>
      </c>
      <c r="J328" s="88" t="str">
        <f t="shared" si="5"/>
        <v>重复</v>
      </c>
      <c r="K328" s="88" t="str">
        <f t="shared" si="5"/>
        <v>不重复</v>
      </c>
    </row>
    <row r="329" spans="1:11" ht="20.25" customHeight="1">
      <c r="A329" s="89" t="s">
        <v>564</v>
      </c>
      <c r="B329" s="90" t="s">
        <v>6132</v>
      </c>
      <c r="C329" s="90" t="s">
        <v>565</v>
      </c>
      <c r="D329" s="90" t="s">
        <v>566</v>
      </c>
      <c r="E329" s="89" t="s">
        <v>45</v>
      </c>
      <c r="F329" s="91">
        <v>251056</v>
      </c>
      <c r="G329" s="91">
        <v>5020000</v>
      </c>
      <c r="H329" s="87"/>
      <c r="I329" s="90" t="s">
        <v>6133</v>
      </c>
      <c r="J329" s="88" t="str">
        <f t="shared" si="5"/>
        <v>重复</v>
      </c>
      <c r="K329" s="88" t="str">
        <f t="shared" si="5"/>
        <v>不重复</v>
      </c>
    </row>
    <row r="330" spans="1:11" ht="20.25" customHeight="1">
      <c r="A330" s="84" t="s">
        <v>6134</v>
      </c>
      <c r="B330" s="85" t="s">
        <v>6135</v>
      </c>
      <c r="C330" s="85" t="s">
        <v>568</v>
      </c>
      <c r="D330" s="85" t="s">
        <v>6136</v>
      </c>
      <c r="E330" s="84" t="s">
        <v>45</v>
      </c>
      <c r="F330" s="86">
        <v>251057</v>
      </c>
      <c r="G330" s="86">
        <v>5020000</v>
      </c>
      <c r="H330" s="87"/>
      <c r="I330" s="85" t="s">
        <v>25</v>
      </c>
      <c r="J330" s="88" t="str">
        <f t="shared" si="5"/>
        <v>重复</v>
      </c>
      <c r="K330" s="88" t="str">
        <f t="shared" si="5"/>
        <v>不重复</v>
      </c>
    </row>
    <row r="331" spans="1:11" ht="20.25" customHeight="1">
      <c r="A331" s="84" t="s">
        <v>567</v>
      </c>
      <c r="B331" s="85" t="s">
        <v>6137</v>
      </c>
      <c r="C331" s="85" t="s">
        <v>568</v>
      </c>
      <c r="D331" s="85" t="s">
        <v>569</v>
      </c>
      <c r="E331" s="84" t="s">
        <v>45</v>
      </c>
      <c r="F331" s="86">
        <v>251058</v>
      </c>
      <c r="G331" s="86">
        <v>5020000</v>
      </c>
      <c r="H331" s="87"/>
      <c r="I331" s="85" t="s">
        <v>6138</v>
      </c>
      <c r="J331" s="88" t="str">
        <f t="shared" si="5"/>
        <v>重复</v>
      </c>
      <c r="K331" s="88" t="str">
        <f t="shared" si="5"/>
        <v>不重复</v>
      </c>
    </row>
    <row r="332" spans="1:11" ht="20.25" customHeight="1">
      <c r="A332" s="89" t="s">
        <v>6139</v>
      </c>
      <c r="B332" s="90" t="s">
        <v>6140</v>
      </c>
      <c r="C332" s="90" t="s">
        <v>320</v>
      </c>
      <c r="D332" s="90" t="s">
        <v>6141</v>
      </c>
      <c r="E332" s="89" t="s">
        <v>45</v>
      </c>
      <c r="F332" s="91">
        <v>251059</v>
      </c>
      <c r="G332" s="91">
        <v>5020000</v>
      </c>
      <c r="H332" s="87"/>
      <c r="I332" s="90" t="s">
        <v>25</v>
      </c>
      <c r="J332" s="88" t="str">
        <f t="shared" si="5"/>
        <v>重复</v>
      </c>
      <c r="K332" s="88" t="str">
        <f t="shared" si="5"/>
        <v>不重复</v>
      </c>
    </row>
    <row r="333" spans="1:11" ht="20.25" customHeight="1">
      <c r="A333" s="89" t="s">
        <v>6142</v>
      </c>
      <c r="B333" s="90" t="s">
        <v>6143</v>
      </c>
      <c r="C333" s="90" t="s">
        <v>5518</v>
      </c>
      <c r="D333" s="90" t="s">
        <v>6144</v>
      </c>
      <c r="E333" s="89" t="s">
        <v>45</v>
      </c>
      <c r="F333" s="91">
        <v>251060</v>
      </c>
      <c r="G333" s="91">
        <v>5020000</v>
      </c>
      <c r="H333" s="87"/>
      <c r="I333" s="90" t="s">
        <v>6145</v>
      </c>
      <c r="J333" s="88" t="str">
        <f t="shared" si="5"/>
        <v>重复</v>
      </c>
      <c r="K333" s="88" t="str">
        <f t="shared" si="5"/>
        <v>不重复</v>
      </c>
    </row>
    <row r="334" spans="1:11" ht="20.25" customHeight="1">
      <c r="A334" s="89" t="s">
        <v>6146</v>
      </c>
      <c r="B334" s="90" t="s">
        <v>6147</v>
      </c>
      <c r="C334" s="90" t="s">
        <v>6148</v>
      </c>
      <c r="D334" s="90" t="s">
        <v>6149</v>
      </c>
      <c r="E334" s="89" t="s">
        <v>45</v>
      </c>
      <c r="F334" s="91">
        <v>251061</v>
      </c>
      <c r="G334" s="91">
        <v>5020000</v>
      </c>
      <c r="H334" s="87"/>
      <c r="I334" s="90" t="s">
        <v>25</v>
      </c>
      <c r="J334" s="88" t="str">
        <f t="shared" si="5"/>
        <v>不重复</v>
      </c>
      <c r="K334" s="88" t="str">
        <f t="shared" si="5"/>
        <v>不重复</v>
      </c>
    </row>
    <row r="335" spans="1:11" ht="20.25" customHeight="1">
      <c r="A335" s="89" t="s">
        <v>570</v>
      </c>
      <c r="B335" s="90" t="s">
        <v>6150</v>
      </c>
      <c r="C335" s="90" t="s">
        <v>571</v>
      </c>
      <c r="D335" s="90" t="s">
        <v>572</v>
      </c>
      <c r="E335" s="89" t="s">
        <v>45</v>
      </c>
      <c r="F335" s="91">
        <v>251062</v>
      </c>
      <c r="G335" s="91">
        <v>5020000</v>
      </c>
      <c r="H335" s="87"/>
      <c r="I335" s="90" t="s">
        <v>6045</v>
      </c>
      <c r="J335" s="88" t="str">
        <f t="shared" si="5"/>
        <v>不重复</v>
      </c>
      <c r="K335" s="88" t="str">
        <f t="shared" si="5"/>
        <v>不重复</v>
      </c>
    </row>
    <row r="336" spans="1:11" ht="20.25" customHeight="1">
      <c r="A336" s="89" t="s">
        <v>573</v>
      </c>
      <c r="B336" s="90" t="s">
        <v>6151</v>
      </c>
      <c r="C336" s="90" t="s">
        <v>574</v>
      </c>
      <c r="D336" s="90" t="s">
        <v>575</v>
      </c>
      <c r="E336" s="89" t="s">
        <v>45</v>
      </c>
      <c r="F336" s="91">
        <v>251063</v>
      </c>
      <c r="G336" s="91">
        <v>5020000</v>
      </c>
      <c r="H336" s="87"/>
      <c r="I336" s="90" t="s">
        <v>6110</v>
      </c>
      <c r="J336" s="88" t="str">
        <f t="shared" si="5"/>
        <v>不重复</v>
      </c>
      <c r="K336" s="88" t="str">
        <f t="shared" si="5"/>
        <v>不重复</v>
      </c>
    </row>
    <row r="337" spans="1:11" ht="20.25" customHeight="1">
      <c r="A337" s="84" t="s">
        <v>6152</v>
      </c>
      <c r="B337" s="85" t="s">
        <v>6153</v>
      </c>
      <c r="C337" s="85" t="s">
        <v>578</v>
      </c>
      <c r="D337" s="85" t="s">
        <v>6154</v>
      </c>
      <c r="E337" s="84" t="s">
        <v>45</v>
      </c>
      <c r="F337" s="86">
        <v>251064</v>
      </c>
      <c r="G337" s="86">
        <v>5020000</v>
      </c>
      <c r="H337" s="87"/>
      <c r="I337" s="85" t="s">
        <v>25</v>
      </c>
      <c r="J337" s="88" t="str">
        <f t="shared" si="5"/>
        <v>重复</v>
      </c>
      <c r="K337" s="88" t="str">
        <f t="shared" si="5"/>
        <v>不重复</v>
      </c>
    </row>
    <row r="338" spans="1:11" ht="20.25" customHeight="1">
      <c r="A338" s="84" t="s">
        <v>576</v>
      </c>
      <c r="B338" s="85" t="s">
        <v>577</v>
      </c>
      <c r="C338" s="85" t="s">
        <v>578</v>
      </c>
      <c r="D338" s="85" t="s">
        <v>579</v>
      </c>
      <c r="E338" s="84" t="s">
        <v>45</v>
      </c>
      <c r="F338" s="86">
        <v>251065</v>
      </c>
      <c r="G338" s="86">
        <v>5020000</v>
      </c>
      <c r="H338" s="87"/>
      <c r="I338" s="85" t="s">
        <v>5712</v>
      </c>
      <c r="J338" s="88" t="str">
        <f t="shared" si="5"/>
        <v>重复</v>
      </c>
      <c r="K338" s="88" t="str">
        <f t="shared" si="5"/>
        <v>不重复</v>
      </c>
    </row>
    <row r="339" spans="1:11" ht="20.25" customHeight="1">
      <c r="A339" s="84" t="s">
        <v>580</v>
      </c>
      <c r="B339" s="85" t="s">
        <v>581</v>
      </c>
      <c r="C339" s="85" t="s">
        <v>582</v>
      </c>
      <c r="D339" s="85" t="s">
        <v>583</v>
      </c>
      <c r="E339" s="84" t="s">
        <v>45</v>
      </c>
      <c r="F339" s="86">
        <v>251066</v>
      </c>
      <c r="G339" s="86">
        <v>5020000</v>
      </c>
      <c r="H339" s="87"/>
      <c r="I339" s="85" t="s">
        <v>5880</v>
      </c>
      <c r="J339" s="88" t="str">
        <f t="shared" si="5"/>
        <v>不重复</v>
      </c>
      <c r="K339" s="88" t="str">
        <f t="shared" si="5"/>
        <v>不重复</v>
      </c>
    </row>
    <row r="340" spans="1:11" ht="20.25" customHeight="1">
      <c r="A340" s="84" t="s">
        <v>6155</v>
      </c>
      <c r="B340" s="85" t="s">
        <v>6156</v>
      </c>
      <c r="C340" s="85" t="s">
        <v>1147</v>
      </c>
      <c r="D340" s="85" t="s">
        <v>6157</v>
      </c>
      <c r="E340" s="84" t="s">
        <v>45</v>
      </c>
      <c r="F340" s="86">
        <v>251067</v>
      </c>
      <c r="G340" s="86">
        <v>5020000</v>
      </c>
      <c r="H340" s="87"/>
      <c r="I340" s="85" t="s">
        <v>25</v>
      </c>
      <c r="J340" s="88" t="str">
        <f t="shared" si="5"/>
        <v>重复</v>
      </c>
      <c r="K340" s="88" t="str">
        <f t="shared" si="5"/>
        <v>不重复</v>
      </c>
    </row>
    <row r="341" spans="1:11" ht="20.25" customHeight="1">
      <c r="A341" s="84" t="s">
        <v>584</v>
      </c>
      <c r="B341" s="85" t="s">
        <v>585</v>
      </c>
      <c r="C341" s="85" t="s">
        <v>586</v>
      </c>
      <c r="D341" s="85" t="s">
        <v>587</v>
      </c>
      <c r="E341" s="84" t="s">
        <v>45</v>
      </c>
      <c r="F341" s="86">
        <v>251068</v>
      </c>
      <c r="G341" s="86">
        <v>5020000</v>
      </c>
      <c r="H341" s="87"/>
      <c r="I341" s="85" t="s">
        <v>5408</v>
      </c>
      <c r="J341" s="88" t="str">
        <f t="shared" si="5"/>
        <v>不重复</v>
      </c>
      <c r="K341" s="88" t="str">
        <f t="shared" si="5"/>
        <v>不重复</v>
      </c>
    </row>
    <row r="342" spans="1:11" ht="20.25" customHeight="1">
      <c r="A342" s="84" t="s">
        <v>588</v>
      </c>
      <c r="B342" s="85" t="s">
        <v>589</v>
      </c>
      <c r="C342" s="85" t="s">
        <v>590</v>
      </c>
      <c r="D342" s="85" t="s">
        <v>591</v>
      </c>
      <c r="E342" s="84" t="s">
        <v>45</v>
      </c>
      <c r="F342" s="86">
        <v>251069</v>
      </c>
      <c r="G342" s="86">
        <v>5020000</v>
      </c>
      <c r="H342" s="87"/>
      <c r="I342" s="85" t="s">
        <v>6078</v>
      </c>
      <c r="J342" s="88" t="str">
        <f t="shared" si="5"/>
        <v>不重复</v>
      </c>
      <c r="K342" s="88" t="str">
        <f t="shared" si="5"/>
        <v>不重复</v>
      </c>
    </row>
    <row r="343" spans="1:11" ht="20.25" customHeight="1">
      <c r="A343" s="89" t="s">
        <v>629</v>
      </c>
      <c r="B343" s="90" t="s">
        <v>630</v>
      </c>
      <c r="C343" s="90" t="s">
        <v>631</v>
      </c>
      <c r="D343" s="90" t="s">
        <v>6158</v>
      </c>
      <c r="E343" s="89" t="s">
        <v>45</v>
      </c>
      <c r="F343" s="91">
        <v>251070</v>
      </c>
      <c r="G343" s="91">
        <v>5020000</v>
      </c>
      <c r="H343" s="87"/>
      <c r="I343" s="90" t="s">
        <v>25</v>
      </c>
      <c r="J343" s="88" t="str">
        <f t="shared" si="5"/>
        <v>重复</v>
      </c>
      <c r="K343" s="88" t="str">
        <f t="shared" si="5"/>
        <v>不重复</v>
      </c>
    </row>
    <row r="344" spans="1:11" ht="20.25" customHeight="1">
      <c r="A344" s="89" t="s">
        <v>6159</v>
      </c>
      <c r="B344" s="90" t="s">
        <v>6160</v>
      </c>
      <c r="C344" s="90" t="s">
        <v>631</v>
      </c>
      <c r="D344" s="90" t="s">
        <v>5222</v>
      </c>
      <c r="E344" s="89" t="s">
        <v>45</v>
      </c>
      <c r="F344" s="91">
        <v>251071</v>
      </c>
      <c r="G344" s="91">
        <v>5020000</v>
      </c>
      <c r="H344" s="87"/>
      <c r="I344" s="90" t="s">
        <v>25</v>
      </c>
      <c r="J344" s="88" t="str">
        <f t="shared" si="5"/>
        <v>重复</v>
      </c>
      <c r="K344" s="88" t="str">
        <f t="shared" si="5"/>
        <v>不重复</v>
      </c>
    </row>
    <row r="345" spans="1:11" ht="20.25" customHeight="1">
      <c r="A345" s="89" t="s">
        <v>603</v>
      </c>
      <c r="B345" s="90" t="s">
        <v>604</v>
      </c>
      <c r="C345" s="90" t="s">
        <v>605</v>
      </c>
      <c r="D345" s="90" t="s">
        <v>606</v>
      </c>
      <c r="E345" s="89" t="s">
        <v>45</v>
      </c>
      <c r="F345" s="91">
        <v>251072</v>
      </c>
      <c r="G345" s="91">
        <v>5020000</v>
      </c>
      <c r="H345" s="87"/>
      <c r="I345" s="90" t="s">
        <v>6161</v>
      </c>
      <c r="J345" s="88" t="str">
        <f t="shared" si="5"/>
        <v>重复</v>
      </c>
      <c r="K345" s="88" t="str">
        <f t="shared" si="5"/>
        <v>不重复</v>
      </c>
    </row>
    <row r="346" spans="1:11" ht="20.25" customHeight="1">
      <c r="A346" s="89" t="s">
        <v>607</v>
      </c>
      <c r="B346" s="90" t="s">
        <v>6162</v>
      </c>
      <c r="C346" s="90" t="s">
        <v>608</v>
      </c>
      <c r="D346" s="90" t="s">
        <v>6163</v>
      </c>
      <c r="E346" s="89" t="s">
        <v>45</v>
      </c>
      <c r="F346" s="91">
        <v>251073</v>
      </c>
      <c r="G346" s="91">
        <v>5020000</v>
      </c>
      <c r="H346" s="87"/>
      <c r="I346" s="90" t="s">
        <v>5954</v>
      </c>
      <c r="J346" s="88" t="str">
        <f t="shared" si="5"/>
        <v>不重复</v>
      </c>
      <c r="K346" s="88" t="str">
        <f t="shared" si="5"/>
        <v>不重复</v>
      </c>
    </row>
    <row r="347" spans="1:11" ht="20.25" customHeight="1">
      <c r="A347" s="89" t="s">
        <v>610</v>
      </c>
      <c r="B347" s="90" t="s">
        <v>6164</v>
      </c>
      <c r="C347" s="90" t="s">
        <v>611</v>
      </c>
      <c r="D347" s="90" t="s">
        <v>612</v>
      </c>
      <c r="E347" s="89" t="s">
        <v>45</v>
      </c>
      <c r="F347" s="91">
        <v>251074</v>
      </c>
      <c r="G347" s="91">
        <v>5020000</v>
      </c>
      <c r="H347" s="87"/>
      <c r="I347" s="90" t="s">
        <v>6078</v>
      </c>
      <c r="J347" s="88" t="str">
        <f t="shared" si="5"/>
        <v>不重复</v>
      </c>
      <c r="K347" s="88" t="str">
        <f t="shared" si="5"/>
        <v>不重复</v>
      </c>
    </row>
    <row r="348" spans="1:11" ht="20.25" customHeight="1">
      <c r="A348" s="89" t="s">
        <v>613</v>
      </c>
      <c r="B348" s="90" t="s">
        <v>6165</v>
      </c>
      <c r="C348" s="90" t="s">
        <v>426</v>
      </c>
      <c r="D348" s="90" t="s">
        <v>6166</v>
      </c>
      <c r="E348" s="89" t="s">
        <v>45</v>
      </c>
      <c r="F348" s="91">
        <v>251075</v>
      </c>
      <c r="G348" s="91">
        <v>5020000</v>
      </c>
      <c r="H348" s="87"/>
      <c r="I348" s="90" t="s">
        <v>5610</v>
      </c>
      <c r="J348" s="88" t="str">
        <f t="shared" si="5"/>
        <v>重复</v>
      </c>
      <c r="K348" s="88" t="str">
        <f t="shared" si="5"/>
        <v>不重复</v>
      </c>
    </row>
    <row r="349" spans="1:11" ht="20.25" customHeight="1">
      <c r="A349" s="89" t="s">
        <v>614</v>
      </c>
      <c r="B349" s="90" t="s">
        <v>615</v>
      </c>
      <c r="C349" s="90" t="s">
        <v>616</v>
      </c>
      <c r="D349" s="90" t="s">
        <v>617</v>
      </c>
      <c r="E349" s="89" t="s">
        <v>45</v>
      </c>
      <c r="F349" s="91">
        <v>251076</v>
      </c>
      <c r="G349" s="91">
        <v>5020000</v>
      </c>
      <c r="H349" s="87"/>
      <c r="I349" s="90" t="s">
        <v>5708</v>
      </c>
      <c r="J349" s="88" t="str">
        <f t="shared" si="5"/>
        <v>不重复</v>
      </c>
      <c r="K349" s="88" t="str">
        <f t="shared" si="5"/>
        <v>不重复</v>
      </c>
    </row>
    <row r="350" spans="1:11" ht="20.25" customHeight="1">
      <c r="A350" s="89" t="s">
        <v>618</v>
      </c>
      <c r="B350" s="90" t="s">
        <v>619</v>
      </c>
      <c r="C350" s="90" t="s">
        <v>620</v>
      </c>
      <c r="D350" s="90" t="s">
        <v>621</v>
      </c>
      <c r="E350" s="89" t="s">
        <v>45</v>
      </c>
      <c r="F350" s="91">
        <v>251077</v>
      </c>
      <c r="G350" s="91">
        <v>5020000</v>
      </c>
      <c r="H350" s="87"/>
      <c r="I350" s="90" t="s">
        <v>5610</v>
      </c>
      <c r="J350" s="88" t="str">
        <f t="shared" si="5"/>
        <v>重复</v>
      </c>
      <c r="K350" s="88" t="str">
        <f t="shared" si="5"/>
        <v>不重复</v>
      </c>
    </row>
    <row r="351" spans="1:11" ht="20.25" customHeight="1">
      <c r="A351" s="89" t="s">
        <v>622</v>
      </c>
      <c r="B351" s="90" t="s">
        <v>6167</v>
      </c>
      <c r="C351" s="90" t="s">
        <v>623</v>
      </c>
      <c r="D351" s="90" t="s">
        <v>624</v>
      </c>
      <c r="E351" s="89" t="s">
        <v>45</v>
      </c>
      <c r="F351" s="91">
        <v>251078</v>
      </c>
      <c r="G351" s="91">
        <v>5020000</v>
      </c>
      <c r="H351" s="87"/>
      <c r="I351" s="90" t="s">
        <v>6078</v>
      </c>
      <c r="J351" s="88" t="str">
        <f t="shared" si="5"/>
        <v>不重复</v>
      </c>
      <c r="K351" s="88" t="str">
        <f t="shared" si="5"/>
        <v>不重复</v>
      </c>
    </row>
    <row r="352" spans="1:11" ht="20.25" customHeight="1">
      <c r="A352" s="89" t="s">
        <v>625</v>
      </c>
      <c r="B352" s="90" t="s">
        <v>626</v>
      </c>
      <c r="C352" s="90" t="s">
        <v>627</v>
      </c>
      <c r="D352" s="90" t="s">
        <v>6168</v>
      </c>
      <c r="E352" s="89" t="s">
        <v>45</v>
      </c>
      <c r="F352" s="91">
        <v>251079</v>
      </c>
      <c r="G352" s="91">
        <v>5020000</v>
      </c>
      <c r="H352" s="87"/>
      <c r="I352" s="90" t="s">
        <v>5396</v>
      </c>
      <c r="J352" s="88" t="str">
        <f t="shared" si="5"/>
        <v>重复</v>
      </c>
      <c r="K352" s="88" t="str">
        <f t="shared" si="5"/>
        <v>不重复</v>
      </c>
    </row>
    <row r="353" spans="1:11" ht="20.25" customHeight="1">
      <c r="A353" s="89" t="s">
        <v>6169</v>
      </c>
      <c r="B353" s="90" t="s">
        <v>6170</v>
      </c>
      <c r="C353" s="90" t="s">
        <v>6123</v>
      </c>
      <c r="D353" s="90" t="s">
        <v>6171</v>
      </c>
      <c r="E353" s="89" t="s">
        <v>45</v>
      </c>
      <c r="F353" s="91">
        <v>251080</v>
      </c>
      <c r="G353" s="91">
        <v>5020000</v>
      </c>
      <c r="H353" s="87"/>
      <c r="I353" s="90" t="s">
        <v>25</v>
      </c>
      <c r="J353" s="88" t="str">
        <f t="shared" si="5"/>
        <v>重复</v>
      </c>
      <c r="K353" s="88" t="str">
        <f t="shared" si="5"/>
        <v>不重复</v>
      </c>
    </row>
    <row r="354" spans="1:11" ht="20.25" customHeight="1">
      <c r="A354" s="89" t="s">
        <v>633</v>
      </c>
      <c r="B354" s="90" t="s">
        <v>6172</v>
      </c>
      <c r="C354" s="90" t="s">
        <v>634</v>
      </c>
      <c r="D354" s="90" t="s">
        <v>635</v>
      </c>
      <c r="E354" s="89" t="s">
        <v>45</v>
      </c>
      <c r="F354" s="91">
        <v>251081</v>
      </c>
      <c r="G354" s="91">
        <v>5020000</v>
      </c>
      <c r="H354" s="87"/>
      <c r="I354" s="90" t="s">
        <v>6100</v>
      </c>
      <c r="J354" s="88" t="str">
        <f t="shared" si="5"/>
        <v>重复</v>
      </c>
      <c r="K354" s="88" t="str">
        <f t="shared" si="5"/>
        <v>不重复</v>
      </c>
    </row>
    <row r="355" spans="1:11" ht="20.25" customHeight="1">
      <c r="A355" s="89" t="s">
        <v>636</v>
      </c>
      <c r="B355" s="90" t="s">
        <v>637</v>
      </c>
      <c r="C355" s="90" t="s">
        <v>638</v>
      </c>
      <c r="D355" s="90" t="s">
        <v>639</v>
      </c>
      <c r="E355" s="89" t="s">
        <v>45</v>
      </c>
      <c r="F355" s="91">
        <v>251082</v>
      </c>
      <c r="G355" s="91">
        <v>5020000</v>
      </c>
      <c r="H355" s="87"/>
      <c r="I355" s="90" t="s">
        <v>6173</v>
      </c>
      <c r="J355" s="88" t="str">
        <f t="shared" si="5"/>
        <v>不重复</v>
      </c>
      <c r="K355" s="88" t="str">
        <f t="shared" si="5"/>
        <v>不重复</v>
      </c>
    </row>
    <row r="356" spans="1:11" ht="20.25" customHeight="1">
      <c r="A356" s="84" t="s">
        <v>6174</v>
      </c>
      <c r="B356" s="85" t="s">
        <v>6175</v>
      </c>
      <c r="C356" s="85" t="s">
        <v>1296</v>
      </c>
      <c r="D356" s="85" t="s">
        <v>6176</v>
      </c>
      <c r="E356" s="84" t="s">
        <v>45</v>
      </c>
      <c r="F356" s="86">
        <v>251083</v>
      </c>
      <c r="G356" s="86">
        <v>5020000</v>
      </c>
      <c r="H356" s="87"/>
      <c r="I356" s="85" t="s">
        <v>25</v>
      </c>
      <c r="J356" s="88" t="str">
        <f t="shared" si="5"/>
        <v>重复</v>
      </c>
      <c r="K356" s="88" t="str">
        <f t="shared" si="5"/>
        <v>不重复</v>
      </c>
    </row>
    <row r="357" spans="1:11" ht="20.25" customHeight="1">
      <c r="A357" s="84" t="s">
        <v>598</v>
      </c>
      <c r="B357" s="85" t="s">
        <v>599</v>
      </c>
      <c r="C357" s="85" t="s">
        <v>600</v>
      </c>
      <c r="D357" s="85" t="s">
        <v>6177</v>
      </c>
      <c r="E357" s="84" t="s">
        <v>45</v>
      </c>
      <c r="F357" s="86">
        <v>251084</v>
      </c>
      <c r="G357" s="86">
        <v>5020000</v>
      </c>
      <c r="H357" s="87"/>
      <c r="I357" s="85" t="s">
        <v>6128</v>
      </c>
      <c r="J357" s="88" t="str">
        <f t="shared" si="5"/>
        <v>重复</v>
      </c>
      <c r="K357" s="88" t="str">
        <f t="shared" si="5"/>
        <v>不重复</v>
      </c>
    </row>
    <row r="358" spans="1:11" ht="20.25" customHeight="1">
      <c r="A358" s="84" t="s">
        <v>6178</v>
      </c>
      <c r="B358" s="85" t="s">
        <v>6179</v>
      </c>
      <c r="C358" s="85" t="s">
        <v>6180</v>
      </c>
      <c r="D358" s="85" t="s">
        <v>6181</v>
      </c>
      <c r="E358" s="84" t="s">
        <v>45</v>
      </c>
      <c r="F358" s="86">
        <v>251085</v>
      </c>
      <c r="G358" s="86">
        <v>5020000</v>
      </c>
      <c r="H358" s="87"/>
      <c r="I358" s="85" t="s">
        <v>5553</v>
      </c>
      <c r="J358" s="88" t="str">
        <f t="shared" si="5"/>
        <v>不重复</v>
      </c>
      <c r="K358" s="88" t="str">
        <f t="shared" si="5"/>
        <v>不重复</v>
      </c>
    </row>
    <row r="359" spans="1:11" ht="20.25" customHeight="1">
      <c r="A359" s="89" t="s">
        <v>450</v>
      </c>
      <c r="B359" s="90" t="s">
        <v>451</v>
      </c>
      <c r="C359" s="90" t="s">
        <v>281</v>
      </c>
      <c r="D359" s="90" t="s">
        <v>452</v>
      </c>
      <c r="E359" s="89" t="s">
        <v>45</v>
      </c>
      <c r="F359" s="91">
        <v>251086</v>
      </c>
      <c r="G359" s="91">
        <v>5020000</v>
      </c>
      <c r="H359" s="87"/>
      <c r="I359" s="90" t="s">
        <v>25</v>
      </c>
      <c r="J359" s="88" t="str">
        <f t="shared" si="5"/>
        <v>重复</v>
      </c>
      <c r="K359" s="88" t="str">
        <f t="shared" si="5"/>
        <v>不重复</v>
      </c>
    </row>
    <row r="360" spans="1:11" ht="20.25" customHeight="1">
      <c r="A360" s="89" t="s">
        <v>431</v>
      </c>
      <c r="B360" s="90" t="s">
        <v>6182</v>
      </c>
      <c r="C360" s="90" t="s">
        <v>432</v>
      </c>
      <c r="D360" s="90" t="s">
        <v>433</v>
      </c>
      <c r="E360" s="89" t="s">
        <v>45</v>
      </c>
      <c r="F360" s="91">
        <v>251087</v>
      </c>
      <c r="G360" s="91">
        <v>5020000</v>
      </c>
      <c r="H360" s="87"/>
      <c r="I360" s="90" t="s">
        <v>5559</v>
      </c>
      <c r="J360" s="88" t="str">
        <f t="shared" si="5"/>
        <v>不重复</v>
      </c>
      <c r="K360" s="88" t="str">
        <f t="shared" si="5"/>
        <v>不重复</v>
      </c>
    </row>
    <row r="361" spans="1:11" ht="20.25" customHeight="1">
      <c r="A361" s="89" t="s">
        <v>434</v>
      </c>
      <c r="B361" s="90" t="s">
        <v>435</v>
      </c>
      <c r="C361" s="90" t="s">
        <v>436</v>
      </c>
      <c r="D361" s="90" t="s">
        <v>437</v>
      </c>
      <c r="E361" s="89" t="s">
        <v>45</v>
      </c>
      <c r="F361" s="91">
        <v>251088</v>
      </c>
      <c r="G361" s="91">
        <v>5020000</v>
      </c>
      <c r="H361" s="87"/>
      <c r="I361" s="90" t="s">
        <v>6183</v>
      </c>
      <c r="J361" s="88" t="str">
        <f t="shared" si="5"/>
        <v>重复</v>
      </c>
      <c r="K361" s="88" t="str">
        <f t="shared" si="5"/>
        <v>不重复</v>
      </c>
    </row>
    <row r="362" spans="1:11" ht="20.25" customHeight="1">
      <c r="A362" s="89" t="s">
        <v>438</v>
      </c>
      <c r="B362" s="90" t="s">
        <v>439</v>
      </c>
      <c r="C362" s="90" t="s">
        <v>440</v>
      </c>
      <c r="D362" s="90" t="s">
        <v>441</v>
      </c>
      <c r="E362" s="89" t="s">
        <v>45</v>
      </c>
      <c r="F362" s="91">
        <v>251089</v>
      </c>
      <c r="G362" s="91">
        <v>5020000</v>
      </c>
      <c r="H362" s="87"/>
      <c r="I362" s="90" t="s">
        <v>6184</v>
      </c>
      <c r="J362" s="88" t="str">
        <f t="shared" si="5"/>
        <v>不重复</v>
      </c>
      <c r="K362" s="88" t="str">
        <f t="shared" si="5"/>
        <v>不重复</v>
      </c>
    </row>
    <row r="363" spans="1:11" ht="20.25" customHeight="1">
      <c r="A363" s="89" t="s">
        <v>442</v>
      </c>
      <c r="B363" s="90" t="s">
        <v>443</v>
      </c>
      <c r="C363" s="90" t="s">
        <v>444</v>
      </c>
      <c r="D363" s="90" t="s">
        <v>445</v>
      </c>
      <c r="E363" s="89" t="s">
        <v>45</v>
      </c>
      <c r="F363" s="91">
        <v>251090</v>
      </c>
      <c r="G363" s="91">
        <v>5020000</v>
      </c>
      <c r="H363" s="87"/>
      <c r="I363" s="90" t="s">
        <v>6185</v>
      </c>
      <c r="J363" s="88" t="str">
        <f t="shared" si="5"/>
        <v>不重复</v>
      </c>
      <c r="K363" s="88" t="str">
        <f t="shared" si="5"/>
        <v>不重复</v>
      </c>
    </row>
    <row r="364" spans="1:11" ht="20.25" customHeight="1">
      <c r="A364" s="89" t="s">
        <v>6186</v>
      </c>
      <c r="B364" s="90" t="s">
        <v>6187</v>
      </c>
      <c r="C364" s="90" t="s">
        <v>707</v>
      </c>
      <c r="D364" s="90" t="s">
        <v>6188</v>
      </c>
      <c r="E364" s="89" t="s">
        <v>45</v>
      </c>
      <c r="F364" s="91">
        <v>251091</v>
      </c>
      <c r="G364" s="91">
        <v>5020000</v>
      </c>
      <c r="H364" s="87"/>
      <c r="I364" s="90" t="s">
        <v>5520</v>
      </c>
      <c r="J364" s="88" t="str">
        <f t="shared" si="5"/>
        <v>重复</v>
      </c>
      <c r="K364" s="88" t="str">
        <f t="shared" si="5"/>
        <v>不重复</v>
      </c>
    </row>
    <row r="365" spans="1:11" ht="20.25" customHeight="1">
      <c r="A365" s="89" t="s">
        <v>446</v>
      </c>
      <c r="B365" s="90" t="s">
        <v>447</v>
      </c>
      <c r="C365" s="90" t="s">
        <v>448</v>
      </c>
      <c r="D365" s="90" t="s">
        <v>449</v>
      </c>
      <c r="E365" s="89" t="s">
        <v>45</v>
      </c>
      <c r="F365" s="91">
        <v>251092</v>
      </c>
      <c r="G365" s="91">
        <v>5020000</v>
      </c>
      <c r="H365" s="87"/>
      <c r="I365" s="90" t="s">
        <v>6189</v>
      </c>
      <c r="J365" s="88" t="str">
        <f t="shared" si="5"/>
        <v>不重复</v>
      </c>
      <c r="K365" s="88" t="str">
        <f t="shared" si="5"/>
        <v>不重复</v>
      </c>
    </row>
    <row r="366" spans="1:11" ht="20.25" customHeight="1">
      <c r="A366" s="84" t="s">
        <v>470</v>
      </c>
      <c r="B366" s="85" t="s">
        <v>471</v>
      </c>
      <c r="C366" s="85" t="s">
        <v>472</v>
      </c>
      <c r="D366" s="85" t="s">
        <v>6190</v>
      </c>
      <c r="E366" s="84" t="s">
        <v>45</v>
      </c>
      <c r="F366" s="86">
        <v>251093</v>
      </c>
      <c r="G366" s="86">
        <v>5020000</v>
      </c>
      <c r="H366" s="87"/>
      <c r="I366" s="85" t="s">
        <v>25</v>
      </c>
      <c r="J366" s="88" t="str">
        <f t="shared" si="5"/>
        <v>重复</v>
      </c>
      <c r="K366" s="88" t="str">
        <f t="shared" si="5"/>
        <v>不重复</v>
      </c>
    </row>
    <row r="367" spans="1:11" ht="20.25" customHeight="1">
      <c r="A367" s="84" t="s">
        <v>457</v>
      </c>
      <c r="B367" s="85" t="s">
        <v>458</v>
      </c>
      <c r="C367" s="85" t="s">
        <v>459</v>
      </c>
      <c r="D367" s="85" t="s">
        <v>460</v>
      </c>
      <c r="E367" s="84" t="s">
        <v>45</v>
      </c>
      <c r="F367" s="86">
        <v>251094</v>
      </c>
      <c r="G367" s="86">
        <v>5020000</v>
      </c>
      <c r="H367" s="87"/>
      <c r="I367" s="85" t="s">
        <v>5777</v>
      </c>
      <c r="J367" s="88" t="str">
        <f t="shared" si="5"/>
        <v>不重复</v>
      </c>
      <c r="K367" s="88" t="str">
        <f t="shared" si="5"/>
        <v>不重复</v>
      </c>
    </row>
    <row r="368" spans="1:11" ht="20.25" customHeight="1">
      <c r="A368" s="84" t="s">
        <v>461</v>
      </c>
      <c r="B368" s="85" t="s">
        <v>6191</v>
      </c>
      <c r="C368" s="85" t="s">
        <v>462</v>
      </c>
      <c r="D368" s="85" t="s">
        <v>463</v>
      </c>
      <c r="E368" s="84" t="s">
        <v>45</v>
      </c>
      <c r="F368" s="86">
        <v>251095</v>
      </c>
      <c r="G368" s="86">
        <v>5020000</v>
      </c>
      <c r="H368" s="87"/>
      <c r="I368" s="85" t="s">
        <v>6192</v>
      </c>
      <c r="J368" s="88" t="str">
        <f t="shared" si="5"/>
        <v>不重复</v>
      </c>
      <c r="K368" s="88" t="str">
        <f t="shared" si="5"/>
        <v>不重复</v>
      </c>
    </row>
    <row r="369" spans="1:11" ht="20.25" customHeight="1">
      <c r="A369" s="84" t="s">
        <v>464</v>
      </c>
      <c r="B369" s="85" t="s">
        <v>6193</v>
      </c>
      <c r="C369" s="85" t="s">
        <v>465</v>
      </c>
      <c r="D369" s="85" t="s">
        <v>466</v>
      </c>
      <c r="E369" s="84" t="s">
        <v>45</v>
      </c>
      <c r="F369" s="86">
        <v>251096</v>
      </c>
      <c r="G369" s="86">
        <v>5020000</v>
      </c>
      <c r="H369" s="87"/>
      <c r="I369" s="85" t="s">
        <v>5934</v>
      </c>
      <c r="J369" s="88" t="str">
        <f t="shared" si="5"/>
        <v>重复</v>
      </c>
      <c r="K369" s="88" t="str">
        <f t="shared" si="5"/>
        <v>不重复</v>
      </c>
    </row>
    <row r="370" spans="1:11" ht="20.25" customHeight="1">
      <c r="A370" s="84" t="s">
        <v>467</v>
      </c>
      <c r="B370" s="85" t="s">
        <v>468</v>
      </c>
      <c r="C370" s="85" t="s">
        <v>469</v>
      </c>
      <c r="D370" s="85" t="s">
        <v>6194</v>
      </c>
      <c r="E370" s="84" t="s">
        <v>45</v>
      </c>
      <c r="F370" s="86">
        <v>251097</v>
      </c>
      <c r="G370" s="86">
        <v>5020000</v>
      </c>
      <c r="H370" s="87"/>
      <c r="I370" s="85" t="s">
        <v>5540</v>
      </c>
      <c r="J370" s="88" t="str">
        <f t="shared" si="5"/>
        <v>不重复</v>
      </c>
      <c r="K370" s="88" t="str">
        <f t="shared" si="5"/>
        <v>不重复</v>
      </c>
    </row>
    <row r="371" spans="1:11" ht="20.25" customHeight="1">
      <c r="A371" s="89" t="s">
        <v>6195</v>
      </c>
      <c r="B371" s="90" t="s">
        <v>6196</v>
      </c>
      <c r="C371" s="90" t="s">
        <v>6197</v>
      </c>
      <c r="D371" s="90" t="s">
        <v>6198</v>
      </c>
      <c r="E371" s="89" t="s">
        <v>45</v>
      </c>
      <c r="F371" s="91">
        <v>251098</v>
      </c>
      <c r="G371" s="91">
        <v>5020000</v>
      </c>
      <c r="H371" s="87"/>
      <c r="I371" s="90" t="s">
        <v>25</v>
      </c>
      <c r="J371" s="88" t="str">
        <f t="shared" si="5"/>
        <v>不重复</v>
      </c>
      <c r="K371" s="88" t="str">
        <f t="shared" si="5"/>
        <v>不重复</v>
      </c>
    </row>
    <row r="372" spans="1:11" ht="20.25" customHeight="1">
      <c r="A372" s="89" t="s">
        <v>487</v>
      </c>
      <c r="B372" s="90" t="s">
        <v>6199</v>
      </c>
      <c r="C372" s="90" t="s">
        <v>488</v>
      </c>
      <c r="D372" s="90" t="s">
        <v>6200</v>
      </c>
      <c r="E372" s="89" t="s">
        <v>45</v>
      </c>
      <c r="F372" s="91">
        <v>251099</v>
      </c>
      <c r="G372" s="91">
        <v>5020000</v>
      </c>
      <c r="H372" s="87"/>
      <c r="I372" s="90" t="s">
        <v>5498</v>
      </c>
      <c r="J372" s="88" t="str">
        <f t="shared" si="5"/>
        <v>重复</v>
      </c>
      <c r="K372" s="88" t="str">
        <f t="shared" si="5"/>
        <v>不重复</v>
      </c>
    </row>
    <row r="373" spans="1:11" ht="20.25" customHeight="1">
      <c r="A373" s="89" t="s">
        <v>6201</v>
      </c>
      <c r="B373" s="90" t="s">
        <v>6202</v>
      </c>
      <c r="C373" s="90" t="s">
        <v>4012</v>
      </c>
      <c r="D373" s="90" t="s">
        <v>6203</v>
      </c>
      <c r="E373" s="89" t="s">
        <v>45</v>
      </c>
      <c r="F373" s="91">
        <v>251100</v>
      </c>
      <c r="G373" s="91">
        <v>5020000</v>
      </c>
      <c r="H373" s="87"/>
      <c r="I373" s="90" t="s">
        <v>25</v>
      </c>
      <c r="J373" s="88" t="str">
        <f t="shared" si="5"/>
        <v>重复</v>
      </c>
      <c r="K373" s="88" t="str">
        <f t="shared" si="5"/>
        <v>不重复</v>
      </c>
    </row>
    <row r="374" spans="1:11" ht="20.25" customHeight="1">
      <c r="A374" s="89" t="s">
        <v>484</v>
      </c>
      <c r="B374" s="90" t="s">
        <v>485</v>
      </c>
      <c r="C374" s="90" t="s">
        <v>319</v>
      </c>
      <c r="D374" s="90" t="s">
        <v>486</v>
      </c>
      <c r="E374" s="89" t="s">
        <v>45</v>
      </c>
      <c r="F374" s="91">
        <v>251101</v>
      </c>
      <c r="G374" s="91">
        <v>5020000</v>
      </c>
      <c r="H374" s="87"/>
      <c r="I374" s="90" t="s">
        <v>5616</v>
      </c>
      <c r="J374" s="88" t="str">
        <f t="shared" si="5"/>
        <v>重复</v>
      </c>
      <c r="K374" s="88" t="str">
        <f t="shared" si="5"/>
        <v>不重复</v>
      </c>
    </row>
    <row r="375" spans="1:11" ht="20.25" customHeight="1">
      <c r="A375" s="84" t="s">
        <v>6204</v>
      </c>
      <c r="B375" s="85" t="s">
        <v>6205</v>
      </c>
      <c r="C375" s="85" t="s">
        <v>6206</v>
      </c>
      <c r="D375" s="85" t="s">
        <v>6207</v>
      </c>
      <c r="E375" s="84" t="s">
        <v>45</v>
      </c>
      <c r="F375" s="86">
        <v>251102</v>
      </c>
      <c r="G375" s="86">
        <v>5020000</v>
      </c>
      <c r="H375" s="87"/>
      <c r="I375" s="85" t="s">
        <v>25</v>
      </c>
      <c r="J375" s="88" t="str">
        <f t="shared" si="5"/>
        <v>不重复</v>
      </c>
      <c r="K375" s="88" t="str">
        <f t="shared" si="5"/>
        <v>不重复</v>
      </c>
    </row>
    <row r="376" spans="1:11" ht="20.25" customHeight="1">
      <c r="A376" s="84" t="s">
        <v>228</v>
      </c>
      <c r="B376" s="85" t="s">
        <v>229</v>
      </c>
      <c r="C376" s="85" t="s">
        <v>230</v>
      </c>
      <c r="D376" s="85" t="s">
        <v>6208</v>
      </c>
      <c r="E376" s="84" t="s">
        <v>45</v>
      </c>
      <c r="F376" s="86">
        <v>251103</v>
      </c>
      <c r="G376" s="86">
        <v>5020000</v>
      </c>
      <c r="H376" s="87"/>
      <c r="I376" s="85" t="s">
        <v>5708</v>
      </c>
      <c r="J376" s="88" t="str">
        <f t="shared" si="5"/>
        <v>不重复</v>
      </c>
      <c r="K376" s="88" t="str">
        <f t="shared" si="5"/>
        <v>不重复</v>
      </c>
    </row>
    <row r="377" spans="1:11" ht="20.25" customHeight="1">
      <c r="A377" s="84" t="s">
        <v>6209</v>
      </c>
      <c r="B377" s="85" t="s">
        <v>6210</v>
      </c>
      <c r="C377" s="85" t="s">
        <v>6211</v>
      </c>
      <c r="D377" s="85" t="s">
        <v>473</v>
      </c>
      <c r="E377" s="84" t="s">
        <v>45</v>
      </c>
      <c r="F377" s="86">
        <v>251104</v>
      </c>
      <c r="G377" s="86">
        <v>5020000</v>
      </c>
      <c r="H377" s="87"/>
      <c r="I377" s="85" t="s">
        <v>25</v>
      </c>
      <c r="J377" s="88" t="str">
        <f t="shared" si="5"/>
        <v>不重复</v>
      </c>
      <c r="K377" s="88" t="str">
        <f t="shared" si="5"/>
        <v>不重复</v>
      </c>
    </row>
    <row r="378" spans="1:11" ht="20.25" customHeight="1">
      <c r="A378" s="84" t="s">
        <v>453</v>
      </c>
      <c r="B378" s="85" t="s">
        <v>454</v>
      </c>
      <c r="C378" s="85" t="s">
        <v>455</v>
      </c>
      <c r="D378" s="85" t="s">
        <v>456</v>
      </c>
      <c r="E378" s="84" t="s">
        <v>45</v>
      </c>
      <c r="F378" s="86">
        <v>251105</v>
      </c>
      <c r="G378" s="86">
        <v>5020000</v>
      </c>
      <c r="H378" s="87"/>
      <c r="I378" s="85" t="s">
        <v>5540</v>
      </c>
      <c r="J378" s="88" t="str">
        <f t="shared" si="5"/>
        <v>不重复</v>
      </c>
      <c r="K378" s="88" t="str">
        <f t="shared" si="5"/>
        <v>不重复</v>
      </c>
    </row>
    <row r="379" spans="1:11" ht="20.25" customHeight="1">
      <c r="A379" s="84" t="s">
        <v>6212</v>
      </c>
      <c r="B379" s="85" t="s">
        <v>6213</v>
      </c>
      <c r="C379" s="85" t="s">
        <v>5537</v>
      </c>
      <c r="D379" s="85" t="s">
        <v>6214</v>
      </c>
      <c r="E379" s="84" t="s">
        <v>45</v>
      </c>
      <c r="F379" s="86">
        <v>251106</v>
      </c>
      <c r="G379" s="86">
        <v>5020000</v>
      </c>
      <c r="H379" s="87"/>
      <c r="I379" s="85" t="s">
        <v>5553</v>
      </c>
      <c r="J379" s="88" t="str">
        <f t="shared" si="5"/>
        <v>重复</v>
      </c>
      <c r="K379" s="88" t="str">
        <f t="shared" si="5"/>
        <v>不重复</v>
      </c>
    </row>
    <row r="380" spans="1:11" ht="20.25" customHeight="1">
      <c r="A380" s="84" t="s">
        <v>6215</v>
      </c>
      <c r="B380" s="85" t="s">
        <v>6216</v>
      </c>
      <c r="C380" s="85" t="s">
        <v>5931</v>
      </c>
      <c r="D380" s="85" t="s">
        <v>6217</v>
      </c>
      <c r="E380" s="84" t="s">
        <v>45</v>
      </c>
      <c r="F380" s="86">
        <v>251107</v>
      </c>
      <c r="G380" s="86">
        <v>5020000</v>
      </c>
      <c r="H380" s="87"/>
      <c r="I380" s="85" t="s">
        <v>25</v>
      </c>
      <c r="J380" s="88" t="str">
        <f t="shared" si="5"/>
        <v>重复</v>
      </c>
      <c r="K380" s="88" t="str">
        <f t="shared" si="5"/>
        <v>不重复</v>
      </c>
    </row>
    <row r="381" spans="1:11" ht="20.25" customHeight="1">
      <c r="A381" s="84" t="s">
        <v>474</v>
      </c>
      <c r="B381" s="85" t="s">
        <v>475</v>
      </c>
      <c r="C381" s="85" t="s">
        <v>476</v>
      </c>
      <c r="D381" s="85" t="s">
        <v>477</v>
      </c>
      <c r="E381" s="84" t="s">
        <v>45</v>
      </c>
      <c r="F381" s="86">
        <v>251108</v>
      </c>
      <c r="G381" s="86">
        <v>5020000</v>
      </c>
      <c r="H381" s="87"/>
      <c r="I381" s="85" t="s">
        <v>6218</v>
      </c>
      <c r="J381" s="88" t="str">
        <f t="shared" si="5"/>
        <v>重复</v>
      </c>
      <c r="K381" s="88" t="str">
        <f t="shared" si="5"/>
        <v>不重复</v>
      </c>
    </row>
    <row r="382" spans="1:11" ht="20.25" customHeight="1">
      <c r="A382" s="84" t="s">
        <v>6219</v>
      </c>
      <c r="B382" s="85" t="s">
        <v>6220</v>
      </c>
      <c r="C382" s="85" t="s">
        <v>1945</v>
      </c>
      <c r="D382" s="85" t="s">
        <v>6221</v>
      </c>
      <c r="E382" s="84" t="s">
        <v>45</v>
      </c>
      <c r="F382" s="86">
        <v>251109</v>
      </c>
      <c r="G382" s="86">
        <v>5020000</v>
      </c>
      <c r="H382" s="87"/>
      <c r="I382" s="85" t="s">
        <v>25</v>
      </c>
      <c r="J382" s="88" t="str">
        <f t="shared" si="5"/>
        <v>重复</v>
      </c>
      <c r="K382" s="88" t="str">
        <f t="shared" si="5"/>
        <v>不重复</v>
      </c>
    </row>
    <row r="383" spans="1:11" ht="20.25" customHeight="1">
      <c r="A383" s="84" t="s">
        <v>478</v>
      </c>
      <c r="B383" s="85" t="s">
        <v>6222</v>
      </c>
      <c r="C383" s="85" t="s">
        <v>479</v>
      </c>
      <c r="D383" s="85" t="s">
        <v>480</v>
      </c>
      <c r="E383" s="84" t="s">
        <v>45</v>
      </c>
      <c r="F383" s="86">
        <v>251110</v>
      </c>
      <c r="G383" s="86">
        <v>5020000</v>
      </c>
      <c r="H383" s="87"/>
      <c r="I383" s="85" t="s">
        <v>6223</v>
      </c>
      <c r="J383" s="88" t="str">
        <f t="shared" si="5"/>
        <v>重复</v>
      </c>
      <c r="K383" s="88" t="str">
        <f t="shared" si="5"/>
        <v>不重复</v>
      </c>
    </row>
    <row r="384" spans="1:11" ht="20.25" customHeight="1">
      <c r="A384" s="84" t="s">
        <v>6224</v>
      </c>
      <c r="B384" s="85" t="s">
        <v>6225</v>
      </c>
      <c r="C384" s="85" t="s">
        <v>6226</v>
      </c>
      <c r="D384" s="85" t="s">
        <v>6227</v>
      </c>
      <c r="E384" s="84" t="s">
        <v>45</v>
      </c>
      <c r="F384" s="86">
        <v>251111</v>
      </c>
      <c r="G384" s="86">
        <v>5020000</v>
      </c>
      <c r="H384" s="87"/>
      <c r="I384" s="85" t="s">
        <v>5553</v>
      </c>
      <c r="J384" s="88" t="str">
        <f t="shared" si="5"/>
        <v>不重复</v>
      </c>
      <c r="K384" s="88" t="str">
        <f t="shared" si="5"/>
        <v>不重复</v>
      </c>
    </row>
    <row r="385" spans="1:11" ht="20.25" customHeight="1">
      <c r="A385" s="84" t="s">
        <v>6228</v>
      </c>
      <c r="B385" s="85" t="s">
        <v>6229</v>
      </c>
      <c r="C385" s="85" t="s">
        <v>723</v>
      </c>
      <c r="D385" s="85" t="s">
        <v>6230</v>
      </c>
      <c r="E385" s="84" t="s">
        <v>45</v>
      </c>
      <c r="F385" s="86">
        <v>251112</v>
      </c>
      <c r="G385" s="86">
        <v>5020000</v>
      </c>
      <c r="H385" s="87"/>
      <c r="I385" s="85" t="s">
        <v>25</v>
      </c>
      <c r="J385" s="88" t="str">
        <f t="shared" si="5"/>
        <v>重复</v>
      </c>
      <c r="K385" s="88" t="str">
        <f t="shared" si="5"/>
        <v>不重复</v>
      </c>
    </row>
    <row r="386" spans="1:11" ht="20.25" customHeight="1">
      <c r="A386" s="84" t="s">
        <v>640</v>
      </c>
      <c r="B386" s="85" t="s">
        <v>6231</v>
      </c>
      <c r="C386" s="85" t="s">
        <v>641</v>
      </c>
      <c r="D386" s="85" t="s">
        <v>642</v>
      </c>
      <c r="E386" s="84" t="s">
        <v>45</v>
      </c>
      <c r="F386" s="86">
        <v>251113</v>
      </c>
      <c r="G386" s="86">
        <v>5020000</v>
      </c>
      <c r="H386" s="87"/>
      <c r="I386" s="85" t="s">
        <v>6232</v>
      </c>
      <c r="J386" s="88" t="str">
        <f t="shared" si="5"/>
        <v>不重复</v>
      </c>
      <c r="K386" s="88" t="str">
        <f t="shared" si="5"/>
        <v>不重复</v>
      </c>
    </row>
    <row r="387" spans="1:11" ht="20.25" customHeight="1">
      <c r="A387" s="89" t="s">
        <v>6233</v>
      </c>
      <c r="B387" s="90" t="s">
        <v>6234</v>
      </c>
      <c r="C387" s="90" t="s">
        <v>6235</v>
      </c>
      <c r="D387" s="90" t="s">
        <v>6236</v>
      </c>
      <c r="E387" s="89" t="s">
        <v>45</v>
      </c>
      <c r="F387" s="91">
        <v>251115</v>
      </c>
      <c r="G387" s="91">
        <v>5020000</v>
      </c>
      <c r="H387" s="87"/>
      <c r="I387" s="90" t="s">
        <v>25</v>
      </c>
      <c r="J387" s="88" t="str">
        <f t="shared" si="6" ref="J387:K450">IF(COUNTIF(C:C,C387)&gt;=2,"重复","不重复")</f>
        <v>不重复</v>
      </c>
      <c r="K387" s="88" t="str">
        <f t="shared" si="6"/>
        <v>不重复</v>
      </c>
    </row>
    <row r="388" spans="1:11" ht="20.25" customHeight="1">
      <c r="A388" s="84" t="s">
        <v>6237</v>
      </c>
      <c r="B388" s="85" t="s">
        <v>6238</v>
      </c>
      <c r="C388" s="85" t="s">
        <v>472</v>
      </c>
      <c r="D388" s="85" t="s">
        <v>6239</v>
      </c>
      <c r="E388" s="84" t="s">
        <v>45</v>
      </c>
      <c r="F388" s="86">
        <v>251116</v>
      </c>
      <c r="G388" s="86">
        <v>5020000</v>
      </c>
      <c r="H388" s="87"/>
      <c r="I388" s="85" t="s">
        <v>25</v>
      </c>
      <c r="J388" s="88" t="str">
        <f t="shared" si="6"/>
        <v>重复</v>
      </c>
      <c r="K388" s="88" t="str">
        <f t="shared" si="6"/>
        <v>不重复</v>
      </c>
    </row>
    <row r="389" spans="1:11" ht="20.25" customHeight="1">
      <c r="A389" s="89" t="s">
        <v>6240</v>
      </c>
      <c r="B389" s="90" t="s">
        <v>6241</v>
      </c>
      <c r="C389" s="90" t="s">
        <v>2179</v>
      </c>
      <c r="D389" s="90" t="s">
        <v>6242</v>
      </c>
      <c r="E389" s="89" t="s">
        <v>45</v>
      </c>
      <c r="F389" s="91">
        <v>251117</v>
      </c>
      <c r="G389" s="91">
        <v>5020000</v>
      </c>
      <c r="H389" s="87"/>
      <c r="I389" s="90" t="s">
        <v>25</v>
      </c>
      <c r="J389" s="88" t="str">
        <f t="shared" si="6"/>
        <v>重复</v>
      </c>
      <c r="K389" s="88" t="str">
        <f t="shared" si="6"/>
        <v>不重复</v>
      </c>
    </row>
    <row r="390" spans="1:11" ht="20.25" customHeight="1">
      <c r="A390" s="89" t="s">
        <v>6243</v>
      </c>
      <c r="B390" s="90" t="s">
        <v>6244</v>
      </c>
      <c r="C390" s="90" t="s">
        <v>6123</v>
      </c>
      <c r="D390" s="90" t="s">
        <v>6245</v>
      </c>
      <c r="E390" s="89" t="s">
        <v>45</v>
      </c>
      <c r="F390" s="91">
        <v>251119</v>
      </c>
      <c r="G390" s="91">
        <v>5020000</v>
      </c>
      <c r="H390" s="87"/>
      <c r="I390" s="90" t="s">
        <v>25</v>
      </c>
      <c r="J390" s="88" t="str">
        <f t="shared" si="6"/>
        <v>重复</v>
      </c>
      <c r="K390" s="88" t="str">
        <f t="shared" si="6"/>
        <v>不重复</v>
      </c>
    </row>
    <row r="391" spans="1:11" ht="20.25" customHeight="1">
      <c r="A391" s="84" t="s">
        <v>6246</v>
      </c>
      <c r="B391" s="85" t="s">
        <v>6247</v>
      </c>
      <c r="C391" s="85" t="s">
        <v>382</v>
      </c>
      <c r="D391" s="85" t="s">
        <v>6248</v>
      </c>
      <c r="E391" s="84" t="s">
        <v>45</v>
      </c>
      <c r="F391" s="86">
        <v>251121</v>
      </c>
      <c r="G391" s="86">
        <v>5020000</v>
      </c>
      <c r="H391" s="87"/>
      <c r="I391" s="85" t="s">
        <v>25</v>
      </c>
      <c r="J391" s="88" t="str">
        <f t="shared" si="6"/>
        <v>重复</v>
      </c>
      <c r="K391" s="88" t="str">
        <f t="shared" si="6"/>
        <v>不重复</v>
      </c>
    </row>
    <row r="392" spans="1:11" ht="20.25" customHeight="1">
      <c r="A392" s="84" t="s">
        <v>6249</v>
      </c>
      <c r="B392" s="85" t="s">
        <v>6250</v>
      </c>
      <c r="C392" s="85" t="s">
        <v>6251</v>
      </c>
      <c r="D392" s="85" t="s">
        <v>6252</v>
      </c>
      <c r="E392" s="84" t="s">
        <v>45</v>
      </c>
      <c r="F392" s="86">
        <v>251122</v>
      </c>
      <c r="G392" s="86">
        <v>5020000</v>
      </c>
      <c r="H392" s="87"/>
      <c r="I392" s="85" t="s">
        <v>25</v>
      </c>
      <c r="J392" s="88" t="str">
        <f t="shared" si="6"/>
        <v>不重复</v>
      </c>
      <c r="K392" s="88" t="str">
        <f t="shared" si="6"/>
        <v>不重复</v>
      </c>
    </row>
    <row r="393" spans="1:11" ht="20.25" customHeight="1">
      <c r="A393" s="84" t="s">
        <v>6253</v>
      </c>
      <c r="B393" s="85" t="s">
        <v>6254</v>
      </c>
      <c r="C393" s="85" t="s">
        <v>6255</v>
      </c>
      <c r="D393" s="85" t="s">
        <v>6256</v>
      </c>
      <c r="E393" s="84" t="s">
        <v>45</v>
      </c>
      <c r="F393" s="86">
        <v>251123</v>
      </c>
      <c r="G393" s="86">
        <v>5020000</v>
      </c>
      <c r="H393" s="87"/>
      <c r="I393" s="85" t="s">
        <v>25</v>
      </c>
      <c r="J393" s="88" t="str">
        <f t="shared" si="6"/>
        <v>不重复</v>
      </c>
      <c r="K393" s="88" t="str">
        <f t="shared" si="6"/>
        <v>不重复</v>
      </c>
    </row>
    <row r="394" spans="1:11" ht="20.25" customHeight="1">
      <c r="A394" s="84" t="s">
        <v>6257</v>
      </c>
      <c r="B394" s="85" t="s">
        <v>6258</v>
      </c>
      <c r="C394" s="85" t="s">
        <v>1082</v>
      </c>
      <c r="D394" s="85" t="s">
        <v>6259</v>
      </c>
      <c r="E394" s="84" t="s">
        <v>45</v>
      </c>
      <c r="F394" s="86">
        <v>251124</v>
      </c>
      <c r="G394" s="86">
        <v>5020000</v>
      </c>
      <c r="H394" s="87"/>
      <c r="I394" s="85" t="s">
        <v>25</v>
      </c>
      <c r="J394" s="88" t="str">
        <f t="shared" si="6"/>
        <v>重复</v>
      </c>
      <c r="K394" s="88" t="str">
        <f t="shared" si="6"/>
        <v>不重复</v>
      </c>
    </row>
    <row r="395" spans="1:11" ht="20.25" customHeight="1">
      <c r="A395" s="89" t="s">
        <v>6260</v>
      </c>
      <c r="B395" s="90" t="s">
        <v>722</v>
      </c>
      <c r="C395" s="90" t="s">
        <v>723</v>
      </c>
      <c r="D395" s="90" t="s">
        <v>724</v>
      </c>
      <c r="E395" s="89" t="s">
        <v>45</v>
      </c>
      <c r="F395" s="91">
        <v>252000</v>
      </c>
      <c r="G395" s="91">
        <v>5020000</v>
      </c>
      <c r="H395" s="87"/>
      <c r="I395" s="90" t="s">
        <v>25</v>
      </c>
      <c r="J395" s="88" t="str">
        <f t="shared" si="6"/>
        <v>重复</v>
      </c>
      <c r="K395" s="88" t="str">
        <f t="shared" si="6"/>
        <v>不重复</v>
      </c>
    </row>
    <row r="396" spans="1:11" ht="20.25" customHeight="1">
      <c r="A396" s="89" t="s">
        <v>676</v>
      </c>
      <c r="B396" s="90" t="s">
        <v>677</v>
      </c>
      <c r="C396" s="90" t="s">
        <v>678</v>
      </c>
      <c r="D396" s="90" t="s">
        <v>679</v>
      </c>
      <c r="E396" s="89" t="s">
        <v>45</v>
      </c>
      <c r="F396" s="91">
        <v>252001</v>
      </c>
      <c r="G396" s="91">
        <v>5020000</v>
      </c>
      <c r="H396" s="87"/>
      <c r="I396" s="90" t="s">
        <v>5515</v>
      </c>
      <c r="J396" s="88" t="str">
        <f t="shared" si="6"/>
        <v>不重复</v>
      </c>
      <c r="K396" s="88" t="str">
        <f t="shared" si="6"/>
        <v>不重复</v>
      </c>
    </row>
    <row r="397" spans="1:11" ht="20.25" customHeight="1">
      <c r="A397" s="89" t="s">
        <v>709</v>
      </c>
      <c r="B397" s="90" t="s">
        <v>710</v>
      </c>
      <c r="C397" s="90" t="s">
        <v>711</v>
      </c>
      <c r="D397" s="90" t="s">
        <v>712</v>
      </c>
      <c r="E397" s="89" t="s">
        <v>45</v>
      </c>
      <c r="F397" s="91">
        <v>252002</v>
      </c>
      <c r="G397" s="91">
        <v>5020000</v>
      </c>
      <c r="H397" s="87"/>
      <c r="I397" s="90" t="s">
        <v>713</v>
      </c>
      <c r="J397" s="88" t="str">
        <f t="shared" si="6"/>
        <v>不重复</v>
      </c>
      <c r="K397" s="88" t="str">
        <f t="shared" si="6"/>
        <v>不重复</v>
      </c>
    </row>
    <row r="398" spans="1:11" ht="20.25" customHeight="1">
      <c r="A398" s="89" t="s">
        <v>680</v>
      </c>
      <c r="B398" s="90" t="s">
        <v>681</v>
      </c>
      <c r="C398" s="90" t="s">
        <v>682</v>
      </c>
      <c r="D398" s="90" t="s">
        <v>683</v>
      </c>
      <c r="E398" s="89" t="s">
        <v>45</v>
      </c>
      <c r="F398" s="91">
        <v>252003</v>
      </c>
      <c r="G398" s="91">
        <v>5020000</v>
      </c>
      <c r="H398" s="87"/>
      <c r="I398" s="90" t="s">
        <v>5559</v>
      </c>
      <c r="J398" s="88" t="str">
        <f t="shared" si="6"/>
        <v>不重复</v>
      </c>
      <c r="K398" s="88" t="str">
        <f t="shared" si="6"/>
        <v>不重复</v>
      </c>
    </row>
    <row r="399" spans="1:11" ht="20.25" customHeight="1">
      <c r="A399" s="89" t="s">
        <v>684</v>
      </c>
      <c r="B399" s="90" t="s">
        <v>685</v>
      </c>
      <c r="C399" s="90" t="s">
        <v>686</v>
      </c>
      <c r="D399" s="90" t="s">
        <v>687</v>
      </c>
      <c r="E399" s="89" t="s">
        <v>45</v>
      </c>
      <c r="F399" s="91">
        <v>252004</v>
      </c>
      <c r="G399" s="91">
        <v>5020000</v>
      </c>
      <c r="H399" s="87"/>
      <c r="I399" s="90" t="s">
        <v>6261</v>
      </c>
      <c r="J399" s="88" t="str">
        <f t="shared" si="6"/>
        <v>不重复</v>
      </c>
      <c r="K399" s="88" t="str">
        <f t="shared" si="6"/>
        <v>不重复</v>
      </c>
    </row>
    <row r="400" spans="1:11" ht="20.25" customHeight="1">
      <c r="A400" s="89" t="s">
        <v>688</v>
      </c>
      <c r="B400" s="90" t="s">
        <v>6262</v>
      </c>
      <c r="C400" s="90" t="s">
        <v>689</v>
      </c>
      <c r="D400" s="90" t="s">
        <v>690</v>
      </c>
      <c r="E400" s="89" t="s">
        <v>45</v>
      </c>
      <c r="F400" s="91">
        <v>252005</v>
      </c>
      <c r="G400" s="91">
        <v>5020000</v>
      </c>
      <c r="H400" s="87"/>
      <c r="I400" s="90" t="s">
        <v>6263</v>
      </c>
      <c r="J400" s="88" t="str">
        <f t="shared" si="6"/>
        <v>不重复</v>
      </c>
      <c r="K400" s="88" t="str">
        <f t="shared" si="6"/>
        <v>不重复</v>
      </c>
    </row>
    <row r="401" spans="1:11" ht="20.25" customHeight="1">
      <c r="A401" s="89" t="s">
        <v>699</v>
      </c>
      <c r="B401" s="90" t="s">
        <v>700</v>
      </c>
      <c r="C401" s="90" t="s">
        <v>701</v>
      </c>
      <c r="D401" s="90" t="s">
        <v>6264</v>
      </c>
      <c r="E401" s="89" t="s">
        <v>45</v>
      </c>
      <c r="F401" s="91">
        <v>252006</v>
      </c>
      <c r="G401" s="91">
        <v>5020000</v>
      </c>
      <c r="H401" s="87"/>
      <c r="I401" s="90" t="s">
        <v>5498</v>
      </c>
      <c r="J401" s="88" t="str">
        <f t="shared" si="6"/>
        <v>不重复</v>
      </c>
      <c r="K401" s="88" t="str">
        <f t="shared" si="6"/>
        <v>不重复</v>
      </c>
    </row>
    <row r="402" spans="1:11" ht="20.25" customHeight="1">
      <c r="A402" s="89" t="s">
        <v>691</v>
      </c>
      <c r="B402" s="90" t="s">
        <v>692</v>
      </c>
      <c r="C402" s="90" t="s">
        <v>693</v>
      </c>
      <c r="D402" s="90" t="s">
        <v>694</v>
      </c>
      <c r="E402" s="89" t="s">
        <v>45</v>
      </c>
      <c r="F402" s="91">
        <v>252007</v>
      </c>
      <c r="G402" s="91">
        <v>5020000</v>
      </c>
      <c r="H402" s="87"/>
      <c r="I402" s="90" t="s">
        <v>6265</v>
      </c>
      <c r="J402" s="88" t="str">
        <f t="shared" si="6"/>
        <v>不重复</v>
      </c>
      <c r="K402" s="88" t="str">
        <f t="shared" si="6"/>
        <v>不重复</v>
      </c>
    </row>
    <row r="403" spans="1:11" ht="20.25" customHeight="1">
      <c r="A403" s="89" t="s">
        <v>695</v>
      </c>
      <c r="B403" s="90" t="s">
        <v>696</v>
      </c>
      <c r="C403" s="90" t="s">
        <v>697</v>
      </c>
      <c r="D403" s="90" t="s">
        <v>698</v>
      </c>
      <c r="E403" s="89" t="s">
        <v>45</v>
      </c>
      <c r="F403" s="91">
        <v>252008</v>
      </c>
      <c r="G403" s="91">
        <v>5020000</v>
      </c>
      <c r="H403" s="87"/>
      <c r="I403" s="90" t="s">
        <v>6266</v>
      </c>
      <c r="J403" s="88" t="str">
        <f t="shared" si="6"/>
        <v>不重复</v>
      </c>
      <c r="K403" s="88" t="str">
        <f t="shared" si="6"/>
        <v>不重复</v>
      </c>
    </row>
    <row r="404" spans="1:11" ht="20.25" customHeight="1">
      <c r="A404" s="89" t="s">
        <v>702</v>
      </c>
      <c r="B404" s="90" t="s">
        <v>703</v>
      </c>
      <c r="C404" s="90" t="s">
        <v>704</v>
      </c>
      <c r="D404" s="90" t="s">
        <v>705</v>
      </c>
      <c r="E404" s="89" t="s">
        <v>45</v>
      </c>
      <c r="F404" s="91">
        <v>252009</v>
      </c>
      <c r="G404" s="91">
        <v>5020000</v>
      </c>
      <c r="H404" s="87"/>
      <c r="I404" s="90" t="s">
        <v>6267</v>
      </c>
      <c r="J404" s="88" t="str">
        <f t="shared" si="6"/>
        <v>不重复</v>
      </c>
      <c r="K404" s="88" t="str">
        <f t="shared" si="6"/>
        <v>不重复</v>
      </c>
    </row>
    <row r="405" spans="1:11" ht="20.25" customHeight="1">
      <c r="A405" s="89" t="s">
        <v>706</v>
      </c>
      <c r="B405" s="90" t="s">
        <v>6268</v>
      </c>
      <c r="C405" s="90" t="s">
        <v>707</v>
      </c>
      <c r="D405" s="90" t="s">
        <v>708</v>
      </c>
      <c r="E405" s="89" t="s">
        <v>45</v>
      </c>
      <c r="F405" s="91">
        <v>252010</v>
      </c>
      <c r="G405" s="91">
        <v>5020000</v>
      </c>
      <c r="H405" s="87"/>
      <c r="I405" s="90" t="s">
        <v>5559</v>
      </c>
      <c r="J405" s="88" t="str">
        <f t="shared" si="6"/>
        <v>重复</v>
      </c>
      <c r="K405" s="88" t="str">
        <f t="shared" si="6"/>
        <v>不重复</v>
      </c>
    </row>
    <row r="406" spans="1:11" ht="20.25" customHeight="1">
      <c r="A406" s="89" t="s">
        <v>6269</v>
      </c>
      <c r="B406" s="90" t="s">
        <v>6270</v>
      </c>
      <c r="C406" s="90" t="s">
        <v>6271</v>
      </c>
      <c r="D406" s="90" t="s">
        <v>6272</v>
      </c>
      <c r="E406" s="89" t="s">
        <v>45</v>
      </c>
      <c r="F406" s="91">
        <v>252011</v>
      </c>
      <c r="G406" s="91">
        <v>5020000</v>
      </c>
      <c r="H406" s="87"/>
      <c r="I406" s="90" t="s">
        <v>6273</v>
      </c>
      <c r="J406" s="88" t="str">
        <f t="shared" si="6"/>
        <v>不重复</v>
      </c>
      <c r="K406" s="88" t="str">
        <f t="shared" si="6"/>
        <v>不重复</v>
      </c>
    </row>
    <row r="407" spans="1:11" ht="20.25" customHeight="1">
      <c r="A407" s="89" t="s">
        <v>718</v>
      </c>
      <c r="B407" s="90" t="s">
        <v>719</v>
      </c>
      <c r="C407" s="90" t="s">
        <v>720</v>
      </c>
      <c r="D407" s="90" t="s">
        <v>721</v>
      </c>
      <c r="E407" s="89" t="s">
        <v>45</v>
      </c>
      <c r="F407" s="91">
        <v>252012</v>
      </c>
      <c r="G407" s="91">
        <v>5020000</v>
      </c>
      <c r="H407" s="87"/>
      <c r="I407" s="90" t="s">
        <v>5959</v>
      </c>
      <c r="J407" s="88" t="str">
        <f t="shared" si="6"/>
        <v>重复</v>
      </c>
      <c r="K407" s="88" t="str">
        <f t="shared" si="6"/>
        <v>不重复</v>
      </c>
    </row>
    <row r="408" spans="1:11" ht="20.25" customHeight="1">
      <c r="A408" s="89" t="s">
        <v>714</v>
      </c>
      <c r="B408" s="90" t="s">
        <v>715</v>
      </c>
      <c r="C408" s="90" t="s">
        <v>716</v>
      </c>
      <c r="D408" s="90" t="s">
        <v>717</v>
      </c>
      <c r="E408" s="89" t="s">
        <v>45</v>
      </c>
      <c r="F408" s="91">
        <v>252013</v>
      </c>
      <c r="G408" s="91">
        <v>5020000</v>
      </c>
      <c r="H408" s="87"/>
      <c r="I408" s="90" t="s">
        <v>6266</v>
      </c>
      <c r="J408" s="88" t="str">
        <f t="shared" si="6"/>
        <v>不重复</v>
      </c>
      <c r="K408" s="88" t="str">
        <f t="shared" si="6"/>
        <v>不重复</v>
      </c>
    </row>
    <row r="409" spans="1:11" ht="20.25" customHeight="1">
      <c r="A409" s="84" t="s">
        <v>6274</v>
      </c>
      <c r="B409" s="85" t="s">
        <v>6275</v>
      </c>
      <c r="C409" s="85" t="s">
        <v>747</v>
      </c>
      <c r="D409" s="85" t="s">
        <v>748</v>
      </c>
      <c r="E409" s="84" t="s">
        <v>45</v>
      </c>
      <c r="F409" s="86">
        <v>252015</v>
      </c>
      <c r="G409" s="86">
        <v>5020000</v>
      </c>
      <c r="H409" s="87"/>
      <c r="I409" s="85" t="s">
        <v>25</v>
      </c>
      <c r="J409" s="88" t="str">
        <f t="shared" si="6"/>
        <v>不重复</v>
      </c>
      <c r="K409" s="88" t="str">
        <f t="shared" si="6"/>
        <v>不重复</v>
      </c>
    </row>
    <row r="410" spans="1:11" ht="20.25" customHeight="1">
      <c r="A410" s="84" t="s">
        <v>736</v>
      </c>
      <c r="B410" s="85" t="s">
        <v>737</v>
      </c>
      <c r="C410" s="85" t="s">
        <v>738</v>
      </c>
      <c r="D410" s="85" t="s">
        <v>739</v>
      </c>
      <c r="E410" s="84" t="s">
        <v>45</v>
      </c>
      <c r="F410" s="86">
        <v>252016</v>
      </c>
      <c r="G410" s="86">
        <v>5020000</v>
      </c>
      <c r="H410" s="87"/>
      <c r="I410" s="85" t="s">
        <v>6276</v>
      </c>
      <c r="J410" s="88" t="str">
        <f t="shared" si="6"/>
        <v>重复</v>
      </c>
      <c r="K410" s="88" t="str">
        <f t="shared" si="6"/>
        <v>不重复</v>
      </c>
    </row>
    <row r="411" spans="1:11" ht="20.25" customHeight="1">
      <c r="A411" s="84" t="s">
        <v>740</v>
      </c>
      <c r="B411" s="85" t="s">
        <v>741</v>
      </c>
      <c r="C411" s="85" t="s">
        <v>738</v>
      </c>
      <c r="D411" s="85" t="s">
        <v>742</v>
      </c>
      <c r="E411" s="84" t="s">
        <v>45</v>
      </c>
      <c r="F411" s="86">
        <v>252017</v>
      </c>
      <c r="G411" s="86">
        <v>5020000</v>
      </c>
      <c r="H411" s="87"/>
      <c r="I411" s="85" t="s">
        <v>6008</v>
      </c>
      <c r="J411" s="88" t="str">
        <f t="shared" si="6"/>
        <v>重复</v>
      </c>
      <c r="K411" s="88" t="str">
        <f t="shared" si="6"/>
        <v>不重复</v>
      </c>
    </row>
    <row r="412" spans="1:11" ht="20.25" customHeight="1">
      <c r="A412" s="84" t="s">
        <v>743</v>
      </c>
      <c r="B412" s="85" t="s">
        <v>744</v>
      </c>
      <c r="C412" s="85" t="s">
        <v>745</v>
      </c>
      <c r="D412" s="85" t="s">
        <v>746</v>
      </c>
      <c r="E412" s="84" t="s">
        <v>45</v>
      </c>
      <c r="F412" s="86">
        <v>252018</v>
      </c>
      <c r="G412" s="86">
        <v>5020000</v>
      </c>
      <c r="H412" s="87"/>
      <c r="I412" s="85" t="s">
        <v>6008</v>
      </c>
      <c r="J412" s="88" t="str">
        <f t="shared" si="6"/>
        <v>不重复</v>
      </c>
      <c r="K412" s="88" t="str">
        <f t="shared" si="6"/>
        <v>不重复</v>
      </c>
    </row>
    <row r="413" spans="1:11" ht="20.25" customHeight="1">
      <c r="A413" s="84" t="s">
        <v>6277</v>
      </c>
      <c r="B413" s="85" t="s">
        <v>6278</v>
      </c>
      <c r="C413" s="85" t="s">
        <v>6279</v>
      </c>
      <c r="D413" s="85" t="s">
        <v>6280</v>
      </c>
      <c r="E413" s="84" t="s">
        <v>45</v>
      </c>
      <c r="F413" s="86">
        <v>252019</v>
      </c>
      <c r="G413" s="86">
        <v>5020000</v>
      </c>
      <c r="H413" s="87"/>
      <c r="I413" s="85" t="s">
        <v>25</v>
      </c>
      <c r="J413" s="88" t="str">
        <f t="shared" si="6"/>
        <v>不重复</v>
      </c>
      <c r="K413" s="88" t="str">
        <f t="shared" si="6"/>
        <v>不重复</v>
      </c>
    </row>
    <row r="414" spans="1:11" ht="20.25" customHeight="1">
      <c r="A414" s="84" t="s">
        <v>732</v>
      </c>
      <c r="B414" s="85" t="s">
        <v>733</v>
      </c>
      <c r="C414" s="85" t="s">
        <v>734</v>
      </c>
      <c r="D414" s="85" t="s">
        <v>735</v>
      </c>
      <c r="E414" s="84" t="s">
        <v>45</v>
      </c>
      <c r="F414" s="86">
        <v>252020</v>
      </c>
      <c r="G414" s="86">
        <v>5020000</v>
      </c>
      <c r="H414" s="87"/>
      <c r="I414" s="85" t="s">
        <v>6281</v>
      </c>
      <c r="J414" s="88" t="str">
        <f t="shared" si="6"/>
        <v>重复</v>
      </c>
      <c r="K414" s="88" t="str">
        <f t="shared" si="6"/>
        <v>不重复</v>
      </c>
    </row>
    <row r="415" spans="1:11" ht="20.25" customHeight="1">
      <c r="A415" s="84" t="s">
        <v>6282</v>
      </c>
      <c r="B415" s="85" t="s">
        <v>6283</v>
      </c>
      <c r="C415" s="85" t="s">
        <v>6284</v>
      </c>
      <c r="D415" s="85" t="s">
        <v>6285</v>
      </c>
      <c r="E415" s="84" t="s">
        <v>45</v>
      </c>
      <c r="F415" s="86">
        <v>252021</v>
      </c>
      <c r="G415" s="86">
        <v>5020000</v>
      </c>
      <c r="H415" s="87"/>
      <c r="I415" s="85" t="s">
        <v>5570</v>
      </c>
      <c r="J415" s="88" t="str">
        <f t="shared" si="6"/>
        <v>不重复</v>
      </c>
      <c r="K415" s="88" t="str">
        <f t="shared" si="6"/>
        <v>不重复</v>
      </c>
    </row>
    <row r="416" spans="1:11" ht="20.25" customHeight="1">
      <c r="A416" s="84" t="s">
        <v>725</v>
      </c>
      <c r="B416" s="85" t="s">
        <v>726</v>
      </c>
      <c r="C416" s="85" t="s">
        <v>727</v>
      </c>
      <c r="D416" s="85" t="s">
        <v>728</v>
      </c>
      <c r="E416" s="84" t="s">
        <v>45</v>
      </c>
      <c r="F416" s="86">
        <v>252022</v>
      </c>
      <c r="G416" s="86">
        <v>5020000</v>
      </c>
      <c r="H416" s="87"/>
      <c r="I416" s="85" t="s">
        <v>6286</v>
      </c>
      <c r="J416" s="88" t="str">
        <f t="shared" si="6"/>
        <v>重复</v>
      </c>
      <c r="K416" s="88" t="str">
        <f t="shared" si="6"/>
        <v>不重复</v>
      </c>
    </row>
    <row r="417" spans="1:11" ht="20.25" customHeight="1">
      <c r="A417" s="84" t="s">
        <v>729</v>
      </c>
      <c r="B417" s="85" t="s">
        <v>730</v>
      </c>
      <c r="C417" s="85" t="s">
        <v>662</v>
      </c>
      <c r="D417" s="85" t="s">
        <v>731</v>
      </c>
      <c r="E417" s="84" t="s">
        <v>45</v>
      </c>
      <c r="F417" s="86">
        <v>252023</v>
      </c>
      <c r="G417" s="86">
        <v>5020000</v>
      </c>
      <c r="H417" s="87"/>
      <c r="I417" s="85" t="s">
        <v>6287</v>
      </c>
      <c r="J417" s="88" t="str">
        <f t="shared" si="6"/>
        <v>不重复</v>
      </c>
      <c r="K417" s="88" t="str">
        <f t="shared" si="6"/>
        <v>不重复</v>
      </c>
    </row>
    <row r="418" spans="1:11" ht="20.25" customHeight="1">
      <c r="A418" s="84" t="s">
        <v>6288</v>
      </c>
      <c r="B418" s="85" t="s">
        <v>6289</v>
      </c>
      <c r="C418" s="85" t="s">
        <v>5931</v>
      </c>
      <c r="D418" s="85" t="s">
        <v>6290</v>
      </c>
      <c r="E418" s="84" t="s">
        <v>45</v>
      </c>
      <c r="F418" s="86">
        <v>252024</v>
      </c>
      <c r="G418" s="86">
        <v>5020000</v>
      </c>
      <c r="H418" s="87"/>
      <c r="I418" s="85" t="s">
        <v>25</v>
      </c>
      <c r="J418" s="88" t="str">
        <f t="shared" si="6"/>
        <v>重复</v>
      </c>
      <c r="K418" s="88" t="str">
        <f t="shared" si="6"/>
        <v>不重复</v>
      </c>
    </row>
    <row r="419" spans="1:11" ht="20.25" customHeight="1">
      <c r="A419" s="84" t="s">
        <v>750</v>
      </c>
      <c r="B419" s="85" t="s">
        <v>751</v>
      </c>
      <c r="C419" s="85" t="s">
        <v>752</v>
      </c>
      <c r="D419" s="85" t="s">
        <v>753</v>
      </c>
      <c r="E419" s="84" t="s">
        <v>45</v>
      </c>
      <c r="F419" s="86">
        <v>252025</v>
      </c>
      <c r="G419" s="86">
        <v>5020000</v>
      </c>
      <c r="H419" s="87"/>
      <c r="I419" s="85" t="s">
        <v>6111</v>
      </c>
      <c r="J419" s="88" t="str">
        <f t="shared" si="6"/>
        <v>不重复</v>
      </c>
      <c r="K419" s="88" t="str">
        <f t="shared" si="6"/>
        <v>不重复</v>
      </c>
    </row>
    <row r="420" spans="1:11" ht="20.25" customHeight="1">
      <c r="A420" s="89" t="s">
        <v>6291</v>
      </c>
      <c r="B420" s="90" t="s">
        <v>6292</v>
      </c>
      <c r="C420" s="90" t="s">
        <v>65</v>
      </c>
      <c r="D420" s="90" t="s">
        <v>6293</v>
      </c>
      <c r="E420" s="89" t="s">
        <v>45</v>
      </c>
      <c r="F420" s="91">
        <v>260000</v>
      </c>
      <c r="G420" s="91">
        <v>5020000</v>
      </c>
      <c r="H420" s="87"/>
      <c r="I420" s="90" t="s">
        <v>25</v>
      </c>
      <c r="J420" s="88" t="str">
        <f t="shared" si="6"/>
        <v>重复</v>
      </c>
      <c r="K420" s="88" t="str">
        <f t="shared" si="6"/>
        <v>不重复</v>
      </c>
    </row>
    <row r="421" spans="1:11" ht="20.25" customHeight="1">
      <c r="A421" s="89" t="s">
        <v>754</v>
      </c>
      <c r="B421" s="90" t="s">
        <v>755</v>
      </c>
      <c r="C421" s="90" t="s">
        <v>65</v>
      </c>
      <c r="D421" s="90" t="s">
        <v>756</v>
      </c>
      <c r="E421" s="89" t="s">
        <v>45</v>
      </c>
      <c r="F421" s="91">
        <v>260001</v>
      </c>
      <c r="G421" s="91">
        <v>5020000</v>
      </c>
      <c r="H421" s="87"/>
      <c r="I421" s="90" t="s">
        <v>6294</v>
      </c>
      <c r="J421" s="88" t="str">
        <f t="shared" si="6"/>
        <v>重复</v>
      </c>
      <c r="K421" s="88" t="str">
        <f t="shared" si="6"/>
        <v>不重复</v>
      </c>
    </row>
    <row r="422" spans="1:11" ht="20.25" customHeight="1">
      <c r="A422" s="89" t="s">
        <v>6295</v>
      </c>
      <c r="B422" s="90" t="s">
        <v>6296</v>
      </c>
      <c r="C422" s="90" t="s">
        <v>759</v>
      </c>
      <c r="D422" s="90" t="s">
        <v>6297</v>
      </c>
      <c r="E422" s="89" t="s">
        <v>45</v>
      </c>
      <c r="F422" s="91">
        <v>260002</v>
      </c>
      <c r="G422" s="91">
        <v>5020000</v>
      </c>
      <c r="H422" s="87"/>
      <c r="I422" s="90" t="s">
        <v>25</v>
      </c>
      <c r="J422" s="88" t="str">
        <f t="shared" si="6"/>
        <v>重复</v>
      </c>
      <c r="K422" s="88" t="str">
        <f t="shared" si="6"/>
        <v>不重复</v>
      </c>
    </row>
    <row r="423" spans="1:11" ht="20.25" customHeight="1">
      <c r="A423" s="89" t="s">
        <v>757</v>
      </c>
      <c r="B423" s="90" t="s">
        <v>758</v>
      </c>
      <c r="C423" s="90" t="s">
        <v>759</v>
      </c>
      <c r="D423" s="90" t="s">
        <v>760</v>
      </c>
      <c r="E423" s="89" t="s">
        <v>45</v>
      </c>
      <c r="F423" s="91">
        <v>260003</v>
      </c>
      <c r="G423" s="91">
        <v>5020000</v>
      </c>
      <c r="H423" s="87"/>
      <c r="I423" s="90" t="s">
        <v>6298</v>
      </c>
      <c r="J423" s="88" t="str">
        <f t="shared" si="6"/>
        <v>重复</v>
      </c>
      <c r="K423" s="88" t="str">
        <f t="shared" si="6"/>
        <v>不重复</v>
      </c>
    </row>
    <row r="424" spans="1:11" ht="20.25" customHeight="1">
      <c r="A424" s="84" t="s">
        <v>6299</v>
      </c>
      <c r="B424" s="85" t="s">
        <v>6300</v>
      </c>
      <c r="C424" s="85" t="s">
        <v>49</v>
      </c>
      <c r="D424" s="85" t="s">
        <v>6301</v>
      </c>
      <c r="E424" s="84" t="s">
        <v>45</v>
      </c>
      <c r="F424" s="86">
        <v>260004</v>
      </c>
      <c r="G424" s="86">
        <v>5020000</v>
      </c>
      <c r="H424" s="87"/>
      <c r="I424" s="85" t="s">
        <v>25</v>
      </c>
      <c r="J424" s="88" t="str">
        <f t="shared" si="6"/>
        <v>重复</v>
      </c>
      <c r="K424" s="88" t="str">
        <f t="shared" si="6"/>
        <v>不重复</v>
      </c>
    </row>
    <row r="425" spans="1:11" ht="20.25" customHeight="1">
      <c r="A425" s="84" t="s">
        <v>761</v>
      </c>
      <c r="B425" s="85" t="s">
        <v>762</v>
      </c>
      <c r="C425" s="85" t="s">
        <v>49</v>
      </c>
      <c r="D425" s="85" t="s">
        <v>763</v>
      </c>
      <c r="E425" s="84" t="s">
        <v>45</v>
      </c>
      <c r="F425" s="86">
        <v>260005</v>
      </c>
      <c r="G425" s="86">
        <v>5020000</v>
      </c>
      <c r="H425" s="87"/>
      <c r="I425" s="85" t="s">
        <v>6111</v>
      </c>
      <c r="J425" s="88" t="str">
        <f t="shared" si="6"/>
        <v>重复</v>
      </c>
      <c r="K425" s="88" t="str">
        <f t="shared" si="6"/>
        <v>不重复</v>
      </c>
    </row>
    <row r="426" spans="1:11" ht="20.25" customHeight="1">
      <c r="A426" s="89" t="s">
        <v>6302</v>
      </c>
      <c r="B426" s="90" t="s">
        <v>6303</v>
      </c>
      <c r="C426" s="90" t="s">
        <v>499</v>
      </c>
      <c r="D426" s="90" t="s">
        <v>6304</v>
      </c>
      <c r="E426" s="89" t="s">
        <v>45</v>
      </c>
      <c r="F426" s="91">
        <v>260006</v>
      </c>
      <c r="G426" s="91">
        <v>5020000</v>
      </c>
      <c r="H426" s="87"/>
      <c r="I426" s="90" t="s">
        <v>25</v>
      </c>
      <c r="J426" s="88" t="str">
        <f t="shared" si="6"/>
        <v>重复</v>
      </c>
      <c r="K426" s="88" t="str">
        <f t="shared" si="6"/>
        <v>不重复</v>
      </c>
    </row>
    <row r="427" spans="1:11" ht="20.25" customHeight="1">
      <c r="A427" s="84" t="s">
        <v>6305</v>
      </c>
      <c r="B427" s="85" t="s">
        <v>6306</v>
      </c>
      <c r="C427" s="85" t="s">
        <v>148</v>
      </c>
      <c r="D427" s="85" t="s">
        <v>6307</v>
      </c>
      <c r="E427" s="84" t="s">
        <v>45</v>
      </c>
      <c r="F427" s="86">
        <v>271000</v>
      </c>
      <c r="G427" s="86">
        <v>5020000</v>
      </c>
      <c r="H427" s="87"/>
      <c r="I427" s="85" t="s">
        <v>25</v>
      </c>
      <c r="J427" s="88" t="str">
        <f t="shared" si="6"/>
        <v>重复</v>
      </c>
      <c r="K427" s="88" t="str">
        <f t="shared" si="6"/>
        <v>不重复</v>
      </c>
    </row>
    <row r="428" spans="1:11" ht="20.25" customHeight="1">
      <c r="A428" s="84" t="s">
        <v>870</v>
      </c>
      <c r="B428" s="85" t="s">
        <v>6308</v>
      </c>
      <c r="C428" s="85" t="s">
        <v>148</v>
      </c>
      <c r="D428" s="85" t="s">
        <v>871</v>
      </c>
      <c r="E428" s="84" t="s">
        <v>45</v>
      </c>
      <c r="F428" s="86">
        <v>271001</v>
      </c>
      <c r="G428" s="86">
        <v>5020000</v>
      </c>
      <c r="H428" s="87"/>
      <c r="I428" s="85" t="s">
        <v>6008</v>
      </c>
      <c r="J428" s="88" t="str">
        <f t="shared" si="6"/>
        <v>重复</v>
      </c>
      <c r="K428" s="88" t="str">
        <f t="shared" si="6"/>
        <v>不重复</v>
      </c>
    </row>
    <row r="429" spans="1:11" ht="20.25" customHeight="1">
      <c r="A429" s="84" t="s">
        <v>6309</v>
      </c>
      <c r="B429" s="85" t="s">
        <v>6310</v>
      </c>
      <c r="C429" s="85" t="s">
        <v>420</v>
      </c>
      <c r="D429" s="85" t="s">
        <v>6311</v>
      </c>
      <c r="E429" s="84" t="s">
        <v>45</v>
      </c>
      <c r="F429" s="86">
        <v>271002</v>
      </c>
      <c r="G429" s="86">
        <v>5020000</v>
      </c>
      <c r="H429" s="87"/>
      <c r="I429" s="85" t="s">
        <v>25</v>
      </c>
      <c r="J429" s="88" t="str">
        <f t="shared" si="6"/>
        <v>重复</v>
      </c>
      <c r="K429" s="88" t="str">
        <f t="shared" si="6"/>
        <v>不重复</v>
      </c>
    </row>
    <row r="430" spans="1:11" ht="20.25" customHeight="1">
      <c r="A430" s="84" t="s">
        <v>872</v>
      </c>
      <c r="B430" s="85" t="s">
        <v>6312</v>
      </c>
      <c r="C430" s="85" t="s">
        <v>49</v>
      </c>
      <c r="D430" s="85" t="s">
        <v>873</v>
      </c>
      <c r="E430" s="84" t="s">
        <v>45</v>
      </c>
      <c r="F430" s="86">
        <v>271003</v>
      </c>
      <c r="G430" s="86">
        <v>5020000</v>
      </c>
      <c r="H430" s="87"/>
      <c r="I430" s="85" t="s">
        <v>5429</v>
      </c>
      <c r="J430" s="88" t="str">
        <f t="shared" si="6"/>
        <v>重复</v>
      </c>
      <c r="K430" s="88" t="str">
        <f t="shared" si="6"/>
        <v>不重复</v>
      </c>
    </row>
    <row r="431" spans="1:11" ht="20.25" customHeight="1">
      <c r="A431" s="84" t="s">
        <v>6313</v>
      </c>
      <c r="B431" s="85" t="s">
        <v>6314</v>
      </c>
      <c r="C431" s="85" t="s">
        <v>4726</v>
      </c>
      <c r="D431" s="85" t="s">
        <v>6315</v>
      </c>
      <c r="E431" s="84" t="s">
        <v>45</v>
      </c>
      <c r="F431" s="86">
        <v>272000</v>
      </c>
      <c r="G431" s="86">
        <v>5020000</v>
      </c>
      <c r="H431" s="87"/>
      <c r="I431" s="85" t="s">
        <v>25</v>
      </c>
      <c r="J431" s="88" t="str">
        <f t="shared" si="6"/>
        <v>重复</v>
      </c>
      <c r="K431" s="88" t="str">
        <f t="shared" si="6"/>
        <v>不重复</v>
      </c>
    </row>
    <row r="432" spans="1:11" ht="20.25" customHeight="1">
      <c r="A432" s="84" t="s">
        <v>415</v>
      </c>
      <c r="B432" s="85" t="s">
        <v>6316</v>
      </c>
      <c r="C432" s="85" t="s">
        <v>416</v>
      </c>
      <c r="D432" s="85" t="s">
        <v>417</v>
      </c>
      <c r="E432" s="84" t="s">
        <v>45</v>
      </c>
      <c r="F432" s="86">
        <v>272001</v>
      </c>
      <c r="G432" s="86">
        <v>5020000</v>
      </c>
      <c r="H432" s="87"/>
      <c r="I432" s="85" t="s">
        <v>6317</v>
      </c>
      <c r="J432" s="88" t="str">
        <f t="shared" si="6"/>
        <v>不重复</v>
      </c>
      <c r="K432" s="88" t="str">
        <f t="shared" si="6"/>
        <v>不重复</v>
      </c>
    </row>
    <row r="433" spans="1:11" ht="20.25" customHeight="1">
      <c r="A433" s="89" t="s">
        <v>874</v>
      </c>
      <c r="B433" s="90" t="s">
        <v>6318</v>
      </c>
      <c r="C433" s="90" t="s">
        <v>138</v>
      </c>
      <c r="D433" s="90" t="s">
        <v>6319</v>
      </c>
      <c r="E433" s="89" t="s">
        <v>45</v>
      </c>
      <c r="F433" s="91">
        <v>272002</v>
      </c>
      <c r="G433" s="91">
        <v>5020000</v>
      </c>
      <c r="H433" s="87"/>
      <c r="I433" s="90" t="s">
        <v>25</v>
      </c>
      <c r="J433" s="88" t="str">
        <f t="shared" si="6"/>
        <v>重复</v>
      </c>
      <c r="K433" s="88" t="str">
        <f t="shared" si="6"/>
        <v>不重复</v>
      </c>
    </row>
    <row r="434" spans="1:11" ht="20.25" customHeight="1">
      <c r="A434" s="89" t="s">
        <v>876</v>
      </c>
      <c r="B434" s="90" t="s">
        <v>6320</v>
      </c>
      <c r="C434" s="90" t="s">
        <v>877</v>
      </c>
      <c r="D434" s="90" t="s">
        <v>878</v>
      </c>
      <c r="E434" s="89" t="s">
        <v>45</v>
      </c>
      <c r="F434" s="91">
        <v>272003</v>
      </c>
      <c r="G434" s="91">
        <v>5020000</v>
      </c>
      <c r="H434" s="87"/>
      <c r="I434" s="90" t="s">
        <v>6321</v>
      </c>
      <c r="J434" s="88" t="str">
        <f t="shared" si="6"/>
        <v>重复</v>
      </c>
      <c r="K434" s="88" t="str">
        <f t="shared" si="6"/>
        <v>不重复</v>
      </c>
    </row>
    <row r="435" spans="1:11" ht="20.25" customHeight="1">
      <c r="A435" s="89" t="s">
        <v>874</v>
      </c>
      <c r="B435" s="90" t="s">
        <v>6322</v>
      </c>
      <c r="C435" s="90" t="s">
        <v>138</v>
      </c>
      <c r="D435" s="90" t="s">
        <v>875</v>
      </c>
      <c r="E435" s="89" t="s">
        <v>45</v>
      </c>
      <c r="F435" s="91">
        <v>272004</v>
      </c>
      <c r="G435" s="91">
        <v>5020000</v>
      </c>
      <c r="H435" s="87"/>
      <c r="I435" s="90" t="s">
        <v>6323</v>
      </c>
      <c r="J435" s="88" t="str">
        <f t="shared" si="6"/>
        <v>重复</v>
      </c>
      <c r="K435" s="88" t="str">
        <f t="shared" si="6"/>
        <v>不重复</v>
      </c>
    </row>
    <row r="436" spans="1:11" ht="20.25" customHeight="1">
      <c r="A436" s="89" t="s">
        <v>6324</v>
      </c>
      <c r="B436" s="90" t="s">
        <v>6325</v>
      </c>
      <c r="C436" s="90" t="s">
        <v>673</v>
      </c>
      <c r="D436" s="90" t="s">
        <v>6326</v>
      </c>
      <c r="E436" s="89" t="s">
        <v>45</v>
      </c>
      <c r="F436" s="91">
        <v>272005</v>
      </c>
      <c r="G436" s="91">
        <v>5020000</v>
      </c>
      <c r="H436" s="87"/>
      <c r="I436" s="90" t="s">
        <v>25</v>
      </c>
      <c r="J436" s="88" t="str">
        <f t="shared" si="6"/>
        <v>重复</v>
      </c>
      <c r="K436" s="88" t="str">
        <f t="shared" si="6"/>
        <v>不重复</v>
      </c>
    </row>
    <row r="437" spans="1:11" ht="20.25" customHeight="1">
      <c r="A437" s="89" t="s">
        <v>887</v>
      </c>
      <c r="B437" s="90" t="s">
        <v>888</v>
      </c>
      <c r="C437" s="90" t="s">
        <v>673</v>
      </c>
      <c r="D437" s="90" t="s">
        <v>889</v>
      </c>
      <c r="E437" s="89" t="s">
        <v>45</v>
      </c>
      <c r="F437" s="91">
        <v>272006</v>
      </c>
      <c r="G437" s="91">
        <v>5020000</v>
      </c>
      <c r="H437" s="87"/>
      <c r="I437" s="90" t="s">
        <v>6327</v>
      </c>
      <c r="J437" s="88" t="str">
        <f t="shared" si="6"/>
        <v>重复</v>
      </c>
      <c r="K437" s="88" t="str">
        <f t="shared" si="6"/>
        <v>不重复</v>
      </c>
    </row>
    <row r="438" spans="1:11" ht="20.25" customHeight="1">
      <c r="A438" s="89" t="s">
        <v>6328</v>
      </c>
      <c r="B438" s="90" t="s">
        <v>6329</v>
      </c>
      <c r="C438" s="90" t="s">
        <v>2482</v>
      </c>
      <c r="D438" s="90" t="s">
        <v>6330</v>
      </c>
      <c r="E438" s="89" t="s">
        <v>45</v>
      </c>
      <c r="F438" s="91">
        <v>272008</v>
      </c>
      <c r="G438" s="91">
        <v>5020000</v>
      </c>
      <c r="H438" s="87"/>
      <c r="I438" s="90" t="s">
        <v>6331</v>
      </c>
      <c r="J438" s="88" t="str">
        <f t="shared" si="6"/>
        <v>重复</v>
      </c>
      <c r="K438" s="88" t="str">
        <f t="shared" si="6"/>
        <v>不重复</v>
      </c>
    </row>
    <row r="439" spans="1:11" ht="20.25" customHeight="1">
      <c r="A439" s="89" t="s">
        <v>6332</v>
      </c>
      <c r="B439" s="90" t="s">
        <v>6333</v>
      </c>
      <c r="C439" s="90" t="s">
        <v>885</v>
      </c>
      <c r="D439" s="90" t="s">
        <v>6334</v>
      </c>
      <c r="E439" s="89" t="s">
        <v>45</v>
      </c>
      <c r="F439" s="91">
        <v>272009</v>
      </c>
      <c r="G439" s="91">
        <v>5020000</v>
      </c>
      <c r="H439" s="87"/>
      <c r="I439" s="90" t="s">
        <v>25</v>
      </c>
      <c r="J439" s="88" t="str">
        <f t="shared" si="6"/>
        <v>重复</v>
      </c>
      <c r="K439" s="88" t="str">
        <f t="shared" si="6"/>
        <v>不重复</v>
      </c>
    </row>
    <row r="440" spans="1:11" ht="20.25" customHeight="1">
      <c r="A440" s="89" t="s">
        <v>884</v>
      </c>
      <c r="B440" s="90" t="s">
        <v>6335</v>
      </c>
      <c r="C440" s="90" t="s">
        <v>885</v>
      </c>
      <c r="D440" s="90" t="s">
        <v>886</v>
      </c>
      <c r="E440" s="89" t="s">
        <v>45</v>
      </c>
      <c r="F440" s="91">
        <v>272010</v>
      </c>
      <c r="G440" s="91">
        <v>5020000</v>
      </c>
      <c r="H440" s="87"/>
      <c r="I440" s="90" t="s">
        <v>6336</v>
      </c>
      <c r="J440" s="88" t="str">
        <f t="shared" si="6"/>
        <v>重复</v>
      </c>
      <c r="K440" s="88" t="str">
        <f t="shared" si="6"/>
        <v>不重复</v>
      </c>
    </row>
    <row r="441" spans="1:11" ht="20.25" customHeight="1">
      <c r="A441" s="84" t="s">
        <v>6337</v>
      </c>
      <c r="B441" s="85" t="s">
        <v>6338</v>
      </c>
      <c r="C441" s="85" t="s">
        <v>880</v>
      </c>
      <c r="D441" s="85" t="s">
        <v>881</v>
      </c>
      <c r="E441" s="84" t="s">
        <v>45</v>
      </c>
      <c r="F441" s="86">
        <v>272012</v>
      </c>
      <c r="G441" s="86">
        <v>5020000</v>
      </c>
      <c r="H441" s="87"/>
      <c r="I441" s="85" t="s">
        <v>6339</v>
      </c>
      <c r="J441" s="88" t="str">
        <f t="shared" si="6"/>
        <v>重复</v>
      </c>
      <c r="K441" s="88" t="str">
        <f t="shared" si="6"/>
        <v>不重复</v>
      </c>
    </row>
    <row r="442" spans="1:11" ht="20.25" customHeight="1">
      <c r="A442" s="84" t="s">
        <v>6340</v>
      </c>
      <c r="B442" s="85" t="s">
        <v>6341</v>
      </c>
      <c r="C442" s="85" t="s">
        <v>882</v>
      </c>
      <c r="D442" s="85" t="s">
        <v>883</v>
      </c>
      <c r="E442" s="84" t="s">
        <v>45</v>
      </c>
      <c r="F442" s="86">
        <v>272013</v>
      </c>
      <c r="G442" s="86">
        <v>5020000</v>
      </c>
      <c r="H442" s="87"/>
      <c r="I442" s="85" t="s">
        <v>6342</v>
      </c>
      <c r="J442" s="88" t="str">
        <f t="shared" si="6"/>
        <v>重复</v>
      </c>
      <c r="K442" s="88" t="str">
        <f t="shared" si="6"/>
        <v>不重复</v>
      </c>
    </row>
    <row r="443" spans="1:11" ht="20.25" customHeight="1">
      <c r="A443" s="84" t="s">
        <v>6343</v>
      </c>
      <c r="B443" s="85" t="s">
        <v>6344</v>
      </c>
      <c r="C443" s="85" t="s">
        <v>4191</v>
      </c>
      <c r="D443" s="85" t="s">
        <v>6345</v>
      </c>
      <c r="E443" s="84" t="s">
        <v>45</v>
      </c>
      <c r="F443" s="86">
        <v>272014</v>
      </c>
      <c r="G443" s="86">
        <v>5020000</v>
      </c>
      <c r="H443" s="87"/>
      <c r="I443" s="85" t="s">
        <v>25</v>
      </c>
      <c r="J443" s="88" t="str">
        <f t="shared" si="6"/>
        <v>重复</v>
      </c>
      <c r="K443" s="88" t="str">
        <f t="shared" si="6"/>
        <v>不重复</v>
      </c>
    </row>
    <row r="444" spans="1:11" ht="20.25" customHeight="1">
      <c r="A444" s="84" t="s">
        <v>6346</v>
      </c>
      <c r="B444" s="85" t="s">
        <v>898</v>
      </c>
      <c r="C444" s="85" t="s">
        <v>899</v>
      </c>
      <c r="D444" s="85" t="s">
        <v>900</v>
      </c>
      <c r="E444" s="84" t="s">
        <v>45</v>
      </c>
      <c r="F444" s="86">
        <v>272015</v>
      </c>
      <c r="G444" s="86">
        <v>5020000</v>
      </c>
      <c r="H444" s="87"/>
      <c r="I444" s="85" t="s">
        <v>6347</v>
      </c>
      <c r="J444" s="88" t="str">
        <f t="shared" si="6"/>
        <v>不重复</v>
      </c>
      <c r="K444" s="88" t="str">
        <f t="shared" si="6"/>
        <v>不重复</v>
      </c>
    </row>
    <row r="445" spans="1:11" ht="20.25" customHeight="1">
      <c r="A445" s="84" t="s">
        <v>6348</v>
      </c>
      <c r="B445" s="85" t="s">
        <v>6349</v>
      </c>
      <c r="C445" s="85" t="s">
        <v>891</v>
      </c>
      <c r="D445" s="85" t="s">
        <v>6350</v>
      </c>
      <c r="E445" s="84" t="s">
        <v>45</v>
      </c>
      <c r="F445" s="86">
        <v>272016</v>
      </c>
      <c r="G445" s="86">
        <v>5020000</v>
      </c>
      <c r="H445" s="87"/>
      <c r="I445" s="85" t="s">
        <v>25</v>
      </c>
      <c r="J445" s="88" t="str">
        <f t="shared" si="6"/>
        <v>重复</v>
      </c>
      <c r="K445" s="88" t="str">
        <f t="shared" si="6"/>
        <v>不重复</v>
      </c>
    </row>
    <row r="446" spans="1:11" ht="20.25" customHeight="1">
      <c r="A446" s="84" t="s">
        <v>890</v>
      </c>
      <c r="B446" s="85" t="s">
        <v>6351</v>
      </c>
      <c r="C446" s="85" t="s">
        <v>891</v>
      </c>
      <c r="D446" s="85" t="s">
        <v>892</v>
      </c>
      <c r="E446" s="84" t="s">
        <v>45</v>
      </c>
      <c r="F446" s="86">
        <v>272017</v>
      </c>
      <c r="G446" s="86">
        <v>5020000</v>
      </c>
      <c r="H446" s="87"/>
      <c r="I446" s="85" t="s">
        <v>6352</v>
      </c>
      <c r="J446" s="88" t="str">
        <f t="shared" si="6"/>
        <v>重复</v>
      </c>
      <c r="K446" s="88" t="str">
        <f t="shared" si="6"/>
        <v>不重复</v>
      </c>
    </row>
    <row r="447" spans="1:11" ht="20.25" customHeight="1">
      <c r="A447" s="89" t="s">
        <v>6353</v>
      </c>
      <c r="B447" s="90" t="s">
        <v>6354</v>
      </c>
      <c r="C447" s="90" t="s">
        <v>877</v>
      </c>
      <c r="D447" s="90" t="s">
        <v>6355</v>
      </c>
      <c r="E447" s="89" t="s">
        <v>45</v>
      </c>
      <c r="F447" s="91">
        <v>272018</v>
      </c>
      <c r="G447" s="91">
        <v>5020000</v>
      </c>
      <c r="H447" s="87"/>
      <c r="I447" s="90" t="s">
        <v>25</v>
      </c>
      <c r="J447" s="88" t="str">
        <f t="shared" si="6"/>
        <v>重复</v>
      </c>
      <c r="K447" s="88" t="str">
        <f t="shared" si="6"/>
        <v>不重复</v>
      </c>
    </row>
    <row r="448" spans="1:11" ht="20.25" customHeight="1">
      <c r="A448" s="89" t="s">
        <v>895</v>
      </c>
      <c r="B448" s="90" t="s">
        <v>6356</v>
      </c>
      <c r="C448" s="90" t="s">
        <v>896</v>
      </c>
      <c r="D448" s="90" t="s">
        <v>897</v>
      </c>
      <c r="E448" s="89" t="s">
        <v>45</v>
      </c>
      <c r="F448" s="91">
        <v>272019</v>
      </c>
      <c r="G448" s="91">
        <v>5020000</v>
      </c>
      <c r="H448" s="87"/>
      <c r="I448" s="90" t="s">
        <v>5429</v>
      </c>
      <c r="J448" s="88" t="str">
        <f t="shared" si="6"/>
        <v>不重复</v>
      </c>
      <c r="K448" s="88" t="str">
        <f t="shared" si="6"/>
        <v>不重复</v>
      </c>
    </row>
    <row r="449" spans="1:11" ht="20.25" customHeight="1">
      <c r="A449" s="89" t="s">
        <v>6357</v>
      </c>
      <c r="B449" s="90" t="s">
        <v>6358</v>
      </c>
      <c r="C449" s="90" t="s">
        <v>53</v>
      </c>
      <c r="D449" s="90" t="s">
        <v>4036</v>
      </c>
      <c r="E449" s="89" t="s">
        <v>45</v>
      </c>
      <c r="F449" s="91">
        <v>272020</v>
      </c>
      <c r="G449" s="91">
        <v>5020000</v>
      </c>
      <c r="H449" s="87"/>
      <c r="I449" s="90" t="s">
        <v>25</v>
      </c>
      <c r="J449" s="88" t="str">
        <f t="shared" si="6"/>
        <v>不重复</v>
      </c>
      <c r="K449" s="88" t="str">
        <f t="shared" si="6"/>
        <v>不重复</v>
      </c>
    </row>
    <row r="450" spans="1:11" ht="20.25" customHeight="1">
      <c r="A450" s="89" t="s">
        <v>6359</v>
      </c>
      <c r="B450" s="90" t="s">
        <v>6360</v>
      </c>
      <c r="C450" s="90" t="s">
        <v>893</v>
      </c>
      <c r="D450" s="90" t="s">
        <v>894</v>
      </c>
      <c r="E450" s="89" t="s">
        <v>45</v>
      </c>
      <c r="F450" s="91">
        <v>272021</v>
      </c>
      <c r="G450" s="91">
        <v>5020000</v>
      </c>
      <c r="H450" s="87"/>
      <c r="I450" s="90" t="s">
        <v>5777</v>
      </c>
      <c r="J450" s="88" t="str">
        <f t="shared" si="6"/>
        <v>不重复</v>
      </c>
      <c r="K450" s="88" t="str">
        <f t="shared" si="6"/>
        <v>不重复</v>
      </c>
    </row>
    <row r="451" spans="1:11" ht="20.25" customHeight="1">
      <c r="A451" s="89" t="s">
        <v>6361</v>
      </c>
      <c r="B451" s="90" t="s">
        <v>6362</v>
      </c>
      <c r="C451" s="90" t="s">
        <v>6363</v>
      </c>
      <c r="D451" s="90" t="s">
        <v>23</v>
      </c>
      <c r="E451" s="89" t="s">
        <v>45</v>
      </c>
      <c r="F451" s="91">
        <v>272022</v>
      </c>
      <c r="G451" s="91">
        <v>5020000</v>
      </c>
      <c r="H451" s="87"/>
      <c r="I451" s="90" t="s">
        <v>25</v>
      </c>
      <c r="J451" s="88" t="str">
        <f t="shared" si="7" ref="J451:K514">IF(COUNTIF(C:C,C451)&gt;=2,"重复","不重复")</f>
        <v>不重复</v>
      </c>
      <c r="K451" s="88" t="str">
        <f t="shared" si="7"/>
        <v>不重复</v>
      </c>
    </row>
    <row r="452" spans="1:11" ht="20.25" customHeight="1">
      <c r="A452" s="89" t="s">
        <v>901</v>
      </c>
      <c r="B452" s="90" t="s">
        <v>6364</v>
      </c>
      <c r="C452" s="90" t="s">
        <v>902</v>
      </c>
      <c r="D452" s="90" t="s">
        <v>903</v>
      </c>
      <c r="E452" s="89" t="s">
        <v>45</v>
      </c>
      <c r="F452" s="91">
        <v>272023</v>
      </c>
      <c r="G452" s="91">
        <v>5020000</v>
      </c>
      <c r="H452" s="87"/>
      <c r="I452" s="90" t="s">
        <v>904</v>
      </c>
      <c r="J452" s="88" t="str">
        <f t="shared" si="7"/>
        <v>不重复</v>
      </c>
      <c r="K452" s="88" t="str">
        <f t="shared" si="7"/>
        <v>不重复</v>
      </c>
    </row>
    <row r="453" spans="1:11" ht="20.25" customHeight="1">
      <c r="A453" s="89" t="s">
        <v>6365</v>
      </c>
      <c r="B453" s="90" t="s">
        <v>6366</v>
      </c>
      <c r="C453" s="90" t="s">
        <v>905</v>
      </c>
      <c r="D453" s="90" t="s">
        <v>906</v>
      </c>
      <c r="E453" s="89" t="s">
        <v>45</v>
      </c>
      <c r="F453" s="91">
        <v>272024</v>
      </c>
      <c r="G453" s="91">
        <v>5020000</v>
      </c>
      <c r="H453" s="87"/>
      <c r="I453" s="90" t="s">
        <v>6367</v>
      </c>
      <c r="J453" s="88" t="str">
        <f t="shared" si="7"/>
        <v>重复</v>
      </c>
      <c r="K453" s="88" t="str">
        <f t="shared" si="7"/>
        <v>不重复</v>
      </c>
    </row>
    <row r="454" spans="1:11" ht="20.25" customHeight="1">
      <c r="A454" s="84" t="s">
        <v>6368</v>
      </c>
      <c r="B454" s="85" t="s">
        <v>6369</v>
      </c>
      <c r="C454" s="85" t="s">
        <v>6370</v>
      </c>
      <c r="D454" s="85" t="s">
        <v>6371</v>
      </c>
      <c r="E454" s="84" t="s">
        <v>45</v>
      </c>
      <c r="F454" s="86">
        <v>273000</v>
      </c>
      <c r="G454" s="86">
        <v>5020000</v>
      </c>
      <c r="H454" s="87"/>
      <c r="I454" s="85" t="s">
        <v>25</v>
      </c>
      <c r="J454" s="88" t="str">
        <f t="shared" si="7"/>
        <v>不重复</v>
      </c>
      <c r="K454" s="88" t="str">
        <f t="shared" si="7"/>
        <v>不重复</v>
      </c>
    </row>
    <row r="455" spans="1:11" ht="20.25" customHeight="1">
      <c r="A455" s="84" t="s">
        <v>6372</v>
      </c>
      <c r="B455" s="85" t="s">
        <v>6373</v>
      </c>
      <c r="C455" s="85" t="s">
        <v>1017</v>
      </c>
      <c r="D455" s="85" t="s">
        <v>1064</v>
      </c>
      <c r="E455" s="84" t="s">
        <v>45</v>
      </c>
      <c r="F455" s="86">
        <v>273001</v>
      </c>
      <c r="G455" s="86">
        <v>5020000</v>
      </c>
      <c r="H455" s="87"/>
      <c r="I455" s="85" t="s">
        <v>6374</v>
      </c>
      <c r="J455" s="88" t="str">
        <f t="shared" si="7"/>
        <v>重复</v>
      </c>
      <c r="K455" s="88" t="str">
        <f t="shared" si="7"/>
        <v>不重复</v>
      </c>
    </row>
    <row r="456" spans="1:11" ht="20.25" customHeight="1">
      <c r="A456" s="89" t="s">
        <v>907</v>
      </c>
      <c r="B456" s="90" t="s">
        <v>6375</v>
      </c>
      <c r="C456" s="90" t="s">
        <v>908</v>
      </c>
      <c r="D456" s="90" t="s">
        <v>909</v>
      </c>
      <c r="E456" s="89" t="s">
        <v>45</v>
      </c>
      <c r="F456" s="91">
        <v>273003</v>
      </c>
      <c r="G456" s="91">
        <v>5020000</v>
      </c>
      <c r="H456" s="87"/>
      <c r="I456" s="90" t="s">
        <v>6376</v>
      </c>
      <c r="J456" s="88" t="str">
        <f t="shared" si="7"/>
        <v>不重复</v>
      </c>
      <c r="K456" s="88" t="str">
        <f t="shared" si="7"/>
        <v>不重复</v>
      </c>
    </row>
    <row r="457" spans="1:11" ht="20.25" customHeight="1">
      <c r="A457" s="89" t="s">
        <v>910</v>
      </c>
      <c r="B457" s="90" t="s">
        <v>6377</v>
      </c>
      <c r="C457" s="90" t="s">
        <v>777</v>
      </c>
      <c r="D457" s="90" t="s">
        <v>911</v>
      </c>
      <c r="E457" s="89" t="s">
        <v>45</v>
      </c>
      <c r="F457" s="91">
        <v>273004</v>
      </c>
      <c r="G457" s="91">
        <v>5020000</v>
      </c>
      <c r="H457" s="87"/>
      <c r="I457" s="90" t="s">
        <v>6327</v>
      </c>
      <c r="J457" s="88" t="str">
        <f t="shared" si="7"/>
        <v>不重复</v>
      </c>
      <c r="K457" s="88" t="str">
        <f t="shared" si="7"/>
        <v>不重复</v>
      </c>
    </row>
    <row r="458" spans="1:11" ht="20.25" customHeight="1">
      <c r="A458" s="89" t="s">
        <v>912</v>
      </c>
      <c r="B458" s="90" t="s">
        <v>913</v>
      </c>
      <c r="C458" s="90" t="s">
        <v>914</v>
      </c>
      <c r="D458" s="90" t="s">
        <v>915</v>
      </c>
      <c r="E458" s="89" t="s">
        <v>45</v>
      </c>
      <c r="F458" s="91">
        <v>273005</v>
      </c>
      <c r="G458" s="91">
        <v>5020000</v>
      </c>
      <c r="H458" s="87"/>
      <c r="I458" s="90" t="s">
        <v>6378</v>
      </c>
      <c r="J458" s="88" t="str">
        <f t="shared" si="7"/>
        <v>重复</v>
      </c>
      <c r="K458" s="88" t="str">
        <f t="shared" si="7"/>
        <v>不重复</v>
      </c>
    </row>
    <row r="459" spans="1:11" ht="20.25" customHeight="1">
      <c r="A459" s="89" t="s">
        <v>6379</v>
      </c>
      <c r="B459" s="90" t="s">
        <v>6380</v>
      </c>
      <c r="C459" s="90" t="s">
        <v>418</v>
      </c>
      <c r="D459" s="90" t="s">
        <v>6381</v>
      </c>
      <c r="E459" s="89" t="s">
        <v>45</v>
      </c>
      <c r="F459" s="91">
        <v>273006</v>
      </c>
      <c r="G459" s="91">
        <v>5020000</v>
      </c>
      <c r="H459" s="87"/>
      <c r="I459" s="90" t="s">
        <v>25</v>
      </c>
      <c r="J459" s="88" t="str">
        <f t="shared" si="7"/>
        <v>重复</v>
      </c>
      <c r="K459" s="88" t="str">
        <f t="shared" si="7"/>
        <v>不重复</v>
      </c>
    </row>
    <row r="460" spans="1:11" ht="20.25" customHeight="1">
      <c r="A460" s="89" t="s">
        <v>6382</v>
      </c>
      <c r="B460" s="90" t="s">
        <v>6383</v>
      </c>
      <c r="C460" s="90" t="s">
        <v>418</v>
      </c>
      <c r="D460" s="90" t="s">
        <v>6384</v>
      </c>
      <c r="E460" s="89" t="s">
        <v>45</v>
      </c>
      <c r="F460" s="91">
        <v>273007</v>
      </c>
      <c r="G460" s="91">
        <v>5020000</v>
      </c>
      <c r="H460" s="87"/>
      <c r="I460" s="90" t="s">
        <v>6347</v>
      </c>
      <c r="J460" s="88" t="str">
        <f t="shared" si="7"/>
        <v>重复</v>
      </c>
      <c r="K460" s="88" t="str">
        <f t="shared" si="7"/>
        <v>不重复</v>
      </c>
    </row>
    <row r="461" spans="1:11" ht="20.25" customHeight="1">
      <c r="A461" s="84" t="s">
        <v>6385</v>
      </c>
      <c r="B461" s="85" t="s">
        <v>6386</v>
      </c>
      <c r="C461" s="85" t="s">
        <v>6387</v>
      </c>
      <c r="D461" s="85" t="s">
        <v>6388</v>
      </c>
      <c r="E461" s="84" t="s">
        <v>45</v>
      </c>
      <c r="F461" s="86">
        <v>273008</v>
      </c>
      <c r="G461" s="86">
        <v>5020000</v>
      </c>
      <c r="H461" s="87"/>
      <c r="I461" s="85" t="s">
        <v>25</v>
      </c>
      <c r="J461" s="88" t="str">
        <f t="shared" si="7"/>
        <v>不重复</v>
      </c>
      <c r="K461" s="88" t="str">
        <f t="shared" si="7"/>
        <v>不重复</v>
      </c>
    </row>
    <row r="462" spans="1:11" ht="20.25" customHeight="1">
      <c r="A462" s="84" t="s">
        <v>6389</v>
      </c>
      <c r="B462" s="85" t="s">
        <v>6390</v>
      </c>
      <c r="C462" s="85" t="s">
        <v>4032</v>
      </c>
      <c r="D462" s="85" t="s">
        <v>6391</v>
      </c>
      <c r="E462" s="84" t="s">
        <v>45</v>
      </c>
      <c r="F462" s="86">
        <v>273009</v>
      </c>
      <c r="G462" s="86">
        <v>5020000</v>
      </c>
      <c r="H462" s="87"/>
      <c r="I462" s="85" t="s">
        <v>6392</v>
      </c>
      <c r="J462" s="88" t="str">
        <f t="shared" si="7"/>
        <v>不重复</v>
      </c>
      <c r="K462" s="88" t="str">
        <f t="shared" si="7"/>
        <v>不重复</v>
      </c>
    </row>
    <row r="463" spans="1:11" ht="20.25" customHeight="1">
      <c r="A463" s="84" t="s">
        <v>916</v>
      </c>
      <c r="B463" s="85" t="s">
        <v>6393</v>
      </c>
      <c r="C463" s="85" t="s">
        <v>917</v>
      </c>
      <c r="D463" s="85" t="s">
        <v>918</v>
      </c>
      <c r="E463" s="84" t="s">
        <v>45</v>
      </c>
      <c r="F463" s="86">
        <v>273010</v>
      </c>
      <c r="G463" s="86">
        <v>5020000</v>
      </c>
      <c r="H463" s="87"/>
      <c r="I463" s="85" t="s">
        <v>6394</v>
      </c>
      <c r="J463" s="88" t="str">
        <f t="shared" si="7"/>
        <v>不重复</v>
      </c>
      <c r="K463" s="88" t="str">
        <f t="shared" si="7"/>
        <v>不重复</v>
      </c>
    </row>
    <row r="464" spans="1:11" ht="20.25" customHeight="1">
      <c r="A464" s="84" t="s">
        <v>6395</v>
      </c>
      <c r="B464" s="85" t="s">
        <v>6396</v>
      </c>
      <c r="C464" s="85" t="s">
        <v>6397</v>
      </c>
      <c r="D464" s="85" t="s">
        <v>6398</v>
      </c>
      <c r="E464" s="84" t="s">
        <v>45</v>
      </c>
      <c r="F464" s="86">
        <v>273011</v>
      </c>
      <c r="G464" s="86">
        <v>5020000</v>
      </c>
      <c r="H464" s="87"/>
      <c r="I464" s="85" t="s">
        <v>25</v>
      </c>
      <c r="J464" s="88" t="str">
        <f t="shared" si="7"/>
        <v>不重复</v>
      </c>
      <c r="K464" s="88" t="str">
        <f t="shared" si="7"/>
        <v>不重复</v>
      </c>
    </row>
    <row r="465" spans="1:11" ht="20.25" customHeight="1">
      <c r="A465" s="84" t="s">
        <v>919</v>
      </c>
      <c r="B465" s="85" t="s">
        <v>6399</v>
      </c>
      <c r="C465" s="85" t="s">
        <v>920</v>
      </c>
      <c r="D465" s="85" t="s">
        <v>921</v>
      </c>
      <c r="E465" s="84" t="s">
        <v>45</v>
      </c>
      <c r="F465" s="86">
        <v>273012</v>
      </c>
      <c r="G465" s="86">
        <v>5020000</v>
      </c>
      <c r="H465" s="87"/>
      <c r="I465" s="85" t="s">
        <v>6400</v>
      </c>
      <c r="J465" s="88" t="str">
        <f t="shared" si="7"/>
        <v>不重复</v>
      </c>
      <c r="K465" s="88" t="str">
        <f t="shared" si="7"/>
        <v>不重复</v>
      </c>
    </row>
    <row r="466" spans="1:11" ht="20.25" customHeight="1">
      <c r="A466" s="84" t="s">
        <v>6401</v>
      </c>
      <c r="B466" s="85" t="s">
        <v>6402</v>
      </c>
      <c r="C466" s="85" t="s">
        <v>922</v>
      </c>
      <c r="D466" s="85" t="s">
        <v>923</v>
      </c>
      <c r="E466" s="84" t="s">
        <v>45</v>
      </c>
      <c r="F466" s="86">
        <v>273013</v>
      </c>
      <c r="G466" s="86">
        <v>5020000</v>
      </c>
      <c r="H466" s="87"/>
      <c r="I466" s="85" t="s">
        <v>6403</v>
      </c>
      <c r="J466" s="88" t="str">
        <f t="shared" si="7"/>
        <v>不重复</v>
      </c>
      <c r="K466" s="88" t="str">
        <f t="shared" si="7"/>
        <v>不重复</v>
      </c>
    </row>
    <row r="467" spans="1:11" ht="20.25" customHeight="1">
      <c r="A467" s="89" t="s">
        <v>6404</v>
      </c>
      <c r="B467" s="90" t="s">
        <v>6405</v>
      </c>
      <c r="C467" s="90" t="s">
        <v>925</v>
      </c>
      <c r="D467" s="90" t="s">
        <v>6406</v>
      </c>
      <c r="E467" s="89" t="s">
        <v>45</v>
      </c>
      <c r="F467" s="91">
        <v>273014</v>
      </c>
      <c r="G467" s="91">
        <v>5020000</v>
      </c>
      <c r="H467" s="87"/>
      <c r="I467" s="90" t="s">
        <v>25</v>
      </c>
      <c r="J467" s="88" t="str">
        <f t="shared" si="7"/>
        <v>重复</v>
      </c>
      <c r="K467" s="88" t="str">
        <f t="shared" si="7"/>
        <v>不重复</v>
      </c>
    </row>
    <row r="468" spans="1:11" ht="20.25" customHeight="1">
      <c r="A468" s="89" t="s">
        <v>924</v>
      </c>
      <c r="B468" s="90" t="s">
        <v>6407</v>
      </c>
      <c r="C468" s="90" t="s">
        <v>925</v>
      </c>
      <c r="D468" s="90" t="s">
        <v>926</v>
      </c>
      <c r="E468" s="89" t="s">
        <v>45</v>
      </c>
      <c r="F468" s="91">
        <v>273015</v>
      </c>
      <c r="G468" s="91">
        <v>5020000</v>
      </c>
      <c r="H468" s="87"/>
      <c r="I468" s="90" t="s">
        <v>6408</v>
      </c>
      <c r="J468" s="88" t="str">
        <f t="shared" si="7"/>
        <v>重复</v>
      </c>
      <c r="K468" s="88" t="str">
        <f t="shared" si="7"/>
        <v>不重复</v>
      </c>
    </row>
    <row r="469" spans="1:11" ht="20.25" customHeight="1">
      <c r="A469" s="84" t="s">
        <v>945</v>
      </c>
      <c r="B469" s="85" t="s">
        <v>946</v>
      </c>
      <c r="C469" s="85" t="s">
        <v>947</v>
      </c>
      <c r="D469" s="85" t="s">
        <v>944</v>
      </c>
      <c r="E469" s="84" t="s">
        <v>45</v>
      </c>
      <c r="F469" s="86">
        <v>273016</v>
      </c>
      <c r="G469" s="86">
        <v>5020000</v>
      </c>
      <c r="H469" s="87"/>
      <c r="I469" s="85" t="s">
        <v>25</v>
      </c>
      <c r="J469" s="88" t="str">
        <f t="shared" si="7"/>
        <v>重复</v>
      </c>
      <c r="K469" s="88" t="str">
        <f t="shared" si="7"/>
        <v>不重复</v>
      </c>
    </row>
    <row r="470" spans="1:11" ht="20.25" customHeight="1">
      <c r="A470" s="84" t="s">
        <v>6409</v>
      </c>
      <c r="B470" s="85" t="s">
        <v>927</v>
      </c>
      <c r="C470" s="85" t="s">
        <v>928</v>
      </c>
      <c r="D470" s="85" t="s">
        <v>929</v>
      </c>
      <c r="E470" s="84" t="s">
        <v>45</v>
      </c>
      <c r="F470" s="86">
        <v>273017</v>
      </c>
      <c r="G470" s="86">
        <v>5020000</v>
      </c>
      <c r="H470" s="87"/>
      <c r="I470" s="85" t="s">
        <v>6410</v>
      </c>
      <c r="J470" s="88" t="str">
        <f t="shared" si="7"/>
        <v>重复</v>
      </c>
      <c r="K470" s="88" t="str">
        <f t="shared" si="7"/>
        <v>不重复</v>
      </c>
    </row>
    <row r="471" spans="1:11" ht="20.25" customHeight="1">
      <c r="A471" s="84" t="s">
        <v>930</v>
      </c>
      <c r="B471" s="85" t="s">
        <v>6411</v>
      </c>
      <c r="C471" s="85" t="s">
        <v>931</v>
      </c>
      <c r="D471" s="85" t="s">
        <v>932</v>
      </c>
      <c r="E471" s="84" t="s">
        <v>45</v>
      </c>
      <c r="F471" s="86">
        <v>273018</v>
      </c>
      <c r="G471" s="86">
        <v>5020000</v>
      </c>
      <c r="H471" s="87"/>
      <c r="I471" s="85" t="s">
        <v>933</v>
      </c>
      <c r="J471" s="88" t="str">
        <f t="shared" si="7"/>
        <v>重复</v>
      </c>
      <c r="K471" s="88" t="str">
        <f t="shared" si="7"/>
        <v>不重复</v>
      </c>
    </row>
    <row r="472" spans="1:11" ht="20.25" customHeight="1">
      <c r="A472" s="84" t="s">
        <v>934</v>
      </c>
      <c r="B472" s="85" t="s">
        <v>6412</v>
      </c>
      <c r="C472" s="85" t="s">
        <v>935</v>
      </c>
      <c r="D472" s="85" t="s">
        <v>936</v>
      </c>
      <c r="E472" s="84" t="s">
        <v>45</v>
      </c>
      <c r="F472" s="86">
        <v>273019</v>
      </c>
      <c r="G472" s="86">
        <v>5020000</v>
      </c>
      <c r="H472" s="87"/>
      <c r="I472" s="85" t="s">
        <v>6413</v>
      </c>
      <c r="J472" s="88" t="str">
        <f t="shared" si="7"/>
        <v>不重复</v>
      </c>
      <c r="K472" s="88" t="str">
        <f t="shared" si="7"/>
        <v>不重复</v>
      </c>
    </row>
    <row r="473" spans="1:11" ht="20.25" customHeight="1">
      <c r="A473" s="84" t="s">
        <v>6414</v>
      </c>
      <c r="B473" s="85" t="s">
        <v>6415</v>
      </c>
      <c r="C473" s="85" t="s">
        <v>928</v>
      </c>
      <c r="D473" s="85" t="s">
        <v>937</v>
      </c>
      <c r="E473" s="84" t="s">
        <v>45</v>
      </c>
      <c r="F473" s="86">
        <v>273020</v>
      </c>
      <c r="G473" s="86">
        <v>5020000</v>
      </c>
      <c r="H473" s="87"/>
      <c r="I473" s="85" t="s">
        <v>6367</v>
      </c>
      <c r="J473" s="88" t="str">
        <f t="shared" si="7"/>
        <v>重复</v>
      </c>
      <c r="K473" s="88" t="str">
        <f t="shared" si="7"/>
        <v>不重复</v>
      </c>
    </row>
    <row r="474" spans="1:11" ht="20.25" customHeight="1">
      <c r="A474" s="84" t="s">
        <v>938</v>
      </c>
      <c r="B474" s="85" t="s">
        <v>939</v>
      </c>
      <c r="C474" s="85" t="s">
        <v>940</v>
      </c>
      <c r="D474" s="85" t="s">
        <v>941</v>
      </c>
      <c r="E474" s="84" t="s">
        <v>45</v>
      </c>
      <c r="F474" s="86">
        <v>273021</v>
      </c>
      <c r="G474" s="86">
        <v>5020000</v>
      </c>
      <c r="H474" s="87"/>
      <c r="I474" s="85" t="s">
        <v>6416</v>
      </c>
      <c r="J474" s="88" t="str">
        <f t="shared" si="7"/>
        <v>不重复</v>
      </c>
      <c r="K474" s="88" t="str">
        <f t="shared" si="7"/>
        <v>不重复</v>
      </c>
    </row>
    <row r="475" spans="1:11" ht="20.25" customHeight="1">
      <c r="A475" s="84" t="s">
        <v>942</v>
      </c>
      <c r="B475" s="85" t="s">
        <v>6417</v>
      </c>
      <c r="C475" s="85" t="s">
        <v>943</v>
      </c>
      <c r="D475" s="85" t="s">
        <v>6418</v>
      </c>
      <c r="E475" s="84" t="s">
        <v>45</v>
      </c>
      <c r="F475" s="86">
        <v>273022</v>
      </c>
      <c r="G475" s="86">
        <v>5020000</v>
      </c>
      <c r="H475" s="87"/>
      <c r="I475" s="85" t="s">
        <v>6419</v>
      </c>
      <c r="J475" s="88" t="str">
        <f t="shared" si="7"/>
        <v>不重复</v>
      </c>
      <c r="K475" s="88" t="str">
        <f t="shared" si="7"/>
        <v>不重复</v>
      </c>
    </row>
    <row r="476" spans="1:11" ht="20.25" customHeight="1">
      <c r="A476" s="84" t="s">
        <v>969</v>
      </c>
      <c r="B476" s="85" t="s">
        <v>970</v>
      </c>
      <c r="C476" s="85" t="s">
        <v>341</v>
      </c>
      <c r="D476" s="85" t="s">
        <v>971</v>
      </c>
      <c r="E476" s="84" t="s">
        <v>45</v>
      </c>
      <c r="F476" s="86">
        <v>273023</v>
      </c>
      <c r="G476" s="86">
        <v>5020000</v>
      </c>
      <c r="H476" s="87"/>
      <c r="I476" s="85" t="s">
        <v>25</v>
      </c>
      <c r="J476" s="88" t="str">
        <f t="shared" si="7"/>
        <v>重复</v>
      </c>
      <c r="K476" s="88" t="str">
        <f t="shared" si="7"/>
        <v>不重复</v>
      </c>
    </row>
    <row r="477" spans="1:11" ht="20.25" customHeight="1">
      <c r="A477" s="84" t="s">
        <v>948</v>
      </c>
      <c r="B477" s="85" t="s">
        <v>6420</v>
      </c>
      <c r="C477" s="85" t="s">
        <v>949</v>
      </c>
      <c r="D477" s="85" t="s">
        <v>950</v>
      </c>
      <c r="E477" s="84" t="s">
        <v>45</v>
      </c>
      <c r="F477" s="86">
        <v>273024</v>
      </c>
      <c r="G477" s="86">
        <v>5020000</v>
      </c>
      <c r="H477" s="87"/>
      <c r="I477" s="85" t="s">
        <v>6327</v>
      </c>
      <c r="J477" s="88" t="str">
        <f t="shared" si="7"/>
        <v>重复</v>
      </c>
      <c r="K477" s="88" t="str">
        <f t="shared" si="7"/>
        <v>不重复</v>
      </c>
    </row>
    <row r="478" spans="1:11" ht="20.25" customHeight="1">
      <c r="A478" s="84" t="s">
        <v>951</v>
      </c>
      <c r="B478" s="85" t="s">
        <v>6421</v>
      </c>
      <c r="C478" s="85" t="s">
        <v>952</v>
      </c>
      <c r="D478" s="85" t="s">
        <v>953</v>
      </c>
      <c r="E478" s="84" t="s">
        <v>45</v>
      </c>
      <c r="F478" s="86">
        <v>273025</v>
      </c>
      <c r="G478" s="86">
        <v>5020000</v>
      </c>
      <c r="H478" s="87"/>
      <c r="I478" s="85" t="s">
        <v>6422</v>
      </c>
      <c r="J478" s="88" t="str">
        <f t="shared" si="7"/>
        <v>不重复</v>
      </c>
      <c r="K478" s="88" t="str">
        <f t="shared" si="7"/>
        <v>不重复</v>
      </c>
    </row>
    <row r="479" spans="1:11" ht="20.25" customHeight="1">
      <c r="A479" s="84" t="s">
        <v>954</v>
      </c>
      <c r="B479" s="85" t="s">
        <v>6423</v>
      </c>
      <c r="C479" s="85" t="s">
        <v>955</v>
      </c>
      <c r="D479" s="85" t="s">
        <v>6424</v>
      </c>
      <c r="E479" s="84" t="s">
        <v>45</v>
      </c>
      <c r="F479" s="86">
        <v>273026</v>
      </c>
      <c r="G479" s="86">
        <v>5020000</v>
      </c>
      <c r="H479" s="87"/>
      <c r="I479" s="85" t="s">
        <v>6321</v>
      </c>
      <c r="J479" s="88" t="str">
        <f t="shared" si="7"/>
        <v>不重复</v>
      </c>
      <c r="K479" s="88" t="str">
        <f t="shared" si="7"/>
        <v>不重复</v>
      </c>
    </row>
    <row r="480" spans="1:11" ht="20.25" customHeight="1">
      <c r="A480" s="84" t="s">
        <v>6425</v>
      </c>
      <c r="B480" s="85" t="s">
        <v>6426</v>
      </c>
      <c r="C480" s="85" t="s">
        <v>956</v>
      </c>
      <c r="D480" s="85" t="s">
        <v>957</v>
      </c>
      <c r="E480" s="84" t="s">
        <v>45</v>
      </c>
      <c r="F480" s="86">
        <v>273027</v>
      </c>
      <c r="G480" s="86">
        <v>5020000</v>
      </c>
      <c r="H480" s="87"/>
      <c r="I480" s="85" t="s">
        <v>6427</v>
      </c>
      <c r="J480" s="88" t="str">
        <f t="shared" si="7"/>
        <v>不重复</v>
      </c>
      <c r="K480" s="88" t="str">
        <f t="shared" si="7"/>
        <v>不重复</v>
      </c>
    </row>
    <row r="481" spans="1:11" ht="20.25" customHeight="1">
      <c r="A481" s="84" t="s">
        <v>6428</v>
      </c>
      <c r="B481" s="85" t="s">
        <v>6429</v>
      </c>
      <c r="C481" s="85" t="s">
        <v>958</v>
      </c>
      <c r="D481" s="85" t="s">
        <v>959</v>
      </c>
      <c r="E481" s="84" t="s">
        <v>45</v>
      </c>
      <c r="F481" s="86">
        <v>273028</v>
      </c>
      <c r="G481" s="86">
        <v>5020000</v>
      </c>
      <c r="H481" s="87"/>
      <c r="I481" s="85" t="s">
        <v>6430</v>
      </c>
      <c r="J481" s="88" t="str">
        <f t="shared" si="7"/>
        <v>不重复</v>
      </c>
      <c r="K481" s="88" t="str">
        <f t="shared" si="7"/>
        <v>不重复</v>
      </c>
    </row>
    <row r="482" spans="1:11" ht="20.25" customHeight="1">
      <c r="A482" s="84" t="s">
        <v>6431</v>
      </c>
      <c r="B482" s="85" t="s">
        <v>6432</v>
      </c>
      <c r="C482" s="85" t="s">
        <v>960</v>
      </c>
      <c r="D482" s="85" t="s">
        <v>961</v>
      </c>
      <c r="E482" s="84" t="s">
        <v>45</v>
      </c>
      <c r="F482" s="86">
        <v>273029</v>
      </c>
      <c r="G482" s="86">
        <v>5020000</v>
      </c>
      <c r="H482" s="87"/>
      <c r="I482" s="85" t="s">
        <v>6433</v>
      </c>
      <c r="J482" s="88" t="str">
        <f t="shared" si="7"/>
        <v>重复</v>
      </c>
      <c r="K482" s="88" t="str">
        <f t="shared" si="7"/>
        <v>不重复</v>
      </c>
    </row>
    <row r="483" spans="1:11" ht="20.25" customHeight="1">
      <c r="A483" s="84" t="s">
        <v>962</v>
      </c>
      <c r="B483" s="85" t="s">
        <v>6434</v>
      </c>
      <c r="C483" s="85" t="s">
        <v>963</v>
      </c>
      <c r="D483" s="85" t="s">
        <v>964</v>
      </c>
      <c r="E483" s="84" t="s">
        <v>45</v>
      </c>
      <c r="F483" s="86">
        <v>273030</v>
      </c>
      <c r="G483" s="86">
        <v>5020000</v>
      </c>
      <c r="H483" s="87"/>
      <c r="I483" s="85" t="s">
        <v>6435</v>
      </c>
      <c r="J483" s="88" t="str">
        <f t="shared" si="7"/>
        <v>重复</v>
      </c>
      <c r="K483" s="88" t="str">
        <f t="shared" si="7"/>
        <v>不重复</v>
      </c>
    </row>
    <row r="484" spans="1:11" ht="20.25" customHeight="1">
      <c r="A484" s="84" t="s">
        <v>965</v>
      </c>
      <c r="B484" s="85" t="s">
        <v>6436</v>
      </c>
      <c r="C484" s="85" t="s">
        <v>966</v>
      </c>
      <c r="D484" s="85" t="s">
        <v>967</v>
      </c>
      <c r="E484" s="84" t="s">
        <v>45</v>
      </c>
      <c r="F484" s="86">
        <v>273031</v>
      </c>
      <c r="G484" s="86">
        <v>5020000</v>
      </c>
      <c r="H484" s="87"/>
      <c r="I484" s="85" t="s">
        <v>6437</v>
      </c>
      <c r="J484" s="88" t="str">
        <f t="shared" si="7"/>
        <v>不重复</v>
      </c>
      <c r="K484" s="88" t="str">
        <f t="shared" si="7"/>
        <v>不重复</v>
      </c>
    </row>
    <row r="485" spans="1:11" ht="20.25" customHeight="1">
      <c r="A485" s="89" t="s">
        <v>1023</v>
      </c>
      <c r="B485" s="90" t="s">
        <v>1024</v>
      </c>
      <c r="C485" s="90" t="s">
        <v>1027</v>
      </c>
      <c r="D485" s="90" t="s">
        <v>1025</v>
      </c>
      <c r="E485" s="89" t="s">
        <v>45</v>
      </c>
      <c r="F485" s="91">
        <v>273032</v>
      </c>
      <c r="G485" s="91">
        <v>5020000</v>
      </c>
      <c r="H485" s="87"/>
      <c r="I485" s="90" t="s">
        <v>25</v>
      </c>
      <c r="J485" s="88" t="str">
        <f t="shared" si="7"/>
        <v>重复</v>
      </c>
      <c r="K485" s="88" t="str">
        <f t="shared" si="7"/>
        <v>不重复</v>
      </c>
    </row>
    <row r="486" spans="1:11" ht="20.25" customHeight="1">
      <c r="A486" s="89" t="s">
        <v>5200</v>
      </c>
      <c r="B486" s="90" t="s">
        <v>6438</v>
      </c>
      <c r="C486" s="90" t="s">
        <v>979</v>
      </c>
      <c r="D486" s="90" t="s">
        <v>980</v>
      </c>
      <c r="E486" s="89" t="s">
        <v>45</v>
      </c>
      <c r="F486" s="91">
        <v>273033</v>
      </c>
      <c r="G486" s="91">
        <v>5020000</v>
      </c>
      <c r="H486" s="87"/>
      <c r="I486" s="90" t="s">
        <v>6439</v>
      </c>
      <c r="J486" s="88" t="str">
        <f t="shared" si="7"/>
        <v>不重复</v>
      </c>
      <c r="K486" s="88" t="str">
        <f t="shared" si="7"/>
        <v>不重复</v>
      </c>
    </row>
    <row r="487" spans="1:11" ht="20.25" customHeight="1">
      <c r="A487" s="89" t="s">
        <v>981</v>
      </c>
      <c r="B487" s="90" t="s">
        <v>6440</v>
      </c>
      <c r="C487" s="90" t="s">
        <v>982</v>
      </c>
      <c r="D487" s="90" t="s">
        <v>983</v>
      </c>
      <c r="E487" s="89" t="s">
        <v>45</v>
      </c>
      <c r="F487" s="91">
        <v>273034</v>
      </c>
      <c r="G487" s="91">
        <v>5020000</v>
      </c>
      <c r="H487" s="87"/>
      <c r="I487" s="90" t="s">
        <v>6416</v>
      </c>
      <c r="J487" s="88" t="str">
        <f t="shared" si="7"/>
        <v>不重复</v>
      </c>
      <c r="K487" s="88" t="str">
        <f t="shared" si="7"/>
        <v>不重复</v>
      </c>
    </row>
    <row r="488" spans="1:11" ht="20.25" customHeight="1">
      <c r="A488" s="89" t="s">
        <v>984</v>
      </c>
      <c r="B488" s="90" t="s">
        <v>6441</v>
      </c>
      <c r="C488" s="90" t="s">
        <v>985</v>
      </c>
      <c r="D488" s="90" t="s">
        <v>6442</v>
      </c>
      <c r="E488" s="89" t="s">
        <v>45</v>
      </c>
      <c r="F488" s="91">
        <v>273035</v>
      </c>
      <c r="G488" s="91">
        <v>5020000</v>
      </c>
      <c r="H488" s="87"/>
      <c r="I488" s="90" t="s">
        <v>6443</v>
      </c>
      <c r="J488" s="88" t="str">
        <f t="shared" si="7"/>
        <v>不重复</v>
      </c>
      <c r="K488" s="88" t="str">
        <f t="shared" si="7"/>
        <v>不重复</v>
      </c>
    </row>
    <row r="489" spans="1:11" ht="20.25" customHeight="1">
      <c r="A489" s="89" t="s">
        <v>986</v>
      </c>
      <c r="B489" s="90" t="s">
        <v>6444</v>
      </c>
      <c r="C489" s="90" t="s">
        <v>987</v>
      </c>
      <c r="D489" s="90" t="s">
        <v>988</v>
      </c>
      <c r="E489" s="89" t="s">
        <v>45</v>
      </c>
      <c r="F489" s="91">
        <v>273036</v>
      </c>
      <c r="G489" s="91">
        <v>5020000</v>
      </c>
      <c r="H489" s="87"/>
      <c r="I489" s="90" t="s">
        <v>6327</v>
      </c>
      <c r="J489" s="88" t="str">
        <f t="shared" si="7"/>
        <v>不重复</v>
      </c>
      <c r="K489" s="88" t="str">
        <f t="shared" si="7"/>
        <v>不重复</v>
      </c>
    </row>
    <row r="490" spans="1:11" ht="20.25" customHeight="1">
      <c r="A490" s="89" t="s">
        <v>989</v>
      </c>
      <c r="B490" s="90" t="s">
        <v>6445</v>
      </c>
      <c r="C490" s="90" t="s">
        <v>990</v>
      </c>
      <c r="D490" s="90" t="s">
        <v>6446</v>
      </c>
      <c r="E490" s="89" t="s">
        <v>45</v>
      </c>
      <c r="F490" s="91">
        <v>273037</v>
      </c>
      <c r="G490" s="91">
        <v>5020000</v>
      </c>
      <c r="H490" s="87"/>
      <c r="I490" s="90" t="s">
        <v>6447</v>
      </c>
      <c r="J490" s="88" t="str">
        <f t="shared" si="7"/>
        <v>不重复</v>
      </c>
      <c r="K490" s="88" t="str">
        <f t="shared" si="7"/>
        <v>不重复</v>
      </c>
    </row>
    <row r="491" spans="1:11" ht="20.25" customHeight="1">
      <c r="A491" s="89" t="s">
        <v>993</v>
      </c>
      <c r="B491" s="90" t="s">
        <v>6448</v>
      </c>
      <c r="C491" s="90" t="s">
        <v>994</v>
      </c>
      <c r="D491" s="90" t="s">
        <v>6449</v>
      </c>
      <c r="E491" s="89" t="s">
        <v>45</v>
      </c>
      <c r="F491" s="91">
        <v>273038</v>
      </c>
      <c r="G491" s="91">
        <v>5020000</v>
      </c>
      <c r="H491" s="87"/>
      <c r="I491" s="90" t="s">
        <v>6439</v>
      </c>
      <c r="J491" s="88" t="str">
        <f t="shared" si="7"/>
        <v>重复</v>
      </c>
      <c r="K491" s="88" t="str">
        <f t="shared" si="7"/>
        <v>不重复</v>
      </c>
    </row>
    <row r="492" spans="1:11" ht="20.25" customHeight="1">
      <c r="A492" s="89" t="s">
        <v>995</v>
      </c>
      <c r="B492" s="90" t="s">
        <v>6450</v>
      </c>
      <c r="C492" s="90" t="s">
        <v>996</v>
      </c>
      <c r="D492" s="90" t="s">
        <v>991</v>
      </c>
      <c r="E492" s="89" t="s">
        <v>45</v>
      </c>
      <c r="F492" s="91">
        <v>273039</v>
      </c>
      <c r="G492" s="91">
        <v>5020000</v>
      </c>
      <c r="H492" s="87"/>
      <c r="I492" s="90" t="s">
        <v>6451</v>
      </c>
      <c r="J492" s="88" t="str">
        <f t="shared" si="7"/>
        <v>不重复</v>
      </c>
      <c r="K492" s="88" t="str">
        <f t="shared" si="7"/>
        <v>不重复</v>
      </c>
    </row>
    <row r="493" spans="1:11" ht="20.25" customHeight="1">
      <c r="A493" s="89" t="s">
        <v>6452</v>
      </c>
      <c r="B493" s="90" t="s">
        <v>6453</v>
      </c>
      <c r="C493" s="90" t="s">
        <v>219</v>
      </c>
      <c r="D493" s="90" t="s">
        <v>997</v>
      </c>
      <c r="E493" s="89" t="s">
        <v>45</v>
      </c>
      <c r="F493" s="91">
        <v>273040</v>
      </c>
      <c r="G493" s="91">
        <v>5020000</v>
      </c>
      <c r="H493" s="87"/>
      <c r="I493" s="90" t="s">
        <v>6403</v>
      </c>
      <c r="J493" s="88" t="str">
        <f t="shared" si="7"/>
        <v>重复</v>
      </c>
      <c r="K493" s="88" t="str">
        <f t="shared" si="7"/>
        <v>不重复</v>
      </c>
    </row>
    <row r="494" spans="1:11" ht="20.25" customHeight="1">
      <c r="A494" s="89" t="s">
        <v>998</v>
      </c>
      <c r="B494" s="90" t="s">
        <v>6454</v>
      </c>
      <c r="C494" s="90" t="s">
        <v>999</v>
      </c>
      <c r="D494" s="90" t="s">
        <v>1000</v>
      </c>
      <c r="E494" s="89" t="s">
        <v>45</v>
      </c>
      <c r="F494" s="91">
        <v>273041</v>
      </c>
      <c r="G494" s="91">
        <v>5020000</v>
      </c>
      <c r="H494" s="87"/>
      <c r="I494" s="90" t="s">
        <v>6455</v>
      </c>
      <c r="J494" s="88" t="str">
        <f t="shared" si="7"/>
        <v>不重复</v>
      </c>
      <c r="K494" s="88" t="str">
        <f t="shared" si="7"/>
        <v>不重复</v>
      </c>
    </row>
    <row r="495" spans="1:11" ht="20.25" customHeight="1">
      <c r="A495" s="89" t="s">
        <v>1002</v>
      </c>
      <c r="B495" s="90" t="s">
        <v>6456</v>
      </c>
      <c r="C495" s="90" t="s">
        <v>1003</v>
      </c>
      <c r="D495" s="90" t="s">
        <v>1004</v>
      </c>
      <c r="E495" s="89" t="s">
        <v>45</v>
      </c>
      <c r="F495" s="91">
        <v>273042</v>
      </c>
      <c r="G495" s="91">
        <v>5020000</v>
      </c>
      <c r="H495" s="87"/>
      <c r="I495" s="90" t="s">
        <v>6451</v>
      </c>
      <c r="J495" s="88" t="str">
        <f t="shared" si="7"/>
        <v>重复</v>
      </c>
      <c r="K495" s="88" t="str">
        <f t="shared" si="7"/>
        <v>不重复</v>
      </c>
    </row>
    <row r="496" spans="1:11" ht="20.25" customHeight="1">
      <c r="A496" s="89" t="s">
        <v>1005</v>
      </c>
      <c r="B496" s="90" t="s">
        <v>6457</v>
      </c>
      <c r="C496" s="90" t="s">
        <v>1003</v>
      </c>
      <c r="D496" s="90" t="s">
        <v>1006</v>
      </c>
      <c r="E496" s="89" t="s">
        <v>45</v>
      </c>
      <c r="F496" s="91">
        <v>273043</v>
      </c>
      <c r="G496" s="91">
        <v>5020000</v>
      </c>
      <c r="H496" s="87"/>
      <c r="I496" s="90" t="s">
        <v>6327</v>
      </c>
      <c r="J496" s="88" t="str">
        <f t="shared" si="7"/>
        <v>重复</v>
      </c>
      <c r="K496" s="88" t="str">
        <f t="shared" si="7"/>
        <v>不重复</v>
      </c>
    </row>
    <row r="497" spans="1:11" ht="20.25" customHeight="1">
      <c r="A497" s="89" t="s">
        <v>1007</v>
      </c>
      <c r="B497" s="90" t="s">
        <v>6458</v>
      </c>
      <c r="C497" s="90" t="s">
        <v>1008</v>
      </c>
      <c r="D497" s="90" t="s">
        <v>6459</v>
      </c>
      <c r="E497" s="89" t="s">
        <v>45</v>
      </c>
      <c r="F497" s="91">
        <v>273044</v>
      </c>
      <c r="G497" s="91">
        <v>5020000</v>
      </c>
      <c r="H497" s="87"/>
      <c r="I497" s="90" t="s">
        <v>6451</v>
      </c>
      <c r="J497" s="88" t="str">
        <f t="shared" si="7"/>
        <v>不重复</v>
      </c>
      <c r="K497" s="88" t="str">
        <f t="shared" si="7"/>
        <v>不重复</v>
      </c>
    </row>
    <row r="498" spans="1:11" ht="20.25" customHeight="1">
      <c r="A498" s="89" t="s">
        <v>6460</v>
      </c>
      <c r="B498" s="90" t="s">
        <v>6461</v>
      </c>
      <c r="C498" s="90" t="s">
        <v>1009</v>
      </c>
      <c r="D498" s="90" t="s">
        <v>1010</v>
      </c>
      <c r="E498" s="89" t="s">
        <v>45</v>
      </c>
      <c r="F498" s="91">
        <v>273045</v>
      </c>
      <c r="G498" s="91">
        <v>5020000</v>
      </c>
      <c r="H498" s="87"/>
      <c r="I498" s="90" t="s">
        <v>6462</v>
      </c>
      <c r="J498" s="88" t="str">
        <f t="shared" si="7"/>
        <v>不重复</v>
      </c>
      <c r="K498" s="88" t="str">
        <f t="shared" si="7"/>
        <v>不重复</v>
      </c>
    </row>
    <row r="499" spans="1:11" ht="20.25" customHeight="1">
      <c r="A499" s="89" t="s">
        <v>1011</v>
      </c>
      <c r="B499" s="90" t="s">
        <v>6463</v>
      </c>
      <c r="C499" s="90" t="s">
        <v>1001</v>
      </c>
      <c r="D499" s="90" t="s">
        <v>1012</v>
      </c>
      <c r="E499" s="89" t="s">
        <v>45</v>
      </c>
      <c r="F499" s="91">
        <v>273046</v>
      </c>
      <c r="G499" s="91">
        <v>5020000</v>
      </c>
      <c r="H499" s="87"/>
      <c r="I499" s="90" t="s">
        <v>6416</v>
      </c>
      <c r="J499" s="88" t="str">
        <f t="shared" si="7"/>
        <v>不重复</v>
      </c>
      <c r="K499" s="88" t="str">
        <f t="shared" si="7"/>
        <v>不重复</v>
      </c>
    </row>
    <row r="500" spans="1:11" ht="20.25" customHeight="1">
      <c r="A500" s="89" t="s">
        <v>1013</v>
      </c>
      <c r="B500" s="90" t="s">
        <v>6464</v>
      </c>
      <c r="C500" s="90" t="s">
        <v>1014</v>
      </c>
      <c r="D500" s="90" t="s">
        <v>6465</v>
      </c>
      <c r="E500" s="89" t="s">
        <v>45</v>
      </c>
      <c r="F500" s="91">
        <v>273047</v>
      </c>
      <c r="G500" s="91">
        <v>5020000</v>
      </c>
      <c r="H500" s="87"/>
      <c r="I500" s="90" t="s">
        <v>6466</v>
      </c>
      <c r="J500" s="88" t="str">
        <f t="shared" si="7"/>
        <v>不重复</v>
      </c>
      <c r="K500" s="88" t="str">
        <f t="shared" si="7"/>
        <v>不重复</v>
      </c>
    </row>
    <row r="501" spans="1:11" ht="20.25" customHeight="1">
      <c r="A501" s="89" t="s">
        <v>1016</v>
      </c>
      <c r="B501" s="90" t="s">
        <v>6467</v>
      </c>
      <c r="C501" s="90" t="s">
        <v>1017</v>
      </c>
      <c r="D501" s="90" t="s">
        <v>6468</v>
      </c>
      <c r="E501" s="89" t="s">
        <v>45</v>
      </c>
      <c r="F501" s="91">
        <v>273048</v>
      </c>
      <c r="G501" s="91">
        <v>5020000</v>
      </c>
      <c r="H501" s="87"/>
      <c r="I501" s="90" t="s">
        <v>6469</v>
      </c>
      <c r="J501" s="88" t="str">
        <f t="shared" si="7"/>
        <v>重复</v>
      </c>
      <c r="K501" s="88" t="str">
        <f t="shared" si="7"/>
        <v>不重复</v>
      </c>
    </row>
    <row r="502" spans="1:11" ht="20.25" customHeight="1">
      <c r="A502" s="89" t="s">
        <v>1019</v>
      </c>
      <c r="B502" s="90" t="s">
        <v>6470</v>
      </c>
      <c r="C502" s="90" t="s">
        <v>1020</v>
      </c>
      <c r="D502" s="90" t="s">
        <v>1018</v>
      </c>
      <c r="E502" s="89" t="s">
        <v>45</v>
      </c>
      <c r="F502" s="91">
        <v>273049</v>
      </c>
      <c r="G502" s="91">
        <v>5020000</v>
      </c>
      <c r="H502" s="87"/>
      <c r="I502" s="90" t="s">
        <v>6430</v>
      </c>
      <c r="J502" s="88" t="str">
        <f t="shared" si="7"/>
        <v>不重复</v>
      </c>
      <c r="K502" s="88" t="str">
        <f t="shared" si="7"/>
        <v>不重复</v>
      </c>
    </row>
    <row r="503" spans="1:11" ht="20.25" customHeight="1">
      <c r="A503" s="89" t="s">
        <v>1021</v>
      </c>
      <c r="B503" s="90" t="s">
        <v>6471</v>
      </c>
      <c r="C503" s="90" t="s">
        <v>219</v>
      </c>
      <c r="D503" s="90" t="s">
        <v>1022</v>
      </c>
      <c r="E503" s="89" t="s">
        <v>45</v>
      </c>
      <c r="F503" s="91">
        <v>273050</v>
      </c>
      <c r="G503" s="91">
        <v>5020000</v>
      </c>
      <c r="H503" s="87"/>
      <c r="I503" s="90" t="s">
        <v>6472</v>
      </c>
      <c r="J503" s="88" t="str">
        <f t="shared" si="7"/>
        <v>重复</v>
      </c>
      <c r="K503" s="88" t="str">
        <f t="shared" si="7"/>
        <v>不重复</v>
      </c>
    </row>
    <row r="504" spans="1:11" ht="20.25" customHeight="1">
      <c r="A504" s="89" t="s">
        <v>972</v>
      </c>
      <c r="B504" s="90" t="s">
        <v>6473</v>
      </c>
      <c r="C504" s="90" t="s">
        <v>973</v>
      </c>
      <c r="D504" s="90" t="s">
        <v>974</v>
      </c>
      <c r="E504" s="89" t="s">
        <v>45</v>
      </c>
      <c r="F504" s="91">
        <v>273052</v>
      </c>
      <c r="G504" s="91">
        <v>5020000</v>
      </c>
      <c r="H504" s="87"/>
      <c r="I504" s="90" t="s">
        <v>6056</v>
      </c>
      <c r="J504" s="88" t="str">
        <f t="shared" si="7"/>
        <v>重复</v>
      </c>
      <c r="K504" s="88" t="str">
        <f t="shared" si="7"/>
        <v>不重复</v>
      </c>
    </row>
    <row r="505" spans="1:11" ht="20.25" customHeight="1">
      <c r="A505" s="89" t="s">
        <v>975</v>
      </c>
      <c r="B505" s="90" t="s">
        <v>6474</v>
      </c>
      <c r="C505" s="90" t="s">
        <v>167</v>
      </c>
      <c r="D505" s="90" t="s">
        <v>976</v>
      </c>
      <c r="E505" s="89" t="s">
        <v>45</v>
      </c>
      <c r="F505" s="91">
        <v>273053</v>
      </c>
      <c r="G505" s="91">
        <v>5020000</v>
      </c>
      <c r="H505" s="87"/>
      <c r="I505" s="90" t="s">
        <v>6475</v>
      </c>
      <c r="J505" s="88" t="str">
        <f t="shared" si="7"/>
        <v>重复</v>
      </c>
      <c r="K505" s="88" t="str">
        <f t="shared" si="7"/>
        <v>不重复</v>
      </c>
    </row>
    <row r="506" spans="1:11" ht="20.25" customHeight="1">
      <c r="A506" s="89" t="s">
        <v>977</v>
      </c>
      <c r="B506" s="90" t="s">
        <v>6476</v>
      </c>
      <c r="C506" s="90" t="s">
        <v>161</v>
      </c>
      <c r="D506" s="90" t="s">
        <v>978</v>
      </c>
      <c r="E506" s="89" t="s">
        <v>45</v>
      </c>
      <c r="F506" s="91">
        <v>273054</v>
      </c>
      <c r="G506" s="91">
        <v>5020000</v>
      </c>
      <c r="H506" s="87"/>
      <c r="I506" s="90" t="s">
        <v>6477</v>
      </c>
      <c r="J506" s="88" t="str">
        <f t="shared" si="7"/>
        <v>重复</v>
      </c>
      <c r="K506" s="88" t="str">
        <f t="shared" si="7"/>
        <v>不重复</v>
      </c>
    </row>
    <row r="507" spans="1:11" ht="20.25" customHeight="1">
      <c r="A507" s="84" t="s">
        <v>6478</v>
      </c>
      <c r="B507" s="85" t="s">
        <v>6479</v>
      </c>
      <c r="C507" s="85" t="s">
        <v>1033</v>
      </c>
      <c r="D507" s="85" t="s">
        <v>6480</v>
      </c>
      <c r="E507" s="84" t="s">
        <v>45</v>
      </c>
      <c r="F507" s="86">
        <v>273055</v>
      </c>
      <c r="G507" s="86">
        <v>5020000</v>
      </c>
      <c r="H507" s="87"/>
      <c r="I507" s="85" t="s">
        <v>25</v>
      </c>
      <c r="J507" s="88" t="str">
        <f t="shared" si="7"/>
        <v>重复</v>
      </c>
      <c r="K507" s="88" t="str">
        <f t="shared" si="7"/>
        <v>不重复</v>
      </c>
    </row>
    <row r="508" spans="1:11" ht="20.25" customHeight="1">
      <c r="A508" s="84" t="s">
        <v>1029</v>
      </c>
      <c r="B508" s="85" t="s">
        <v>6481</v>
      </c>
      <c r="C508" s="85" t="s">
        <v>1030</v>
      </c>
      <c r="D508" s="85" t="s">
        <v>1031</v>
      </c>
      <c r="E508" s="84" t="s">
        <v>45</v>
      </c>
      <c r="F508" s="86">
        <v>273056</v>
      </c>
      <c r="G508" s="86">
        <v>5020000</v>
      </c>
      <c r="H508" s="87"/>
      <c r="I508" s="85" t="s">
        <v>6482</v>
      </c>
      <c r="J508" s="88" t="str">
        <f t="shared" si="7"/>
        <v>不重复</v>
      </c>
      <c r="K508" s="88" t="str">
        <f t="shared" si="7"/>
        <v>不重复</v>
      </c>
    </row>
    <row r="509" spans="1:11" ht="20.25" customHeight="1">
      <c r="A509" s="84" t="s">
        <v>1032</v>
      </c>
      <c r="B509" s="85" t="s">
        <v>6483</v>
      </c>
      <c r="C509" s="85" t="s">
        <v>1033</v>
      </c>
      <c r="D509" s="85" t="s">
        <v>1034</v>
      </c>
      <c r="E509" s="84" t="s">
        <v>45</v>
      </c>
      <c r="F509" s="86">
        <v>273057</v>
      </c>
      <c r="G509" s="86">
        <v>5020000</v>
      </c>
      <c r="H509" s="87"/>
      <c r="I509" s="85" t="s">
        <v>6327</v>
      </c>
      <c r="J509" s="88" t="str">
        <f t="shared" si="7"/>
        <v>重复</v>
      </c>
      <c r="K509" s="88" t="str">
        <f t="shared" si="7"/>
        <v>不重复</v>
      </c>
    </row>
    <row r="510" spans="1:11" ht="20.25" customHeight="1">
      <c r="A510" s="84" t="s">
        <v>6484</v>
      </c>
      <c r="B510" s="85" t="s">
        <v>6485</v>
      </c>
      <c r="C510" s="85" t="s">
        <v>6486</v>
      </c>
      <c r="D510" s="85" t="s">
        <v>6487</v>
      </c>
      <c r="E510" s="84" t="s">
        <v>45</v>
      </c>
      <c r="F510" s="86">
        <v>273058</v>
      </c>
      <c r="G510" s="86">
        <v>5020000</v>
      </c>
      <c r="H510" s="87"/>
      <c r="I510" s="85" t="s">
        <v>6488</v>
      </c>
      <c r="J510" s="88" t="str">
        <f t="shared" si="7"/>
        <v>不重复</v>
      </c>
      <c r="K510" s="88" t="str">
        <f t="shared" si="7"/>
        <v>不重复</v>
      </c>
    </row>
    <row r="511" spans="1:11" ht="20.25" customHeight="1">
      <c r="A511" s="89" t="s">
        <v>6489</v>
      </c>
      <c r="B511" s="90" t="s">
        <v>6490</v>
      </c>
      <c r="C511" s="90" t="s">
        <v>310</v>
      </c>
      <c r="D511" s="90" t="s">
        <v>6491</v>
      </c>
      <c r="E511" s="89" t="s">
        <v>45</v>
      </c>
      <c r="F511" s="91">
        <v>273059</v>
      </c>
      <c r="G511" s="91">
        <v>5020000</v>
      </c>
      <c r="H511" s="87"/>
      <c r="I511" s="90" t="s">
        <v>25</v>
      </c>
      <c r="J511" s="88" t="str">
        <f t="shared" si="7"/>
        <v>重复</v>
      </c>
      <c r="K511" s="88" t="str">
        <f t="shared" si="7"/>
        <v>不重复</v>
      </c>
    </row>
    <row r="512" spans="1:11" ht="20.25" customHeight="1">
      <c r="A512" s="89" t="s">
        <v>1035</v>
      </c>
      <c r="B512" s="90" t="s">
        <v>6492</v>
      </c>
      <c r="C512" s="90" t="s">
        <v>806</v>
      </c>
      <c r="D512" s="90" t="s">
        <v>1036</v>
      </c>
      <c r="E512" s="89" t="s">
        <v>45</v>
      </c>
      <c r="F512" s="91">
        <v>273060</v>
      </c>
      <c r="G512" s="91">
        <v>5020000</v>
      </c>
      <c r="H512" s="87"/>
      <c r="I512" s="90" t="s">
        <v>6493</v>
      </c>
      <c r="J512" s="88" t="str">
        <f t="shared" si="7"/>
        <v>重复</v>
      </c>
      <c r="K512" s="88" t="str">
        <f t="shared" si="7"/>
        <v>不重复</v>
      </c>
    </row>
    <row r="513" spans="1:11" ht="20.25" customHeight="1">
      <c r="A513" s="89" t="s">
        <v>1037</v>
      </c>
      <c r="B513" s="90" t="s">
        <v>6494</v>
      </c>
      <c r="C513" s="90" t="s">
        <v>310</v>
      </c>
      <c r="D513" s="90" t="s">
        <v>1038</v>
      </c>
      <c r="E513" s="89" t="s">
        <v>45</v>
      </c>
      <c r="F513" s="91">
        <v>273061</v>
      </c>
      <c r="G513" s="91">
        <v>5020000</v>
      </c>
      <c r="H513" s="87"/>
      <c r="I513" s="90" t="s">
        <v>6430</v>
      </c>
      <c r="J513" s="88" t="str">
        <f t="shared" si="7"/>
        <v>重复</v>
      </c>
      <c r="K513" s="88" t="str">
        <f t="shared" si="7"/>
        <v>不重复</v>
      </c>
    </row>
    <row r="514" spans="1:11" ht="20.25" customHeight="1">
      <c r="A514" s="89" t="s">
        <v>1039</v>
      </c>
      <c r="B514" s="90" t="s">
        <v>6495</v>
      </c>
      <c r="C514" s="90" t="s">
        <v>1040</v>
      </c>
      <c r="D514" s="90" t="s">
        <v>1041</v>
      </c>
      <c r="E514" s="89" t="s">
        <v>45</v>
      </c>
      <c r="F514" s="91">
        <v>273063</v>
      </c>
      <c r="G514" s="91">
        <v>5020000</v>
      </c>
      <c r="H514" s="87"/>
      <c r="I514" s="90" t="s">
        <v>6496</v>
      </c>
      <c r="J514" s="88" t="str">
        <f t="shared" si="7"/>
        <v>不重复</v>
      </c>
      <c r="K514" s="88" t="str">
        <f t="shared" si="7"/>
        <v>不重复</v>
      </c>
    </row>
    <row r="515" spans="1:11" ht="20.25" customHeight="1">
      <c r="A515" s="89" t="s">
        <v>1042</v>
      </c>
      <c r="B515" s="90" t="s">
        <v>6497</v>
      </c>
      <c r="C515" s="90" t="s">
        <v>1043</v>
      </c>
      <c r="D515" s="90" t="s">
        <v>114</v>
      </c>
      <c r="E515" s="89" t="s">
        <v>45</v>
      </c>
      <c r="F515" s="91">
        <v>273064</v>
      </c>
      <c r="G515" s="91">
        <v>5020000</v>
      </c>
      <c r="H515" s="87"/>
      <c r="I515" s="90" t="s">
        <v>6403</v>
      </c>
      <c r="J515" s="88" t="str">
        <f t="shared" si="8" ref="J515:K578">IF(COUNTIF(C:C,C515)&gt;=2,"重复","不重复")</f>
        <v>重复</v>
      </c>
      <c r="K515" s="88" t="str">
        <f t="shared" si="8"/>
        <v>不重复</v>
      </c>
    </row>
    <row r="516" spans="1:11" ht="20.25" customHeight="1">
      <c r="A516" s="89" t="s">
        <v>1044</v>
      </c>
      <c r="B516" s="90" t="s">
        <v>6498</v>
      </c>
      <c r="C516" s="90" t="s">
        <v>1045</v>
      </c>
      <c r="D516" s="90" t="s">
        <v>1046</v>
      </c>
      <c r="E516" s="89" t="s">
        <v>45</v>
      </c>
      <c r="F516" s="91">
        <v>273066</v>
      </c>
      <c r="G516" s="91">
        <v>5020000</v>
      </c>
      <c r="H516" s="87"/>
      <c r="I516" s="90" t="s">
        <v>6327</v>
      </c>
      <c r="J516" s="88" t="str">
        <f t="shared" si="8"/>
        <v>不重复</v>
      </c>
      <c r="K516" s="88" t="str">
        <f t="shared" si="8"/>
        <v>不重复</v>
      </c>
    </row>
    <row r="517" spans="1:11" ht="20.25" customHeight="1">
      <c r="A517" s="89" t="s">
        <v>6499</v>
      </c>
      <c r="B517" s="90" t="s">
        <v>6500</v>
      </c>
      <c r="C517" s="90" t="s">
        <v>6501</v>
      </c>
      <c r="D517" s="90" t="s">
        <v>6502</v>
      </c>
      <c r="E517" s="89" t="s">
        <v>45</v>
      </c>
      <c r="F517" s="91">
        <v>273067</v>
      </c>
      <c r="G517" s="91">
        <v>5020000</v>
      </c>
      <c r="H517" s="87"/>
      <c r="I517" s="90" t="s">
        <v>25</v>
      </c>
      <c r="J517" s="88" t="str">
        <f t="shared" si="8"/>
        <v>不重复</v>
      </c>
      <c r="K517" s="88" t="str">
        <f t="shared" si="8"/>
        <v>不重复</v>
      </c>
    </row>
    <row r="518" spans="1:11" ht="20.25" customHeight="1">
      <c r="A518" s="89" t="s">
        <v>1026</v>
      </c>
      <c r="B518" s="90" t="s">
        <v>6503</v>
      </c>
      <c r="C518" s="90" t="s">
        <v>1027</v>
      </c>
      <c r="D518" s="90" t="s">
        <v>1028</v>
      </c>
      <c r="E518" s="89" t="s">
        <v>45</v>
      </c>
      <c r="F518" s="91">
        <v>273068</v>
      </c>
      <c r="G518" s="91">
        <v>5020000</v>
      </c>
      <c r="H518" s="87"/>
      <c r="I518" s="90" t="s">
        <v>6504</v>
      </c>
      <c r="J518" s="88" t="str">
        <f t="shared" si="8"/>
        <v>重复</v>
      </c>
      <c r="K518" s="88" t="str">
        <f t="shared" si="8"/>
        <v>不重复</v>
      </c>
    </row>
    <row r="519" spans="1:11" ht="20.25" customHeight="1">
      <c r="A519" s="89" t="s">
        <v>6505</v>
      </c>
      <c r="B519" s="90" t="s">
        <v>6506</v>
      </c>
      <c r="C519" s="90" t="s">
        <v>341</v>
      </c>
      <c r="D519" s="90" t="s">
        <v>6507</v>
      </c>
      <c r="E519" s="89" t="s">
        <v>45</v>
      </c>
      <c r="F519" s="91">
        <v>273069</v>
      </c>
      <c r="G519" s="91">
        <v>5020000</v>
      </c>
      <c r="H519" s="87"/>
      <c r="I519" s="90" t="s">
        <v>25</v>
      </c>
      <c r="J519" s="88" t="str">
        <f t="shared" si="8"/>
        <v>重复</v>
      </c>
      <c r="K519" s="88" t="str">
        <f t="shared" si="8"/>
        <v>不重复</v>
      </c>
    </row>
    <row r="520" spans="1:11" ht="20.25" customHeight="1">
      <c r="A520" s="89" t="s">
        <v>6508</v>
      </c>
      <c r="B520" s="90" t="s">
        <v>6509</v>
      </c>
      <c r="C520" s="90" t="s">
        <v>1015</v>
      </c>
      <c r="D520" s="90" t="s">
        <v>6510</v>
      </c>
      <c r="E520" s="89" t="s">
        <v>45</v>
      </c>
      <c r="F520" s="91">
        <v>273070</v>
      </c>
      <c r="G520" s="91">
        <v>5020000</v>
      </c>
      <c r="H520" s="87"/>
      <c r="I520" s="90" t="s">
        <v>6511</v>
      </c>
      <c r="J520" s="88" t="str">
        <f t="shared" si="8"/>
        <v>不重复</v>
      </c>
      <c r="K520" s="88" t="str">
        <f t="shared" si="8"/>
        <v>不重复</v>
      </c>
    </row>
    <row r="521" spans="1:11" ht="20.25" customHeight="1">
      <c r="A521" s="89" t="s">
        <v>6512</v>
      </c>
      <c r="B521" s="90" t="s">
        <v>6513</v>
      </c>
      <c r="C521" s="90" t="s">
        <v>1082</v>
      </c>
      <c r="D521" s="90" t="s">
        <v>6514</v>
      </c>
      <c r="E521" s="89" t="s">
        <v>45</v>
      </c>
      <c r="F521" s="91">
        <v>273071</v>
      </c>
      <c r="G521" s="91">
        <v>5020000</v>
      </c>
      <c r="H521" s="87"/>
      <c r="I521" s="90" t="s">
        <v>25</v>
      </c>
      <c r="J521" s="88" t="str">
        <f t="shared" si="8"/>
        <v>重复</v>
      </c>
      <c r="K521" s="88" t="str">
        <f t="shared" si="8"/>
        <v>不重复</v>
      </c>
    </row>
    <row r="522" spans="1:11" ht="20.25" customHeight="1">
      <c r="A522" s="89" t="s">
        <v>6515</v>
      </c>
      <c r="B522" s="90" t="s">
        <v>6516</v>
      </c>
      <c r="C522" s="90" t="s">
        <v>372</v>
      </c>
      <c r="D522" s="90" t="s">
        <v>1053</v>
      </c>
      <c r="E522" s="89" t="s">
        <v>45</v>
      </c>
      <c r="F522" s="91">
        <v>273072</v>
      </c>
      <c r="G522" s="91">
        <v>5020000</v>
      </c>
      <c r="H522" s="87"/>
      <c r="I522" s="90" t="s">
        <v>6327</v>
      </c>
      <c r="J522" s="88" t="str">
        <f t="shared" si="8"/>
        <v>重复</v>
      </c>
      <c r="K522" s="88" t="str">
        <f t="shared" si="8"/>
        <v>不重复</v>
      </c>
    </row>
    <row r="523" spans="1:11" ht="20.25" customHeight="1">
      <c r="A523" s="89" t="s">
        <v>1054</v>
      </c>
      <c r="B523" s="90" t="s">
        <v>6517</v>
      </c>
      <c r="C523" s="90" t="s">
        <v>1055</v>
      </c>
      <c r="D523" s="90" t="s">
        <v>1056</v>
      </c>
      <c r="E523" s="89" t="s">
        <v>45</v>
      </c>
      <c r="F523" s="91">
        <v>273073</v>
      </c>
      <c r="G523" s="91">
        <v>5020000</v>
      </c>
      <c r="H523" s="87"/>
      <c r="I523" s="90" t="s">
        <v>6518</v>
      </c>
      <c r="J523" s="88" t="str">
        <f t="shared" si="8"/>
        <v>重复</v>
      </c>
      <c r="K523" s="88" t="str">
        <f t="shared" si="8"/>
        <v>不重复</v>
      </c>
    </row>
    <row r="524" spans="1:11" ht="20.25" customHeight="1">
      <c r="A524" s="89" t="s">
        <v>1047</v>
      </c>
      <c r="B524" s="90" t="s">
        <v>6519</v>
      </c>
      <c r="C524" s="90" t="s">
        <v>1048</v>
      </c>
      <c r="D524" s="90" t="s">
        <v>1049</v>
      </c>
      <c r="E524" s="89" t="s">
        <v>45</v>
      </c>
      <c r="F524" s="91">
        <v>273075</v>
      </c>
      <c r="G524" s="91">
        <v>5020000</v>
      </c>
      <c r="H524" s="87"/>
      <c r="I524" s="90" t="s">
        <v>6518</v>
      </c>
      <c r="J524" s="88" t="str">
        <f t="shared" si="8"/>
        <v>不重复</v>
      </c>
      <c r="K524" s="88" t="str">
        <f t="shared" si="8"/>
        <v>不重复</v>
      </c>
    </row>
    <row r="525" spans="1:11" ht="20.25" customHeight="1">
      <c r="A525" s="89" t="s">
        <v>1050</v>
      </c>
      <c r="B525" s="90" t="s">
        <v>6520</v>
      </c>
      <c r="C525" s="90" t="s">
        <v>1051</v>
      </c>
      <c r="D525" s="90" t="s">
        <v>1052</v>
      </c>
      <c r="E525" s="89" t="s">
        <v>45</v>
      </c>
      <c r="F525" s="91">
        <v>273077</v>
      </c>
      <c r="G525" s="91">
        <v>5020000</v>
      </c>
      <c r="H525" s="87"/>
      <c r="I525" s="90" t="s">
        <v>992</v>
      </c>
      <c r="J525" s="88" t="str">
        <f t="shared" si="8"/>
        <v>重复</v>
      </c>
      <c r="K525" s="88" t="str">
        <f t="shared" si="8"/>
        <v>不重复</v>
      </c>
    </row>
    <row r="526" spans="1:11" ht="20.25" customHeight="1">
      <c r="A526" s="89" t="s">
        <v>6521</v>
      </c>
      <c r="B526" s="90" t="s">
        <v>6522</v>
      </c>
      <c r="C526" s="90" t="s">
        <v>1061</v>
      </c>
      <c r="D526" s="90" t="s">
        <v>6523</v>
      </c>
      <c r="E526" s="89" t="s">
        <v>45</v>
      </c>
      <c r="F526" s="91">
        <v>273078</v>
      </c>
      <c r="G526" s="91">
        <v>5020000</v>
      </c>
      <c r="H526" s="87"/>
      <c r="I526" s="90" t="s">
        <v>25</v>
      </c>
      <c r="J526" s="88" t="str">
        <f t="shared" si="8"/>
        <v>重复</v>
      </c>
      <c r="K526" s="88" t="str">
        <f t="shared" si="8"/>
        <v>不重复</v>
      </c>
    </row>
    <row r="527" spans="1:11" ht="20.25" customHeight="1">
      <c r="A527" s="89" t="s">
        <v>1057</v>
      </c>
      <c r="B527" s="90" t="s">
        <v>6524</v>
      </c>
      <c r="C527" s="90" t="s">
        <v>1058</v>
      </c>
      <c r="D527" s="90" t="s">
        <v>1059</v>
      </c>
      <c r="E527" s="89" t="s">
        <v>45</v>
      </c>
      <c r="F527" s="91">
        <v>273079</v>
      </c>
      <c r="G527" s="91">
        <v>5020000</v>
      </c>
      <c r="H527" s="87"/>
      <c r="I527" s="90" t="s">
        <v>6525</v>
      </c>
      <c r="J527" s="88" t="str">
        <f t="shared" si="8"/>
        <v>重复</v>
      </c>
      <c r="K527" s="88" t="str">
        <f t="shared" si="8"/>
        <v>不重复</v>
      </c>
    </row>
    <row r="528" spans="1:11" ht="20.25" customHeight="1">
      <c r="A528" s="89" t="s">
        <v>6526</v>
      </c>
      <c r="B528" s="90" t="s">
        <v>6527</v>
      </c>
      <c r="C528" s="90" t="s">
        <v>2165</v>
      </c>
      <c r="D528" s="90" t="s">
        <v>6528</v>
      </c>
      <c r="E528" s="89" t="s">
        <v>45</v>
      </c>
      <c r="F528" s="91">
        <v>273080</v>
      </c>
      <c r="G528" s="91">
        <v>5020000</v>
      </c>
      <c r="H528" s="87"/>
      <c r="I528" s="90" t="s">
        <v>25</v>
      </c>
      <c r="J528" s="88" t="str">
        <f t="shared" si="8"/>
        <v>重复</v>
      </c>
      <c r="K528" s="88" t="str">
        <f t="shared" si="8"/>
        <v>不重复</v>
      </c>
    </row>
    <row r="529" spans="1:11" ht="20.25" customHeight="1">
      <c r="A529" s="89" t="s">
        <v>1060</v>
      </c>
      <c r="B529" s="90" t="s">
        <v>6529</v>
      </c>
      <c r="C529" s="90" t="s">
        <v>1061</v>
      </c>
      <c r="D529" s="90" t="s">
        <v>1062</v>
      </c>
      <c r="E529" s="89" t="s">
        <v>45</v>
      </c>
      <c r="F529" s="91">
        <v>273081</v>
      </c>
      <c r="G529" s="91">
        <v>5020000</v>
      </c>
      <c r="H529" s="87"/>
      <c r="I529" s="90" t="s">
        <v>6525</v>
      </c>
      <c r="J529" s="88" t="str">
        <f t="shared" si="8"/>
        <v>重复</v>
      </c>
      <c r="K529" s="88" t="str">
        <f t="shared" si="8"/>
        <v>不重复</v>
      </c>
    </row>
    <row r="530" spans="1:11" ht="20.25" customHeight="1">
      <c r="A530" s="89" t="s">
        <v>1078</v>
      </c>
      <c r="B530" s="90" t="s">
        <v>1079</v>
      </c>
      <c r="C530" s="90" t="s">
        <v>1082</v>
      </c>
      <c r="D530" s="90" t="s">
        <v>1080</v>
      </c>
      <c r="E530" s="89" t="s">
        <v>45</v>
      </c>
      <c r="F530" s="91">
        <v>273082</v>
      </c>
      <c r="G530" s="91">
        <v>5020000</v>
      </c>
      <c r="H530" s="87"/>
      <c r="I530" s="90" t="s">
        <v>25</v>
      </c>
      <c r="J530" s="88" t="str">
        <f t="shared" si="8"/>
        <v>重复</v>
      </c>
      <c r="K530" s="88" t="str">
        <f t="shared" si="8"/>
        <v>不重复</v>
      </c>
    </row>
    <row r="531" spans="1:11" ht="20.25" customHeight="1">
      <c r="A531" s="89" t="s">
        <v>1066</v>
      </c>
      <c r="B531" s="90" t="s">
        <v>6530</v>
      </c>
      <c r="C531" s="90" t="s">
        <v>1067</v>
      </c>
      <c r="D531" s="90" t="s">
        <v>1068</v>
      </c>
      <c r="E531" s="89" t="s">
        <v>45</v>
      </c>
      <c r="F531" s="91">
        <v>273083</v>
      </c>
      <c r="G531" s="91">
        <v>5020000</v>
      </c>
      <c r="H531" s="87"/>
      <c r="I531" s="90" t="s">
        <v>6531</v>
      </c>
      <c r="J531" s="88" t="str">
        <f t="shared" si="8"/>
        <v>不重复</v>
      </c>
      <c r="K531" s="88" t="str">
        <f t="shared" si="8"/>
        <v>不重复</v>
      </c>
    </row>
    <row r="532" spans="1:11" ht="20.25" customHeight="1">
      <c r="A532" s="89" t="s">
        <v>1069</v>
      </c>
      <c r="B532" s="90" t="s">
        <v>6532</v>
      </c>
      <c r="C532" s="90" t="s">
        <v>1070</v>
      </c>
      <c r="D532" s="90" t="s">
        <v>1071</v>
      </c>
      <c r="E532" s="89" t="s">
        <v>45</v>
      </c>
      <c r="F532" s="91">
        <v>273084</v>
      </c>
      <c r="G532" s="91">
        <v>5020000</v>
      </c>
      <c r="H532" s="87"/>
      <c r="I532" s="90" t="s">
        <v>1072</v>
      </c>
      <c r="J532" s="88" t="str">
        <f t="shared" si="8"/>
        <v>重复</v>
      </c>
      <c r="K532" s="88" t="str">
        <f t="shared" si="8"/>
        <v>不重复</v>
      </c>
    </row>
    <row r="533" spans="1:11" ht="20.25" customHeight="1">
      <c r="A533" s="89" t="s">
        <v>1073</v>
      </c>
      <c r="B533" s="90" t="s">
        <v>6533</v>
      </c>
      <c r="C533" s="90" t="s">
        <v>1074</v>
      </c>
      <c r="D533" s="90" t="s">
        <v>1075</v>
      </c>
      <c r="E533" s="89" t="s">
        <v>45</v>
      </c>
      <c r="F533" s="91">
        <v>273085</v>
      </c>
      <c r="G533" s="91">
        <v>5020000</v>
      </c>
      <c r="H533" s="87"/>
      <c r="I533" s="90" t="s">
        <v>6496</v>
      </c>
      <c r="J533" s="88" t="str">
        <f t="shared" si="8"/>
        <v>重复</v>
      </c>
      <c r="K533" s="88" t="str">
        <f t="shared" si="8"/>
        <v>不重复</v>
      </c>
    </row>
    <row r="534" spans="1:11" ht="20.25" customHeight="1">
      <c r="A534" s="89" t="s">
        <v>6534</v>
      </c>
      <c r="B534" s="90" t="s">
        <v>6535</v>
      </c>
      <c r="C534" s="90" t="s">
        <v>1076</v>
      </c>
      <c r="D534" s="90" t="s">
        <v>1077</v>
      </c>
      <c r="E534" s="89" t="s">
        <v>45</v>
      </c>
      <c r="F534" s="91">
        <v>273086</v>
      </c>
      <c r="G534" s="91">
        <v>5020000</v>
      </c>
      <c r="H534" s="87"/>
      <c r="I534" s="90" t="s">
        <v>5777</v>
      </c>
      <c r="J534" s="88" t="str">
        <f t="shared" si="8"/>
        <v>重复</v>
      </c>
      <c r="K534" s="88" t="str">
        <f t="shared" si="8"/>
        <v>不重复</v>
      </c>
    </row>
    <row r="535" spans="1:11" ht="20.25" customHeight="1">
      <c r="A535" s="89" t="s">
        <v>1081</v>
      </c>
      <c r="B535" s="90" t="s">
        <v>6536</v>
      </c>
      <c r="C535" s="90" t="s">
        <v>1082</v>
      </c>
      <c r="D535" s="90" t="s">
        <v>1083</v>
      </c>
      <c r="E535" s="89" t="s">
        <v>45</v>
      </c>
      <c r="F535" s="91">
        <v>273088</v>
      </c>
      <c r="G535" s="91">
        <v>5020000</v>
      </c>
      <c r="H535" s="87"/>
      <c r="I535" s="90" t="s">
        <v>6525</v>
      </c>
      <c r="J535" s="88" t="str">
        <f t="shared" si="8"/>
        <v>重复</v>
      </c>
      <c r="K535" s="88" t="str">
        <f t="shared" si="8"/>
        <v>不重复</v>
      </c>
    </row>
    <row r="536" spans="1:11" ht="20.25" customHeight="1">
      <c r="A536" s="89" t="s">
        <v>1084</v>
      </c>
      <c r="B536" s="90" t="s">
        <v>6537</v>
      </c>
      <c r="C536" s="90" t="s">
        <v>1085</v>
      </c>
      <c r="D536" s="90" t="s">
        <v>1086</v>
      </c>
      <c r="E536" s="89" t="s">
        <v>45</v>
      </c>
      <c r="F536" s="91">
        <v>273089</v>
      </c>
      <c r="G536" s="91">
        <v>5020000</v>
      </c>
      <c r="H536" s="87"/>
      <c r="I536" s="90" t="s">
        <v>6538</v>
      </c>
      <c r="J536" s="88" t="str">
        <f t="shared" si="8"/>
        <v>不重复</v>
      </c>
      <c r="K536" s="88" t="str">
        <f t="shared" si="8"/>
        <v>不重复</v>
      </c>
    </row>
    <row r="537" spans="1:11" ht="20.25" customHeight="1">
      <c r="A537" s="89" t="s">
        <v>6539</v>
      </c>
      <c r="B537" s="90" t="s">
        <v>6540</v>
      </c>
      <c r="C537" s="90" t="s">
        <v>1087</v>
      </c>
      <c r="D537" s="90" t="s">
        <v>1088</v>
      </c>
      <c r="E537" s="89" t="s">
        <v>45</v>
      </c>
      <c r="F537" s="91">
        <v>273090</v>
      </c>
      <c r="G537" s="91">
        <v>5020000</v>
      </c>
      <c r="H537" s="87"/>
      <c r="I537" s="90" t="s">
        <v>10052</v>
      </c>
      <c r="J537" s="88" t="str">
        <f t="shared" si="8"/>
        <v>不重复</v>
      </c>
      <c r="K537" s="88" t="str">
        <f t="shared" si="8"/>
        <v>不重复</v>
      </c>
    </row>
    <row r="538" spans="1:11" ht="20.25" customHeight="1">
      <c r="A538" s="89" t="s">
        <v>1089</v>
      </c>
      <c r="B538" s="90" t="s">
        <v>6541</v>
      </c>
      <c r="C538" s="90" t="s">
        <v>1090</v>
      </c>
      <c r="D538" s="90" t="s">
        <v>1091</v>
      </c>
      <c r="E538" s="89" t="s">
        <v>45</v>
      </c>
      <c r="F538" s="91">
        <v>273091</v>
      </c>
      <c r="G538" s="91">
        <v>5020000</v>
      </c>
      <c r="H538" s="87"/>
      <c r="I538" s="90" t="s">
        <v>6518</v>
      </c>
      <c r="J538" s="88" t="str">
        <f t="shared" si="8"/>
        <v>不重复</v>
      </c>
      <c r="K538" s="88" t="str">
        <f t="shared" si="8"/>
        <v>不重复</v>
      </c>
    </row>
    <row r="539" spans="1:11" ht="20.25" customHeight="1">
      <c r="A539" s="89" t="s">
        <v>1092</v>
      </c>
      <c r="B539" s="90" t="s">
        <v>6542</v>
      </c>
      <c r="C539" s="90" t="s">
        <v>1093</v>
      </c>
      <c r="D539" s="90" t="s">
        <v>1094</v>
      </c>
      <c r="E539" s="89" t="s">
        <v>45</v>
      </c>
      <c r="F539" s="91">
        <v>273092</v>
      </c>
      <c r="G539" s="91">
        <v>5020000</v>
      </c>
      <c r="H539" s="87"/>
      <c r="I539" s="90" t="s">
        <v>6538</v>
      </c>
      <c r="J539" s="88" t="str">
        <f t="shared" si="8"/>
        <v>不重复</v>
      </c>
      <c r="K539" s="88" t="str">
        <f t="shared" si="8"/>
        <v>不重复</v>
      </c>
    </row>
    <row r="540" spans="1:11" ht="20.25" customHeight="1">
      <c r="A540" s="89" t="s">
        <v>1095</v>
      </c>
      <c r="B540" s="90" t="s">
        <v>6543</v>
      </c>
      <c r="C540" s="90" t="s">
        <v>1096</v>
      </c>
      <c r="D540" s="90" t="s">
        <v>1097</v>
      </c>
      <c r="E540" s="89" t="s">
        <v>45</v>
      </c>
      <c r="F540" s="91">
        <v>273093</v>
      </c>
      <c r="G540" s="91">
        <v>5020000</v>
      </c>
      <c r="H540" s="87"/>
      <c r="I540" s="90" t="s">
        <v>1072</v>
      </c>
      <c r="J540" s="88" t="str">
        <f t="shared" si="8"/>
        <v>不重复</v>
      </c>
      <c r="K540" s="88" t="str">
        <f t="shared" si="8"/>
        <v>不重复</v>
      </c>
    </row>
    <row r="541" spans="1:11" ht="20.25" customHeight="1">
      <c r="A541" s="89" t="s">
        <v>1098</v>
      </c>
      <c r="B541" s="90" t="s">
        <v>6544</v>
      </c>
      <c r="C541" s="90" t="s">
        <v>1099</v>
      </c>
      <c r="D541" s="90" t="s">
        <v>1100</v>
      </c>
      <c r="E541" s="89" t="s">
        <v>45</v>
      </c>
      <c r="F541" s="91">
        <v>273094</v>
      </c>
      <c r="G541" s="91">
        <v>5020000</v>
      </c>
      <c r="H541" s="87"/>
      <c r="I541" s="90" t="s">
        <v>6538</v>
      </c>
      <c r="J541" s="88" t="str">
        <f t="shared" si="8"/>
        <v>不重复</v>
      </c>
      <c r="K541" s="88" t="str">
        <f t="shared" si="8"/>
        <v>不重复</v>
      </c>
    </row>
    <row r="542" spans="1:11" ht="20.25" customHeight="1">
      <c r="A542" s="89" t="s">
        <v>1101</v>
      </c>
      <c r="B542" s="90" t="s">
        <v>6545</v>
      </c>
      <c r="C542" s="90" t="s">
        <v>1102</v>
      </c>
      <c r="D542" s="90" t="s">
        <v>1103</v>
      </c>
      <c r="E542" s="89" t="s">
        <v>45</v>
      </c>
      <c r="F542" s="91">
        <v>273095</v>
      </c>
      <c r="G542" s="91">
        <v>5020000</v>
      </c>
      <c r="H542" s="87"/>
      <c r="I542" s="90" t="s">
        <v>6546</v>
      </c>
      <c r="J542" s="88" t="str">
        <f t="shared" si="8"/>
        <v>不重复</v>
      </c>
      <c r="K542" s="88" t="str">
        <f t="shared" si="8"/>
        <v>不重复</v>
      </c>
    </row>
    <row r="543" spans="1:11" ht="20.25" customHeight="1">
      <c r="A543" s="89" t="s">
        <v>6547</v>
      </c>
      <c r="B543" s="90" t="s">
        <v>6548</v>
      </c>
      <c r="C543" s="90" t="s">
        <v>6549</v>
      </c>
      <c r="D543" s="90" t="s">
        <v>1105</v>
      </c>
      <c r="E543" s="89" t="s">
        <v>45</v>
      </c>
      <c r="F543" s="91">
        <v>273096</v>
      </c>
      <c r="G543" s="91">
        <v>5020000</v>
      </c>
      <c r="H543" s="87"/>
      <c r="I543" s="90" t="s">
        <v>25</v>
      </c>
      <c r="J543" s="88" t="str">
        <f t="shared" si="8"/>
        <v>不重复</v>
      </c>
      <c r="K543" s="88" t="str">
        <f t="shared" si="8"/>
        <v>不重复</v>
      </c>
    </row>
    <row r="544" spans="1:11" ht="20.25" customHeight="1">
      <c r="A544" s="89" t="s">
        <v>1106</v>
      </c>
      <c r="B544" s="90" t="s">
        <v>6550</v>
      </c>
      <c r="C544" s="90" t="s">
        <v>1107</v>
      </c>
      <c r="D544" s="90" t="s">
        <v>1108</v>
      </c>
      <c r="E544" s="89" t="s">
        <v>45</v>
      </c>
      <c r="F544" s="91">
        <v>273097</v>
      </c>
      <c r="G544" s="91">
        <v>5020000</v>
      </c>
      <c r="H544" s="87"/>
      <c r="I544" s="90" t="s">
        <v>6496</v>
      </c>
      <c r="J544" s="88" t="str">
        <f t="shared" si="8"/>
        <v>不重复</v>
      </c>
      <c r="K544" s="88" t="str">
        <f t="shared" si="8"/>
        <v>不重复</v>
      </c>
    </row>
    <row r="545" spans="1:11" ht="20.25" customHeight="1">
      <c r="A545" s="89" t="s">
        <v>1109</v>
      </c>
      <c r="B545" s="90" t="s">
        <v>6551</v>
      </c>
      <c r="C545" s="90" t="s">
        <v>1110</v>
      </c>
      <c r="D545" s="90" t="s">
        <v>1111</v>
      </c>
      <c r="E545" s="89" t="s">
        <v>45</v>
      </c>
      <c r="F545" s="91">
        <v>273098</v>
      </c>
      <c r="G545" s="91">
        <v>5020000</v>
      </c>
      <c r="H545" s="87"/>
      <c r="I545" s="90" t="s">
        <v>6552</v>
      </c>
      <c r="J545" s="88" t="str">
        <f t="shared" si="8"/>
        <v>不重复</v>
      </c>
      <c r="K545" s="88" t="str">
        <f t="shared" si="8"/>
        <v>不重复</v>
      </c>
    </row>
    <row r="546" spans="1:11" ht="20.25" customHeight="1">
      <c r="A546" s="89" t="s">
        <v>6553</v>
      </c>
      <c r="B546" s="90" t="s">
        <v>6554</v>
      </c>
      <c r="C546" s="90" t="s">
        <v>74</v>
      </c>
      <c r="D546" s="90" t="s">
        <v>6555</v>
      </c>
      <c r="E546" s="89" t="s">
        <v>45</v>
      </c>
      <c r="F546" s="91">
        <v>273099</v>
      </c>
      <c r="G546" s="91">
        <v>5020000</v>
      </c>
      <c r="H546" s="87"/>
      <c r="I546" s="90" t="s">
        <v>25</v>
      </c>
      <c r="J546" s="88" t="str">
        <f t="shared" si="8"/>
        <v>重复</v>
      </c>
      <c r="K546" s="88" t="str">
        <f t="shared" si="8"/>
        <v>不重复</v>
      </c>
    </row>
    <row r="547" spans="1:11" ht="20.25" customHeight="1">
      <c r="A547" s="89" t="s">
        <v>1112</v>
      </c>
      <c r="B547" s="90" t="s">
        <v>6556</v>
      </c>
      <c r="C547" s="90" t="s">
        <v>74</v>
      </c>
      <c r="D547" s="90" t="s">
        <v>1113</v>
      </c>
      <c r="E547" s="89" t="s">
        <v>45</v>
      </c>
      <c r="F547" s="91">
        <v>273100</v>
      </c>
      <c r="G547" s="91">
        <v>5020000</v>
      </c>
      <c r="H547" s="87"/>
      <c r="I547" s="90" t="s">
        <v>6557</v>
      </c>
      <c r="J547" s="88" t="str">
        <f t="shared" si="8"/>
        <v>重复</v>
      </c>
      <c r="K547" s="88" t="str">
        <f t="shared" si="8"/>
        <v>不重复</v>
      </c>
    </row>
    <row r="548" spans="1:11" ht="20.25" customHeight="1">
      <c r="A548" s="89" t="s">
        <v>6558</v>
      </c>
      <c r="B548" s="90" t="s">
        <v>6559</v>
      </c>
      <c r="C548" s="90" t="s">
        <v>1043</v>
      </c>
      <c r="D548" s="90" t="s">
        <v>6560</v>
      </c>
      <c r="E548" s="89" t="s">
        <v>45</v>
      </c>
      <c r="F548" s="91">
        <v>273101</v>
      </c>
      <c r="G548" s="91">
        <v>5020000</v>
      </c>
      <c r="H548" s="87"/>
      <c r="I548" s="90" t="s">
        <v>25</v>
      </c>
      <c r="J548" s="88" t="str">
        <f t="shared" si="8"/>
        <v>重复</v>
      </c>
      <c r="K548" s="88" t="str">
        <f t="shared" si="8"/>
        <v>不重复</v>
      </c>
    </row>
    <row r="549" spans="1:11" ht="20.25" customHeight="1">
      <c r="A549" s="89" t="s">
        <v>6561</v>
      </c>
      <c r="B549" s="90" t="s">
        <v>6562</v>
      </c>
      <c r="C549" s="90" t="s">
        <v>1043</v>
      </c>
      <c r="D549" s="90" t="s">
        <v>1114</v>
      </c>
      <c r="E549" s="89" t="s">
        <v>45</v>
      </c>
      <c r="F549" s="91">
        <v>273102</v>
      </c>
      <c r="G549" s="91">
        <v>5020000</v>
      </c>
      <c r="H549" s="87"/>
      <c r="I549" s="90" t="s">
        <v>6394</v>
      </c>
      <c r="J549" s="88" t="str">
        <f t="shared" si="8"/>
        <v>重复</v>
      </c>
      <c r="K549" s="88" t="str">
        <f t="shared" si="8"/>
        <v>不重复</v>
      </c>
    </row>
    <row r="550" spans="1:11" ht="20.25" customHeight="1">
      <c r="A550" s="89" t="s">
        <v>1115</v>
      </c>
      <c r="B550" s="90" t="s">
        <v>6563</v>
      </c>
      <c r="C550" s="90" t="s">
        <v>1116</v>
      </c>
      <c r="D550" s="90" t="s">
        <v>1117</v>
      </c>
      <c r="E550" s="89" t="s">
        <v>45</v>
      </c>
      <c r="F550" s="91">
        <v>273103</v>
      </c>
      <c r="G550" s="91">
        <v>5020000</v>
      </c>
      <c r="H550" s="87"/>
      <c r="I550" s="90" t="s">
        <v>6564</v>
      </c>
      <c r="J550" s="88" t="str">
        <f t="shared" si="8"/>
        <v>重复</v>
      </c>
      <c r="K550" s="88" t="str">
        <f t="shared" si="8"/>
        <v>不重复</v>
      </c>
    </row>
    <row r="551" spans="1:11" ht="20.25" customHeight="1">
      <c r="A551" s="84" t="s">
        <v>1119</v>
      </c>
      <c r="B551" s="85" t="s">
        <v>1120</v>
      </c>
      <c r="C551" s="85" t="s">
        <v>1121</v>
      </c>
      <c r="D551" s="85" t="s">
        <v>1122</v>
      </c>
      <c r="E551" s="84" t="s">
        <v>45</v>
      </c>
      <c r="F551" s="86">
        <v>273104</v>
      </c>
      <c r="G551" s="86">
        <v>5020000</v>
      </c>
      <c r="H551" s="87"/>
      <c r="I551" s="85" t="s">
        <v>1123</v>
      </c>
      <c r="J551" s="88" t="str">
        <f t="shared" si="8"/>
        <v>重复</v>
      </c>
      <c r="K551" s="88" t="str">
        <f t="shared" si="8"/>
        <v>不重复</v>
      </c>
    </row>
    <row r="552" spans="1:11" ht="20.25" customHeight="1">
      <c r="A552" s="84" t="s">
        <v>6565</v>
      </c>
      <c r="B552" s="85" t="s">
        <v>6566</v>
      </c>
      <c r="C552" s="85" t="s">
        <v>420</v>
      </c>
      <c r="D552" s="85" t="s">
        <v>6567</v>
      </c>
      <c r="E552" s="84" t="s">
        <v>45</v>
      </c>
      <c r="F552" s="86">
        <v>273105</v>
      </c>
      <c r="G552" s="86">
        <v>5020000</v>
      </c>
      <c r="H552" s="87"/>
      <c r="I552" s="85" t="s">
        <v>6376</v>
      </c>
      <c r="J552" s="88" t="str">
        <f t="shared" si="8"/>
        <v>重复</v>
      </c>
      <c r="K552" s="88" t="str">
        <f t="shared" si="8"/>
        <v>不重复</v>
      </c>
    </row>
    <row r="553" spans="1:11" ht="20.25" customHeight="1">
      <c r="A553" s="84" t="s">
        <v>6568</v>
      </c>
      <c r="B553" s="85" t="s">
        <v>6569</v>
      </c>
      <c r="C553" s="85" t="s">
        <v>138</v>
      </c>
      <c r="D553" s="85" t="s">
        <v>6570</v>
      </c>
      <c r="E553" s="84" t="s">
        <v>45</v>
      </c>
      <c r="F553" s="86">
        <v>281000</v>
      </c>
      <c r="G553" s="86">
        <v>5020000</v>
      </c>
      <c r="H553" s="87"/>
      <c r="I553" s="85" t="s">
        <v>25</v>
      </c>
      <c r="J553" s="88" t="str">
        <f t="shared" si="8"/>
        <v>重复</v>
      </c>
      <c r="K553" s="88" t="str">
        <f t="shared" si="8"/>
        <v>不重复</v>
      </c>
    </row>
    <row r="554" spans="1:11" ht="20.25" customHeight="1">
      <c r="A554" s="84" t="s">
        <v>6571</v>
      </c>
      <c r="B554" s="85" t="s">
        <v>1130</v>
      </c>
      <c r="C554" s="85" t="s">
        <v>1131</v>
      </c>
      <c r="D554" s="85" t="s">
        <v>1132</v>
      </c>
      <c r="E554" s="84" t="s">
        <v>45</v>
      </c>
      <c r="F554" s="86">
        <v>281001</v>
      </c>
      <c r="G554" s="86">
        <v>5020000</v>
      </c>
      <c r="H554" s="87"/>
      <c r="I554" s="85" t="s">
        <v>6572</v>
      </c>
      <c r="J554" s="88" t="str">
        <f t="shared" si="8"/>
        <v>重复</v>
      </c>
      <c r="K554" s="88" t="str">
        <f t="shared" si="8"/>
        <v>不重复</v>
      </c>
    </row>
    <row r="555" spans="1:11" ht="20.25" customHeight="1">
      <c r="A555" s="89" t="s">
        <v>6573</v>
      </c>
      <c r="B555" s="90" t="s">
        <v>6574</v>
      </c>
      <c r="C555" s="90" t="s">
        <v>6575</v>
      </c>
      <c r="D555" s="90" t="s">
        <v>6576</v>
      </c>
      <c r="E555" s="89" t="s">
        <v>45</v>
      </c>
      <c r="F555" s="91">
        <v>281002</v>
      </c>
      <c r="G555" s="91">
        <v>5020000</v>
      </c>
      <c r="H555" s="87"/>
      <c r="I555" s="90" t="s">
        <v>25</v>
      </c>
      <c r="J555" s="88" t="str">
        <f t="shared" si="8"/>
        <v>不重复</v>
      </c>
      <c r="K555" s="88" t="str">
        <f t="shared" si="8"/>
        <v>不重复</v>
      </c>
    </row>
    <row r="556" spans="1:11" ht="20.25" customHeight="1">
      <c r="A556" s="89" t="s">
        <v>1124</v>
      </c>
      <c r="B556" s="90" t="s">
        <v>1125</v>
      </c>
      <c r="C556" s="90" t="s">
        <v>1126</v>
      </c>
      <c r="D556" s="90" t="s">
        <v>6577</v>
      </c>
      <c r="E556" s="89" t="s">
        <v>45</v>
      </c>
      <c r="F556" s="91">
        <v>281003</v>
      </c>
      <c r="G556" s="91">
        <v>5020000</v>
      </c>
      <c r="H556" s="87"/>
      <c r="I556" s="90" t="s">
        <v>6578</v>
      </c>
      <c r="J556" s="88" t="str">
        <f t="shared" si="8"/>
        <v>不重复</v>
      </c>
      <c r="K556" s="88" t="str">
        <f t="shared" si="8"/>
        <v>不重复</v>
      </c>
    </row>
    <row r="557" spans="1:11" ht="20.25" customHeight="1">
      <c r="A557" s="89" t="s">
        <v>6579</v>
      </c>
      <c r="B557" s="90" t="s">
        <v>6580</v>
      </c>
      <c r="C557" s="90" t="s">
        <v>3932</v>
      </c>
      <c r="D557" s="90" t="s">
        <v>6581</v>
      </c>
      <c r="E557" s="89" t="s">
        <v>45</v>
      </c>
      <c r="F557" s="91">
        <v>281004</v>
      </c>
      <c r="G557" s="91">
        <v>5020000</v>
      </c>
      <c r="H557" s="87"/>
      <c r="I557" s="90" t="s">
        <v>6582</v>
      </c>
      <c r="J557" s="88" t="str">
        <f t="shared" si="8"/>
        <v>重复</v>
      </c>
      <c r="K557" s="88" t="str">
        <f t="shared" si="8"/>
        <v>不重复</v>
      </c>
    </row>
    <row r="558" spans="1:11" ht="20.25" customHeight="1">
      <c r="A558" s="89" t="s">
        <v>6583</v>
      </c>
      <c r="B558" s="90" t="s">
        <v>1128</v>
      </c>
      <c r="C558" s="90" t="s">
        <v>6584</v>
      </c>
      <c r="D558" s="90" t="s">
        <v>1129</v>
      </c>
      <c r="E558" s="89" t="s">
        <v>45</v>
      </c>
      <c r="F558" s="91">
        <v>281005</v>
      </c>
      <c r="G558" s="91">
        <v>5020000</v>
      </c>
      <c r="H558" s="87"/>
      <c r="I558" s="90" t="s">
        <v>6585</v>
      </c>
      <c r="J558" s="88" t="str">
        <f t="shared" si="8"/>
        <v>不重复</v>
      </c>
      <c r="K558" s="88" t="str">
        <f t="shared" si="8"/>
        <v>不重复</v>
      </c>
    </row>
    <row r="559" spans="1:11" ht="20.25" customHeight="1">
      <c r="A559" s="84" t="s">
        <v>6586</v>
      </c>
      <c r="B559" s="85" t="s">
        <v>6587</v>
      </c>
      <c r="C559" s="85" t="s">
        <v>310</v>
      </c>
      <c r="D559" s="85" t="s">
        <v>6588</v>
      </c>
      <c r="E559" s="84" t="s">
        <v>45</v>
      </c>
      <c r="F559" s="86">
        <v>281006</v>
      </c>
      <c r="G559" s="86">
        <v>5020000</v>
      </c>
      <c r="H559" s="87"/>
      <c r="I559" s="85" t="s">
        <v>25</v>
      </c>
      <c r="J559" s="88" t="str">
        <f t="shared" si="8"/>
        <v>重复</v>
      </c>
      <c r="K559" s="88" t="str">
        <f t="shared" si="8"/>
        <v>不重复</v>
      </c>
    </row>
    <row r="560" spans="1:11" ht="20.25" customHeight="1">
      <c r="A560" s="84" t="s">
        <v>1138</v>
      </c>
      <c r="B560" s="85" t="s">
        <v>1139</v>
      </c>
      <c r="C560" s="85" t="s">
        <v>727</v>
      </c>
      <c r="D560" s="85" t="s">
        <v>1140</v>
      </c>
      <c r="E560" s="84" t="s">
        <v>45</v>
      </c>
      <c r="F560" s="86">
        <v>281007</v>
      </c>
      <c r="G560" s="86">
        <v>5020000</v>
      </c>
      <c r="H560" s="87"/>
      <c r="I560" s="85" t="s">
        <v>6589</v>
      </c>
      <c r="J560" s="88" t="str">
        <f t="shared" si="8"/>
        <v>重复</v>
      </c>
      <c r="K560" s="88" t="str">
        <f t="shared" si="8"/>
        <v>不重复</v>
      </c>
    </row>
    <row r="561" spans="1:11" ht="20.25" customHeight="1">
      <c r="A561" s="84" t="s">
        <v>1141</v>
      </c>
      <c r="B561" s="85" t="s">
        <v>1142</v>
      </c>
      <c r="C561" s="85" t="s">
        <v>1143</v>
      </c>
      <c r="D561" s="85" t="s">
        <v>1144</v>
      </c>
      <c r="E561" s="84" t="s">
        <v>45</v>
      </c>
      <c r="F561" s="86">
        <v>281008</v>
      </c>
      <c r="G561" s="86">
        <v>5020000</v>
      </c>
      <c r="H561" s="87"/>
      <c r="I561" s="85" t="s">
        <v>6590</v>
      </c>
      <c r="J561" s="88" t="str">
        <f t="shared" si="8"/>
        <v>不重复</v>
      </c>
      <c r="K561" s="88" t="str">
        <f t="shared" si="8"/>
        <v>不重复</v>
      </c>
    </row>
    <row r="562" spans="1:11" ht="20.25" customHeight="1">
      <c r="A562" s="89" t="s">
        <v>1133</v>
      </c>
      <c r="B562" s="90" t="s">
        <v>6591</v>
      </c>
      <c r="C562" s="90" t="s">
        <v>1135</v>
      </c>
      <c r="D562" s="90" t="s">
        <v>6592</v>
      </c>
      <c r="E562" s="89" t="s">
        <v>45</v>
      </c>
      <c r="F562" s="91">
        <v>281009</v>
      </c>
      <c r="G562" s="91">
        <v>5020000</v>
      </c>
      <c r="H562" s="87"/>
      <c r="I562" s="90" t="s">
        <v>25</v>
      </c>
      <c r="J562" s="88" t="str">
        <f t="shared" si="8"/>
        <v>重复</v>
      </c>
      <c r="K562" s="88" t="str">
        <f t="shared" si="8"/>
        <v>不重复</v>
      </c>
    </row>
    <row r="563" spans="1:11" ht="20.25" customHeight="1">
      <c r="A563" s="89" t="s">
        <v>1133</v>
      </c>
      <c r="B563" s="90" t="s">
        <v>1134</v>
      </c>
      <c r="C563" s="90" t="s">
        <v>1135</v>
      </c>
      <c r="D563" s="90" t="s">
        <v>1136</v>
      </c>
      <c r="E563" s="89" t="s">
        <v>45</v>
      </c>
      <c r="F563" s="91">
        <v>281010</v>
      </c>
      <c r="G563" s="91">
        <v>5020000</v>
      </c>
      <c r="H563" s="87"/>
      <c r="I563" s="90" t="s">
        <v>6593</v>
      </c>
      <c r="J563" s="88" t="str">
        <f t="shared" si="8"/>
        <v>重复</v>
      </c>
      <c r="K563" s="88" t="str">
        <f t="shared" si="8"/>
        <v>不重复</v>
      </c>
    </row>
    <row r="564" spans="1:11" ht="20.25" customHeight="1">
      <c r="A564" s="89" t="s">
        <v>1145</v>
      </c>
      <c r="B564" s="90" t="s">
        <v>1146</v>
      </c>
      <c r="C564" s="90" t="s">
        <v>1147</v>
      </c>
      <c r="D564" s="90" t="s">
        <v>1148</v>
      </c>
      <c r="E564" s="89" t="s">
        <v>45</v>
      </c>
      <c r="F564" s="91">
        <v>281012</v>
      </c>
      <c r="G564" s="91">
        <v>5020000</v>
      </c>
      <c r="H564" s="87"/>
      <c r="I564" s="90" t="s">
        <v>6594</v>
      </c>
      <c r="J564" s="88" t="str">
        <f t="shared" si="8"/>
        <v>重复</v>
      </c>
      <c r="K564" s="88" t="str">
        <f t="shared" si="8"/>
        <v>不重复</v>
      </c>
    </row>
    <row r="565" spans="1:11" ht="20.25" customHeight="1">
      <c r="A565" s="89" t="s">
        <v>1149</v>
      </c>
      <c r="B565" s="90" t="s">
        <v>1150</v>
      </c>
      <c r="C565" s="90" t="s">
        <v>1151</v>
      </c>
      <c r="D565" s="90" t="s">
        <v>1152</v>
      </c>
      <c r="E565" s="89" t="s">
        <v>45</v>
      </c>
      <c r="F565" s="91">
        <v>281013</v>
      </c>
      <c r="G565" s="91">
        <v>5020000</v>
      </c>
      <c r="H565" s="87"/>
      <c r="I565" s="90" t="s">
        <v>6595</v>
      </c>
      <c r="J565" s="88" t="str">
        <f t="shared" si="8"/>
        <v>不重复</v>
      </c>
      <c r="K565" s="88" t="str">
        <f t="shared" si="8"/>
        <v>不重复</v>
      </c>
    </row>
    <row r="566" spans="1:11" ht="20.25" customHeight="1">
      <c r="A566" s="84" t="s">
        <v>6596</v>
      </c>
      <c r="B566" s="85" t="s">
        <v>6597</v>
      </c>
      <c r="C566" s="85" t="s">
        <v>436</v>
      </c>
      <c r="D566" s="85" t="s">
        <v>6598</v>
      </c>
      <c r="E566" s="84" t="s">
        <v>45</v>
      </c>
      <c r="F566" s="86">
        <v>281014</v>
      </c>
      <c r="G566" s="86">
        <v>5020000</v>
      </c>
      <c r="H566" s="87"/>
      <c r="I566" s="85" t="s">
        <v>25</v>
      </c>
      <c r="J566" s="88" t="str">
        <f t="shared" si="8"/>
        <v>重复</v>
      </c>
      <c r="K566" s="88" t="str">
        <f t="shared" si="8"/>
        <v>不重复</v>
      </c>
    </row>
    <row r="567" spans="1:11" ht="20.25" customHeight="1">
      <c r="A567" s="84" t="s">
        <v>1153</v>
      </c>
      <c r="B567" s="85" t="s">
        <v>6599</v>
      </c>
      <c r="C567" s="85" t="s">
        <v>436</v>
      </c>
      <c r="D567" s="85" t="s">
        <v>6600</v>
      </c>
      <c r="E567" s="84" t="s">
        <v>45</v>
      </c>
      <c r="F567" s="86">
        <v>281015</v>
      </c>
      <c r="G567" s="86">
        <v>5020000</v>
      </c>
      <c r="H567" s="87"/>
      <c r="I567" s="85" t="s">
        <v>6601</v>
      </c>
      <c r="J567" s="88" t="str">
        <f t="shared" si="8"/>
        <v>重复</v>
      </c>
      <c r="K567" s="88" t="str">
        <f t="shared" si="8"/>
        <v>不重复</v>
      </c>
    </row>
    <row r="568" spans="1:11" ht="20.25" customHeight="1">
      <c r="A568" s="84" t="s">
        <v>1153</v>
      </c>
      <c r="B568" s="85" t="s">
        <v>1154</v>
      </c>
      <c r="C568" s="85" t="s">
        <v>436</v>
      </c>
      <c r="D568" s="85" t="s">
        <v>1155</v>
      </c>
      <c r="E568" s="84" t="s">
        <v>45</v>
      </c>
      <c r="F568" s="86">
        <v>281016</v>
      </c>
      <c r="G568" s="86">
        <v>5020000</v>
      </c>
      <c r="H568" s="87"/>
      <c r="I568" s="85" t="s">
        <v>419</v>
      </c>
      <c r="J568" s="88" t="str">
        <f t="shared" si="8"/>
        <v>重复</v>
      </c>
      <c r="K568" s="88" t="str">
        <f t="shared" si="8"/>
        <v>不重复</v>
      </c>
    </row>
    <row r="569" spans="1:11" ht="20.25" customHeight="1">
      <c r="A569" s="89" t="s">
        <v>6602</v>
      </c>
      <c r="B569" s="90" t="s">
        <v>1156</v>
      </c>
      <c r="C569" s="90" t="s">
        <v>1157</v>
      </c>
      <c r="D569" s="90" t="s">
        <v>1158</v>
      </c>
      <c r="E569" s="89" t="s">
        <v>45</v>
      </c>
      <c r="F569" s="91">
        <v>282001</v>
      </c>
      <c r="G569" s="91">
        <v>5020000</v>
      </c>
      <c r="H569" s="87"/>
      <c r="I569" s="90" t="s">
        <v>6603</v>
      </c>
      <c r="J569" s="88" t="str">
        <f t="shared" si="8"/>
        <v>重复</v>
      </c>
      <c r="K569" s="88" t="str">
        <f t="shared" si="8"/>
        <v>不重复</v>
      </c>
    </row>
    <row r="570" spans="1:11" ht="20.25" customHeight="1">
      <c r="A570" s="89" t="s">
        <v>6604</v>
      </c>
      <c r="B570" s="90" t="s">
        <v>6605</v>
      </c>
      <c r="C570" s="90" t="s">
        <v>568</v>
      </c>
      <c r="D570" s="90" t="s">
        <v>6606</v>
      </c>
      <c r="E570" s="89" t="s">
        <v>45</v>
      </c>
      <c r="F570" s="91">
        <v>282002</v>
      </c>
      <c r="G570" s="91">
        <v>5020000</v>
      </c>
      <c r="H570" s="87"/>
      <c r="I570" s="90" t="s">
        <v>25</v>
      </c>
      <c r="J570" s="88" t="str">
        <f t="shared" si="8"/>
        <v>重复</v>
      </c>
      <c r="K570" s="88" t="str">
        <f t="shared" si="8"/>
        <v>不重复</v>
      </c>
    </row>
    <row r="571" spans="1:11" ht="20.25" customHeight="1">
      <c r="A571" s="89" t="s">
        <v>1159</v>
      </c>
      <c r="B571" s="90" t="s">
        <v>1160</v>
      </c>
      <c r="C571" s="90" t="s">
        <v>1161</v>
      </c>
      <c r="D571" s="90" t="s">
        <v>1162</v>
      </c>
      <c r="E571" s="89" t="s">
        <v>45</v>
      </c>
      <c r="F571" s="91">
        <v>282003</v>
      </c>
      <c r="G571" s="91">
        <v>5020000</v>
      </c>
      <c r="H571" s="87"/>
      <c r="I571" s="90" t="s">
        <v>6607</v>
      </c>
      <c r="J571" s="88" t="str">
        <f t="shared" si="8"/>
        <v>重复</v>
      </c>
      <c r="K571" s="88" t="str">
        <f t="shared" si="8"/>
        <v>不重复</v>
      </c>
    </row>
    <row r="572" spans="1:11" ht="20.25" customHeight="1">
      <c r="A572" s="89" t="s">
        <v>1163</v>
      </c>
      <c r="B572" s="90" t="s">
        <v>6608</v>
      </c>
      <c r="C572" s="90" t="s">
        <v>1164</v>
      </c>
      <c r="D572" s="90" t="s">
        <v>1165</v>
      </c>
      <c r="E572" s="89" t="s">
        <v>45</v>
      </c>
      <c r="F572" s="91">
        <v>282004</v>
      </c>
      <c r="G572" s="91">
        <v>5020000</v>
      </c>
      <c r="H572" s="87"/>
      <c r="I572" s="90" t="s">
        <v>5442</v>
      </c>
      <c r="J572" s="88" t="str">
        <f t="shared" si="8"/>
        <v>重复</v>
      </c>
      <c r="K572" s="88" t="str">
        <f t="shared" si="8"/>
        <v>不重复</v>
      </c>
    </row>
    <row r="573" spans="1:11" ht="20.25" customHeight="1">
      <c r="A573" s="89" t="s">
        <v>1166</v>
      </c>
      <c r="B573" s="90" t="s">
        <v>1167</v>
      </c>
      <c r="C573" s="90" t="s">
        <v>1168</v>
      </c>
      <c r="D573" s="90" t="s">
        <v>1169</v>
      </c>
      <c r="E573" s="89" t="s">
        <v>45</v>
      </c>
      <c r="F573" s="91">
        <v>282005</v>
      </c>
      <c r="G573" s="91">
        <v>5020000</v>
      </c>
      <c r="H573" s="87"/>
      <c r="I573" s="90" t="s">
        <v>5397</v>
      </c>
      <c r="J573" s="88" t="str">
        <f t="shared" si="8"/>
        <v>不重复</v>
      </c>
      <c r="K573" s="88" t="str">
        <f t="shared" si="8"/>
        <v>不重复</v>
      </c>
    </row>
    <row r="574" spans="1:11" ht="20.25" customHeight="1">
      <c r="A574" s="89" t="s">
        <v>6609</v>
      </c>
      <c r="B574" s="90" t="s">
        <v>6610</v>
      </c>
      <c r="C574" s="90" t="s">
        <v>6611</v>
      </c>
      <c r="D574" s="90" t="s">
        <v>6612</v>
      </c>
      <c r="E574" s="89" t="s">
        <v>45</v>
      </c>
      <c r="F574" s="91">
        <v>282006</v>
      </c>
      <c r="G574" s="91">
        <v>5020000</v>
      </c>
      <c r="H574" s="87"/>
      <c r="I574" s="90" t="s">
        <v>25</v>
      </c>
      <c r="J574" s="88" t="str">
        <f t="shared" si="8"/>
        <v>重复</v>
      </c>
      <c r="K574" s="88" t="str">
        <f t="shared" si="8"/>
        <v>不重复</v>
      </c>
    </row>
    <row r="575" spans="1:11" ht="20.25" customHeight="1">
      <c r="A575" s="89" t="s">
        <v>6613</v>
      </c>
      <c r="B575" s="90" t="s">
        <v>1170</v>
      </c>
      <c r="C575" s="90" t="s">
        <v>914</v>
      </c>
      <c r="D575" s="90" t="s">
        <v>1171</v>
      </c>
      <c r="E575" s="89" t="s">
        <v>45</v>
      </c>
      <c r="F575" s="91">
        <v>282007</v>
      </c>
      <c r="G575" s="91">
        <v>5020000</v>
      </c>
      <c r="H575" s="87"/>
      <c r="I575" s="90" t="s">
        <v>6614</v>
      </c>
      <c r="J575" s="88" t="str">
        <f t="shared" si="8"/>
        <v>重复</v>
      </c>
      <c r="K575" s="88" t="str">
        <f t="shared" si="8"/>
        <v>不重复</v>
      </c>
    </row>
    <row r="576" spans="1:11" ht="20.25" customHeight="1">
      <c r="A576" s="84" t="s">
        <v>6615</v>
      </c>
      <c r="B576" s="85" t="s">
        <v>6616</v>
      </c>
      <c r="C576" s="85" t="s">
        <v>1444</v>
      </c>
      <c r="D576" s="85" t="s">
        <v>6617</v>
      </c>
      <c r="E576" s="84" t="s">
        <v>45</v>
      </c>
      <c r="F576" s="86">
        <v>282008</v>
      </c>
      <c r="G576" s="86">
        <v>5020000</v>
      </c>
      <c r="H576" s="87"/>
      <c r="I576" s="85" t="s">
        <v>25</v>
      </c>
      <c r="J576" s="88" t="str">
        <f t="shared" si="8"/>
        <v>重复</v>
      </c>
      <c r="K576" s="88" t="str">
        <f t="shared" si="8"/>
        <v>不重复</v>
      </c>
    </row>
    <row r="577" spans="1:11" ht="20.25" customHeight="1">
      <c r="A577" s="84" t="s">
        <v>1172</v>
      </c>
      <c r="B577" s="85" t="s">
        <v>6618</v>
      </c>
      <c r="C577" s="85" t="s">
        <v>1173</v>
      </c>
      <c r="D577" s="85" t="s">
        <v>1174</v>
      </c>
      <c r="E577" s="84" t="s">
        <v>45</v>
      </c>
      <c r="F577" s="86">
        <v>282009</v>
      </c>
      <c r="G577" s="86">
        <v>5020000</v>
      </c>
      <c r="H577" s="87"/>
      <c r="I577" s="85" t="s">
        <v>6619</v>
      </c>
      <c r="J577" s="88" t="str">
        <f t="shared" si="8"/>
        <v>不重复</v>
      </c>
      <c r="K577" s="88" t="str">
        <f t="shared" si="8"/>
        <v>不重复</v>
      </c>
    </row>
    <row r="578" spans="1:11" ht="20.25" customHeight="1">
      <c r="A578" s="84" t="s">
        <v>6620</v>
      </c>
      <c r="B578" s="85" t="s">
        <v>6621</v>
      </c>
      <c r="C578" s="85" t="s">
        <v>6622</v>
      </c>
      <c r="D578" s="85" t="s">
        <v>6623</v>
      </c>
      <c r="E578" s="84" t="s">
        <v>45</v>
      </c>
      <c r="F578" s="86">
        <v>282010</v>
      </c>
      <c r="G578" s="86">
        <v>5020000</v>
      </c>
      <c r="H578" s="87"/>
      <c r="I578" s="85" t="s">
        <v>25</v>
      </c>
      <c r="J578" s="88" t="str">
        <f t="shared" si="8"/>
        <v>不重复</v>
      </c>
      <c r="K578" s="88" t="str">
        <f t="shared" si="8"/>
        <v>不重复</v>
      </c>
    </row>
    <row r="579" spans="1:11" ht="20.25" customHeight="1">
      <c r="A579" s="84" t="s">
        <v>1175</v>
      </c>
      <c r="B579" s="85" t="s">
        <v>1176</v>
      </c>
      <c r="C579" s="85" t="s">
        <v>1177</v>
      </c>
      <c r="D579" s="85" t="s">
        <v>1178</v>
      </c>
      <c r="E579" s="84" t="s">
        <v>45</v>
      </c>
      <c r="F579" s="86">
        <v>282011</v>
      </c>
      <c r="G579" s="86">
        <v>5020000</v>
      </c>
      <c r="H579" s="87"/>
      <c r="I579" s="85" t="s">
        <v>6624</v>
      </c>
      <c r="J579" s="88" t="str">
        <f t="shared" si="9" ref="J579:K642">IF(COUNTIF(C:C,C579)&gt;=2,"重复","不重复")</f>
        <v>不重复</v>
      </c>
      <c r="K579" s="88" t="str">
        <f t="shared" si="9"/>
        <v>不重复</v>
      </c>
    </row>
    <row r="580" spans="1:11" ht="20.25" customHeight="1">
      <c r="A580" s="84" t="s">
        <v>6625</v>
      </c>
      <c r="B580" s="85" t="s">
        <v>6626</v>
      </c>
      <c r="C580" s="85" t="s">
        <v>4191</v>
      </c>
      <c r="D580" s="85" t="s">
        <v>6627</v>
      </c>
      <c r="E580" s="84" t="s">
        <v>45</v>
      </c>
      <c r="F580" s="86">
        <v>283000</v>
      </c>
      <c r="G580" s="86">
        <v>5020000</v>
      </c>
      <c r="H580" s="87"/>
      <c r="I580" s="85" t="s">
        <v>25</v>
      </c>
      <c r="J580" s="88" t="str">
        <f t="shared" si="9"/>
        <v>重复</v>
      </c>
      <c r="K580" s="88" t="str">
        <f t="shared" si="9"/>
        <v>不重复</v>
      </c>
    </row>
    <row r="581" spans="1:11" ht="20.25" customHeight="1">
      <c r="A581" s="84" t="s">
        <v>1183</v>
      </c>
      <c r="B581" s="85" t="s">
        <v>6628</v>
      </c>
      <c r="C581" s="85" t="s">
        <v>1184</v>
      </c>
      <c r="D581" s="85" t="s">
        <v>1185</v>
      </c>
      <c r="E581" s="84" t="s">
        <v>45</v>
      </c>
      <c r="F581" s="86">
        <v>283001</v>
      </c>
      <c r="G581" s="86">
        <v>5020000</v>
      </c>
      <c r="H581" s="87"/>
      <c r="I581" s="85" t="s">
        <v>5429</v>
      </c>
      <c r="J581" s="88" t="str">
        <f t="shared" si="9"/>
        <v>不重复</v>
      </c>
      <c r="K581" s="88" t="str">
        <f t="shared" si="9"/>
        <v>不重复</v>
      </c>
    </row>
    <row r="582" spans="1:11" ht="20.25" customHeight="1">
      <c r="A582" s="89" t="s">
        <v>6629</v>
      </c>
      <c r="B582" s="90" t="s">
        <v>6630</v>
      </c>
      <c r="C582" s="90" t="s">
        <v>1181</v>
      </c>
      <c r="D582" s="90" t="s">
        <v>6631</v>
      </c>
      <c r="E582" s="89" t="s">
        <v>45</v>
      </c>
      <c r="F582" s="91">
        <v>283002</v>
      </c>
      <c r="G582" s="91">
        <v>5020000</v>
      </c>
      <c r="H582" s="87"/>
      <c r="I582" s="90" t="s">
        <v>25</v>
      </c>
      <c r="J582" s="88" t="str">
        <f t="shared" si="9"/>
        <v>重复</v>
      </c>
      <c r="K582" s="88" t="str">
        <f t="shared" si="9"/>
        <v>不重复</v>
      </c>
    </row>
    <row r="583" spans="1:11" ht="20.25" customHeight="1">
      <c r="A583" s="89" t="s">
        <v>1179</v>
      </c>
      <c r="B583" s="90" t="s">
        <v>1180</v>
      </c>
      <c r="C583" s="90" t="s">
        <v>1181</v>
      </c>
      <c r="D583" s="90" t="s">
        <v>1182</v>
      </c>
      <c r="E583" s="89" t="s">
        <v>45</v>
      </c>
      <c r="F583" s="91">
        <v>283003</v>
      </c>
      <c r="G583" s="91">
        <v>5020000</v>
      </c>
      <c r="H583" s="87"/>
      <c r="I583" s="90" t="s">
        <v>6632</v>
      </c>
      <c r="J583" s="88" t="str">
        <f t="shared" si="9"/>
        <v>重复</v>
      </c>
      <c r="K583" s="88" t="str">
        <f t="shared" si="9"/>
        <v>不重复</v>
      </c>
    </row>
    <row r="584" spans="1:11" ht="20.25" customHeight="1">
      <c r="A584" s="84" t="s">
        <v>6633</v>
      </c>
      <c r="B584" s="85" t="s">
        <v>6634</v>
      </c>
      <c r="C584" s="85" t="s">
        <v>720</v>
      </c>
      <c r="D584" s="85" t="s">
        <v>6635</v>
      </c>
      <c r="E584" s="84" t="s">
        <v>45</v>
      </c>
      <c r="F584" s="86">
        <v>283004</v>
      </c>
      <c r="G584" s="86">
        <v>5020000</v>
      </c>
      <c r="H584" s="87"/>
      <c r="I584" s="85" t="s">
        <v>25</v>
      </c>
      <c r="J584" s="88" t="str">
        <f t="shared" si="9"/>
        <v>重复</v>
      </c>
      <c r="K584" s="88" t="str">
        <f t="shared" si="9"/>
        <v>不重复</v>
      </c>
    </row>
    <row r="585" spans="1:11" ht="20.25" customHeight="1">
      <c r="A585" s="84" t="s">
        <v>1186</v>
      </c>
      <c r="B585" s="85" t="s">
        <v>6636</v>
      </c>
      <c r="C585" s="85" t="s">
        <v>281</v>
      </c>
      <c r="D585" s="85" t="s">
        <v>1187</v>
      </c>
      <c r="E585" s="84" t="s">
        <v>45</v>
      </c>
      <c r="F585" s="86">
        <v>283005</v>
      </c>
      <c r="G585" s="86">
        <v>5020000</v>
      </c>
      <c r="H585" s="87"/>
      <c r="I585" s="85" t="s">
        <v>6637</v>
      </c>
      <c r="J585" s="88" t="str">
        <f t="shared" si="9"/>
        <v>重复</v>
      </c>
      <c r="K585" s="88" t="str">
        <f t="shared" si="9"/>
        <v>不重复</v>
      </c>
    </row>
    <row r="586" spans="1:11" ht="20.25" customHeight="1">
      <c r="A586" s="89" t="s">
        <v>1203</v>
      </c>
      <c r="B586" s="90" t="s">
        <v>1204</v>
      </c>
      <c r="C586" s="90" t="s">
        <v>882</v>
      </c>
      <c r="D586" s="90" t="s">
        <v>1205</v>
      </c>
      <c r="E586" s="89" t="s">
        <v>45</v>
      </c>
      <c r="F586" s="91">
        <v>283006</v>
      </c>
      <c r="G586" s="91">
        <v>5020000</v>
      </c>
      <c r="H586" s="87"/>
      <c r="I586" s="90" t="s">
        <v>25</v>
      </c>
      <c r="J586" s="88" t="str">
        <f t="shared" si="9"/>
        <v>重复</v>
      </c>
      <c r="K586" s="88" t="str">
        <f t="shared" si="9"/>
        <v>不重复</v>
      </c>
    </row>
    <row r="587" spans="1:11" ht="20.25" customHeight="1">
      <c r="A587" s="89" t="s">
        <v>1192</v>
      </c>
      <c r="B587" s="90" t="s">
        <v>1193</v>
      </c>
      <c r="C587" s="90" t="s">
        <v>1194</v>
      </c>
      <c r="D587" s="90" t="s">
        <v>1195</v>
      </c>
      <c r="E587" s="89" t="s">
        <v>45</v>
      </c>
      <c r="F587" s="91">
        <v>283007</v>
      </c>
      <c r="G587" s="91">
        <v>5020000</v>
      </c>
      <c r="H587" s="87"/>
      <c r="I587" s="90" t="s">
        <v>6008</v>
      </c>
      <c r="J587" s="88" t="str">
        <f t="shared" si="9"/>
        <v>重复</v>
      </c>
      <c r="K587" s="88" t="str">
        <f t="shared" si="9"/>
        <v>不重复</v>
      </c>
    </row>
    <row r="588" spans="1:11" ht="20.25" customHeight="1">
      <c r="A588" s="89" t="s">
        <v>1196</v>
      </c>
      <c r="B588" s="90" t="s">
        <v>1197</v>
      </c>
      <c r="C588" s="90" t="s">
        <v>1198</v>
      </c>
      <c r="D588" s="90" t="s">
        <v>1199</v>
      </c>
      <c r="E588" s="89" t="s">
        <v>45</v>
      </c>
      <c r="F588" s="91">
        <v>283008</v>
      </c>
      <c r="G588" s="91">
        <v>5020000</v>
      </c>
      <c r="H588" s="87"/>
      <c r="I588" s="90" t="s">
        <v>5373</v>
      </c>
      <c r="J588" s="88" t="str">
        <f t="shared" si="9"/>
        <v>重复</v>
      </c>
      <c r="K588" s="88" t="str">
        <f t="shared" si="9"/>
        <v>不重复</v>
      </c>
    </row>
    <row r="589" spans="1:11" ht="20.25" customHeight="1">
      <c r="A589" s="89" t="s">
        <v>1188</v>
      </c>
      <c r="B589" s="90" t="s">
        <v>1189</v>
      </c>
      <c r="C589" s="90" t="s">
        <v>1190</v>
      </c>
      <c r="D589" s="90" t="s">
        <v>1191</v>
      </c>
      <c r="E589" s="89" t="s">
        <v>45</v>
      </c>
      <c r="F589" s="91">
        <v>283009</v>
      </c>
      <c r="G589" s="91">
        <v>5020000</v>
      </c>
      <c r="H589" s="87"/>
      <c r="I589" s="90" t="s">
        <v>6638</v>
      </c>
      <c r="J589" s="88" t="str">
        <f t="shared" si="9"/>
        <v>重复</v>
      </c>
      <c r="K589" s="88" t="str">
        <f t="shared" si="9"/>
        <v>不重复</v>
      </c>
    </row>
    <row r="590" spans="1:11" ht="20.25" customHeight="1">
      <c r="A590" s="89" t="s">
        <v>1200</v>
      </c>
      <c r="B590" s="90" t="s">
        <v>1201</v>
      </c>
      <c r="C590" s="90" t="s">
        <v>1198</v>
      </c>
      <c r="D590" s="90" t="s">
        <v>1202</v>
      </c>
      <c r="E590" s="89" t="s">
        <v>45</v>
      </c>
      <c r="F590" s="91">
        <v>283010</v>
      </c>
      <c r="G590" s="91">
        <v>5020000</v>
      </c>
      <c r="H590" s="87"/>
      <c r="I590" s="90" t="s">
        <v>6639</v>
      </c>
      <c r="J590" s="88" t="str">
        <f t="shared" si="9"/>
        <v>重复</v>
      </c>
      <c r="K590" s="88" t="str">
        <f t="shared" si="9"/>
        <v>不重复</v>
      </c>
    </row>
    <row r="591" spans="1:11" ht="20.25" customHeight="1">
      <c r="A591" s="89" t="s">
        <v>6640</v>
      </c>
      <c r="B591" s="90" t="s">
        <v>6641</v>
      </c>
      <c r="C591" s="90" t="s">
        <v>1208</v>
      </c>
      <c r="D591" s="90" t="s">
        <v>6642</v>
      </c>
      <c r="E591" s="89" t="s">
        <v>45</v>
      </c>
      <c r="F591" s="91">
        <v>283011</v>
      </c>
      <c r="G591" s="91">
        <v>5020000</v>
      </c>
      <c r="H591" s="87"/>
      <c r="I591" s="90" t="s">
        <v>25</v>
      </c>
      <c r="J591" s="88" t="str">
        <f t="shared" si="9"/>
        <v>重复</v>
      </c>
      <c r="K591" s="88" t="str">
        <f t="shared" si="9"/>
        <v>不重复</v>
      </c>
    </row>
    <row r="592" spans="1:11" ht="20.25" customHeight="1">
      <c r="A592" s="89" t="s">
        <v>1206</v>
      </c>
      <c r="B592" s="90" t="s">
        <v>1207</v>
      </c>
      <c r="C592" s="90" t="s">
        <v>1208</v>
      </c>
      <c r="D592" s="90" t="s">
        <v>1209</v>
      </c>
      <c r="E592" s="89" t="s">
        <v>45</v>
      </c>
      <c r="F592" s="91">
        <v>283012</v>
      </c>
      <c r="G592" s="91">
        <v>5020000</v>
      </c>
      <c r="H592" s="87"/>
      <c r="I592" s="90" t="s">
        <v>6008</v>
      </c>
      <c r="J592" s="88" t="str">
        <f t="shared" si="9"/>
        <v>重复</v>
      </c>
      <c r="K592" s="88" t="str">
        <f t="shared" si="9"/>
        <v>不重复</v>
      </c>
    </row>
    <row r="593" spans="1:11" ht="20.25" customHeight="1">
      <c r="A593" s="84" t="s">
        <v>6643</v>
      </c>
      <c r="B593" s="85" t="s">
        <v>6644</v>
      </c>
      <c r="C593" s="85" t="s">
        <v>6645</v>
      </c>
      <c r="D593" s="85" t="s">
        <v>6646</v>
      </c>
      <c r="E593" s="84" t="s">
        <v>45</v>
      </c>
      <c r="F593" s="86">
        <v>284000</v>
      </c>
      <c r="G593" s="86">
        <v>5020000</v>
      </c>
      <c r="H593" s="87"/>
      <c r="I593" s="85" t="s">
        <v>25</v>
      </c>
      <c r="J593" s="88" t="str">
        <f t="shared" si="9"/>
        <v>不重复</v>
      </c>
      <c r="K593" s="88" t="str">
        <f t="shared" si="9"/>
        <v>不重复</v>
      </c>
    </row>
    <row r="594" spans="1:11" ht="20.25" customHeight="1">
      <c r="A594" s="84" t="s">
        <v>1217</v>
      </c>
      <c r="B594" s="85" t="s">
        <v>1218</v>
      </c>
      <c r="C594" s="85" t="s">
        <v>1219</v>
      </c>
      <c r="D594" s="85" t="s">
        <v>1220</v>
      </c>
      <c r="E594" s="84" t="s">
        <v>45</v>
      </c>
      <c r="F594" s="86">
        <v>284001</v>
      </c>
      <c r="G594" s="86">
        <v>5020000</v>
      </c>
      <c r="H594" s="87"/>
      <c r="I594" s="85" t="s">
        <v>6647</v>
      </c>
      <c r="J594" s="88" t="str">
        <f t="shared" si="9"/>
        <v>不重复</v>
      </c>
      <c r="K594" s="88" t="str">
        <f t="shared" si="9"/>
        <v>不重复</v>
      </c>
    </row>
    <row r="595" spans="1:11" ht="20.25" customHeight="1">
      <c r="A595" s="84" t="s">
        <v>1213</v>
      </c>
      <c r="B595" s="85" t="s">
        <v>1214</v>
      </c>
      <c r="C595" s="85" t="s">
        <v>1215</v>
      </c>
      <c r="D595" s="85" t="s">
        <v>1216</v>
      </c>
      <c r="E595" s="84" t="s">
        <v>45</v>
      </c>
      <c r="F595" s="86">
        <v>284002</v>
      </c>
      <c r="G595" s="86">
        <v>5020000</v>
      </c>
      <c r="H595" s="87"/>
      <c r="I595" s="85" t="s">
        <v>6648</v>
      </c>
      <c r="J595" s="88" t="str">
        <f t="shared" si="9"/>
        <v>不重复</v>
      </c>
      <c r="K595" s="88" t="str">
        <f t="shared" si="9"/>
        <v>不重复</v>
      </c>
    </row>
    <row r="596" spans="1:11" ht="20.25" customHeight="1">
      <c r="A596" s="89" t="s">
        <v>6649</v>
      </c>
      <c r="B596" s="90" t="s">
        <v>6650</v>
      </c>
      <c r="C596" s="90" t="s">
        <v>49</v>
      </c>
      <c r="D596" s="90" t="s">
        <v>6651</v>
      </c>
      <c r="E596" s="89" t="s">
        <v>45</v>
      </c>
      <c r="F596" s="91">
        <v>284003</v>
      </c>
      <c r="G596" s="91">
        <v>5020000</v>
      </c>
      <c r="H596" s="87"/>
      <c r="I596" s="90" t="s">
        <v>25</v>
      </c>
      <c r="J596" s="88" t="str">
        <f t="shared" si="9"/>
        <v>重复</v>
      </c>
      <c r="K596" s="88" t="str">
        <f t="shared" si="9"/>
        <v>不重复</v>
      </c>
    </row>
    <row r="597" spans="1:11" ht="20.25" customHeight="1">
      <c r="A597" s="89" t="s">
        <v>1210</v>
      </c>
      <c r="B597" s="90" t="s">
        <v>1211</v>
      </c>
      <c r="C597" s="90" t="s">
        <v>49</v>
      </c>
      <c r="D597" s="90" t="s">
        <v>1212</v>
      </c>
      <c r="E597" s="89" t="s">
        <v>45</v>
      </c>
      <c r="F597" s="91">
        <v>284004</v>
      </c>
      <c r="G597" s="91">
        <v>5020000</v>
      </c>
      <c r="H597" s="87"/>
      <c r="I597" s="90" t="s">
        <v>6652</v>
      </c>
      <c r="J597" s="88" t="str">
        <f t="shared" si="9"/>
        <v>重复</v>
      </c>
      <c r="K597" s="88" t="str">
        <f t="shared" si="9"/>
        <v>不重复</v>
      </c>
    </row>
    <row r="598" spans="1:11" ht="20.25" customHeight="1">
      <c r="A598" s="89" t="s">
        <v>6653</v>
      </c>
      <c r="B598" s="90" t="s">
        <v>6654</v>
      </c>
      <c r="C598" s="90" t="s">
        <v>882</v>
      </c>
      <c r="D598" s="90" t="s">
        <v>6655</v>
      </c>
      <c r="E598" s="89" t="s">
        <v>45</v>
      </c>
      <c r="F598" s="91">
        <v>284005</v>
      </c>
      <c r="G598" s="91">
        <v>5020000</v>
      </c>
      <c r="H598" s="87"/>
      <c r="I598" s="90" t="s">
        <v>25</v>
      </c>
      <c r="J598" s="88" t="str">
        <f t="shared" si="9"/>
        <v>重复</v>
      </c>
      <c r="K598" s="88" t="str">
        <f t="shared" si="9"/>
        <v>不重复</v>
      </c>
    </row>
    <row r="599" spans="1:11" ht="20.25" customHeight="1">
      <c r="A599" s="89" t="s">
        <v>1225</v>
      </c>
      <c r="B599" s="90" t="s">
        <v>1226</v>
      </c>
      <c r="C599" s="90" t="s">
        <v>650</v>
      </c>
      <c r="D599" s="90" t="s">
        <v>1227</v>
      </c>
      <c r="E599" s="89" t="s">
        <v>45</v>
      </c>
      <c r="F599" s="91">
        <v>284006</v>
      </c>
      <c r="G599" s="91">
        <v>5020000</v>
      </c>
      <c r="H599" s="87"/>
      <c r="I599" s="90" t="s">
        <v>6656</v>
      </c>
      <c r="J599" s="88" t="str">
        <f t="shared" si="9"/>
        <v>重复</v>
      </c>
      <c r="K599" s="88" t="str">
        <f t="shared" si="9"/>
        <v>不重复</v>
      </c>
    </row>
    <row r="600" spans="1:11" ht="20.25" customHeight="1">
      <c r="A600" s="89" t="s">
        <v>1221</v>
      </c>
      <c r="B600" s="90" t="s">
        <v>1222</v>
      </c>
      <c r="C600" s="90" t="s">
        <v>1223</v>
      </c>
      <c r="D600" s="90" t="s">
        <v>1224</v>
      </c>
      <c r="E600" s="89" t="s">
        <v>45</v>
      </c>
      <c r="F600" s="91">
        <v>284007</v>
      </c>
      <c r="G600" s="91">
        <v>5020000</v>
      </c>
      <c r="H600" s="87"/>
      <c r="I600" s="90" t="s">
        <v>6657</v>
      </c>
      <c r="J600" s="88" t="str">
        <f t="shared" si="9"/>
        <v>不重复</v>
      </c>
      <c r="K600" s="88" t="str">
        <f t="shared" si="9"/>
        <v>不重复</v>
      </c>
    </row>
    <row r="601" spans="1:11" ht="20.25" customHeight="1">
      <c r="A601" s="84" t="s">
        <v>6658</v>
      </c>
      <c r="B601" s="85" t="s">
        <v>6659</v>
      </c>
      <c r="C601" s="85" t="s">
        <v>3365</v>
      </c>
      <c r="D601" s="85" t="s">
        <v>6660</v>
      </c>
      <c r="E601" s="84" t="s">
        <v>45</v>
      </c>
      <c r="F601" s="86">
        <v>284008</v>
      </c>
      <c r="G601" s="86">
        <v>5020000</v>
      </c>
      <c r="H601" s="87"/>
      <c r="I601" s="85" t="s">
        <v>25</v>
      </c>
      <c r="J601" s="88" t="str">
        <f t="shared" si="9"/>
        <v>重复</v>
      </c>
      <c r="K601" s="88" t="str">
        <f t="shared" si="9"/>
        <v>不重复</v>
      </c>
    </row>
    <row r="602" spans="1:11" ht="20.25" customHeight="1">
      <c r="A602" s="84" t="s">
        <v>1228</v>
      </c>
      <c r="B602" s="85" t="s">
        <v>1229</v>
      </c>
      <c r="C602" s="85" t="s">
        <v>1230</v>
      </c>
      <c r="D602" s="85" t="s">
        <v>1231</v>
      </c>
      <c r="E602" s="84" t="s">
        <v>45</v>
      </c>
      <c r="F602" s="86">
        <v>284009</v>
      </c>
      <c r="G602" s="86">
        <v>5020000</v>
      </c>
      <c r="H602" s="87"/>
      <c r="I602" s="85" t="s">
        <v>6614</v>
      </c>
      <c r="J602" s="88" t="str">
        <f t="shared" si="9"/>
        <v>重复</v>
      </c>
      <c r="K602" s="88" t="str">
        <f t="shared" si="9"/>
        <v>不重复</v>
      </c>
    </row>
    <row r="603" spans="1:11" ht="20.25" customHeight="1">
      <c r="A603" s="89" t="s">
        <v>1232</v>
      </c>
      <c r="B603" s="90" t="s">
        <v>1233</v>
      </c>
      <c r="C603" s="90" t="s">
        <v>1230</v>
      </c>
      <c r="D603" s="90" t="s">
        <v>1234</v>
      </c>
      <c r="E603" s="89" t="s">
        <v>45</v>
      </c>
      <c r="F603" s="91">
        <v>284011</v>
      </c>
      <c r="G603" s="91">
        <v>5020000</v>
      </c>
      <c r="H603" s="87"/>
      <c r="I603" s="90" t="s">
        <v>6661</v>
      </c>
      <c r="J603" s="88" t="str">
        <f t="shared" si="9"/>
        <v>重复</v>
      </c>
      <c r="K603" s="88" t="str">
        <f t="shared" si="9"/>
        <v>不重复</v>
      </c>
    </row>
    <row r="604" spans="1:11" ht="20.25" customHeight="1">
      <c r="A604" s="89" t="s">
        <v>1235</v>
      </c>
      <c r="B604" s="90" t="s">
        <v>1236</v>
      </c>
      <c r="C604" s="90" t="s">
        <v>843</v>
      </c>
      <c r="D604" s="90" t="s">
        <v>1237</v>
      </c>
      <c r="E604" s="89" t="s">
        <v>45</v>
      </c>
      <c r="F604" s="91">
        <v>284012</v>
      </c>
      <c r="G604" s="91">
        <v>5020000</v>
      </c>
      <c r="H604" s="87"/>
      <c r="I604" s="90" t="s">
        <v>6662</v>
      </c>
      <c r="J604" s="88" t="str">
        <f t="shared" si="9"/>
        <v>重复</v>
      </c>
      <c r="K604" s="88" t="str">
        <f t="shared" si="9"/>
        <v>不重复</v>
      </c>
    </row>
    <row r="605" spans="1:11" ht="20.25" customHeight="1">
      <c r="A605" s="89" t="s">
        <v>6663</v>
      </c>
      <c r="B605" s="90" t="s">
        <v>6664</v>
      </c>
      <c r="C605" s="90" t="s">
        <v>1240</v>
      </c>
      <c r="D605" s="90" t="s">
        <v>6665</v>
      </c>
      <c r="E605" s="89" t="s">
        <v>45</v>
      </c>
      <c r="F605" s="91">
        <v>284013</v>
      </c>
      <c r="G605" s="91">
        <v>5020000</v>
      </c>
      <c r="H605" s="87"/>
      <c r="I605" s="90" t="s">
        <v>25</v>
      </c>
      <c r="J605" s="88" t="str">
        <f t="shared" si="9"/>
        <v>重复</v>
      </c>
      <c r="K605" s="88" t="str">
        <f t="shared" si="9"/>
        <v>不重复</v>
      </c>
    </row>
    <row r="606" spans="1:11" ht="20.25" customHeight="1">
      <c r="A606" s="89" t="s">
        <v>1238</v>
      </c>
      <c r="B606" s="90" t="s">
        <v>1239</v>
      </c>
      <c r="C606" s="90" t="s">
        <v>1240</v>
      </c>
      <c r="D606" s="90" t="s">
        <v>1241</v>
      </c>
      <c r="E606" s="89" t="s">
        <v>45</v>
      </c>
      <c r="F606" s="91">
        <v>284014</v>
      </c>
      <c r="G606" s="91">
        <v>5020000</v>
      </c>
      <c r="H606" s="87"/>
      <c r="I606" s="90" t="s">
        <v>6072</v>
      </c>
      <c r="J606" s="88" t="str">
        <f t="shared" si="9"/>
        <v>重复</v>
      </c>
      <c r="K606" s="88" t="str">
        <f t="shared" si="9"/>
        <v>不重复</v>
      </c>
    </row>
    <row r="607" spans="1:11" ht="20.25" customHeight="1">
      <c r="A607" s="89" t="s">
        <v>6666</v>
      </c>
      <c r="B607" s="90" t="s">
        <v>6667</v>
      </c>
      <c r="C607" s="90" t="s">
        <v>1244</v>
      </c>
      <c r="D607" s="90" t="s">
        <v>6668</v>
      </c>
      <c r="E607" s="89" t="s">
        <v>45</v>
      </c>
      <c r="F607" s="91">
        <v>284015</v>
      </c>
      <c r="G607" s="91">
        <v>5020000</v>
      </c>
      <c r="H607" s="87"/>
      <c r="I607" s="90" t="s">
        <v>25</v>
      </c>
      <c r="J607" s="88" t="str">
        <f t="shared" si="9"/>
        <v>重复</v>
      </c>
      <c r="K607" s="88" t="str">
        <f t="shared" si="9"/>
        <v>不重复</v>
      </c>
    </row>
    <row r="608" spans="1:11" ht="20.25" customHeight="1">
      <c r="A608" s="89" t="s">
        <v>1242</v>
      </c>
      <c r="B608" s="90" t="s">
        <v>1243</v>
      </c>
      <c r="C608" s="90" t="s">
        <v>1244</v>
      </c>
      <c r="D608" s="90" t="s">
        <v>1245</v>
      </c>
      <c r="E608" s="89" t="s">
        <v>45</v>
      </c>
      <c r="F608" s="91">
        <v>284016</v>
      </c>
      <c r="G608" s="91">
        <v>5020000</v>
      </c>
      <c r="H608" s="87"/>
      <c r="I608" s="90" t="s">
        <v>6669</v>
      </c>
      <c r="J608" s="88" t="str">
        <f t="shared" si="9"/>
        <v>重复</v>
      </c>
      <c r="K608" s="88" t="str">
        <f t="shared" si="9"/>
        <v>不重复</v>
      </c>
    </row>
    <row r="609" spans="1:11" ht="20.25" customHeight="1">
      <c r="A609" s="84" t="s">
        <v>6670</v>
      </c>
      <c r="B609" s="85" t="s">
        <v>6671</v>
      </c>
      <c r="C609" s="85" t="s">
        <v>1248</v>
      </c>
      <c r="D609" s="85" t="s">
        <v>6672</v>
      </c>
      <c r="E609" s="84" t="s">
        <v>45</v>
      </c>
      <c r="F609" s="86">
        <v>284017</v>
      </c>
      <c r="G609" s="86">
        <v>5020000</v>
      </c>
      <c r="H609" s="87"/>
      <c r="I609" s="85" t="s">
        <v>25</v>
      </c>
      <c r="J609" s="88" t="str">
        <f t="shared" si="9"/>
        <v>重复</v>
      </c>
      <c r="K609" s="88" t="str">
        <f t="shared" si="9"/>
        <v>不重复</v>
      </c>
    </row>
    <row r="610" spans="1:11" ht="20.25" customHeight="1">
      <c r="A610" s="84" t="s">
        <v>1246</v>
      </c>
      <c r="B610" s="85" t="s">
        <v>1247</v>
      </c>
      <c r="C610" s="85" t="s">
        <v>1248</v>
      </c>
      <c r="D610" s="85" t="s">
        <v>1249</v>
      </c>
      <c r="E610" s="84" t="s">
        <v>45</v>
      </c>
      <c r="F610" s="86">
        <v>284018</v>
      </c>
      <c r="G610" s="86">
        <v>5020000</v>
      </c>
      <c r="H610" s="87"/>
      <c r="I610" s="85" t="s">
        <v>6638</v>
      </c>
      <c r="J610" s="88" t="str">
        <f t="shared" si="9"/>
        <v>重复</v>
      </c>
      <c r="K610" s="88" t="str">
        <f t="shared" si="9"/>
        <v>不重复</v>
      </c>
    </row>
    <row r="611" spans="1:11" ht="20.25" customHeight="1">
      <c r="A611" s="84" t="s">
        <v>1250</v>
      </c>
      <c r="B611" s="85" t="s">
        <v>1251</v>
      </c>
      <c r="C611" s="85" t="s">
        <v>1252</v>
      </c>
      <c r="D611" s="85" t="s">
        <v>1253</v>
      </c>
      <c r="E611" s="84" t="s">
        <v>45</v>
      </c>
      <c r="F611" s="86">
        <v>284019</v>
      </c>
      <c r="G611" s="86">
        <v>5020000</v>
      </c>
      <c r="H611" s="87"/>
      <c r="I611" s="85" t="s">
        <v>6673</v>
      </c>
      <c r="J611" s="88" t="str">
        <f t="shared" si="9"/>
        <v>不重复</v>
      </c>
      <c r="K611" s="88" t="str">
        <f t="shared" si="9"/>
        <v>不重复</v>
      </c>
    </row>
    <row r="612" spans="1:11" ht="20.25" customHeight="1">
      <c r="A612" s="84" t="s">
        <v>1254</v>
      </c>
      <c r="B612" s="85" t="s">
        <v>1255</v>
      </c>
      <c r="C612" s="85" t="s">
        <v>1256</v>
      </c>
      <c r="D612" s="85" t="s">
        <v>1257</v>
      </c>
      <c r="E612" s="84" t="s">
        <v>45</v>
      </c>
      <c r="F612" s="86">
        <v>284020</v>
      </c>
      <c r="G612" s="86">
        <v>5020000</v>
      </c>
      <c r="H612" s="87"/>
      <c r="I612" s="85" t="s">
        <v>6603</v>
      </c>
      <c r="J612" s="88" t="str">
        <f t="shared" si="9"/>
        <v>不重复</v>
      </c>
      <c r="K612" s="88" t="str">
        <f t="shared" si="9"/>
        <v>不重复</v>
      </c>
    </row>
    <row r="613" spans="1:11" ht="20.25" customHeight="1">
      <c r="A613" s="84" t="s">
        <v>6674</v>
      </c>
      <c r="B613" s="85" t="s">
        <v>6675</v>
      </c>
      <c r="C613" s="85" t="s">
        <v>6676</v>
      </c>
      <c r="D613" s="85" t="s">
        <v>6677</v>
      </c>
      <c r="E613" s="84" t="s">
        <v>45</v>
      </c>
      <c r="F613" s="86">
        <v>284021</v>
      </c>
      <c r="G613" s="86">
        <v>5020000</v>
      </c>
      <c r="H613" s="87"/>
      <c r="I613" s="85" t="s">
        <v>25</v>
      </c>
      <c r="J613" s="88" t="str">
        <f t="shared" si="9"/>
        <v>不重复</v>
      </c>
      <c r="K613" s="88" t="str">
        <f t="shared" si="9"/>
        <v>不重复</v>
      </c>
    </row>
    <row r="614" spans="1:11" ht="20.25" customHeight="1">
      <c r="A614" s="84" t="s">
        <v>1258</v>
      </c>
      <c r="B614" s="85" t="s">
        <v>1259</v>
      </c>
      <c r="C614" s="85" t="s">
        <v>1260</v>
      </c>
      <c r="D614" s="85" t="s">
        <v>1261</v>
      </c>
      <c r="E614" s="84" t="s">
        <v>45</v>
      </c>
      <c r="F614" s="86">
        <v>284022</v>
      </c>
      <c r="G614" s="86">
        <v>5020000</v>
      </c>
      <c r="H614" s="87"/>
      <c r="I614" s="85" t="s">
        <v>6678</v>
      </c>
      <c r="J614" s="88" t="str">
        <f t="shared" si="9"/>
        <v>不重复</v>
      </c>
      <c r="K614" s="88" t="str">
        <f t="shared" si="9"/>
        <v>不重复</v>
      </c>
    </row>
    <row r="615" spans="1:11" ht="20.25" customHeight="1">
      <c r="A615" s="89" t="s">
        <v>6679</v>
      </c>
      <c r="B615" s="90" t="s">
        <v>6680</v>
      </c>
      <c r="C615" s="90" t="s">
        <v>6681</v>
      </c>
      <c r="D615" s="90" t="s">
        <v>1118</v>
      </c>
      <c r="E615" s="89" t="s">
        <v>45</v>
      </c>
      <c r="F615" s="91">
        <v>284023</v>
      </c>
      <c r="G615" s="91">
        <v>5020000</v>
      </c>
      <c r="H615" s="87"/>
      <c r="I615" s="90" t="s">
        <v>25</v>
      </c>
      <c r="J615" s="88" t="str">
        <f t="shared" si="9"/>
        <v>不重复</v>
      </c>
      <c r="K615" s="88" t="str">
        <f t="shared" si="9"/>
        <v>不重复</v>
      </c>
    </row>
    <row r="616" spans="1:11" ht="20.25" customHeight="1">
      <c r="A616" s="89" t="s">
        <v>6682</v>
      </c>
      <c r="B616" s="90" t="s">
        <v>6683</v>
      </c>
      <c r="C616" s="90" t="s">
        <v>6684</v>
      </c>
      <c r="D616" s="90" t="s">
        <v>6685</v>
      </c>
      <c r="E616" s="89" t="s">
        <v>45</v>
      </c>
      <c r="F616" s="91">
        <v>284025</v>
      </c>
      <c r="G616" s="91">
        <v>5020000</v>
      </c>
      <c r="H616" s="87"/>
      <c r="I616" s="90" t="s">
        <v>25</v>
      </c>
      <c r="J616" s="88" t="str">
        <f t="shared" si="9"/>
        <v>不重复</v>
      </c>
      <c r="K616" s="88" t="str">
        <f t="shared" si="9"/>
        <v>不重复</v>
      </c>
    </row>
    <row r="617" spans="1:11" ht="20.25" customHeight="1">
      <c r="A617" s="84" t="s">
        <v>6686</v>
      </c>
      <c r="B617" s="85" t="s">
        <v>6687</v>
      </c>
      <c r="C617" s="85" t="s">
        <v>288</v>
      </c>
      <c r="D617" s="85" t="s">
        <v>6688</v>
      </c>
      <c r="E617" s="84" t="s">
        <v>45</v>
      </c>
      <c r="F617" s="86">
        <v>284026</v>
      </c>
      <c r="G617" s="86">
        <v>5020000</v>
      </c>
      <c r="H617" s="87"/>
      <c r="I617" s="85" t="s">
        <v>25</v>
      </c>
      <c r="J617" s="88" t="str">
        <f t="shared" si="9"/>
        <v>重复</v>
      </c>
      <c r="K617" s="88" t="str">
        <f t="shared" si="9"/>
        <v>不重复</v>
      </c>
    </row>
    <row r="618" spans="1:11" ht="20.25" customHeight="1">
      <c r="A618" s="84" t="s">
        <v>6372</v>
      </c>
      <c r="B618" s="85" t="s">
        <v>6689</v>
      </c>
      <c r="C618" s="85" t="s">
        <v>1017</v>
      </c>
      <c r="D618" s="85" t="s">
        <v>6690</v>
      </c>
      <c r="E618" s="84" t="s">
        <v>45</v>
      </c>
      <c r="F618" s="86">
        <v>284027</v>
      </c>
      <c r="G618" s="86">
        <v>5020000</v>
      </c>
      <c r="H618" s="87"/>
      <c r="I618" s="85" t="s">
        <v>25</v>
      </c>
      <c r="J618" s="88" t="str">
        <f t="shared" si="9"/>
        <v>重复</v>
      </c>
      <c r="K618" s="88" t="str">
        <f t="shared" si="9"/>
        <v>不重复</v>
      </c>
    </row>
    <row r="619" spans="1:11" ht="20.25" customHeight="1">
      <c r="A619" s="90" t="s">
        <v>6691</v>
      </c>
      <c r="B619" s="90" t="s">
        <v>6691</v>
      </c>
      <c r="C619" s="90" t="s">
        <v>6692</v>
      </c>
      <c r="D619" s="90" t="s">
        <v>6692</v>
      </c>
      <c r="E619" s="89" t="s">
        <v>45</v>
      </c>
      <c r="F619" s="91">
        <v>284028</v>
      </c>
      <c r="G619" s="91">
        <v>5020000</v>
      </c>
      <c r="H619" s="87"/>
      <c r="I619" s="90" t="s">
        <v>25</v>
      </c>
      <c r="J619" s="88" t="str">
        <f t="shared" si="9"/>
        <v>不重复</v>
      </c>
      <c r="K619" s="88" t="str">
        <f t="shared" si="9"/>
        <v>不重复</v>
      </c>
    </row>
    <row r="620" spans="1:11" ht="20.25" customHeight="1">
      <c r="A620" s="89" t="s">
        <v>6693</v>
      </c>
      <c r="B620" s="90" t="s">
        <v>6694</v>
      </c>
      <c r="C620" s="90" t="s">
        <v>60</v>
      </c>
      <c r="D620" s="90" t="s">
        <v>61</v>
      </c>
      <c r="E620" s="89" t="s">
        <v>45</v>
      </c>
      <c r="F620" s="91">
        <v>284029</v>
      </c>
      <c r="G620" s="91">
        <v>5020000</v>
      </c>
      <c r="H620" s="87"/>
      <c r="I620" s="90" t="s">
        <v>62</v>
      </c>
      <c r="J620" s="88" t="str">
        <f t="shared" si="9"/>
        <v>重复</v>
      </c>
      <c r="K620" s="88" t="str">
        <f t="shared" si="9"/>
        <v>不重复</v>
      </c>
    </row>
    <row r="621" spans="1:11" ht="20.25" customHeight="1">
      <c r="A621" s="84" t="s">
        <v>115</v>
      </c>
      <c r="B621" s="85" t="s">
        <v>6695</v>
      </c>
      <c r="C621" s="85" t="s">
        <v>116</v>
      </c>
      <c r="D621" s="85" t="s">
        <v>6696</v>
      </c>
      <c r="E621" s="84" t="s">
        <v>45</v>
      </c>
      <c r="F621" s="86">
        <v>284030</v>
      </c>
      <c r="G621" s="86">
        <v>5020000</v>
      </c>
      <c r="H621" s="87"/>
      <c r="I621" s="85" t="s">
        <v>117</v>
      </c>
      <c r="J621" s="88" t="str">
        <f t="shared" si="9"/>
        <v>重复</v>
      </c>
      <c r="K621" s="88" t="str">
        <f t="shared" si="9"/>
        <v>不重复</v>
      </c>
    </row>
    <row r="622" spans="1:11" ht="20.25" customHeight="1">
      <c r="A622" s="84" t="s">
        <v>317</v>
      </c>
      <c r="B622" s="85" t="s">
        <v>6697</v>
      </c>
      <c r="C622" s="85" t="s">
        <v>318</v>
      </c>
      <c r="D622" s="85" t="s">
        <v>6698</v>
      </c>
      <c r="E622" s="84" t="s">
        <v>45</v>
      </c>
      <c r="F622" s="86">
        <v>284031</v>
      </c>
      <c r="G622" s="86">
        <v>5020000</v>
      </c>
      <c r="H622" s="87"/>
      <c r="I622" s="85" t="s">
        <v>25</v>
      </c>
      <c r="J622" s="88" t="str">
        <f t="shared" si="9"/>
        <v>重复</v>
      </c>
      <c r="K622" s="88" t="str">
        <f t="shared" si="9"/>
        <v>不重复</v>
      </c>
    </row>
    <row r="623" spans="1:11" ht="20.25" customHeight="1">
      <c r="A623" s="84" t="s">
        <v>6699</v>
      </c>
      <c r="B623" s="85" t="s">
        <v>6700</v>
      </c>
      <c r="C623" s="85" t="s">
        <v>914</v>
      </c>
      <c r="D623" s="85" t="s">
        <v>6701</v>
      </c>
      <c r="E623" s="84" t="s">
        <v>45</v>
      </c>
      <c r="F623" s="86">
        <v>284032</v>
      </c>
      <c r="G623" s="86">
        <v>5020000</v>
      </c>
      <c r="H623" s="87"/>
      <c r="I623" s="85" t="s">
        <v>25</v>
      </c>
      <c r="J623" s="88" t="str">
        <f t="shared" si="9"/>
        <v>重复</v>
      </c>
      <c r="K623" s="88" t="str">
        <f t="shared" si="9"/>
        <v>不重复</v>
      </c>
    </row>
    <row r="624" spans="1:11" ht="20.25" customHeight="1">
      <c r="A624" s="89" t="s">
        <v>6702</v>
      </c>
      <c r="B624" s="90" t="s">
        <v>6703</v>
      </c>
      <c r="C624" s="90" t="s">
        <v>6704</v>
      </c>
      <c r="D624" s="90" t="s">
        <v>6705</v>
      </c>
      <c r="E624" s="89" t="s">
        <v>45</v>
      </c>
      <c r="F624" s="91">
        <v>284033</v>
      </c>
      <c r="G624" s="91">
        <v>5020000</v>
      </c>
      <c r="H624" s="87"/>
      <c r="I624" s="90" t="s">
        <v>25</v>
      </c>
      <c r="J624" s="88" t="str">
        <f t="shared" si="9"/>
        <v>不重复</v>
      </c>
      <c r="K624" s="88" t="str">
        <f t="shared" si="9"/>
        <v>不重复</v>
      </c>
    </row>
    <row r="625" spans="1:11" ht="20.25" customHeight="1">
      <c r="A625" s="89" t="s">
        <v>6706</v>
      </c>
      <c r="B625" s="90" t="s">
        <v>6707</v>
      </c>
      <c r="C625" s="90" t="s">
        <v>6708</v>
      </c>
      <c r="D625" s="90" t="s">
        <v>6709</v>
      </c>
      <c r="E625" s="89" t="s">
        <v>45</v>
      </c>
      <c r="F625" s="91">
        <v>284034</v>
      </c>
      <c r="G625" s="91">
        <v>5020000</v>
      </c>
      <c r="H625" s="87"/>
      <c r="I625" s="90" t="s">
        <v>25</v>
      </c>
      <c r="J625" s="88" t="str">
        <f t="shared" si="9"/>
        <v>不重复</v>
      </c>
      <c r="K625" s="88" t="str">
        <f t="shared" si="9"/>
        <v>不重复</v>
      </c>
    </row>
    <row r="626" spans="1:11" ht="20.25" customHeight="1">
      <c r="A626" s="89" t="s">
        <v>6710</v>
      </c>
      <c r="B626" s="90" t="s">
        <v>6711</v>
      </c>
      <c r="C626" s="90" t="s">
        <v>6712</v>
      </c>
      <c r="D626" s="90" t="s">
        <v>6713</v>
      </c>
      <c r="E626" s="89" t="s">
        <v>45</v>
      </c>
      <c r="F626" s="91">
        <v>284035</v>
      </c>
      <c r="G626" s="91">
        <v>5020000</v>
      </c>
      <c r="H626" s="87"/>
      <c r="I626" s="90" t="s">
        <v>25</v>
      </c>
      <c r="J626" s="88" t="str">
        <f t="shared" si="9"/>
        <v>不重复</v>
      </c>
      <c r="K626" s="88" t="str">
        <f t="shared" si="9"/>
        <v>不重复</v>
      </c>
    </row>
    <row r="627" spans="1:11" ht="20.25" customHeight="1">
      <c r="A627" s="89" t="s">
        <v>1163</v>
      </c>
      <c r="B627" s="90" t="s">
        <v>6714</v>
      </c>
      <c r="C627" s="90" t="s">
        <v>1164</v>
      </c>
      <c r="D627" s="90" t="s">
        <v>6715</v>
      </c>
      <c r="E627" s="89" t="s">
        <v>45</v>
      </c>
      <c r="F627" s="91">
        <v>284036</v>
      </c>
      <c r="G627" s="91">
        <v>5020000</v>
      </c>
      <c r="H627" s="87"/>
      <c r="I627" s="90" t="s">
        <v>25</v>
      </c>
      <c r="J627" s="88" t="str">
        <f t="shared" si="9"/>
        <v>重复</v>
      </c>
      <c r="K627" s="88" t="str">
        <f t="shared" si="9"/>
        <v>不重复</v>
      </c>
    </row>
    <row r="628" spans="1:11" ht="20.25" customHeight="1">
      <c r="A628" s="89" t="s">
        <v>6716</v>
      </c>
      <c r="B628" s="90" t="s">
        <v>6717</v>
      </c>
      <c r="C628" s="90" t="s">
        <v>6611</v>
      </c>
      <c r="D628" s="90" t="s">
        <v>6718</v>
      </c>
      <c r="E628" s="89" t="s">
        <v>6719</v>
      </c>
      <c r="F628" s="91">
        <v>300000</v>
      </c>
      <c r="G628" s="91">
        <v>5030000</v>
      </c>
      <c r="H628" s="87"/>
      <c r="I628" s="90" t="s">
        <v>25</v>
      </c>
      <c r="J628" s="88" t="str">
        <f t="shared" si="9"/>
        <v>重复</v>
      </c>
      <c r="K628" s="88" t="str">
        <f t="shared" si="9"/>
        <v>不重复</v>
      </c>
    </row>
    <row r="629" spans="1:11" ht="20.25" customHeight="1">
      <c r="A629" s="89" t="s">
        <v>1264</v>
      </c>
      <c r="B629" s="90" t="s">
        <v>6720</v>
      </c>
      <c r="C629" s="90" t="s">
        <v>1265</v>
      </c>
      <c r="D629" s="90" t="s">
        <v>1266</v>
      </c>
      <c r="E629" s="89" t="s">
        <v>6719</v>
      </c>
      <c r="F629" s="91">
        <v>300001</v>
      </c>
      <c r="G629" s="91">
        <v>5030000</v>
      </c>
      <c r="H629" s="87"/>
      <c r="I629" s="90" t="s">
        <v>1267</v>
      </c>
      <c r="J629" s="88" t="str">
        <f t="shared" si="9"/>
        <v>重复</v>
      </c>
      <c r="K629" s="88" t="str">
        <f t="shared" si="9"/>
        <v>不重复</v>
      </c>
    </row>
    <row r="630" spans="1:11" ht="20.25" customHeight="1">
      <c r="A630" s="84" t="s">
        <v>6721</v>
      </c>
      <c r="B630" s="85" t="s">
        <v>6722</v>
      </c>
      <c r="C630" s="85" t="s">
        <v>837</v>
      </c>
      <c r="D630" s="85" t="s">
        <v>6723</v>
      </c>
      <c r="E630" s="84" t="s">
        <v>6719</v>
      </c>
      <c r="F630" s="86">
        <v>300002</v>
      </c>
      <c r="G630" s="86">
        <v>5030000</v>
      </c>
      <c r="H630" s="87"/>
      <c r="I630" s="85" t="s">
        <v>25</v>
      </c>
      <c r="J630" s="88" t="str">
        <f t="shared" si="9"/>
        <v>重复</v>
      </c>
      <c r="K630" s="88" t="str">
        <f t="shared" si="9"/>
        <v>不重复</v>
      </c>
    </row>
    <row r="631" spans="1:11" ht="20.25" customHeight="1">
      <c r="A631" s="84" t="s">
        <v>1268</v>
      </c>
      <c r="B631" s="85" t="s">
        <v>6724</v>
      </c>
      <c r="C631" s="85" t="s">
        <v>1269</v>
      </c>
      <c r="D631" s="85" t="s">
        <v>1270</v>
      </c>
      <c r="E631" s="84" t="s">
        <v>6719</v>
      </c>
      <c r="F631" s="86">
        <v>300003</v>
      </c>
      <c r="G631" s="86">
        <v>5030000</v>
      </c>
      <c r="H631" s="87"/>
      <c r="I631" s="85" t="s">
        <v>6725</v>
      </c>
      <c r="J631" s="88" t="str">
        <f t="shared" si="9"/>
        <v>重复</v>
      </c>
      <c r="K631" s="88" t="str">
        <f t="shared" si="9"/>
        <v>不重复</v>
      </c>
    </row>
    <row r="632" spans="1:11" ht="20.25" customHeight="1">
      <c r="A632" s="89" t="s">
        <v>1274</v>
      </c>
      <c r="B632" s="90" t="s">
        <v>1275</v>
      </c>
      <c r="C632" s="90" t="s">
        <v>1276</v>
      </c>
      <c r="D632" s="90" t="s">
        <v>1277</v>
      </c>
      <c r="E632" s="89" t="s">
        <v>6719</v>
      </c>
      <c r="F632" s="91">
        <v>300004</v>
      </c>
      <c r="G632" s="91">
        <v>5030000</v>
      </c>
      <c r="H632" s="87"/>
      <c r="I632" s="90" t="s">
        <v>25</v>
      </c>
      <c r="J632" s="88" t="str">
        <f t="shared" si="9"/>
        <v>不重复</v>
      </c>
      <c r="K632" s="88" t="str">
        <f t="shared" si="9"/>
        <v>不重复</v>
      </c>
    </row>
    <row r="633" spans="1:11" ht="20.25" customHeight="1">
      <c r="A633" s="89" t="s">
        <v>1271</v>
      </c>
      <c r="B633" s="90" t="s">
        <v>6726</v>
      </c>
      <c r="C633" s="90" t="s">
        <v>1272</v>
      </c>
      <c r="D633" s="90" t="s">
        <v>1273</v>
      </c>
      <c r="E633" s="89" t="s">
        <v>6719</v>
      </c>
      <c r="F633" s="91">
        <v>300005</v>
      </c>
      <c r="G633" s="91">
        <v>5030000</v>
      </c>
      <c r="H633" s="87"/>
      <c r="I633" s="90" t="s">
        <v>904</v>
      </c>
      <c r="J633" s="88" t="str">
        <f t="shared" si="9"/>
        <v>不重复</v>
      </c>
      <c r="K633" s="88" t="str">
        <f t="shared" si="9"/>
        <v>不重复</v>
      </c>
    </row>
    <row r="634" spans="1:11" ht="20.25" customHeight="1">
      <c r="A634" s="84" t="s">
        <v>6727</v>
      </c>
      <c r="B634" s="85" t="s">
        <v>6728</v>
      </c>
      <c r="C634" s="85" t="s">
        <v>1147</v>
      </c>
      <c r="D634" s="85" t="s">
        <v>6729</v>
      </c>
      <c r="E634" s="84" t="s">
        <v>6719</v>
      </c>
      <c r="F634" s="86">
        <v>300006</v>
      </c>
      <c r="G634" s="86">
        <v>5030000</v>
      </c>
      <c r="H634" s="87"/>
      <c r="I634" s="85" t="s">
        <v>25</v>
      </c>
      <c r="J634" s="88" t="str">
        <f t="shared" si="9"/>
        <v>重复</v>
      </c>
      <c r="K634" s="88" t="str">
        <f t="shared" si="9"/>
        <v>不重复</v>
      </c>
    </row>
    <row r="635" spans="1:11" ht="20.25" customHeight="1">
      <c r="A635" s="84" t="s">
        <v>1278</v>
      </c>
      <c r="B635" s="85" t="s">
        <v>6730</v>
      </c>
      <c r="C635" s="85" t="s">
        <v>1147</v>
      </c>
      <c r="D635" s="85" t="s">
        <v>1279</v>
      </c>
      <c r="E635" s="84" t="s">
        <v>6719</v>
      </c>
      <c r="F635" s="86">
        <v>300007</v>
      </c>
      <c r="G635" s="86">
        <v>5030000</v>
      </c>
      <c r="H635" s="87"/>
      <c r="I635" s="85" t="s">
        <v>6731</v>
      </c>
      <c r="J635" s="88" t="str">
        <f t="shared" si="9"/>
        <v>重复</v>
      </c>
      <c r="K635" s="88" t="str">
        <f t="shared" si="9"/>
        <v>不重复</v>
      </c>
    </row>
    <row r="636" spans="1:11" ht="20.25" customHeight="1">
      <c r="A636" s="89" t="s">
        <v>6732</v>
      </c>
      <c r="B636" s="90" t="s">
        <v>6733</v>
      </c>
      <c r="C636" s="90" t="s">
        <v>1282</v>
      </c>
      <c r="D636" s="90" t="s">
        <v>6734</v>
      </c>
      <c r="E636" s="89" t="s">
        <v>6719</v>
      </c>
      <c r="F636" s="91">
        <v>300008</v>
      </c>
      <c r="G636" s="91">
        <v>5030000</v>
      </c>
      <c r="H636" s="87"/>
      <c r="I636" s="90" t="s">
        <v>25</v>
      </c>
      <c r="J636" s="88" t="str">
        <f t="shared" si="9"/>
        <v>重复</v>
      </c>
      <c r="K636" s="88" t="str">
        <f t="shared" si="9"/>
        <v>不重复</v>
      </c>
    </row>
    <row r="637" spans="1:11" ht="20.25" customHeight="1">
      <c r="A637" s="89" t="s">
        <v>1280</v>
      </c>
      <c r="B637" s="90" t="s">
        <v>1281</v>
      </c>
      <c r="C637" s="90" t="s">
        <v>1282</v>
      </c>
      <c r="D637" s="90" t="s">
        <v>1283</v>
      </c>
      <c r="E637" s="89" t="s">
        <v>6719</v>
      </c>
      <c r="F637" s="91">
        <v>300009</v>
      </c>
      <c r="G637" s="91">
        <v>5030000</v>
      </c>
      <c r="H637" s="87"/>
      <c r="I637" s="90" t="s">
        <v>6735</v>
      </c>
      <c r="J637" s="88" t="str">
        <f t="shared" si="9"/>
        <v>重复</v>
      </c>
      <c r="K637" s="88" t="str">
        <f t="shared" si="9"/>
        <v>不重复</v>
      </c>
    </row>
    <row r="638" spans="1:11" ht="20.25" customHeight="1">
      <c r="A638" s="89" t="s">
        <v>1284</v>
      </c>
      <c r="B638" s="90" t="s">
        <v>1285</v>
      </c>
      <c r="C638" s="90" t="s">
        <v>1147</v>
      </c>
      <c r="D638" s="90" t="s">
        <v>1286</v>
      </c>
      <c r="E638" s="89" t="s">
        <v>6719</v>
      </c>
      <c r="F638" s="91">
        <v>300010</v>
      </c>
      <c r="G638" s="91">
        <v>5030000</v>
      </c>
      <c r="H638" s="87"/>
      <c r="I638" s="90" t="s">
        <v>25</v>
      </c>
      <c r="J638" s="88" t="str">
        <f t="shared" si="9"/>
        <v>重复</v>
      </c>
      <c r="K638" s="88" t="str">
        <f t="shared" si="9"/>
        <v>不重复</v>
      </c>
    </row>
    <row r="639" spans="1:11" ht="20.25" customHeight="1">
      <c r="A639" s="89" t="s">
        <v>6736</v>
      </c>
      <c r="B639" s="90" t="s">
        <v>6737</v>
      </c>
      <c r="C639" s="90" t="s">
        <v>1147</v>
      </c>
      <c r="D639" s="90" t="s">
        <v>6738</v>
      </c>
      <c r="E639" s="89" t="s">
        <v>6719</v>
      </c>
      <c r="F639" s="91">
        <v>300011</v>
      </c>
      <c r="G639" s="91">
        <v>5030000</v>
      </c>
      <c r="H639" s="87"/>
      <c r="I639" s="90" t="s">
        <v>6739</v>
      </c>
      <c r="J639" s="88" t="str">
        <f t="shared" si="9"/>
        <v>重复</v>
      </c>
      <c r="K639" s="88" t="str">
        <f t="shared" si="9"/>
        <v>不重复</v>
      </c>
    </row>
    <row r="640" spans="1:11" ht="20.25" customHeight="1">
      <c r="A640" s="89" t="s">
        <v>1292</v>
      </c>
      <c r="B640" s="90" t="s">
        <v>1293</v>
      </c>
      <c r="C640" s="90" t="s">
        <v>420</v>
      </c>
      <c r="D640" s="90" t="s">
        <v>6740</v>
      </c>
      <c r="E640" s="89" t="s">
        <v>6719</v>
      </c>
      <c r="F640" s="91">
        <v>300012</v>
      </c>
      <c r="G640" s="91">
        <v>5030000</v>
      </c>
      <c r="H640" s="87"/>
      <c r="I640" s="90" t="s">
        <v>25</v>
      </c>
      <c r="J640" s="88" t="str">
        <f t="shared" si="9"/>
        <v>重复</v>
      </c>
      <c r="K640" s="88" t="str">
        <f t="shared" si="9"/>
        <v>不重复</v>
      </c>
    </row>
    <row r="641" spans="1:11" ht="20.25" customHeight="1">
      <c r="A641" s="89" t="s">
        <v>1287</v>
      </c>
      <c r="B641" s="90" t="s">
        <v>6741</v>
      </c>
      <c r="C641" s="90" t="s">
        <v>420</v>
      </c>
      <c r="D641" s="90" t="s">
        <v>1288</v>
      </c>
      <c r="E641" s="89" t="s">
        <v>6719</v>
      </c>
      <c r="F641" s="91">
        <v>300013</v>
      </c>
      <c r="G641" s="91">
        <v>5030000</v>
      </c>
      <c r="H641" s="87"/>
      <c r="I641" s="90" t="s">
        <v>6742</v>
      </c>
      <c r="J641" s="88" t="str">
        <f t="shared" si="9"/>
        <v>重复</v>
      </c>
      <c r="K641" s="88" t="str">
        <f t="shared" si="9"/>
        <v>不重复</v>
      </c>
    </row>
    <row r="642" spans="1:11" ht="20.25" customHeight="1">
      <c r="A642" s="89" t="s">
        <v>1289</v>
      </c>
      <c r="B642" s="90" t="s">
        <v>6743</v>
      </c>
      <c r="C642" s="90" t="s">
        <v>1321</v>
      </c>
      <c r="D642" s="90" t="s">
        <v>1290</v>
      </c>
      <c r="E642" s="89" t="s">
        <v>6719</v>
      </c>
      <c r="F642" s="91">
        <v>300014</v>
      </c>
      <c r="G642" s="91">
        <v>5030000</v>
      </c>
      <c r="H642" s="87"/>
      <c r="I642" s="90" t="s">
        <v>1291</v>
      </c>
      <c r="J642" s="88" t="str">
        <f t="shared" si="9"/>
        <v>重复</v>
      </c>
      <c r="K642" s="88" t="str">
        <f t="shared" si="9"/>
        <v>不重复</v>
      </c>
    </row>
    <row r="643" spans="1:11" ht="20.25" customHeight="1">
      <c r="A643" s="84" t="s">
        <v>6744</v>
      </c>
      <c r="B643" s="85" t="s">
        <v>6745</v>
      </c>
      <c r="C643" s="85" t="s">
        <v>1451</v>
      </c>
      <c r="D643" s="85" t="s">
        <v>6746</v>
      </c>
      <c r="E643" s="84" t="s">
        <v>6747</v>
      </c>
      <c r="F643" s="86">
        <v>401000</v>
      </c>
      <c r="G643" s="86">
        <v>5040000</v>
      </c>
      <c r="H643" s="87"/>
      <c r="I643" s="85" t="s">
        <v>25</v>
      </c>
      <c r="J643" s="88" t="str">
        <f t="shared" si="10" ref="J643:K706">IF(COUNTIF(C:C,C643)&gt;=2,"重复","不重复")</f>
        <v>重复</v>
      </c>
      <c r="K643" s="88" t="str">
        <f t="shared" si="10"/>
        <v>不重复</v>
      </c>
    </row>
    <row r="644" spans="1:11" ht="20.25" customHeight="1">
      <c r="A644" s="84" t="s">
        <v>1294</v>
      </c>
      <c r="B644" s="85" t="s">
        <v>1295</v>
      </c>
      <c r="C644" s="85" t="s">
        <v>1296</v>
      </c>
      <c r="D644" s="85" t="s">
        <v>1297</v>
      </c>
      <c r="E644" s="84" t="s">
        <v>6748</v>
      </c>
      <c r="F644" s="86">
        <v>402001</v>
      </c>
      <c r="G644" s="86">
        <v>5050000</v>
      </c>
      <c r="H644" s="87"/>
      <c r="I644" s="85" t="s">
        <v>25</v>
      </c>
      <c r="J644" s="88" t="str">
        <f t="shared" si="10"/>
        <v>重复</v>
      </c>
      <c r="K644" s="88" t="str">
        <f t="shared" si="10"/>
        <v>不重复</v>
      </c>
    </row>
    <row r="645" spans="1:11" ht="20.25" customHeight="1">
      <c r="A645" s="84" t="s">
        <v>6749</v>
      </c>
      <c r="B645" s="85" t="s">
        <v>6750</v>
      </c>
      <c r="C645" s="85" t="s">
        <v>6751</v>
      </c>
      <c r="D645" s="85" t="s">
        <v>6752</v>
      </c>
      <c r="E645" s="84" t="s">
        <v>6753</v>
      </c>
      <c r="F645" s="86">
        <v>403000</v>
      </c>
      <c r="G645" s="86">
        <v>5060000</v>
      </c>
      <c r="H645" s="87"/>
      <c r="I645" s="85" t="s">
        <v>25</v>
      </c>
      <c r="J645" s="88" t="str">
        <f t="shared" si="10"/>
        <v>重复</v>
      </c>
      <c r="K645" s="88" t="str">
        <f t="shared" si="10"/>
        <v>不重复</v>
      </c>
    </row>
    <row r="646" spans="1:11" ht="20.25" customHeight="1">
      <c r="A646" s="89" t="s">
        <v>1313</v>
      </c>
      <c r="B646" s="90" t="s">
        <v>1314</v>
      </c>
      <c r="C646" s="90" t="s">
        <v>1315</v>
      </c>
      <c r="D646" s="90" t="s">
        <v>1336</v>
      </c>
      <c r="E646" s="89" t="s">
        <v>1301</v>
      </c>
      <c r="F646" s="91">
        <v>404000</v>
      </c>
      <c r="G646" s="91">
        <v>5070000</v>
      </c>
      <c r="H646" s="87"/>
      <c r="I646" s="90" t="s">
        <v>25</v>
      </c>
      <c r="J646" s="88" t="str">
        <f t="shared" si="10"/>
        <v>不重复</v>
      </c>
      <c r="K646" s="88" t="str">
        <f t="shared" si="10"/>
        <v>不重复</v>
      </c>
    </row>
    <row r="647" spans="1:11" ht="20.25" customHeight="1">
      <c r="A647" s="89" t="s">
        <v>1305</v>
      </c>
      <c r="B647" s="90" t="s">
        <v>6754</v>
      </c>
      <c r="C647" s="90" t="s">
        <v>1306</v>
      </c>
      <c r="D647" s="90" t="s">
        <v>1307</v>
      </c>
      <c r="E647" s="89" t="s">
        <v>1301</v>
      </c>
      <c r="F647" s="91">
        <v>404001</v>
      </c>
      <c r="G647" s="91">
        <v>5070000</v>
      </c>
      <c r="H647" s="87"/>
      <c r="I647" s="90" t="s">
        <v>1308</v>
      </c>
      <c r="J647" s="88" t="str">
        <f t="shared" si="10"/>
        <v>不重复</v>
      </c>
      <c r="K647" s="88" t="str">
        <f t="shared" si="10"/>
        <v>不重复</v>
      </c>
    </row>
    <row r="648" spans="1:11" ht="20.25" customHeight="1">
      <c r="A648" s="89" t="s">
        <v>1298</v>
      </c>
      <c r="B648" s="90" t="s">
        <v>6755</v>
      </c>
      <c r="C648" s="90" t="s">
        <v>1299</v>
      </c>
      <c r="D648" s="90" t="s">
        <v>1300</v>
      </c>
      <c r="E648" s="89" t="s">
        <v>1301</v>
      </c>
      <c r="F648" s="91">
        <v>404002</v>
      </c>
      <c r="G648" s="91">
        <v>5070000</v>
      </c>
      <c r="H648" s="87"/>
      <c r="I648" s="90" t="s">
        <v>6756</v>
      </c>
      <c r="J648" s="88" t="str">
        <f t="shared" si="10"/>
        <v>不重复</v>
      </c>
      <c r="K648" s="88" t="str">
        <f t="shared" si="10"/>
        <v>不重复</v>
      </c>
    </row>
    <row r="649" spans="1:11" ht="20.25" customHeight="1">
      <c r="A649" s="89" t="s">
        <v>1309</v>
      </c>
      <c r="B649" s="90" t="s">
        <v>6757</v>
      </c>
      <c r="C649" s="90" t="s">
        <v>1310</v>
      </c>
      <c r="D649" s="90" t="s">
        <v>1311</v>
      </c>
      <c r="E649" s="89" t="s">
        <v>1301</v>
      </c>
      <c r="F649" s="91">
        <v>404003</v>
      </c>
      <c r="G649" s="91">
        <v>5070000</v>
      </c>
      <c r="H649" s="87"/>
      <c r="I649" s="90" t="s">
        <v>1312</v>
      </c>
      <c r="J649" s="88" t="str">
        <f t="shared" si="10"/>
        <v>不重复</v>
      </c>
      <c r="K649" s="88" t="str">
        <f t="shared" si="10"/>
        <v>不重复</v>
      </c>
    </row>
    <row r="650" spans="1:11" ht="20.25" customHeight="1">
      <c r="A650" s="89" t="s">
        <v>1302</v>
      </c>
      <c r="B650" s="90" t="s">
        <v>6758</v>
      </c>
      <c r="C650" s="90" t="s">
        <v>1303</v>
      </c>
      <c r="D650" s="90" t="s">
        <v>1304</v>
      </c>
      <c r="E650" s="89" t="s">
        <v>1301</v>
      </c>
      <c r="F650" s="91">
        <v>404004</v>
      </c>
      <c r="G650" s="91">
        <v>5070000</v>
      </c>
      <c r="H650" s="87"/>
      <c r="I650" s="90" t="s">
        <v>647</v>
      </c>
      <c r="J650" s="88" t="str">
        <f t="shared" si="10"/>
        <v>不重复</v>
      </c>
      <c r="K650" s="88" t="str">
        <f t="shared" si="10"/>
        <v>不重复</v>
      </c>
    </row>
    <row r="651" spans="1:11" ht="20.25" customHeight="1">
      <c r="A651" s="84" t="s">
        <v>1316</v>
      </c>
      <c r="B651" s="85" t="s">
        <v>1317</v>
      </c>
      <c r="C651" s="85" t="s">
        <v>1318</v>
      </c>
      <c r="D651" s="85" t="s">
        <v>6759</v>
      </c>
      <c r="E651" s="84" t="s">
        <v>1301</v>
      </c>
      <c r="F651" s="86">
        <v>404005</v>
      </c>
      <c r="G651" s="86">
        <v>5070000</v>
      </c>
      <c r="H651" s="87"/>
      <c r="I651" s="85" t="s">
        <v>25</v>
      </c>
      <c r="J651" s="88" t="str">
        <f t="shared" si="10"/>
        <v>重复</v>
      </c>
      <c r="K651" s="88" t="str">
        <f t="shared" si="10"/>
        <v>不重复</v>
      </c>
    </row>
    <row r="652" spans="1:11" ht="20.25" customHeight="1">
      <c r="A652" s="89" t="s">
        <v>6760</v>
      </c>
      <c r="B652" s="90" t="s">
        <v>6761</v>
      </c>
      <c r="C652" s="90" t="s">
        <v>6762</v>
      </c>
      <c r="D652" s="90" t="s">
        <v>6763</v>
      </c>
      <c r="E652" s="89" t="s">
        <v>1301</v>
      </c>
      <c r="F652" s="91">
        <v>404006</v>
      </c>
      <c r="G652" s="91">
        <v>5070000</v>
      </c>
      <c r="H652" s="87"/>
      <c r="I652" s="90" t="s">
        <v>25</v>
      </c>
      <c r="J652" s="88" t="str">
        <f t="shared" si="10"/>
        <v>不重复</v>
      </c>
      <c r="K652" s="88" t="str">
        <f t="shared" si="10"/>
        <v>不重复</v>
      </c>
    </row>
    <row r="653" spans="1:11" ht="20.25" customHeight="1">
      <c r="A653" s="89" t="s">
        <v>1320</v>
      </c>
      <c r="B653" s="90" t="s">
        <v>6764</v>
      </c>
      <c r="C653" s="90" t="s">
        <v>1321</v>
      </c>
      <c r="D653" s="90" t="s">
        <v>1322</v>
      </c>
      <c r="E653" s="89" t="s">
        <v>1301</v>
      </c>
      <c r="F653" s="91">
        <v>404007</v>
      </c>
      <c r="G653" s="91">
        <v>5070000</v>
      </c>
      <c r="H653" s="87"/>
      <c r="I653" s="90" t="s">
        <v>1323</v>
      </c>
      <c r="J653" s="88" t="str">
        <f t="shared" si="10"/>
        <v>重复</v>
      </c>
      <c r="K653" s="88" t="str">
        <f t="shared" si="10"/>
        <v>不重复</v>
      </c>
    </row>
    <row r="654" spans="1:11" ht="20.25" customHeight="1">
      <c r="A654" s="89" t="s">
        <v>1324</v>
      </c>
      <c r="B654" s="90" t="s">
        <v>6765</v>
      </c>
      <c r="C654" s="90" t="s">
        <v>1325</v>
      </c>
      <c r="D654" s="90" t="s">
        <v>1326</v>
      </c>
      <c r="E654" s="89" t="s">
        <v>1301</v>
      </c>
      <c r="F654" s="91">
        <v>404008</v>
      </c>
      <c r="G654" s="91">
        <v>5070000</v>
      </c>
      <c r="H654" s="87"/>
      <c r="I654" s="90" t="s">
        <v>1327</v>
      </c>
      <c r="J654" s="88" t="str">
        <f t="shared" si="10"/>
        <v>不重复</v>
      </c>
      <c r="K654" s="88" t="str">
        <f t="shared" si="10"/>
        <v>不重复</v>
      </c>
    </row>
    <row r="655" spans="1:11" ht="20.25" customHeight="1">
      <c r="A655" s="89" t="s">
        <v>1328</v>
      </c>
      <c r="B655" s="90" t="s">
        <v>6766</v>
      </c>
      <c r="C655" s="90" t="s">
        <v>1329</v>
      </c>
      <c r="D655" s="90" t="s">
        <v>1330</v>
      </c>
      <c r="E655" s="89" t="s">
        <v>1301</v>
      </c>
      <c r="F655" s="91">
        <v>404009</v>
      </c>
      <c r="G655" s="91">
        <v>5070000</v>
      </c>
      <c r="H655" s="87"/>
      <c r="I655" s="90" t="s">
        <v>1331</v>
      </c>
      <c r="J655" s="88" t="str">
        <f t="shared" si="10"/>
        <v>不重复</v>
      </c>
      <c r="K655" s="88" t="str">
        <f t="shared" si="10"/>
        <v>不重复</v>
      </c>
    </row>
    <row r="656" spans="1:11" ht="20.25" customHeight="1">
      <c r="A656" s="84" t="s">
        <v>6767</v>
      </c>
      <c r="B656" s="85" t="s">
        <v>6768</v>
      </c>
      <c r="C656" s="85" t="s">
        <v>1333</v>
      </c>
      <c r="D656" s="85" t="s">
        <v>6769</v>
      </c>
      <c r="E656" s="84" t="s">
        <v>1301</v>
      </c>
      <c r="F656" s="86">
        <v>404010</v>
      </c>
      <c r="G656" s="86">
        <v>5070000</v>
      </c>
      <c r="H656" s="87"/>
      <c r="I656" s="85" t="s">
        <v>25</v>
      </c>
      <c r="J656" s="88" t="str">
        <f t="shared" si="10"/>
        <v>重复</v>
      </c>
      <c r="K656" s="88" t="str">
        <f t="shared" si="10"/>
        <v>不重复</v>
      </c>
    </row>
    <row r="657" spans="1:11" ht="20.25" customHeight="1">
      <c r="A657" s="84" t="s">
        <v>1332</v>
      </c>
      <c r="B657" s="85" t="s">
        <v>6770</v>
      </c>
      <c r="C657" s="85" t="s">
        <v>1333</v>
      </c>
      <c r="D657" s="85" t="s">
        <v>1334</v>
      </c>
      <c r="E657" s="84" t="s">
        <v>1301</v>
      </c>
      <c r="F657" s="86">
        <v>404011</v>
      </c>
      <c r="G657" s="86">
        <v>5070000</v>
      </c>
      <c r="H657" s="87"/>
      <c r="I657" s="85" t="s">
        <v>1335</v>
      </c>
      <c r="J657" s="88" t="str">
        <f t="shared" si="10"/>
        <v>重复</v>
      </c>
      <c r="K657" s="88" t="str">
        <f t="shared" si="10"/>
        <v>不重复</v>
      </c>
    </row>
    <row r="658" spans="1:11" ht="20.25" customHeight="1">
      <c r="A658" s="84" t="s">
        <v>6771</v>
      </c>
      <c r="B658" s="85" t="s">
        <v>6772</v>
      </c>
      <c r="C658" s="85" t="s">
        <v>1655</v>
      </c>
      <c r="D658" s="85" t="s">
        <v>6773</v>
      </c>
      <c r="E658" s="84" t="s">
        <v>1301</v>
      </c>
      <c r="F658" s="86">
        <v>404012</v>
      </c>
      <c r="G658" s="86">
        <v>5070000</v>
      </c>
      <c r="H658" s="87"/>
      <c r="I658" s="85" t="s">
        <v>25</v>
      </c>
      <c r="J658" s="88" t="str">
        <f t="shared" si="10"/>
        <v>重复</v>
      </c>
      <c r="K658" s="88" t="str">
        <f t="shared" si="10"/>
        <v>不重复</v>
      </c>
    </row>
    <row r="659" spans="1:11" ht="20.25" customHeight="1">
      <c r="A659" s="84" t="s">
        <v>1337</v>
      </c>
      <c r="B659" s="85" t="s">
        <v>6774</v>
      </c>
      <c r="C659" s="85" t="s">
        <v>1338</v>
      </c>
      <c r="D659" s="85" t="s">
        <v>1339</v>
      </c>
      <c r="E659" s="84" t="s">
        <v>1301</v>
      </c>
      <c r="F659" s="86">
        <v>404013</v>
      </c>
      <c r="G659" s="86">
        <v>5070000</v>
      </c>
      <c r="H659" s="87"/>
      <c r="I659" s="85" t="s">
        <v>1340</v>
      </c>
      <c r="J659" s="88" t="str">
        <f t="shared" si="10"/>
        <v>重复</v>
      </c>
      <c r="K659" s="88" t="str">
        <f t="shared" si="10"/>
        <v>不重复</v>
      </c>
    </row>
    <row r="660" spans="1:11" ht="20.25" customHeight="1">
      <c r="A660" s="84" t="s">
        <v>6775</v>
      </c>
      <c r="B660" s="85" t="s">
        <v>6776</v>
      </c>
      <c r="C660" s="85" t="s">
        <v>4007</v>
      </c>
      <c r="D660" s="85" t="s">
        <v>6777</v>
      </c>
      <c r="E660" s="84" t="s">
        <v>1301</v>
      </c>
      <c r="F660" s="86">
        <v>404014</v>
      </c>
      <c r="G660" s="86">
        <v>5070000</v>
      </c>
      <c r="H660" s="87"/>
      <c r="I660" s="85" t="s">
        <v>25</v>
      </c>
      <c r="J660" s="88" t="str">
        <f t="shared" si="10"/>
        <v>重复</v>
      </c>
      <c r="K660" s="88" t="str">
        <f t="shared" si="10"/>
        <v>不重复</v>
      </c>
    </row>
    <row r="661" spans="1:11" ht="20.25" customHeight="1">
      <c r="A661" s="84" t="s">
        <v>1341</v>
      </c>
      <c r="B661" s="85" t="s">
        <v>6778</v>
      </c>
      <c r="C661" s="85" t="s">
        <v>359</v>
      </c>
      <c r="D661" s="85" t="s">
        <v>1342</v>
      </c>
      <c r="E661" s="84" t="s">
        <v>1301</v>
      </c>
      <c r="F661" s="86">
        <v>404015</v>
      </c>
      <c r="G661" s="86">
        <v>5070000</v>
      </c>
      <c r="H661" s="87"/>
      <c r="I661" s="85" t="s">
        <v>6779</v>
      </c>
      <c r="J661" s="88" t="str">
        <f t="shared" si="10"/>
        <v>不重复</v>
      </c>
      <c r="K661" s="88" t="str">
        <f t="shared" si="10"/>
        <v>不重复</v>
      </c>
    </row>
    <row r="662" spans="1:11" ht="20.25" customHeight="1">
      <c r="A662" s="89" t="s">
        <v>1352</v>
      </c>
      <c r="B662" s="90" t="s">
        <v>1353</v>
      </c>
      <c r="C662" s="90" t="s">
        <v>6780</v>
      </c>
      <c r="D662" s="90" t="s">
        <v>6781</v>
      </c>
      <c r="E662" s="89" t="s">
        <v>1301</v>
      </c>
      <c r="F662" s="91">
        <v>404016</v>
      </c>
      <c r="G662" s="91">
        <v>5070000</v>
      </c>
      <c r="H662" s="87"/>
      <c r="I662" s="90" t="s">
        <v>25</v>
      </c>
      <c r="J662" s="88" t="str">
        <f t="shared" si="10"/>
        <v>不重复</v>
      </c>
      <c r="K662" s="88" t="str">
        <f t="shared" si="10"/>
        <v>不重复</v>
      </c>
    </row>
    <row r="663" spans="1:11" ht="20.25" customHeight="1">
      <c r="A663" s="89" t="s">
        <v>1346</v>
      </c>
      <c r="B663" s="90" t="s">
        <v>6782</v>
      </c>
      <c r="C663" s="90" t="s">
        <v>1347</v>
      </c>
      <c r="D663" s="90" t="s">
        <v>1348</v>
      </c>
      <c r="E663" s="89" t="s">
        <v>1301</v>
      </c>
      <c r="F663" s="91">
        <v>404017</v>
      </c>
      <c r="G663" s="91">
        <v>5070000</v>
      </c>
      <c r="H663" s="87"/>
      <c r="I663" s="90" t="s">
        <v>1308</v>
      </c>
      <c r="J663" s="88" t="str">
        <f t="shared" si="10"/>
        <v>不重复</v>
      </c>
      <c r="K663" s="88" t="str">
        <f t="shared" si="10"/>
        <v>不重复</v>
      </c>
    </row>
    <row r="664" spans="1:11" ht="20.25" customHeight="1">
      <c r="A664" s="89" t="s">
        <v>1343</v>
      </c>
      <c r="B664" s="90" t="s">
        <v>6783</v>
      </c>
      <c r="C664" s="90" t="s">
        <v>1344</v>
      </c>
      <c r="D664" s="90" t="s">
        <v>1345</v>
      </c>
      <c r="E664" s="89" t="s">
        <v>1301</v>
      </c>
      <c r="F664" s="91">
        <v>404018</v>
      </c>
      <c r="G664" s="91">
        <v>5070000</v>
      </c>
      <c r="H664" s="87"/>
      <c r="I664" s="90" t="s">
        <v>6784</v>
      </c>
      <c r="J664" s="88" t="str">
        <f t="shared" si="10"/>
        <v>重复</v>
      </c>
      <c r="K664" s="88" t="str">
        <f t="shared" si="10"/>
        <v>不重复</v>
      </c>
    </row>
    <row r="665" spans="1:11" ht="20.25" customHeight="1">
      <c r="A665" s="89" t="s">
        <v>1349</v>
      </c>
      <c r="B665" s="90" t="s">
        <v>6785</v>
      </c>
      <c r="C665" s="90" t="s">
        <v>849</v>
      </c>
      <c r="D665" s="90" t="s">
        <v>1350</v>
      </c>
      <c r="E665" s="89" t="s">
        <v>1301</v>
      </c>
      <c r="F665" s="91">
        <v>404019</v>
      </c>
      <c r="G665" s="91">
        <v>5070000</v>
      </c>
      <c r="H665" s="87"/>
      <c r="I665" s="90" t="s">
        <v>1351</v>
      </c>
      <c r="J665" s="88" t="str">
        <f t="shared" si="10"/>
        <v>重复</v>
      </c>
      <c r="K665" s="88" t="str">
        <f t="shared" si="10"/>
        <v>不重复</v>
      </c>
    </row>
    <row r="666" spans="1:11" ht="20.25" customHeight="1">
      <c r="A666" s="89" t="s">
        <v>1354</v>
      </c>
      <c r="B666" s="90" t="s">
        <v>6786</v>
      </c>
      <c r="C666" s="90" t="s">
        <v>1355</v>
      </c>
      <c r="D666" s="90" t="s">
        <v>1356</v>
      </c>
      <c r="E666" s="89" t="s">
        <v>1301</v>
      </c>
      <c r="F666" s="91">
        <v>404021</v>
      </c>
      <c r="G666" s="91">
        <v>5070000</v>
      </c>
      <c r="H666" s="87"/>
      <c r="I666" s="90" t="s">
        <v>6787</v>
      </c>
      <c r="J666" s="88" t="str">
        <f t="shared" si="10"/>
        <v>不重复</v>
      </c>
      <c r="K666" s="88" t="str">
        <f t="shared" si="10"/>
        <v>不重复</v>
      </c>
    </row>
    <row r="667" spans="1:11" ht="20.25" customHeight="1">
      <c r="A667" s="89" t="s">
        <v>6788</v>
      </c>
      <c r="B667" s="90" t="s">
        <v>6789</v>
      </c>
      <c r="C667" s="90" t="s">
        <v>5143</v>
      </c>
      <c r="D667" s="90" t="s">
        <v>6790</v>
      </c>
      <c r="E667" s="89" t="s">
        <v>1301</v>
      </c>
      <c r="F667" s="91">
        <v>404022</v>
      </c>
      <c r="G667" s="91">
        <v>5070000</v>
      </c>
      <c r="H667" s="87"/>
      <c r="I667" s="90" t="s">
        <v>25</v>
      </c>
      <c r="J667" s="88" t="str">
        <f t="shared" si="10"/>
        <v>重复</v>
      </c>
      <c r="K667" s="88" t="str">
        <f t="shared" si="10"/>
        <v>不重复</v>
      </c>
    </row>
    <row r="668" spans="1:11" ht="20.25" customHeight="1">
      <c r="A668" s="89" t="s">
        <v>1357</v>
      </c>
      <c r="B668" s="90" t="s">
        <v>1358</v>
      </c>
      <c r="C668" s="90" t="s">
        <v>144</v>
      </c>
      <c r="D668" s="90" t="s">
        <v>1359</v>
      </c>
      <c r="E668" s="89" t="s">
        <v>1301</v>
      </c>
      <c r="F668" s="91">
        <v>404023</v>
      </c>
      <c r="G668" s="91">
        <v>5070000</v>
      </c>
      <c r="H668" s="87"/>
      <c r="I668" s="90" t="s">
        <v>1360</v>
      </c>
      <c r="J668" s="88" t="str">
        <f t="shared" si="10"/>
        <v>重复</v>
      </c>
      <c r="K668" s="88" t="str">
        <f t="shared" si="10"/>
        <v>不重复</v>
      </c>
    </row>
    <row r="669" spans="1:11" ht="20.25" customHeight="1">
      <c r="A669" s="84" t="s">
        <v>6791</v>
      </c>
      <c r="B669" s="85" t="s">
        <v>6792</v>
      </c>
      <c r="C669" s="85" t="s">
        <v>4017</v>
      </c>
      <c r="D669" s="85" t="s">
        <v>6793</v>
      </c>
      <c r="E669" s="84" t="s">
        <v>1301</v>
      </c>
      <c r="F669" s="86">
        <v>404024</v>
      </c>
      <c r="G669" s="86">
        <v>5070000</v>
      </c>
      <c r="H669" s="87"/>
      <c r="I669" s="85" t="s">
        <v>25</v>
      </c>
      <c r="J669" s="88" t="str">
        <f t="shared" si="10"/>
        <v>不重复</v>
      </c>
      <c r="K669" s="88" t="str">
        <f t="shared" si="10"/>
        <v>不重复</v>
      </c>
    </row>
    <row r="670" spans="1:11" ht="20.25" customHeight="1">
      <c r="A670" s="84" t="s">
        <v>1361</v>
      </c>
      <c r="B670" s="85" t="s">
        <v>1362</v>
      </c>
      <c r="C670" s="85" t="s">
        <v>1363</v>
      </c>
      <c r="D670" s="85" t="s">
        <v>1364</v>
      </c>
      <c r="E670" s="84" t="s">
        <v>1301</v>
      </c>
      <c r="F670" s="86">
        <v>404025</v>
      </c>
      <c r="G670" s="86">
        <v>5070000</v>
      </c>
      <c r="H670" s="87"/>
      <c r="I670" s="85" t="s">
        <v>1323</v>
      </c>
      <c r="J670" s="88" t="str">
        <f t="shared" si="10"/>
        <v>不重复</v>
      </c>
      <c r="K670" s="88" t="str">
        <f t="shared" si="10"/>
        <v>不重复</v>
      </c>
    </row>
    <row r="671" spans="1:11" ht="20.25" customHeight="1">
      <c r="A671" s="84" t="s">
        <v>1365</v>
      </c>
      <c r="B671" s="85" t="s">
        <v>6794</v>
      </c>
      <c r="C671" s="85" t="s">
        <v>1583</v>
      </c>
      <c r="D671" s="85" t="s">
        <v>1564</v>
      </c>
      <c r="E671" s="84" t="s">
        <v>1365</v>
      </c>
      <c r="F671" s="86">
        <v>405000</v>
      </c>
      <c r="G671" s="86">
        <v>5080000</v>
      </c>
      <c r="H671" s="87"/>
      <c r="I671" s="85" t="s">
        <v>25</v>
      </c>
      <c r="J671" s="88" t="str">
        <f t="shared" si="10"/>
        <v>重复</v>
      </c>
      <c r="K671" s="88" t="str">
        <f t="shared" si="10"/>
        <v>重复</v>
      </c>
    </row>
    <row r="672" spans="1:11" ht="20.25" customHeight="1">
      <c r="A672" s="84" t="s">
        <v>6795</v>
      </c>
      <c r="B672" s="85" t="s">
        <v>6796</v>
      </c>
      <c r="C672" s="85" t="s">
        <v>6751</v>
      </c>
      <c r="D672" s="85" t="s">
        <v>6797</v>
      </c>
      <c r="E672" s="84" t="s">
        <v>1365</v>
      </c>
      <c r="F672" s="86">
        <v>405001</v>
      </c>
      <c r="G672" s="86">
        <v>5080000</v>
      </c>
      <c r="H672" s="87"/>
      <c r="I672" s="85" t="s">
        <v>25</v>
      </c>
      <c r="J672" s="88" t="str">
        <f t="shared" si="10"/>
        <v>重复</v>
      </c>
      <c r="K672" s="88" t="str">
        <f t="shared" si="10"/>
        <v>不重复</v>
      </c>
    </row>
    <row r="673" spans="1:11" ht="20.25" customHeight="1">
      <c r="A673" s="89" t="s">
        <v>1393</v>
      </c>
      <c r="B673" s="90" t="s">
        <v>1394</v>
      </c>
      <c r="C673" s="90" t="s">
        <v>1395</v>
      </c>
      <c r="D673" s="90" t="s">
        <v>6798</v>
      </c>
      <c r="E673" s="89" t="s">
        <v>1365</v>
      </c>
      <c r="F673" s="91">
        <v>405003</v>
      </c>
      <c r="G673" s="91">
        <v>5080000</v>
      </c>
      <c r="H673" s="87"/>
      <c r="I673" s="90" t="s">
        <v>25</v>
      </c>
      <c r="J673" s="88" t="str">
        <f t="shared" si="10"/>
        <v>不重复</v>
      </c>
      <c r="K673" s="88" t="str">
        <f t="shared" si="10"/>
        <v>不重复</v>
      </c>
    </row>
    <row r="674" spans="1:11" ht="20.25" customHeight="1">
      <c r="A674" s="89" t="s">
        <v>1374</v>
      </c>
      <c r="B674" s="90" t="s">
        <v>1375</v>
      </c>
      <c r="C674" s="90" t="s">
        <v>1376</v>
      </c>
      <c r="D674" s="90" t="s">
        <v>1377</v>
      </c>
      <c r="E674" s="89" t="s">
        <v>1365</v>
      </c>
      <c r="F674" s="91">
        <v>405004</v>
      </c>
      <c r="G674" s="91">
        <v>5080000</v>
      </c>
      <c r="H674" s="87"/>
      <c r="I674" s="90" t="s">
        <v>6799</v>
      </c>
      <c r="J674" s="88" t="str">
        <f t="shared" si="10"/>
        <v>不重复</v>
      </c>
      <c r="K674" s="88" t="str">
        <f t="shared" si="10"/>
        <v>不重复</v>
      </c>
    </row>
    <row r="675" spans="1:11" ht="20.25" customHeight="1">
      <c r="A675" s="89" t="s">
        <v>1378</v>
      </c>
      <c r="B675" s="90" t="s">
        <v>1379</v>
      </c>
      <c r="C675" s="90" t="s">
        <v>1380</v>
      </c>
      <c r="D675" s="90" t="s">
        <v>1381</v>
      </c>
      <c r="E675" s="89" t="s">
        <v>1365</v>
      </c>
      <c r="F675" s="91">
        <v>405005</v>
      </c>
      <c r="G675" s="91">
        <v>5080000</v>
      </c>
      <c r="H675" s="87"/>
      <c r="I675" s="90" t="s">
        <v>6800</v>
      </c>
      <c r="J675" s="88" t="str">
        <f t="shared" si="10"/>
        <v>不重复</v>
      </c>
      <c r="K675" s="88" t="str">
        <f t="shared" si="10"/>
        <v>不重复</v>
      </c>
    </row>
    <row r="676" spans="1:11" ht="20.25" customHeight="1">
      <c r="A676" s="89" t="s">
        <v>1386</v>
      </c>
      <c r="B676" s="90" t="s">
        <v>6801</v>
      </c>
      <c r="C676" s="90" t="s">
        <v>1387</v>
      </c>
      <c r="D676" s="90" t="s">
        <v>1388</v>
      </c>
      <c r="E676" s="89" t="s">
        <v>1365</v>
      </c>
      <c r="F676" s="91">
        <v>405006</v>
      </c>
      <c r="G676" s="91">
        <v>5080000</v>
      </c>
      <c r="H676" s="87"/>
      <c r="I676" s="90" t="s">
        <v>6802</v>
      </c>
      <c r="J676" s="88" t="str">
        <f t="shared" si="10"/>
        <v>不重复</v>
      </c>
      <c r="K676" s="88" t="str">
        <f t="shared" si="10"/>
        <v>不重复</v>
      </c>
    </row>
    <row r="677" spans="1:11" ht="20.25" customHeight="1">
      <c r="A677" s="89" t="s">
        <v>1389</v>
      </c>
      <c r="B677" s="90" t="s">
        <v>1390</v>
      </c>
      <c r="C677" s="90" t="s">
        <v>1391</v>
      </c>
      <c r="D677" s="90" t="s">
        <v>1392</v>
      </c>
      <c r="E677" s="89" t="s">
        <v>1365</v>
      </c>
      <c r="F677" s="91">
        <v>405007</v>
      </c>
      <c r="G677" s="91">
        <v>5080000</v>
      </c>
      <c r="H677" s="87"/>
      <c r="I677" s="90" t="s">
        <v>6803</v>
      </c>
      <c r="J677" s="88" t="str">
        <f t="shared" si="10"/>
        <v>不重复</v>
      </c>
      <c r="K677" s="88" t="str">
        <f t="shared" si="10"/>
        <v>不重复</v>
      </c>
    </row>
    <row r="678" spans="1:11" ht="20.25" customHeight="1">
      <c r="A678" s="89" t="s">
        <v>1382</v>
      </c>
      <c r="B678" s="90" t="s">
        <v>1383</v>
      </c>
      <c r="C678" s="90" t="s">
        <v>1384</v>
      </c>
      <c r="D678" s="90" t="s">
        <v>1385</v>
      </c>
      <c r="E678" s="89" t="s">
        <v>1365</v>
      </c>
      <c r="F678" s="91">
        <v>405008</v>
      </c>
      <c r="G678" s="91">
        <v>5080000</v>
      </c>
      <c r="H678" s="87"/>
      <c r="I678" s="90" t="s">
        <v>6804</v>
      </c>
      <c r="J678" s="88" t="str">
        <f t="shared" si="10"/>
        <v>重复</v>
      </c>
      <c r="K678" s="88" t="str">
        <f t="shared" si="10"/>
        <v>不重复</v>
      </c>
    </row>
    <row r="679" spans="1:11" ht="20.25" customHeight="1">
      <c r="A679" s="89" t="s">
        <v>6805</v>
      </c>
      <c r="B679" s="90" t="s">
        <v>6806</v>
      </c>
      <c r="C679" s="90" t="s">
        <v>1372</v>
      </c>
      <c r="D679" s="90" t="s">
        <v>6807</v>
      </c>
      <c r="E679" s="89" t="s">
        <v>1365</v>
      </c>
      <c r="F679" s="91">
        <v>405009</v>
      </c>
      <c r="G679" s="91">
        <v>5080000</v>
      </c>
      <c r="H679" s="87"/>
      <c r="I679" s="90" t="s">
        <v>25</v>
      </c>
      <c r="J679" s="88" t="str">
        <f t="shared" si="10"/>
        <v>重复</v>
      </c>
      <c r="K679" s="88" t="str">
        <f t="shared" si="10"/>
        <v>不重复</v>
      </c>
    </row>
    <row r="680" spans="1:11" ht="20.25" customHeight="1">
      <c r="A680" s="89" t="s">
        <v>1403</v>
      </c>
      <c r="B680" s="90" t="s">
        <v>1404</v>
      </c>
      <c r="C680" s="90" t="s">
        <v>1372</v>
      </c>
      <c r="D680" s="90" t="s">
        <v>1405</v>
      </c>
      <c r="E680" s="89" t="s">
        <v>1365</v>
      </c>
      <c r="F680" s="91">
        <v>405010</v>
      </c>
      <c r="G680" s="91">
        <v>5080000</v>
      </c>
      <c r="H680" s="87"/>
      <c r="I680" s="90" t="s">
        <v>6808</v>
      </c>
      <c r="J680" s="88" t="str">
        <f t="shared" si="10"/>
        <v>重复</v>
      </c>
      <c r="K680" s="88" t="str">
        <f t="shared" si="10"/>
        <v>不重复</v>
      </c>
    </row>
    <row r="681" spans="1:11" ht="20.25" customHeight="1">
      <c r="A681" s="84" t="s">
        <v>6809</v>
      </c>
      <c r="B681" s="85" t="s">
        <v>6810</v>
      </c>
      <c r="C681" s="85" t="s">
        <v>6811</v>
      </c>
      <c r="D681" s="85" t="s">
        <v>6812</v>
      </c>
      <c r="E681" s="84" t="s">
        <v>1365</v>
      </c>
      <c r="F681" s="86">
        <v>405011</v>
      </c>
      <c r="G681" s="86">
        <v>5080000</v>
      </c>
      <c r="H681" s="87"/>
      <c r="I681" s="85" t="s">
        <v>25</v>
      </c>
      <c r="J681" s="88" t="str">
        <f t="shared" si="10"/>
        <v>重复</v>
      </c>
      <c r="K681" s="88" t="str">
        <f t="shared" si="10"/>
        <v>不重复</v>
      </c>
    </row>
    <row r="682" spans="1:11" ht="20.25" customHeight="1">
      <c r="A682" s="84" t="s">
        <v>1406</v>
      </c>
      <c r="B682" s="85" t="s">
        <v>1407</v>
      </c>
      <c r="C682" s="85" t="s">
        <v>6811</v>
      </c>
      <c r="D682" s="85" t="s">
        <v>1408</v>
      </c>
      <c r="E682" s="84" t="s">
        <v>1365</v>
      </c>
      <c r="F682" s="86">
        <v>405012</v>
      </c>
      <c r="G682" s="86">
        <v>5080000</v>
      </c>
      <c r="H682" s="87"/>
      <c r="I682" s="85" t="s">
        <v>6813</v>
      </c>
      <c r="J682" s="88" t="str">
        <f t="shared" si="10"/>
        <v>重复</v>
      </c>
      <c r="K682" s="88" t="str">
        <f t="shared" si="10"/>
        <v>不重复</v>
      </c>
    </row>
    <row r="683" spans="1:11" ht="20.25" customHeight="1">
      <c r="A683" s="84" t="s">
        <v>6814</v>
      </c>
      <c r="B683" s="85" t="s">
        <v>6815</v>
      </c>
      <c r="C683" s="85" t="s">
        <v>1398</v>
      </c>
      <c r="D683" s="85" t="s">
        <v>6816</v>
      </c>
      <c r="E683" s="84" t="s">
        <v>1365</v>
      </c>
      <c r="F683" s="86">
        <v>405013</v>
      </c>
      <c r="G683" s="86">
        <v>5080000</v>
      </c>
      <c r="H683" s="87"/>
      <c r="I683" s="85" t="s">
        <v>25</v>
      </c>
      <c r="J683" s="88" t="str">
        <f t="shared" si="10"/>
        <v>重复</v>
      </c>
      <c r="K683" s="88" t="str">
        <f t="shared" si="10"/>
        <v>不重复</v>
      </c>
    </row>
    <row r="684" spans="1:11" ht="20.25" customHeight="1">
      <c r="A684" s="84" t="s">
        <v>1397</v>
      </c>
      <c r="B684" s="85" t="s">
        <v>6817</v>
      </c>
      <c r="C684" s="85" t="s">
        <v>1398</v>
      </c>
      <c r="D684" s="85" t="s">
        <v>1399</v>
      </c>
      <c r="E684" s="84" t="s">
        <v>1365</v>
      </c>
      <c r="F684" s="86">
        <v>405014</v>
      </c>
      <c r="G684" s="86">
        <v>5080000</v>
      </c>
      <c r="H684" s="87"/>
      <c r="I684" s="85" t="s">
        <v>6818</v>
      </c>
      <c r="J684" s="88" t="str">
        <f t="shared" si="10"/>
        <v>重复</v>
      </c>
      <c r="K684" s="88" t="str">
        <f t="shared" si="10"/>
        <v>不重复</v>
      </c>
    </row>
    <row r="685" spans="1:11" ht="20.25" customHeight="1">
      <c r="A685" s="89" t="s">
        <v>1442</v>
      </c>
      <c r="B685" s="90" t="s">
        <v>1443</v>
      </c>
      <c r="C685" s="90" t="s">
        <v>1444</v>
      </c>
      <c r="D685" s="90" t="s">
        <v>6819</v>
      </c>
      <c r="E685" s="89" t="s">
        <v>1365</v>
      </c>
      <c r="F685" s="91">
        <v>405015</v>
      </c>
      <c r="G685" s="91">
        <v>5080000</v>
      </c>
      <c r="H685" s="87"/>
      <c r="I685" s="90" t="s">
        <v>25</v>
      </c>
      <c r="J685" s="88" t="str">
        <f t="shared" si="10"/>
        <v>重复</v>
      </c>
      <c r="K685" s="88" t="str">
        <f t="shared" si="10"/>
        <v>不重复</v>
      </c>
    </row>
    <row r="686" spans="1:11" ht="20.25" customHeight="1">
      <c r="A686" s="89" t="s">
        <v>1438</v>
      </c>
      <c r="B686" s="90" t="s">
        <v>1439</v>
      </c>
      <c r="C686" s="90" t="s">
        <v>1440</v>
      </c>
      <c r="D686" s="90" t="s">
        <v>1441</v>
      </c>
      <c r="E686" s="89" t="s">
        <v>1365</v>
      </c>
      <c r="F686" s="91">
        <v>405016</v>
      </c>
      <c r="G686" s="91">
        <v>5080000</v>
      </c>
      <c r="H686" s="87"/>
      <c r="I686" s="90" t="s">
        <v>6820</v>
      </c>
      <c r="J686" s="88" t="str">
        <f t="shared" si="10"/>
        <v>不重复</v>
      </c>
      <c r="K686" s="88" t="str">
        <f t="shared" si="10"/>
        <v>不重复</v>
      </c>
    </row>
    <row r="687" spans="1:11" ht="20.25" customHeight="1">
      <c r="A687" s="89" t="s">
        <v>6821</v>
      </c>
      <c r="B687" s="90" t="s">
        <v>6822</v>
      </c>
      <c r="C687" s="90" t="s">
        <v>6823</v>
      </c>
      <c r="D687" s="90" t="s">
        <v>6824</v>
      </c>
      <c r="E687" s="89" t="s">
        <v>1365</v>
      </c>
      <c r="F687" s="91">
        <v>405018</v>
      </c>
      <c r="G687" s="91">
        <v>5080000</v>
      </c>
      <c r="H687" s="87"/>
      <c r="I687" s="90" t="s">
        <v>6825</v>
      </c>
      <c r="J687" s="88" t="str">
        <f t="shared" si="10"/>
        <v>不重复</v>
      </c>
      <c r="K687" s="88" t="str">
        <f t="shared" si="10"/>
        <v>不重复</v>
      </c>
    </row>
    <row r="688" spans="1:11" ht="20.25" customHeight="1">
      <c r="A688" s="84" t="s">
        <v>6826</v>
      </c>
      <c r="B688" s="85" t="s">
        <v>6827</v>
      </c>
      <c r="C688" s="85" t="s">
        <v>1398</v>
      </c>
      <c r="D688" s="85" t="s">
        <v>6828</v>
      </c>
      <c r="E688" s="84" t="s">
        <v>1365</v>
      </c>
      <c r="F688" s="86">
        <v>405019</v>
      </c>
      <c r="G688" s="86">
        <v>5080000</v>
      </c>
      <c r="H688" s="87"/>
      <c r="I688" s="85" t="s">
        <v>25</v>
      </c>
      <c r="J688" s="88" t="str">
        <f t="shared" si="10"/>
        <v>重复</v>
      </c>
      <c r="K688" s="88" t="str">
        <f t="shared" si="10"/>
        <v>不重复</v>
      </c>
    </row>
    <row r="689" spans="1:11" ht="20.25" customHeight="1">
      <c r="A689" s="84" t="s">
        <v>6829</v>
      </c>
      <c r="B689" s="85" t="s">
        <v>1435</v>
      </c>
      <c r="C689" s="85" t="s">
        <v>1436</v>
      </c>
      <c r="D689" s="85" t="s">
        <v>1437</v>
      </c>
      <c r="E689" s="84" t="s">
        <v>1365</v>
      </c>
      <c r="F689" s="86">
        <v>405020</v>
      </c>
      <c r="G689" s="86">
        <v>5080000</v>
      </c>
      <c r="H689" s="87"/>
      <c r="I689" s="85" t="s">
        <v>6830</v>
      </c>
      <c r="J689" s="88" t="str">
        <f t="shared" si="10"/>
        <v>不重复</v>
      </c>
      <c r="K689" s="88" t="str">
        <f t="shared" si="10"/>
        <v>不重复</v>
      </c>
    </row>
    <row r="690" spans="1:11" ht="20.25" customHeight="1">
      <c r="A690" s="84" t="s">
        <v>1432</v>
      </c>
      <c r="B690" s="85" t="s">
        <v>1433</v>
      </c>
      <c r="C690" s="85" t="s">
        <v>1398</v>
      </c>
      <c r="D690" s="85" t="s">
        <v>1434</v>
      </c>
      <c r="E690" s="84" t="s">
        <v>1365</v>
      </c>
      <c r="F690" s="86">
        <v>405021</v>
      </c>
      <c r="G690" s="86">
        <v>5080000</v>
      </c>
      <c r="H690" s="87"/>
      <c r="I690" s="85" t="s">
        <v>6831</v>
      </c>
      <c r="J690" s="88" t="str">
        <f t="shared" si="10"/>
        <v>重复</v>
      </c>
      <c r="K690" s="88" t="str">
        <f t="shared" si="10"/>
        <v>不重复</v>
      </c>
    </row>
    <row r="691" spans="1:11" ht="20.25" customHeight="1">
      <c r="A691" s="84" t="s">
        <v>6832</v>
      </c>
      <c r="B691" s="85" t="s">
        <v>6833</v>
      </c>
      <c r="C691" s="85" t="s">
        <v>1451</v>
      </c>
      <c r="D691" s="85" t="s">
        <v>6834</v>
      </c>
      <c r="E691" s="84" t="s">
        <v>1365</v>
      </c>
      <c r="F691" s="86">
        <v>405022</v>
      </c>
      <c r="G691" s="86">
        <v>5080000</v>
      </c>
      <c r="H691" s="87"/>
      <c r="I691" s="85" t="s">
        <v>25</v>
      </c>
      <c r="J691" s="88" t="str">
        <f t="shared" si="10"/>
        <v>重复</v>
      </c>
      <c r="K691" s="88" t="str">
        <f t="shared" si="10"/>
        <v>不重复</v>
      </c>
    </row>
    <row r="692" spans="1:11" ht="20.25" customHeight="1">
      <c r="A692" s="84" t="s">
        <v>1449</v>
      </c>
      <c r="B692" s="85" t="s">
        <v>1450</v>
      </c>
      <c r="C692" s="85" t="s">
        <v>1451</v>
      </c>
      <c r="D692" s="85" t="s">
        <v>1452</v>
      </c>
      <c r="E692" s="84" t="s">
        <v>1365</v>
      </c>
      <c r="F692" s="86">
        <v>405023</v>
      </c>
      <c r="G692" s="86">
        <v>5080000</v>
      </c>
      <c r="H692" s="87"/>
      <c r="I692" s="85" t="s">
        <v>6835</v>
      </c>
      <c r="J692" s="88" t="str">
        <f t="shared" si="10"/>
        <v>重复</v>
      </c>
      <c r="K692" s="88" t="str">
        <f t="shared" si="10"/>
        <v>不重复</v>
      </c>
    </row>
    <row r="693" spans="1:11" ht="20.25" customHeight="1">
      <c r="A693" s="84" t="s">
        <v>1453</v>
      </c>
      <c r="B693" s="85" t="s">
        <v>1454</v>
      </c>
      <c r="C693" s="85" t="s">
        <v>1455</v>
      </c>
      <c r="D693" s="85" t="s">
        <v>1456</v>
      </c>
      <c r="E693" s="84" t="s">
        <v>1365</v>
      </c>
      <c r="F693" s="86">
        <v>405024</v>
      </c>
      <c r="G693" s="86">
        <v>5080000</v>
      </c>
      <c r="H693" s="87"/>
      <c r="I693" s="85" t="s">
        <v>6836</v>
      </c>
      <c r="J693" s="88" t="str">
        <f t="shared" si="10"/>
        <v>不重复</v>
      </c>
      <c r="K693" s="88" t="str">
        <f t="shared" si="10"/>
        <v>不重复</v>
      </c>
    </row>
    <row r="694" spans="1:11" ht="20.25" customHeight="1">
      <c r="A694" s="84" t="s">
        <v>1445</v>
      </c>
      <c r="B694" s="85" t="s">
        <v>1446</v>
      </c>
      <c r="C694" s="85" t="s">
        <v>1447</v>
      </c>
      <c r="D694" s="85" t="s">
        <v>1448</v>
      </c>
      <c r="E694" s="84" t="s">
        <v>1365</v>
      </c>
      <c r="F694" s="86">
        <v>405025</v>
      </c>
      <c r="G694" s="86">
        <v>5080000</v>
      </c>
      <c r="H694" s="87"/>
      <c r="I694" s="85" t="s">
        <v>6803</v>
      </c>
      <c r="J694" s="88" t="str">
        <f t="shared" si="10"/>
        <v>重复</v>
      </c>
      <c r="K694" s="88" t="str">
        <f t="shared" si="10"/>
        <v>不重复</v>
      </c>
    </row>
    <row r="695" spans="1:11" ht="20.25" customHeight="1">
      <c r="A695" s="84" t="s">
        <v>6837</v>
      </c>
      <c r="B695" s="85" t="s">
        <v>6838</v>
      </c>
      <c r="C695" s="85" t="s">
        <v>1526</v>
      </c>
      <c r="D695" s="85" t="s">
        <v>6839</v>
      </c>
      <c r="E695" s="84" t="s">
        <v>1365</v>
      </c>
      <c r="F695" s="86">
        <v>405027</v>
      </c>
      <c r="G695" s="86">
        <v>5080000</v>
      </c>
      <c r="H695" s="87"/>
      <c r="I695" s="85" t="s">
        <v>6840</v>
      </c>
      <c r="J695" s="88" t="str">
        <f t="shared" si="10"/>
        <v>重复</v>
      </c>
      <c r="K695" s="88" t="str">
        <f t="shared" si="10"/>
        <v>不重复</v>
      </c>
    </row>
    <row r="696" spans="1:11" ht="20.25" customHeight="1">
      <c r="A696" s="84" t="s">
        <v>6841</v>
      </c>
      <c r="B696" s="85" t="s">
        <v>6842</v>
      </c>
      <c r="C696" s="85" t="s">
        <v>6843</v>
      </c>
      <c r="D696" s="85" t="s">
        <v>6844</v>
      </c>
      <c r="E696" s="84" t="s">
        <v>1365</v>
      </c>
      <c r="F696" s="86">
        <v>405028</v>
      </c>
      <c r="G696" s="86">
        <v>5080000</v>
      </c>
      <c r="H696" s="87"/>
      <c r="I696" s="85" t="s">
        <v>6845</v>
      </c>
      <c r="J696" s="88" t="str">
        <f t="shared" si="10"/>
        <v>重复</v>
      </c>
      <c r="K696" s="88" t="str">
        <f t="shared" si="10"/>
        <v>不重复</v>
      </c>
    </row>
    <row r="697" spans="1:11" ht="20.25" customHeight="1">
      <c r="A697" s="84" t="s">
        <v>1417</v>
      </c>
      <c r="B697" s="85" t="s">
        <v>1418</v>
      </c>
      <c r="C697" s="85" t="s">
        <v>6843</v>
      </c>
      <c r="D697" s="85" t="s">
        <v>1420</v>
      </c>
      <c r="E697" s="84" t="s">
        <v>1365</v>
      </c>
      <c r="F697" s="86">
        <v>405029</v>
      </c>
      <c r="G697" s="86">
        <v>5080000</v>
      </c>
      <c r="H697" s="87"/>
      <c r="I697" s="85" t="s">
        <v>6845</v>
      </c>
      <c r="J697" s="88" t="str">
        <f t="shared" si="10"/>
        <v>重复</v>
      </c>
      <c r="K697" s="88" t="str">
        <f t="shared" si="10"/>
        <v>不重复</v>
      </c>
    </row>
    <row r="698" spans="1:11" ht="20.25" customHeight="1">
      <c r="A698" s="84" t="s">
        <v>6846</v>
      </c>
      <c r="B698" s="85" t="s">
        <v>6847</v>
      </c>
      <c r="C698" s="85" t="s">
        <v>1501</v>
      </c>
      <c r="D698" s="85" t="s">
        <v>6848</v>
      </c>
      <c r="E698" s="84" t="s">
        <v>1365</v>
      </c>
      <c r="F698" s="86">
        <v>405030</v>
      </c>
      <c r="G698" s="86">
        <v>5080000</v>
      </c>
      <c r="H698" s="87"/>
      <c r="I698" s="85" t="s">
        <v>25</v>
      </c>
      <c r="J698" s="88" t="str">
        <f t="shared" si="10"/>
        <v>重复</v>
      </c>
      <c r="K698" s="88" t="str">
        <f t="shared" si="10"/>
        <v>不重复</v>
      </c>
    </row>
    <row r="699" spans="1:11" ht="20.25" customHeight="1">
      <c r="A699" s="84" t="s">
        <v>1421</v>
      </c>
      <c r="B699" s="85" t="s">
        <v>1422</v>
      </c>
      <c r="C699" s="85" t="s">
        <v>1423</v>
      </c>
      <c r="D699" s="85" t="s">
        <v>1424</v>
      </c>
      <c r="E699" s="84" t="s">
        <v>1365</v>
      </c>
      <c r="F699" s="86">
        <v>405031</v>
      </c>
      <c r="G699" s="86">
        <v>5080000</v>
      </c>
      <c r="H699" s="87"/>
      <c r="I699" s="85" t="s">
        <v>6849</v>
      </c>
      <c r="J699" s="88" t="str">
        <f t="shared" si="10"/>
        <v>不重复</v>
      </c>
      <c r="K699" s="88" t="str">
        <f t="shared" si="10"/>
        <v>不重复</v>
      </c>
    </row>
    <row r="700" spans="1:11" ht="20.25" customHeight="1">
      <c r="A700" s="84" t="s">
        <v>6850</v>
      </c>
      <c r="B700" s="85" t="s">
        <v>1429</v>
      </c>
      <c r="C700" s="85" t="s">
        <v>1430</v>
      </c>
      <c r="D700" s="85" t="s">
        <v>1431</v>
      </c>
      <c r="E700" s="84" t="s">
        <v>1365</v>
      </c>
      <c r="F700" s="86">
        <v>405032</v>
      </c>
      <c r="G700" s="86">
        <v>5080000</v>
      </c>
      <c r="H700" s="87"/>
      <c r="I700" s="85" t="s">
        <v>6851</v>
      </c>
      <c r="J700" s="88" t="str">
        <f t="shared" si="10"/>
        <v>不重复</v>
      </c>
      <c r="K700" s="88" t="str">
        <f t="shared" si="10"/>
        <v>不重复</v>
      </c>
    </row>
    <row r="701" spans="1:11" ht="20.25" customHeight="1">
      <c r="A701" s="84" t="s">
        <v>6852</v>
      </c>
      <c r="B701" s="85" t="s">
        <v>6853</v>
      </c>
      <c r="C701" s="85" t="s">
        <v>6854</v>
      </c>
      <c r="D701" s="85" t="s">
        <v>6855</v>
      </c>
      <c r="E701" s="84" t="s">
        <v>1365</v>
      </c>
      <c r="F701" s="86">
        <v>405033</v>
      </c>
      <c r="G701" s="86">
        <v>5080000</v>
      </c>
      <c r="H701" s="87"/>
      <c r="I701" s="85" t="s">
        <v>6856</v>
      </c>
      <c r="J701" s="88" t="str">
        <f t="shared" si="10"/>
        <v>不重复</v>
      </c>
      <c r="K701" s="88" t="str">
        <f t="shared" si="10"/>
        <v>不重复</v>
      </c>
    </row>
    <row r="702" spans="1:11" ht="20.25" customHeight="1">
      <c r="A702" s="84" t="s">
        <v>1425</v>
      </c>
      <c r="B702" s="85" t="s">
        <v>1426</v>
      </c>
      <c r="C702" s="85" t="s">
        <v>1427</v>
      </c>
      <c r="D702" s="85" t="s">
        <v>1428</v>
      </c>
      <c r="E702" s="84" t="s">
        <v>1365</v>
      </c>
      <c r="F702" s="86">
        <v>405034</v>
      </c>
      <c r="G702" s="86">
        <v>5080000</v>
      </c>
      <c r="H702" s="87"/>
      <c r="I702" s="85" t="s">
        <v>6851</v>
      </c>
      <c r="J702" s="88" t="str">
        <f t="shared" si="10"/>
        <v>不重复</v>
      </c>
      <c r="K702" s="88" t="str">
        <f t="shared" si="10"/>
        <v>不重复</v>
      </c>
    </row>
    <row r="703" spans="1:11" ht="20.25" customHeight="1">
      <c r="A703" s="84" t="s">
        <v>1495</v>
      </c>
      <c r="B703" s="85" t="s">
        <v>1496</v>
      </c>
      <c r="C703" s="85" t="s">
        <v>6857</v>
      </c>
      <c r="D703" s="85" t="s">
        <v>1498</v>
      </c>
      <c r="E703" s="84" t="s">
        <v>1365</v>
      </c>
      <c r="F703" s="86">
        <v>405035</v>
      </c>
      <c r="G703" s="86">
        <v>5080000</v>
      </c>
      <c r="H703" s="87"/>
      <c r="I703" s="85" t="s">
        <v>25</v>
      </c>
      <c r="J703" s="88" t="str">
        <f t="shared" si="10"/>
        <v>不重复</v>
      </c>
      <c r="K703" s="88" t="str">
        <f t="shared" si="10"/>
        <v>不重复</v>
      </c>
    </row>
    <row r="704" spans="1:11" ht="20.25" customHeight="1">
      <c r="A704" s="84" t="s">
        <v>1457</v>
      </c>
      <c r="B704" s="85" t="s">
        <v>1458</v>
      </c>
      <c r="C704" s="85" t="s">
        <v>1459</v>
      </c>
      <c r="D704" s="85" t="s">
        <v>1460</v>
      </c>
      <c r="E704" s="84" t="s">
        <v>1365</v>
      </c>
      <c r="F704" s="86">
        <v>405036</v>
      </c>
      <c r="G704" s="86">
        <v>5080000</v>
      </c>
      <c r="H704" s="87"/>
      <c r="I704" s="85" t="s">
        <v>6858</v>
      </c>
      <c r="J704" s="88" t="str">
        <f t="shared" si="10"/>
        <v>重复</v>
      </c>
      <c r="K704" s="88" t="str">
        <f t="shared" si="10"/>
        <v>不重复</v>
      </c>
    </row>
    <row r="705" spans="1:11" ht="20.25" customHeight="1">
      <c r="A705" s="84" t="s">
        <v>1461</v>
      </c>
      <c r="B705" s="85" t="s">
        <v>1462</v>
      </c>
      <c r="C705" s="85" t="s">
        <v>1463</v>
      </c>
      <c r="D705" s="85" t="s">
        <v>1464</v>
      </c>
      <c r="E705" s="84" t="s">
        <v>1365</v>
      </c>
      <c r="F705" s="86">
        <v>405037</v>
      </c>
      <c r="G705" s="86">
        <v>5080000</v>
      </c>
      <c r="H705" s="87"/>
      <c r="I705" s="85" t="s">
        <v>6859</v>
      </c>
      <c r="J705" s="88" t="str">
        <f t="shared" si="10"/>
        <v>不重复</v>
      </c>
      <c r="K705" s="88" t="str">
        <f t="shared" si="10"/>
        <v>不重复</v>
      </c>
    </row>
    <row r="706" spans="1:11" ht="20.25" customHeight="1">
      <c r="A706" s="84" t="s">
        <v>1492</v>
      </c>
      <c r="B706" s="85" t="s">
        <v>6860</v>
      </c>
      <c r="C706" s="85" t="s">
        <v>1493</v>
      </c>
      <c r="D706" s="85" t="s">
        <v>6861</v>
      </c>
      <c r="E706" s="84" t="s">
        <v>1365</v>
      </c>
      <c r="F706" s="86">
        <v>405038</v>
      </c>
      <c r="G706" s="86">
        <v>5080000</v>
      </c>
      <c r="H706" s="87"/>
      <c r="I706" s="85" t="s">
        <v>6858</v>
      </c>
      <c r="J706" s="88" t="str">
        <f t="shared" si="10"/>
        <v>不重复</v>
      </c>
      <c r="K706" s="88" t="str">
        <f t="shared" si="10"/>
        <v>不重复</v>
      </c>
    </row>
    <row r="707" spans="1:11" ht="20.25" customHeight="1">
      <c r="A707" s="84" t="s">
        <v>1506</v>
      </c>
      <c r="B707" s="85" t="s">
        <v>6862</v>
      </c>
      <c r="C707" s="85" t="s">
        <v>1507</v>
      </c>
      <c r="D707" s="85" t="s">
        <v>1494</v>
      </c>
      <c r="E707" s="84" t="s">
        <v>1365</v>
      </c>
      <c r="F707" s="86">
        <v>405039</v>
      </c>
      <c r="G707" s="86">
        <v>5080000</v>
      </c>
      <c r="H707" s="87"/>
      <c r="I707" s="85" t="s">
        <v>6858</v>
      </c>
      <c r="J707" s="88" t="str">
        <f t="shared" si="11" ref="J707:K770">IF(COUNTIF(C:C,C707)&gt;=2,"重复","不重复")</f>
        <v>不重复</v>
      </c>
      <c r="K707" s="88" t="str">
        <f t="shared" si="11"/>
        <v>不重复</v>
      </c>
    </row>
    <row r="708" spans="1:11" ht="20.25" customHeight="1">
      <c r="A708" s="84" t="s">
        <v>1465</v>
      </c>
      <c r="B708" s="85" t="s">
        <v>1466</v>
      </c>
      <c r="C708" s="85" t="s">
        <v>1467</v>
      </c>
      <c r="D708" s="85" t="s">
        <v>1468</v>
      </c>
      <c r="E708" s="84" t="s">
        <v>1365</v>
      </c>
      <c r="F708" s="86">
        <v>405040</v>
      </c>
      <c r="G708" s="86">
        <v>5080000</v>
      </c>
      <c r="H708" s="87"/>
      <c r="I708" s="85" t="s">
        <v>6863</v>
      </c>
      <c r="J708" s="88" t="str">
        <f t="shared" si="11"/>
        <v>不重复</v>
      </c>
      <c r="K708" s="88" t="str">
        <f t="shared" si="11"/>
        <v>不重复</v>
      </c>
    </row>
    <row r="709" spans="1:11" ht="20.25" customHeight="1">
      <c r="A709" s="84" t="s">
        <v>6864</v>
      </c>
      <c r="B709" s="85" t="s">
        <v>6865</v>
      </c>
      <c r="C709" s="85" t="s">
        <v>1475</v>
      </c>
      <c r="D709" s="85" t="s">
        <v>6866</v>
      </c>
      <c r="E709" s="84" t="s">
        <v>1365</v>
      </c>
      <c r="F709" s="86">
        <v>405041</v>
      </c>
      <c r="G709" s="86">
        <v>5080000</v>
      </c>
      <c r="H709" s="87"/>
      <c r="I709" s="85" t="s">
        <v>6818</v>
      </c>
      <c r="J709" s="88" t="str">
        <f t="shared" si="11"/>
        <v>重复</v>
      </c>
      <c r="K709" s="88" t="str">
        <f t="shared" si="11"/>
        <v>不重复</v>
      </c>
    </row>
    <row r="710" spans="1:11" ht="20.25" customHeight="1">
      <c r="A710" s="84" t="s">
        <v>6867</v>
      </c>
      <c r="B710" s="85" t="s">
        <v>6868</v>
      </c>
      <c r="C710" s="85" t="s">
        <v>6869</v>
      </c>
      <c r="D710" s="85" t="s">
        <v>6870</v>
      </c>
      <c r="E710" s="84" t="s">
        <v>1365</v>
      </c>
      <c r="F710" s="86">
        <v>405042</v>
      </c>
      <c r="G710" s="86">
        <v>5080000</v>
      </c>
      <c r="H710" s="87"/>
      <c r="I710" s="85" t="s">
        <v>6871</v>
      </c>
      <c r="J710" s="88" t="str">
        <f t="shared" si="11"/>
        <v>不重复</v>
      </c>
      <c r="K710" s="88" t="str">
        <f t="shared" si="11"/>
        <v>不重复</v>
      </c>
    </row>
    <row r="711" spans="1:11" ht="20.25" customHeight="1">
      <c r="A711" s="84" t="s">
        <v>1469</v>
      </c>
      <c r="B711" s="85" t="s">
        <v>1470</v>
      </c>
      <c r="C711" s="85" t="s">
        <v>1471</v>
      </c>
      <c r="D711" s="85" t="s">
        <v>1472</v>
      </c>
      <c r="E711" s="84" t="s">
        <v>1365</v>
      </c>
      <c r="F711" s="86">
        <v>405043</v>
      </c>
      <c r="G711" s="86">
        <v>5080000</v>
      </c>
      <c r="H711" s="87"/>
      <c r="I711" s="85" t="s">
        <v>6858</v>
      </c>
      <c r="J711" s="88" t="str">
        <f t="shared" si="11"/>
        <v>不重复</v>
      </c>
      <c r="K711" s="88" t="str">
        <f t="shared" si="11"/>
        <v>不重复</v>
      </c>
    </row>
    <row r="712" spans="1:11" ht="20.25" customHeight="1">
      <c r="A712" s="84" t="s">
        <v>1473</v>
      </c>
      <c r="B712" s="85" t="s">
        <v>1474</v>
      </c>
      <c r="C712" s="85" t="s">
        <v>1475</v>
      </c>
      <c r="D712" s="85" t="s">
        <v>1476</v>
      </c>
      <c r="E712" s="84" t="s">
        <v>1365</v>
      </c>
      <c r="F712" s="86">
        <v>405044</v>
      </c>
      <c r="G712" s="86">
        <v>5080000</v>
      </c>
      <c r="H712" s="87"/>
      <c r="I712" s="85" t="s">
        <v>1400</v>
      </c>
      <c r="J712" s="88" t="str">
        <f t="shared" si="11"/>
        <v>重复</v>
      </c>
      <c r="K712" s="88" t="str">
        <f t="shared" si="11"/>
        <v>不重复</v>
      </c>
    </row>
    <row r="713" spans="1:11" ht="20.25" customHeight="1">
      <c r="A713" s="84" t="s">
        <v>6872</v>
      </c>
      <c r="B713" s="85" t="s">
        <v>1477</v>
      </c>
      <c r="C713" s="85" t="s">
        <v>1478</v>
      </c>
      <c r="D713" s="85" t="s">
        <v>1479</v>
      </c>
      <c r="E713" s="84" t="s">
        <v>1365</v>
      </c>
      <c r="F713" s="86">
        <v>405045</v>
      </c>
      <c r="G713" s="86">
        <v>5080000</v>
      </c>
      <c r="H713" s="87"/>
      <c r="I713" s="85" t="s">
        <v>6873</v>
      </c>
      <c r="J713" s="88" t="str">
        <f t="shared" si="11"/>
        <v>不重复</v>
      </c>
      <c r="K713" s="88" t="str">
        <f t="shared" si="11"/>
        <v>不重复</v>
      </c>
    </row>
    <row r="714" spans="1:11" ht="20.25" customHeight="1">
      <c r="A714" s="84" t="s">
        <v>6874</v>
      </c>
      <c r="B714" s="85" t="s">
        <v>6875</v>
      </c>
      <c r="C714" s="85" t="s">
        <v>1401</v>
      </c>
      <c r="D714" s="85" t="s">
        <v>1402</v>
      </c>
      <c r="E714" s="84" t="s">
        <v>1365</v>
      </c>
      <c r="F714" s="86">
        <v>405046</v>
      </c>
      <c r="G714" s="86">
        <v>5080000</v>
      </c>
      <c r="H714" s="87"/>
      <c r="I714" s="85" t="s">
        <v>6876</v>
      </c>
      <c r="J714" s="88" t="str">
        <f t="shared" si="11"/>
        <v>不重复</v>
      </c>
      <c r="K714" s="88" t="str">
        <f t="shared" si="11"/>
        <v>不重复</v>
      </c>
    </row>
    <row r="715" spans="1:11" ht="20.25" customHeight="1">
      <c r="A715" s="84" t="s">
        <v>1480</v>
      </c>
      <c r="B715" s="85" t="s">
        <v>1481</v>
      </c>
      <c r="C715" s="85" t="s">
        <v>1482</v>
      </c>
      <c r="D715" s="85" t="s">
        <v>1483</v>
      </c>
      <c r="E715" s="84" t="s">
        <v>1365</v>
      </c>
      <c r="F715" s="86">
        <v>405047</v>
      </c>
      <c r="G715" s="86">
        <v>5080000</v>
      </c>
      <c r="H715" s="87"/>
      <c r="I715" s="85" t="s">
        <v>6873</v>
      </c>
      <c r="J715" s="88" t="str">
        <f t="shared" si="11"/>
        <v>不重复</v>
      </c>
      <c r="K715" s="88" t="str">
        <f t="shared" si="11"/>
        <v>不重复</v>
      </c>
    </row>
    <row r="716" spans="1:11" ht="20.25" customHeight="1">
      <c r="A716" s="84" t="s">
        <v>1484</v>
      </c>
      <c r="B716" s="85" t="s">
        <v>1485</v>
      </c>
      <c r="C716" s="85" t="s">
        <v>1486</v>
      </c>
      <c r="D716" s="85" t="s">
        <v>1487</v>
      </c>
      <c r="E716" s="84" t="s">
        <v>1365</v>
      </c>
      <c r="F716" s="86">
        <v>405048</v>
      </c>
      <c r="G716" s="86">
        <v>5080000</v>
      </c>
      <c r="H716" s="87"/>
      <c r="I716" s="85" t="s">
        <v>6877</v>
      </c>
      <c r="J716" s="88" t="str">
        <f t="shared" si="11"/>
        <v>不重复</v>
      </c>
      <c r="K716" s="88" t="str">
        <f t="shared" si="11"/>
        <v>不重复</v>
      </c>
    </row>
    <row r="717" spans="1:11" ht="20.25" customHeight="1">
      <c r="A717" s="84" t="s">
        <v>1488</v>
      </c>
      <c r="B717" s="85" t="s">
        <v>1489</v>
      </c>
      <c r="C717" s="85" t="s">
        <v>1490</v>
      </c>
      <c r="D717" s="85" t="s">
        <v>1491</v>
      </c>
      <c r="E717" s="84" t="s">
        <v>1365</v>
      </c>
      <c r="F717" s="86">
        <v>405049</v>
      </c>
      <c r="G717" s="86">
        <v>5080000</v>
      </c>
      <c r="H717" s="87"/>
      <c r="I717" s="85" t="s">
        <v>6878</v>
      </c>
      <c r="J717" s="88" t="str">
        <f t="shared" si="11"/>
        <v>不重复</v>
      </c>
      <c r="K717" s="88" t="str">
        <f t="shared" si="11"/>
        <v>不重复</v>
      </c>
    </row>
    <row r="718" spans="1:11" ht="20.25" customHeight="1">
      <c r="A718" s="84" t="s">
        <v>1528</v>
      </c>
      <c r="B718" s="85" t="s">
        <v>1529</v>
      </c>
      <c r="C718" s="85" t="s">
        <v>1526</v>
      </c>
      <c r="D718" s="85" t="s">
        <v>6879</v>
      </c>
      <c r="E718" s="84" t="s">
        <v>1365</v>
      </c>
      <c r="F718" s="86">
        <v>405050</v>
      </c>
      <c r="G718" s="86">
        <v>5080000</v>
      </c>
      <c r="H718" s="87"/>
      <c r="I718" s="85" t="s">
        <v>25</v>
      </c>
      <c r="J718" s="88" t="str">
        <f t="shared" si="11"/>
        <v>重复</v>
      </c>
      <c r="K718" s="88" t="str">
        <f t="shared" si="11"/>
        <v>不重复</v>
      </c>
    </row>
    <row r="719" spans="1:11" ht="20.25" customHeight="1">
      <c r="A719" s="84" t="s">
        <v>1524</v>
      </c>
      <c r="B719" s="85" t="s">
        <v>1525</v>
      </c>
      <c r="C719" s="85" t="s">
        <v>1526</v>
      </c>
      <c r="D719" s="85" t="s">
        <v>1527</v>
      </c>
      <c r="E719" s="84" t="s">
        <v>1365</v>
      </c>
      <c r="F719" s="86">
        <v>405051</v>
      </c>
      <c r="G719" s="86">
        <v>5080000</v>
      </c>
      <c r="H719" s="87"/>
      <c r="I719" s="85" t="s">
        <v>6880</v>
      </c>
      <c r="J719" s="88" t="str">
        <f t="shared" si="11"/>
        <v>重复</v>
      </c>
      <c r="K719" s="88" t="str">
        <f t="shared" si="11"/>
        <v>不重复</v>
      </c>
    </row>
    <row r="720" spans="1:11" ht="20.25" customHeight="1">
      <c r="A720" s="84" t="s">
        <v>1520</v>
      </c>
      <c r="B720" s="85" t="s">
        <v>1521</v>
      </c>
      <c r="C720" s="85" t="s">
        <v>1522</v>
      </c>
      <c r="D720" s="85" t="s">
        <v>1523</v>
      </c>
      <c r="E720" s="84" t="s">
        <v>1365</v>
      </c>
      <c r="F720" s="86">
        <v>405052</v>
      </c>
      <c r="G720" s="86">
        <v>5080000</v>
      </c>
      <c r="H720" s="87"/>
      <c r="I720" s="85" t="s">
        <v>25</v>
      </c>
      <c r="J720" s="88" t="str">
        <f t="shared" si="11"/>
        <v>不重复</v>
      </c>
      <c r="K720" s="88" t="str">
        <f t="shared" si="11"/>
        <v>不重复</v>
      </c>
    </row>
    <row r="721" spans="1:11" ht="20.25" customHeight="1">
      <c r="A721" s="84" t="s">
        <v>1508</v>
      </c>
      <c r="B721" s="85" t="s">
        <v>1509</v>
      </c>
      <c r="C721" s="85" t="s">
        <v>1510</v>
      </c>
      <c r="D721" s="85" t="s">
        <v>1511</v>
      </c>
      <c r="E721" s="84" t="s">
        <v>1365</v>
      </c>
      <c r="F721" s="86">
        <v>405053</v>
      </c>
      <c r="G721" s="86">
        <v>5080000</v>
      </c>
      <c r="H721" s="87"/>
      <c r="I721" s="85" t="s">
        <v>6881</v>
      </c>
      <c r="J721" s="88" t="str">
        <f t="shared" si="11"/>
        <v>不重复</v>
      </c>
      <c r="K721" s="88" t="str">
        <f t="shared" si="11"/>
        <v>不重复</v>
      </c>
    </row>
    <row r="722" spans="1:11" ht="20.25" customHeight="1">
      <c r="A722" s="84" t="s">
        <v>1512</v>
      </c>
      <c r="B722" s="85" t="s">
        <v>1513</v>
      </c>
      <c r="C722" s="85" t="s">
        <v>1514</v>
      </c>
      <c r="D722" s="85" t="s">
        <v>1515</v>
      </c>
      <c r="E722" s="84" t="s">
        <v>1365</v>
      </c>
      <c r="F722" s="86">
        <v>405054</v>
      </c>
      <c r="G722" s="86">
        <v>5080000</v>
      </c>
      <c r="H722" s="87"/>
      <c r="I722" s="85" t="s">
        <v>6882</v>
      </c>
      <c r="J722" s="88" t="str">
        <f t="shared" si="11"/>
        <v>不重复</v>
      </c>
      <c r="K722" s="88" t="str">
        <f t="shared" si="11"/>
        <v>不重复</v>
      </c>
    </row>
    <row r="723" spans="1:11" ht="20.25" customHeight="1">
      <c r="A723" s="84" t="s">
        <v>1516</v>
      </c>
      <c r="B723" s="85" t="s">
        <v>1517</v>
      </c>
      <c r="C723" s="85" t="s">
        <v>1518</v>
      </c>
      <c r="D723" s="85" t="s">
        <v>1519</v>
      </c>
      <c r="E723" s="84" t="s">
        <v>1365</v>
      </c>
      <c r="F723" s="86">
        <v>405055</v>
      </c>
      <c r="G723" s="86">
        <v>5080000</v>
      </c>
      <c r="H723" s="87"/>
      <c r="I723" s="85" t="s">
        <v>6883</v>
      </c>
      <c r="J723" s="88" t="str">
        <f t="shared" si="11"/>
        <v>不重复</v>
      </c>
      <c r="K723" s="88" t="str">
        <f t="shared" si="11"/>
        <v>不重复</v>
      </c>
    </row>
    <row r="724" spans="1:11" ht="20.25" customHeight="1">
      <c r="A724" s="84" t="s">
        <v>1503</v>
      </c>
      <c r="B724" s="85" t="s">
        <v>1504</v>
      </c>
      <c r="C724" s="85" t="s">
        <v>1501</v>
      </c>
      <c r="D724" s="85" t="s">
        <v>1505</v>
      </c>
      <c r="E724" s="84" t="s">
        <v>1365</v>
      </c>
      <c r="F724" s="86">
        <v>405056</v>
      </c>
      <c r="G724" s="86">
        <v>5080000</v>
      </c>
      <c r="H724" s="87"/>
      <c r="I724" s="85" t="s">
        <v>25</v>
      </c>
      <c r="J724" s="88" t="str">
        <f t="shared" si="11"/>
        <v>重复</v>
      </c>
      <c r="K724" s="88" t="str">
        <f t="shared" si="11"/>
        <v>不重复</v>
      </c>
    </row>
    <row r="725" spans="1:11" ht="20.25" customHeight="1">
      <c r="A725" s="84" t="s">
        <v>1499</v>
      </c>
      <c r="B725" s="85" t="s">
        <v>1500</v>
      </c>
      <c r="C725" s="85" t="s">
        <v>1501</v>
      </c>
      <c r="D725" s="85" t="s">
        <v>1502</v>
      </c>
      <c r="E725" s="84" t="s">
        <v>1365</v>
      </c>
      <c r="F725" s="86">
        <v>405057</v>
      </c>
      <c r="G725" s="86">
        <v>5080000</v>
      </c>
      <c r="H725" s="87"/>
      <c r="I725" s="85" t="s">
        <v>6884</v>
      </c>
      <c r="J725" s="88" t="str">
        <f t="shared" si="11"/>
        <v>重复</v>
      </c>
      <c r="K725" s="88" t="str">
        <f t="shared" si="11"/>
        <v>不重复</v>
      </c>
    </row>
    <row r="726" spans="1:11" ht="20.25" customHeight="1">
      <c r="A726" s="84" t="s">
        <v>6885</v>
      </c>
      <c r="B726" s="85" t="s">
        <v>6886</v>
      </c>
      <c r="C726" s="85" t="s">
        <v>1411</v>
      </c>
      <c r="D726" s="85" t="s">
        <v>6887</v>
      </c>
      <c r="E726" s="84" t="s">
        <v>1365</v>
      </c>
      <c r="F726" s="86">
        <v>405058</v>
      </c>
      <c r="G726" s="86">
        <v>5080000</v>
      </c>
      <c r="H726" s="87"/>
      <c r="I726" s="85" t="s">
        <v>25</v>
      </c>
      <c r="J726" s="88" t="str">
        <f t="shared" si="11"/>
        <v>重复</v>
      </c>
      <c r="K726" s="88" t="str">
        <f t="shared" si="11"/>
        <v>不重复</v>
      </c>
    </row>
    <row r="727" spans="1:11" ht="20.25" customHeight="1">
      <c r="A727" s="84" t="s">
        <v>1409</v>
      </c>
      <c r="B727" s="85" t="s">
        <v>1410</v>
      </c>
      <c r="C727" s="85" t="s">
        <v>1411</v>
      </c>
      <c r="D727" s="85" t="s">
        <v>1412</v>
      </c>
      <c r="E727" s="84" t="s">
        <v>1365</v>
      </c>
      <c r="F727" s="86">
        <v>405059</v>
      </c>
      <c r="G727" s="86">
        <v>5080000</v>
      </c>
      <c r="H727" s="87"/>
      <c r="I727" s="85" t="s">
        <v>6818</v>
      </c>
      <c r="J727" s="88" t="str">
        <f t="shared" si="11"/>
        <v>重复</v>
      </c>
      <c r="K727" s="88" t="str">
        <f t="shared" si="11"/>
        <v>不重复</v>
      </c>
    </row>
    <row r="728" spans="1:11" ht="20.25" customHeight="1">
      <c r="A728" s="84" t="s">
        <v>1413</v>
      </c>
      <c r="B728" s="85" t="s">
        <v>1414</v>
      </c>
      <c r="C728" s="85" t="s">
        <v>1415</v>
      </c>
      <c r="D728" s="85" t="s">
        <v>1416</v>
      </c>
      <c r="E728" s="84" t="s">
        <v>1365</v>
      </c>
      <c r="F728" s="86">
        <v>405060</v>
      </c>
      <c r="G728" s="86">
        <v>5080000</v>
      </c>
      <c r="H728" s="87"/>
      <c r="I728" s="85" t="s">
        <v>6813</v>
      </c>
      <c r="J728" s="88" t="str">
        <f t="shared" si="11"/>
        <v>不重复</v>
      </c>
      <c r="K728" s="88" t="str">
        <f t="shared" si="11"/>
        <v>不重复</v>
      </c>
    </row>
    <row r="729" spans="1:11" ht="20.25" customHeight="1">
      <c r="A729" s="89" t="s">
        <v>1587</v>
      </c>
      <c r="B729" s="90" t="s">
        <v>6888</v>
      </c>
      <c r="C729" s="90" t="s">
        <v>6889</v>
      </c>
      <c r="D729" s="90" t="s">
        <v>1586</v>
      </c>
      <c r="E729" s="89" t="s">
        <v>1584</v>
      </c>
      <c r="F729" s="91">
        <v>501000</v>
      </c>
      <c r="G729" s="91">
        <v>5090000</v>
      </c>
      <c r="H729" s="87"/>
      <c r="I729" s="90" t="s">
        <v>25</v>
      </c>
      <c r="J729" s="88" t="str">
        <f t="shared" si="11"/>
        <v>不重复</v>
      </c>
      <c r="K729" s="88" t="str">
        <f t="shared" si="11"/>
        <v>不重复</v>
      </c>
    </row>
    <row r="730" spans="1:11" ht="20.25" customHeight="1">
      <c r="A730" s="89" t="s">
        <v>6890</v>
      </c>
      <c r="B730" s="90" t="s">
        <v>6891</v>
      </c>
      <c r="C730" s="90" t="s">
        <v>6892</v>
      </c>
      <c r="D730" s="90" t="s">
        <v>6893</v>
      </c>
      <c r="E730" s="89" t="s">
        <v>1584</v>
      </c>
      <c r="F730" s="91">
        <v>502000</v>
      </c>
      <c r="G730" s="91">
        <v>5090000</v>
      </c>
      <c r="H730" s="87"/>
      <c r="I730" s="90" t="s">
        <v>25</v>
      </c>
      <c r="J730" s="88" t="str">
        <f t="shared" si="11"/>
        <v>不重复</v>
      </c>
      <c r="K730" s="88" t="str">
        <f t="shared" si="11"/>
        <v>不重复</v>
      </c>
    </row>
    <row r="731" spans="1:11" ht="20.25" customHeight="1">
      <c r="A731" s="89" t="s">
        <v>6894</v>
      </c>
      <c r="B731" s="90" t="s">
        <v>6895</v>
      </c>
      <c r="C731" s="90" t="s">
        <v>1594</v>
      </c>
      <c r="D731" s="90" t="s">
        <v>6896</v>
      </c>
      <c r="E731" s="89" t="s">
        <v>1584</v>
      </c>
      <c r="F731" s="91">
        <v>503000</v>
      </c>
      <c r="G731" s="91">
        <v>5090100</v>
      </c>
      <c r="H731" s="87"/>
      <c r="I731" s="90" t="s">
        <v>25</v>
      </c>
      <c r="J731" s="88" t="str">
        <f t="shared" si="11"/>
        <v>重复</v>
      </c>
      <c r="K731" s="88" t="str">
        <f t="shared" si="11"/>
        <v>不重复</v>
      </c>
    </row>
    <row r="732" spans="1:11" ht="20.25" customHeight="1">
      <c r="A732" s="89" t="s">
        <v>1800</v>
      </c>
      <c r="B732" s="90" t="s">
        <v>6897</v>
      </c>
      <c r="C732" s="90" t="s">
        <v>1594</v>
      </c>
      <c r="D732" s="90" t="s">
        <v>1801</v>
      </c>
      <c r="E732" s="89" t="s">
        <v>1584</v>
      </c>
      <c r="F732" s="91">
        <v>503001</v>
      </c>
      <c r="G732" s="91">
        <v>5090100</v>
      </c>
      <c r="H732" s="87"/>
      <c r="I732" s="90" t="s">
        <v>6898</v>
      </c>
      <c r="J732" s="88" t="str">
        <f t="shared" si="11"/>
        <v>重复</v>
      </c>
      <c r="K732" s="88" t="str">
        <f t="shared" si="11"/>
        <v>不重复</v>
      </c>
    </row>
    <row r="733" spans="1:11" ht="20.25" customHeight="1">
      <c r="A733" s="89" t="s">
        <v>1802</v>
      </c>
      <c r="B733" s="90" t="s">
        <v>6899</v>
      </c>
      <c r="C733" s="90" t="s">
        <v>1803</v>
      </c>
      <c r="D733" s="90" t="s">
        <v>1804</v>
      </c>
      <c r="E733" s="89" t="s">
        <v>1584</v>
      </c>
      <c r="F733" s="91">
        <v>503002</v>
      </c>
      <c r="G733" s="91">
        <v>5090100</v>
      </c>
      <c r="H733" s="87"/>
      <c r="I733" s="90" t="s">
        <v>6900</v>
      </c>
      <c r="J733" s="88" t="str">
        <f t="shared" si="11"/>
        <v>不重复</v>
      </c>
      <c r="K733" s="88" t="str">
        <f t="shared" si="11"/>
        <v>不重复</v>
      </c>
    </row>
    <row r="734" spans="1:11" ht="20.25" customHeight="1">
      <c r="A734" s="84" t="s">
        <v>6901</v>
      </c>
      <c r="B734" s="85" t="s">
        <v>6902</v>
      </c>
      <c r="C734" s="85" t="s">
        <v>1596</v>
      </c>
      <c r="D734" s="85" t="s">
        <v>6903</v>
      </c>
      <c r="E734" s="84" t="s">
        <v>1588</v>
      </c>
      <c r="F734" s="86">
        <v>504000</v>
      </c>
      <c r="G734" s="86">
        <v>5090200</v>
      </c>
      <c r="H734" s="87"/>
      <c r="I734" s="85" t="s">
        <v>25</v>
      </c>
      <c r="J734" s="88" t="str">
        <f t="shared" si="11"/>
        <v>重复</v>
      </c>
      <c r="K734" s="88" t="str">
        <f t="shared" si="11"/>
        <v>不重复</v>
      </c>
    </row>
    <row r="735" spans="1:11" ht="20.25" customHeight="1">
      <c r="A735" s="84" t="s">
        <v>1635</v>
      </c>
      <c r="B735" s="85" t="s">
        <v>6904</v>
      </c>
      <c r="C735" s="85" t="s">
        <v>1596</v>
      </c>
      <c r="D735" s="85" t="s">
        <v>1636</v>
      </c>
      <c r="E735" s="84" t="s">
        <v>1588</v>
      </c>
      <c r="F735" s="86">
        <v>504001</v>
      </c>
      <c r="G735" s="86">
        <v>5090200</v>
      </c>
      <c r="H735" s="87"/>
      <c r="I735" s="85" t="s">
        <v>6905</v>
      </c>
      <c r="J735" s="88" t="str">
        <f t="shared" si="11"/>
        <v>重复</v>
      </c>
      <c r="K735" s="88" t="str">
        <f t="shared" si="11"/>
        <v>不重复</v>
      </c>
    </row>
    <row r="736" spans="1:11" ht="20.25" customHeight="1">
      <c r="A736" s="84" t="s">
        <v>6906</v>
      </c>
      <c r="B736" s="85" t="s">
        <v>6907</v>
      </c>
      <c r="C736" s="85" t="s">
        <v>1655</v>
      </c>
      <c r="D736" s="85" t="s">
        <v>6908</v>
      </c>
      <c r="E736" s="84" t="s">
        <v>1588</v>
      </c>
      <c r="F736" s="86">
        <v>504002</v>
      </c>
      <c r="G736" s="86">
        <v>5090200</v>
      </c>
      <c r="H736" s="87"/>
      <c r="I736" s="85" t="s">
        <v>25</v>
      </c>
      <c r="J736" s="88" t="str">
        <f t="shared" si="11"/>
        <v>重复</v>
      </c>
      <c r="K736" s="88" t="str">
        <f t="shared" si="11"/>
        <v>不重复</v>
      </c>
    </row>
    <row r="737" spans="1:11" ht="20.25" customHeight="1">
      <c r="A737" s="84" t="s">
        <v>1654</v>
      </c>
      <c r="B737" s="85" t="s">
        <v>6909</v>
      </c>
      <c r="C737" s="85" t="s">
        <v>1655</v>
      </c>
      <c r="D737" s="85" t="s">
        <v>1656</v>
      </c>
      <c r="E737" s="84" t="s">
        <v>1588</v>
      </c>
      <c r="F737" s="86">
        <v>504003</v>
      </c>
      <c r="G737" s="86">
        <v>5090200</v>
      </c>
      <c r="H737" s="87"/>
      <c r="I737" s="85" t="s">
        <v>6910</v>
      </c>
      <c r="J737" s="88" t="str">
        <f t="shared" si="11"/>
        <v>重复</v>
      </c>
      <c r="K737" s="88" t="str">
        <f t="shared" si="11"/>
        <v>不重复</v>
      </c>
    </row>
    <row r="738" spans="1:11" ht="20.25" customHeight="1">
      <c r="A738" s="89" t="s">
        <v>1623</v>
      </c>
      <c r="B738" s="90" t="s">
        <v>6911</v>
      </c>
      <c r="C738" s="90" t="s">
        <v>281</v>
      </c>
      <c r="D738" s="90" t="s">
        <v>6912</v>
      </c>
      <c r="E738" s="89" t="s">
        <v>1588</v>
      </c>
      <c r="F738" s="91">
        <v>504004</v>
      </c>
      <c r="G738" s="91">
        <v>5090200</v>
      </c>
      <c r="H738" s="87"/>
      <c r="I738" s="90" t="s">
        <v>25</v>
      </c>
      <c r="J738" s="88" t="str">
        <f t="shared" si="11"/>
        <v>重复</v>
      </c>
      <c r="K738" s="88" t="str">
        <f t="shared" si="11"/>
        <v>不重复</v>
      </c>
    </row>
    <row r="739" spans="1:11" ht="20.25" customHeight="1">
      <c r="A739" s="89" t="s">
        <v>1617</v>
      </c>
      <c r="B739" s="90" t="s">
        <v>6913</v>
      </c>
      <c r="C739" s="90" t="s">
        <v>1618</v>
      </c>
      <c r="D739" s="90" t="s">
        <v>1619</v>
      </c>
      <c r="E739" s="89" t="s">
        <v>1588</v>
      </c>
      <c r="F739" s="91">
        <v>504005</v>
      </c>
      <c r="G739" s="91">
        <v>5090200</v>
      </c>
      <c r="H739" s="87"/>
      <c r="I739" s="90" t="s">
        <v>6914</v>
      </c>
      <c r="J739" s="88" t="str">
        <f t="shared" si="11"/>
        <v>不重复</v>
      </c>
      <c r="K739" s="88" t="str">
        <f t="shared" si="11"/>
        <v>不重复</v>
      </c>
    </row>
    <row r="740" spans="1:11" ht="20.25" customHeight="1">
      <c r="A740" s="89" t="s">
        <v>1611</v>
      </c>
      <c r="B740" s="90" t="s">
        <v>6915</v>
      </c>
      <c r="C740" s="90" t="s">
        <v>1612</v>
      </c>
      <c r="D740" s="90" t="s">
        <v>1613</v>
      </c>
      <c r="E740" s="89" t="s">
        <v>1588</v>
      </c>
      <c r="F740" s="91">
        <v>504006</v>
      </c>
      <c r="G740" s="91">
        <v>5090200</v>
      </c>
      <c r="H740" s="87"/>
      <c r="I740" s="90" t="s">
        <v>6914</v>
      </c>
      <c r="J740" s="88" t="str">
        <f t="shared" si="11"/>
        <v>不重复</v>
      </c>
      <c r="K740" s="88" t="str">
        <f t="shared" si="11"/>
        <v>不重复</v>
      </c>
    </row>
    <row r="741" spans="1:11" ht="20.25" customHeight="1">
      <c r="A741" s="89" t="s">
        <v>1620</v>
      </c>
      <c r="B741" s="90" t="s">
        <v>6916</v>
      </c>
      <c r="C741" s="90" t="s">
        <v>1621</v>
      </c>
      <c r="D741" s="90" t="s">
        <v>1622</v>
      </c>
      <c r="E741" s="89" t="s">
        <v>1588</v>
      </c>
      <c r="F741" s="91">
        <v>504007</v>
      </c>
      <c r="G741" s="91">
        <v>5090200</v>
      </c>
      <c r="H741" s="87"/>
      <c r="I741" s="90" t="s">
        <v>6914</v>
      </c>
      <c r="J741" s="88" t="str">
        <f t="shared" si="11"/>
        <v>不重复</v>
      </c>
      <c r="K741" s="88" t="str">
        <f t="shared" si="11"/>
        <v>不重复</v>
      </c>
    </row>
    <row r="742" spans="1:11" ht="20.25" customHeight="1">
      <c r="A742" s="89" t="s">
        <v>1609</v>
      </c>
      <c r="B742" s="90" t="s">
        <v>6917</v>
      </c>
      <c r="C742" s="90" t="s">
        <v>1610</v>
      </c>
      <c r="D742" s="90" t="s">
        <v>6918</v>
      </c>
      <c r="E742" s="89" t="s">
        <v>1588</v>
      </c>
      <c r="F742" s="91">
        <v>504008</v>
      </c>
      <c r="G742" s="91">
        <v>5090200</v>
      </c>
      <c r="H742" s="87"/>
      <c r="I742" s="90" t="s">
        <v>6914</v>
      </c>
      <c r="J742" s="88" t="str">
        <f t="shared" si="11"/>
        <v>不重复</v>
      </c>
      <c r="K742" s="88" t="str">
        <f t="shared" si="11"/>
        <v>不重复</v>
      </c>
    </row>
    <row r="743" spans="1:11" ht="20.25" customHeight="1">
      <c r="A743" s="89" t="s">
        <v>1604</v>
      </c>
      <c r="B743" s="90" t="s">
        <v>6919</v>
      </c>
      <c r="C743" s="90" t="s">
        <v>1605</v>
      </c>
      <c r="D743" s="90" t="s">
        <v>6920</v>
      </c>
      <c r="E743" s="89" t="s">
        <v>1588</v>
      </c>
      <c r="F743" s="91">
        <v>504009</v>
      </c>
      <c r="G743" s="91">
        <v>5090200</v>
      </c>
      <c r="H743" s="87"/>
      <c r="I743" s="90" t="s">
        <v>6914</v>
      </c>
      <c r="J743" s="88" t="str">
        <f t="shared" si="11"/>
        <v>不重复</v>
      </c>
      <c r="K743" s="88" t="str">
        <f t="shared" si="11"/>
        <v>不重复</v>
      </c>
    </row>
    <row r="744" spans="1:11" ht="20.25" customHeight="1">
      <c r="A744" s="89" t="s">
        <v>1606</v>
      </c>
      <c r="B744" s="90" t="s">
        <v>6921</v>
      </c>
      <c r="C744" s="90" t="s">
        <v>1607</v>
      </c>
      <c r="D744" s="90" t="s">
        <v>1608</v>
      </c>
      <c r="E744" s="89" t="s">
        <v>1588</v>
      </c>
      <c r="F744" s="91">
        <v>504010</v>
      </c>
      <c r="G744" s="91">
        <v>5090200</v>
      </c>
      <c r="H744" s="87"/>
      <c r="I744" s="90" t="s">
        <v>6914</v>
      </c>
      <c r="J744" s="88" t="str">
        <f t="shared" si="11"/>
        <v>不重复</v>
      </c>
      <c r="K744" s="88" t="str">
        <f t="shared" si="11"/>
        <v>不重复</v>
      </c>
    </row>
    <row r="745" spans="1:11" ht="20.25" customHeight="1">
      <c r="A745" s="89" t="s">
        <v>1598</v>
      </c>
      <c r="B745" s="90" t="s">
        <v>6922</v>
      </c>
      <c r="C745" s="90" t="s">
        <v>1599</v>
      </c>
      <c r="D745" s="90" t="s">
        <v>1600</v>
      </c>
      <c r="E745" s="89" t="s">
        <v>1588</v>
      </c>
      <c r="F745" s="91">
        <v>504011</v>
      </c>
      <c r="G745" s="91">
        <v>5090200</v>
      </c>
      <c r="H745" s="87"/>
      <c r="I745" s="90" t="s">
        <v>6923</v>
      </c>
      <c r="J745" s="88" t="str">
        <f t="shared" si="11"/>
        <v>重复</v>
      </c>
      <c r="K745" s="88" t="str">
        <f t="shared" si="11"/>
        <v>不重复</v>
      </c>
    </row>
    <row r="746" spans="1:11" ht="20.25" customHeight="1">
      <c r="A746" s="89" t="s">
        <v>1601</v>
      </c>
      <c r="B746" s="90" t="s">
        <v>6924</v>
      </c>
      <c r="C746" s="90" t="s">
        <v>1602</v>
      </c>
      <c r="D746" s="90" t="s">
        <v>1603</v>
      </c>
      <c r="E746" s="89" t="s">
        <v>1588</v>
      </c>
      <c r="F746" s="91">
        <v>504012</v>
      </c>
      <c r="G746" s="91">
        <v>5090200</v>
      </c>
      <c r="H746" s="87"/>
      <c r="I746" s="90" t="s">
        <v>6914</v>
      </c>
      <c r="J746" s="88" t="str">
        <f t="shared" si="11"/>
        <v>不重复</v>
      </c>
      <c r="K746" s="88" t="str">
        <f t="shared" si="11"/>
        <v>不重复</v>
      </c>
    </row>
    <row r="747" spans="1:11" ht="20.25" customHeight="1">
      <c r="A747" s="89" t="s">
        <v>1614</v>
      </c>
      <c r="B747" s="90" t="s">
        <v>6925</v>
      </c>
      <c r="C747" s="90" t="s">
        <v>1615</v>
      </c>
      <c r="D747" s="90" t="s">
        <v>1616</v>
      </c>
      <c r="E747" s="89" t="s">
        <v>1588</v>
      </c>
      <c r="F747" s="91">
        <v>504013</v>
      </c>
      <c r="G747" s="91">
        <v>5090200</v>
      </c>
      <c r="H747" s="87"/>
      <c r="I747" s="90" t="s">
        <v>6926</v>
      </c>
      <c r="J747" s="88" t="str">
        <f t="shared" si="11"/>
        <v>不重复</v>
      </c>
      <c r="K747" s="88" t="str">
        <f t="shared" si="11"/>
        <v>不重复</v>
      </c>
    </row>
    <row r="748" spans="1:11" ht="20.25" customHeight="1">
      <c r="A748" s="89" t="s">
        <v>1633</v>
      </c>
      <c r="B748" s="90" t="s">
        <v>1634</v>
      </c>
      <c r="C748" s="90" t="s">
        <v>1628</v>
      </c>
      <c r="D748" s="90" t="s">
        <v>6927</v>
      </c>
      <c r="E748" s="89" t="s">
        <v>1588</v>
      </c>
      <c r="F748" s="91">
        <v>504014</v>
      </c>
      <c r="G748" s="91">
        <v>5090200</v>
      </c>
      <c r="H748" s="87"/>
      <c r="I748" s="90" t="s">
        <v>25</v>
      </c>
      <c r="J748" s="88" t="str">
        <f t="shared" si="11"/>
        <v>重复</v>
      </c>
      <c r="K748" s="88" t="str">
        <f t="shared" si="11"/>
        <v>不重复</v>
      </c>
    </row>
    <row r="749" spans="1:11" ht="20.25" customHeight="1">
      <c r="A749" s="89" t="s">
        <v>1627</v>
      </c>
      <c r="B749" s="90" t="s">
        <v>6928</v>
      </c>
      <c r="C749" s="90" t="s">
        <v>1628</v>
      </c>
      <c r="D749" s="90" t="s">
        <v>1629</v>
      </c>
      <c r="E749" s="89" t="s">
        <v>1588</v>
      </c>
      <c r="F749" s="91">
        <v>504015</v>
      </c>
      <c r="G749" s="91">
        <v>5090200</v>
      </c>
      <c r="H749" s="87"/>
      <c r="I749" s="90" t="s">
        <v>6929</v>
      </c>
      <c r="J749" s="88" t="str">
        <f t="shared" si="11"/>
        <v>重复</v>
      </c>
      <c r="K749" s="88" t="str">
        <f t="shared" si="11"/>
        <v>不重复</v>
      </c>
    </row>
    <row r="750" spans="1:11" ht="20.25" customHeight="1">
      <c r="A750" s="89" t="s">
        <v>1630</v>
      </c>
      <c r="B750" s="90" t="s">
        <v>6930</v>
      </c>
      <c r="C750" s="90" t="s">
        <v>1631</v>
      </c>
      <c r="D750" s="90" t="s">
        <v>1632</v>
      </c>
      <c r="E750" s="89" t="s">
        <v>1588</v>
      </c>
      <c r="F750" s="91">
        <v>504016</v>
      </c>
      <c r="G750" s="91">
        <v>5090200</v>
      </c>
      <c r="H750" s="87"/>
      <c r="I750" s="90" t="s">
        <v>6931</v>
      </c>
      <c r="J750" s="88" t="str">
        <f t="shared" si="11"/>
        <v>不重复</v>
      </c>
      <c r="K750" s="88" t="str">
        <f t="shared" si="11"/>
        <v>不重复</v>
      </c>
    </row>
    <row r="751" spans="1:11" ht="20.25" customHeight="1">
      <c r="A751" s="84" t="s">
        <v>6932</v>
      </c>
      <c r="B751" s="85" t="s">
        <v>6933</v>
      </c>
      <c r="C751" s="85" t="s">
        <v>365</v>
      </c>
      <c r="D751" s="85" t="s">
        <v>6934</v>
      </c>
      <c r="E751" s="84" t="s">
        <v>1588</v>
      </c>
      <c r="F751" s="86">
        <v>504017</v>
      </c>
      <c r="G751" s="86">
        <v>5090200</v>
      </c>
      <c r="H751" s="87"/>
      <c r="I751" s="85" t="s">
        <v>25</v>
      </c>
      <c r="J751" s="88" t="str">
        <f t="shared" si="11"/>
        <v>重复</v>
      </c>
      <c r="K751" s="88" t="str">
        <f t="shared" si="11"/>
        <v>不重复</v>
      </c>
    </row>
    <row r="752" spans="1:11" ht="20.25" customHeight="1">
      <c r="A752" s="84" t="s">
        <v>1637</v>
      </c>
      <c r="B752" s="85" t="s">
        <v>1638</v>
      </c>
      <c r="C752" s="85" t="s">
        <v>365</v>
      </c>
      <c r="D752" s="85" t="s">
        <v>1639</v>
      </c>
      <c r="E752" s="84" t="s">
        <v>1588</v>
      </c>
      <c r="F752" s="86">
        <v>504018</v>
      </c>
      <c r="G752" s="86">
        <v>5090200</v>
      </c>
      <c r="H752" s="87"/>
      <c r="I752" s="85" t="s">
        <v>6935</v>
      </c>
      <c r="J752" s="88" t="str">
        <f t="shared" si="11"/>
        <v>重复</v>
      </c>
      <c r="K752" s="88" t="str">
        <f t="shared" si="11"/>
        <v>不重复</v>
      </c>
    </row>
    <row r="753" spans="1:11" ht="20.25" customHeight="1">
      <c r="A753" s="89" t="s">
        <v>1624</v>
      </c>
      <c r="B753" s="90" t="s">
        <v>6936</v>
      </c>
      <c r="C753" s="90" t="s">
        <v>1625</v>
      </c>
      <c r="D753" s="90" t="s">
        <v>1626</v>
      </c>
      <c r="E753" s="89" t="s">
        <v>1588</v>
      </c>
      <c r="F753" s="91">
        <v>504020</v>
      </c>
      <c r="G753" s="91">
        <v>5090200</v>
      </c>
      <c r="H753" s="87"/>
      <c r="I753" s="90" t="s">
        <v>6937</v>
      </c>
      <c r="J753" s="88" t="str">
        <f t="shared" si="11"/>
        <v>不重复</v>
      </c>
      <c r="K753" s="88" t="str">
        <f t="shared" si="11"/>
        <v>不重复</v>
      </c>
    </row>
    <row r="754" spans="1:11" ht="20.25" customHeight="1">
      <c r="A754" s="84" t="s">
        <v>1652</v>
      </c>
      <c r="B754" s="85" t="s">
        <v>1653</v>
      </c>
      <c r="C754" s="85" t="s">
        <v>1647</v>
      </c>
      <c r="D754" s="85" t="s">
        <v>6938</v>
      </c>
      <c r="E754" s="84" t="s">
        <v>1588</v>
      </c>
      <c r="F754" s="86">
        <v>504021</v>
      </c>
      <c r="G754" s="86">
        <v>5090200</v>
      </c>
      <c r="H754" s="87"/>
      <c r="I754" s="85" t="s">
        <v>25</v>
      </c>
      <c r="J754" s="88" t="str">
        <f t="shared" si="11"/>
        <v>重复</v>
      </c>
      <c r="K754" s="88" t="str">
        <f t="shared" si="11"/>
        <v>不重复</v>
      </c>
    </row>
    <row r="755" spans="1:11" ht="20.25" customHeight="1">
      <c r="A755" s="84" t="s">
        <v>1646</v>
      </c>
      <c r="B755" s="85" t="s">
        <v>6939</v>
      </c>
      <c r="C755" s="85" t="s">
        <v>1647</v>
      </c>
      <c r="D755" s="85" t="s">
        <v>1648</v>
      </c>
      <c r="E755" s="84" t="s">
        <v>1588</v>
      </c>
      <c r="F755" s="86">
        <v>504022</v>
      </c>
      <c r="G755" s="86">
        <v>5090200</v>
      </c>
      <c r="H755" s="87"/>
      <c r="I755" s="85" t="s">
        <v>6940</v>
      </c>
      <c r="J755" s="88" t="str">
        <f t="shared" si="11"/>
        <v>重复</v>
      </c>
      <c r="K755" s="88" t="str">
        <f t="shared" si="11"/>
        <v>不重复</v>
      </c>
    </row>
    <row r="756" spans="1:11" ht="20.25" customHeight="1">
      <c r="A756" s="84" t="s">
        <v>1649</v>
      </c>
      <c r="B756" s="85" t="s">
        <v>6941</v>
      </c>
      <c r="C756" s="85" t="s">
        <v>1650</v>
      </c>
      <c r="D756" s="85" t="s">
        <v>1651</v>
      </c>
      <c r="E756" s="84" t="s">
        <v>1588</v>
      </c>
      <c r="F756" s="86">
        <v>504023</v>
      </c>
      <c r="G756" s="86">
        <v>5090200</v>
      </c>
      <c r="H756" s="87"/>
      <c r="I756" s="85" t="s">
        <v>6942</v>
      </c>
      <c r="J756" s="88" t="str">
        <f t="shared" si="11"/>
        <v>不重复</v>
      </c>
      <c r="K756" s="88" t="str">
        <f t="shared" si="11"/>
        <v>不重复</v>
      </c>
    </row>
    <row r="757" spans="1:11" ht="20.25" customHeight="1">
      <c r="A757" s="84" t="s">
        <v>1640</v>
      </c>
      <c r="B757" s="85" t="s">
        <v>6943</v>
      </c>
      <c r="C757" s="85" t="s">
        <v>1641</v>
      </c>
      <c r="D757" s="85" t="s">
        <v>1642</v>
      </c>
      <c r="E757" s="84" t="s">
        <v>1588</v>
      </c>
      <c r="F757" s="86">
        <v>504024</v>
      </c>
      <c r="G757" s="86">
        <v>5090200</v>
      </c>
      <c r="H757" s="87"/>
      <c r="I757" s="85" t="s">
        <v>6944</v>
      </c>
      <c r="J757" s="88" t="str">
        <f t="shared" si="11"/>
        <v>不重复</v>
      </c>
      <c r="K757" s="88" t="str">
        <f t="shared" si="11"/>
        <v>不重复</v>
      </c>
    </row>
    <row r="758" spans="1:11" ht="20.25" customHeight="1">
      <c r="A758" s="84" t="s">
        <v>1643</v>
      </c>
      <c r="B758" s="85" t="s">
        <v>6945</v>
      </c>
      <c r="C758" s="85" t="s">
        <v>1644</v>
      </c>
      <c r="D758" s="85" t="s">
        <v>1645</v>
      </c>
      <c r="E758" s="84" t="s">
        <v>1588</v>
      </c>
      <c r="F758" s="86">
        <v>504025</v>
      </c>
      <c r="G758" s="86">
        <v>5090200</v>
      </c>
      <c r="H758" s="87"/>
      <c r="I758" s="85" t="s">
        <v>6946</v>
      </c>
      <c r="J758" s="88" t="str">
        <f t="shared" si="11"/>
        <v>不重复</v>
      </c>
      <c r="K758" s="88" t="str">
        <f t="shared" si="11"/>
        <v>不重复</v>
      </c>
    </row>
    <row r="759" spans="1:11" ht="20.25" customHeight="1">
      <c r="A759" s="89" t="s">
        <v>6947</v>
      </c>
      <c r="B759" s="90" t="s">
        <v>6948</v>
      </c>
      <c r="C759" s="90" t="s">
        <v>1658</v>
      </c>
      <c r="D759" s="90" t="s">
        <v>6949</v>
      </c>
      <c r="E759" s="89" t="s">
        <v>1588</v>
      </c>
      <c r="F759" s="91">
        <v>504026</v>
      </c>
      <c r="G759" s="91">
        <v>5090200</v>
      </c>
      <c r="H759" s="87"/>
      <c r="I759" s="90" t="s">
        <v>25</v>
      </c>
      <c r="J759" s="88" t="str">
        <f t="shared" si="11"/>
        <v>重复</v>
      </c>
      <c r="K759" s="88" t="str">
        <f t="shared" si="11"/>
        <v>不重复</v>
      </c>
    </row>
    <row r="760" spans="1:11" ht="20.25" customHeight="1">
      <c r="A760" s="89" t="s">
        <v>1657</v>
      </c>
      <c r="B760" s="90" t="s">
        <v>6950</v>
      </c>
      <c r="C760" s="90" t="s">
        <v>1658</v>
      </c>
      <c r="D760" s="90" t="s">
        <v>1659</v>
      </c>
      <c r="E760" s="89" t="s">
        <v>1588</v>
      </c>
      <c r="F760" s="91">
        <v>504027</v>
      </c>
      <c r="G760" s="91">
        <v>5090200</v>
      </c>
      <c r="H760" s="87"/>
      <c r="I760" s="90" t="s">
        <v>6923</v>
      </c>
      <c r="J760" s="88" t="str">
        <f t="shared" si="11"/>
        <v>重复</v>
      </c>
      <c r="K760" s="88" t="str">
        <f t="shared" si="11"/>
        <v>不重复</v>
      </c>
    </row>
    <row r="761" spans="1:11" ht="20.25" customHeight="1">
      <c r="A761" s="90" t="s">
        <v>10053</v>
      </c>
      <c r="B761" s="90" t="s">
        <v>1697</v>
      </c>
      <c r="C761" s="90" t="s">
        <v>6951</v>
      </c>
      <c r="D761" s="90" t="s">
        <v>6952</v>
      </c>
      <c r="E761" s="89" t="s">
        <v>1663</v>
      </c>
      <c r="F761" s="91">
        <v>505000</v>
      </c>
      <c r="G761" s="91">
        <v>5090300</v>
      </c>
      <c r="H761" s="87"/>
      <c r="I761" s="90" t="s">
        <v>25</v>
      </c>
      <c r="J761" s="88" t="str">
        <f t="shared" si="11"/>
        <v>不重复</v>
      </c>
      <c r="K761" s="88" t="str">
        <f t="shared" si="11"/>
        <v>不重复</v>
      </c>
    </row>
    <row r="762" spans="1:11" ht="20.25" customHeight="1">
      <c r="A762" s="89" t="s">
        <v>10054</v>
      </c>
      <c r="B762" s="90" t="s">
        <v>6953</v>
      </c>
      <c r="C762" s="90" t="s">
        <v>1691</v>
      </c>
      <c r="D762" s="90" t="s">
        <v>1692</v>
      </c>
      <c r="E762" s="89" t="s">
        <v>1663</v>
      </c>
      <c r="F762" s="91">
        <v>505001</v>
      </c>
      <c r="G762" s="91">
        <v>5090300</v>
      </c>
      <c r="H762" s="87"/>
      <c r="I762" s="90" t="s">
        <v>6954</v>
      </c>
      <c r="J762" s="88" t="str">
        <f t="shared" si="11"/>
        <v>重复</v>
      </c>
      <c r="K762" s="88" t="str">
        <f t="shared" si="11"/>
        <v>不重复</v>
      </c>
    </row>
    <row r="763" spans="1:11" ht="20.25" customHeight="1">
      <c r="A763" s="89" t="s">
        <v>10055</v>
      </c>
      <c r="B763" s="90" t="s">
        <v>6955</v>
      </c>
      <c r="C763" s="90" t="s">
        <v>1691</v>
      </c>
      <c r="D763" s="90" t="s">
        <v>1693</v>
      </c>
      <c r="E763" s="89" t="s">
        <v>1663</v>
      </c>
      <c r="F763" s="91">
        <v>505002</v>
      </c>
      <c r="G763" s="91">
        <v>5090300</v>
      </c>
      <c r="H763" s="87"/>
      <c r="I763" s="90" t="s">
        <v>6954</v>
      </c>
      <c r="J763" s="88" t="str">
        <f t="shared" si="11"/>
        <v>重复</v>
      </c>
      <c r="K763" s="88" t="str">
        <f t="shared" si="11"/>
        <v>不重复</v>
      </c>
    </row>
    <row r="764" spans="1:11" ht="20.25" customHeight="1">
      <c r="A764" s="89" t="s">
        <v>10056</v>
      </c>
      <c r="B764" s="90" t="s">
        <v>1694</v>
      </c>
      <c r="C764" s="90" t="s">
        <v>1695</v>
      </c>
      <c r="D764" s="90" t="s">
        <v>1696</v>
      </c>
      <c r="E764" s="89" t="s">
        <v>1663</v>
      </c>
      <c r="F764" s="91">
        <v>505003</v>
      </c>
      <c r="G764" s="91">
        <v>5090300</v>
      </c>
      <c r="H764" s="87"/>
      <c r="I764" s="90" t="s">
        <v>25</v>
      </c>
      <c r="J764" s="88" t="str">
        <f t="shared" si="11"/>
        <v>不重复</v>
      </c>
      <c r="K764" s="88" t="str">
        <f t="shared" si="11"/>
        <v>不重复</v>
      </c>
    </row>
    <row r="765" spans="1:11" ht="20.25" customHeight="1">
      <c r="A765" s="89" t="s">
        <v>10057</v>
      </c>
      <c r="B765" s="90" t="s">
        <v>6956</v>
      </c>
      <c r="C765" s="90" t="s">
        <v>1689</v>
      </c>
      <c r="D765" s="90" t="s">
        <v>1690</v>
      </c>
      <c r="E765" s="89" t="s">
        <v>1663</v>
      </c>
      <c r="F765" s="91">
        <v>505004</v>
      </c>
      <c r="G765" s="91">
        <v>5090300</v>
      </c>
      <c r="H765" s="87"/>
      <c r="I765" s="90" t="s">
        <v>6954</v>
      </c>
      <c r="J765" s="88" t="str">
        <f t="shared" si="11"/>
        <v>不重复</v>
      </c>
      <c r="K765" s="88" t="str">
        <f t="shared" si="11"/>
        <v>不重复</v>
      </c>
    </row>
    <row r="766" spans="1:11" ht="20.25" customHeight="1">
      <c r="A766" s="89" t="s">
        <v>1661</v>
      </c>
      <c r="B766" s="90" t="s">
        <v>5201</v>
      </c>
      <c r="C766" s="90" t="s">
        <v>1662</v>
      </c>
      <c r="D766" s="90" t="s">
        <v>6957</v>
      </c>
      <c r="E766" s="89" t="s">
        <v>1663</v>
      </c>
      <c r="F766" s="91">
        <v>505006</v>
      </c>
      <c r="G766" s="91">
        <v>5090300</v>
      </c>
      <c r="H766" s="87"/>
      <c r="I766" s="90" t="s">
        <v>6958</v>
      </c>
      <c r="J766" s="88" t="str">
        <f t="shared" si="11"/>
        <v>不重复</v>
      </c>
      <c r="K766" s="88" t="str">
        <f t="shared" si="11"/>
        <v>不重复</v>
      </c>
    </row>
    <row r="767" spans="1:11" ht="20.25" customHeight="1">
      <c r="A767" s="89" t="s">
        <v>1678</v>
      </c>
      <c r="B767" s="90" t="s">
        <v>1679</v>
      </c>
      <c r="C767" s="90" t="s">
        <v>6959</v>
      </c>
      <c r="D767" s="90" t="s">
        <v>6960</v>
      </c>
      <c r="E767" s="89" t="s">
        <v>1663</v>
      </c>
      <c r="F767" s="91">
        <v>505007</v>
      </c>
      <c r="G767" s="91">
        <v>5090300</v>
      </c>
      <c r="H767" s="87"/>
      <c r="I767" s="90" t="s">
        <v>25</v>
      </c>
      <c r="J767" s="88" t="str">
        <f t="shared" si="11"/>
        <v>不重复</v>
      </c>
      <c r="K767" s="88" t="str">
        <f t="shared" si="11"/>
        <v>不重复</v>
      </c>
    </row>
    <row r="768" spans="1:11" ht="20.25" customHeight="1">
      <c r="A768" s="89" t="s">
        <v>1669</v>
      </c>
      <c r="B768" s="90" t="s">
        <v>6961</v>
      </c>
      <c r="C768" s="90" t="s">
        <v>1670</v>
      </c>
      <c r="D768" s="90" t="s">
        <v>1671</v>
      </c>
      <c r="E768" s="89" t="s">
        <v>1663</v>
      </c>
      <c r="F768" s="91">
        <v>505008</v>
      </c>
      <c r="G768" s="91">
        <v>5090300</v>
      </c>
      <c r="H768" s="87"/>
      <c r="I768" s="90" t="s">
        <v>6962</v>
      </c>
      <c r="J768" s="88" t="str">
        <f t="shared" si="11"/>
        <v>不重复</v>
      </c>
      <c r="K768" s="88" t="str">
        <f t="shared" si="11"/>
        <v>不重复</v>
      </c>
    </row>
    <row r="769" spans="1:11" ht="20.25" customHeight="1">
      <c r="A769" s="89" t="s">
        <v>1675</v>
      </c>
      <c r="B769" s="90" t="s">
        <v>6963</v>
      </c>
      <c r="C769" s="90" t="s">
        <v>1676</v>
      </c>
      <c r="D769" s="90" t="s">
        <v>1677</v>
      </c>
      <c r="E769" s="89" t="s">
        <v>1663</v>
      </c>
      <c r="F769" s="91">
        <v>505009</v>
      </c>
      <c r="G769" s="91">
        <v>5090300</v>
      </c>
      <c r="H769" s="87"/>
      <c r="I769" s="90" t="s">
        <v>6964</v>
      </c>
      <c r="J769" s="88" t="str">
        <f t="shared" si="11"/>
        <v>不重复</v>
      </c>
      <c r="K769" s="88" t="str">
        <f t="shared" si="11"/>
        <v>不重复</v>
      </c>
    </row>
    <row r="770" spans="1:11" ht="20.25" customHeight="1">
      <c r="A770" s="89" t="s">
        <v>1672</v>
      </c>
      <c r="B770" s="90" t="s">
        <v>6965</v>
      </c>
      <c r="C770" s="90" t="s">
        <v>1673</v>
      </c>
      <c r="D770" s="90" t="s">
        <v>1674</v>
      </c>
      <c r="E770" s="89" t="s">
        <v>1663</v>
      </c>
      <c r="F770" s="91">
        <v>505010</v>
      </c>
      <c r="G770" s="91">
        <v>5090300</v>
      </c>
      <c r="H770" s="87"/>
      <c r="I770" s="90" t="s">
        <v>6962</v>
      </c>
      <c r="J770" s="88" t="str">
        <f t="shared" si="11"/>
        <v>不重复</v>
      </c>
      <c r="K770" s="88" t="str">
        <f t="shared" si="11"/>
        <v>不重复</v>
      </c>
    </row>
    <row r="771" spans="1:11" ht="20.25" customHeight="1">
      <c r="A771" s="89" t="s">
        <v>1664</v>
      </c>
      <c r="B771" s="90" t="s">
        <v>6966</v>
      </c>
      <c r="C771" s="90" t="s">
        <v>1665</v>
      </c>
      <c r="D771" s="90" t="s">
        <v>1666</v>
      </c>
      <c r="E771" s="89" t="s">
        <v>1663</v>
      </c>
      <c r="F771" s="91">
        <v>505011</v>
      </c>
      <c r="G771" s="91">
        <v>5090300</v>
      </c>
      <c r="H771" s="87"/>
      <c r="I771" s="90" t="s">
        <v>6962</v>
      </c>
      <c r="J771" s="88" t="str">
        <f t="shared" si="12" ref="J771:K834">IF(COUNTIF(C:C,C771)&gt;=2,"重复","不重复")</f>
        <v>不重复</v>
      </c>
      <c r="K771" s="88" t="str">
        <f t="shared" si="12"/>
        <v>不重复</v>
      </c>
    </row>
    <row r="772" spans="1:11" ht="20.25" customHeight="1">
      <c r="A772" s="89" t="s">
        <v>1667</v>
      </c>
      <c r="B772" s="90" t="s">
        <v>6967</v>
      </c>
      <c r="C772" s="90" t="s">
        <v>1668</v>
      </c>
      <c r="D772" s="90" t="s">
        <v>6968</v>
      </c>
      <c r="E772" s="89" t="s">
        <v>1663</v>
      </c>
      <c r="F772" s="91">
        <v>505012</v>
      </c>
      <c r="G772" s="91">
        <v>5090300</v>
      </c>
      <c r="H772" s="87"/>
      <c r="I772" s="90" t="s">
        <v>6969</v>
      </c>
      <c r="J772" s="88" t="str">
        <f t="shared" si="12"/>
        <v>不重复</v>
      </c>
      <c r="K772" s="88" t="str">
        <f t="shared" si="12"/>
        <v>不重复</v>
      </c>
    </row>
    <row r="773" spans="1:11" ht="20.25" customHeight="1">
      <c r="A773" s="84" t="s">
        <v>1680</v>
      </c>
      <c r="B773" s="85" t="s">
        <v>6970</v>
      </c>
      <c r="C773" s="85" t="s">
        <v>1681</v>
      </c>
      <c r="D773" s="85" t="s">
        <v>6971</v>
      </c>
      <c r="E773" s="84" t="s">
        <v>1663</v>
      </c>
      <c r="F773" s="86">
        <v>505014</v>
      </c>
      <c r="G773" s="86">
        <v>5090300</v>
      </c>
      <c r="H773" s="87"/>
      <c r="I773" s="85" t="s">
        <v>5777</v>
      </c>
      <c r="J773" s="88" t="str">
        <f t="shared" si="12"/>
        <v>不重复</v>
      </c>
      <c r="K773" s="88" t="str">
        <f t="shared" si="12"/>
        <v>不重复</v>
      </c>
    </row>
    <row r="774" spans="1:11" ht="20.25" customHeight="1">
      <c r="A774" s="89" t="s">
        <v>6972</v>
      </c>
      <c r="B774" s="90" t="s">
        <v>6973</v>
      </c>
      <c r="C774" s="90" t="s">
        <v>1684</v>
      </c>
      <c r="D774" s="90" t="s">
        <v>4027</v>
      </c>
      <c r="E774" s="89" t="s">
        <v>1663</v>
      </c>
      <c r="F774" s="91">
        <v>505015</v>
      </c>
      <c r="G774" s="91">
        <v>5090300</v>
      </c>
      <c r="H774" s="87"/>
      <c r="I774" s="90" t="s">
        <v>25</v>
      </c>
      <c r="J774" s="88" t="str">
        <f t="shared" si="12"/>
        <v>重复</v>
      </c>
      <c r="K774" s="88" t="str">
        <f t="shared" si="12"/>
        <v>不重复</v>
      </c>
    </row>
    <row r="775" spans="1:11" ht="20.25" customHeight="1">
      <c r="A775" s="89" t="s">
        <v>1683</v>
      </c>
      <c r="B775" s="90" t="s">
        <v>6974</v>
      </c>
      <c r="C775" s="90" t="s">
        <v>1684</v>
      </c>
      <c r="D775" s="90" t="s">
        <v>1685</v>
      </c>
      <c r="E775" s="89" t="s">
        <v>1663</v>
      </c>
      <c r="F775" s="91">
        <v>505016</v>
      </c>
      <c r="G775" s="91">
        <v>5090300</v>
      </c>
      <c r="H775" s="87"/>
      <c r="I775" s="90" t="s">
        <v>6731</v>
      </c>
      <c r="J775" s="88" t="str">
        <f t="shared" si="12"/>
        <v>重复</v>
      </c>
      <c r="K775" s="88" t="str">
        <f t="shared" si="12"/>
        <v>不重复</v>
      </c>
    </row>
    <row r="776" spans="1:11" ht="20.25" customHeight="1">
      <c r="A776" s="89" t="s">
        <v>6975</v>
      </c>
      <c r="B776" s="90" t="s">
        <v>6976</v>
      </c>
      <c r="C776" s="90" t="s">
        <v>1687</v>
      </c>
      <c r="D776" s="90" t="s">
        <v>6977</v>
      </c>
      <c r="E776" s="89" t="s">
        <v>1663</v>
      </c>
      <c r="F776" s="91">
        <v>505017</v>
      </c>
      <c r="G776" s="91">
        <v>5090300</v>
      </c>
      <c r="H776" s="87"/>
      <c r="I776" s="90" t="s">
        <v>25</v>
      </c>
      <c r="J776" s="88" t="str">
        <f t="shared" si="12"/>
        <v>重复</v>
      </c>
      <c r="K776" s="88" t="str">
        <f t="shared" si="12"/>
        <v>不重复</v>
      </c>
    </row>
    <row r="777" spans="1:11" ht="20.25" customHeight="1">
      <c r="A777" s="89" t="s">
        <v>1686</v>
      </c>
      <c r="B777" s="90" t="s">
        <v>6978</v>
      </c>
      <c r="C777" s="90" t="s">
        <v>1687</v>
      </c>
      <c r="D777" s="90" t="s">
        <v>1688</v>
      </c>
      <c r="E777" s="89" t="s">
        <v>1663</v>
      </c>
      <c r="F777" s="91">
        <v>505018</v>
      </c>
      <c r="G777" s="91">
        <v>5090300</v>
      </c>
      <c r="H777" s="87"/>
      <c r="I777" s="90" t="s">
        <v>6979</v>
      </c>
      <c r="J777" s="88" t="str">
        <f t="shared" si="12"/>
        <v>重复</v>
      </c>
      <c r="K777" s="88" t="str">
        <f t="shared" si="12"/>
        <v>不重复</v>
      </c>
    </row>
    <row r="778" spans="1:11" ht="20.25" customHeight="1">
      <c r="A778" s="89" t="s">
        <v>1703</v>
      </c>
      <c r="B778" s="90" t="s">
        <v>6980</v>
      </c>
      <c r="C778" s="90" t="s">
        <v>1704</v>
      </c>
      <c r="D778" s="90" t="s">
        <v>6981</v>
      </c>
      <c r="E778" s="89" t="s">
        <v>1663</v>
      </c>
      <c r="F778" s="91">
        <v>505019</v>
      </c>
      <c r="G778" s="91">
        <v>5090300</v>
      </c>
      <c r="H778" s="87"/>
      <c r="I778" s="90" t="s">
        <v>25</v>
      </c>
      <c r="J778" s="88" t="str">
        <f t="shared" si="12"/>
        <v>重复</v>
      </c>
      <c r="K778" s="88" t="str">
        <f t="shared" si="12"/>
        <v>不重复</v>
      </c>
    </row>
    <row r="779" spans="1:11" ht="20.25" customHeight="1">
      <c r="A779" s="89" t="s">
        <v>1702</v>
      </c>
      <c r="B779" s="90" t="s">
        <v>6982</v>
      </c>
      <c r="C779" s="90" t="s">
        <v>1058</v>
      </c>
      <c r="D779" s="90" t="s">
        <v>6983</v>
      </c>
      <c r="E779" s="89" t="s">
        <v>1663</v>
      </c>
      <c r="F779" s="91">
        <v>505020</v>
      </c>
      <c r="G779" s="91">
        <v>5090300</v>
      </c>
      <c r="H779" s="87"/>
      <c r="I779" s="90" t="s">
        <v>6984</v>
      </c>
      <c r="J779" s="88" t="str">
        <f t="shared" si="12"/>
        <v>重复</v>
      </c>
      <c r="K779" s="88" t="str">
        <f t="shared" si="12"/>
        <v>不重复</v>
      </c>
    </row>
    <row r="780" spans="1:11" ht="20.25" customHeight="1">
      <c r="A780" s="89" t="s">
        <v>1698</v>
      </c>
      <c r="B780" s="90" t="s">
        <v>6985</v>
      </c>
      <c r="C780" s="90" t="s">
        <v>1699</v>
      </c>
      <c r="D780" s="90" t="s">
        <v>6986</v>
      </c>
      <c r="E780" s="89" t="s">
        <v>1663</v>
      </c>
      <c r="F780" s="91">
        <v>505021</v>
      </c>
      <c r="G780" s="91">
        <v>5090300</v>
      </c>
      <c r="H780" s="87"/>
      <c r="I780" s="90" t="s">
        <v>6987</v>
      </c>
      <c r="J780" s="88" t="str">
        <f t="shared" si="12"/>
        <v>不重复</v>
      </c>
      <c r="K780" s="88" t="str">
        <f t="shared" si="12"/>
        <v>不重复</v>
      </c>
    </row>
    <row r="781" spans="1:11" ht="20.25" customHeight="1">
      <c r="A781" s="89" t="s">
        <v>1700</v>
      </c>
      <c r="B781" s="90" t="s">
        <v>6988</v>
      </c>
      <c r="C781" s="90" t="s">
        <v>1701</v>
      </c>
      <c r="D781" s="90" t="s">
        <v>6989</v>
      </c>
      <c r="E781" s="89" t="s">
        <v>1663</v>
      </c>
      <c r="F781" s="91">
        <v>505022</v>
      </c>
      <c r="G781" s="91">
        <v>5090300</v>
      </c>
      <c r="H781" s="87"/>
      <c r="I781" s="90" t="s">
        <v>6990</v>
      </c>
      <c r="J781" s="88" t="str">
        <f t="shared" si="12"/>
        <v>不重复</v>
      </c>
      <c r="K781" s="88" t="str">
        <f t="shared" si="12"/>
        <v>不重复</v>
      </c>
    </row>
    <row r="782" spans="1:11" ht="20.25" customHeight="1">
      <c r="A782" s="89" t="s">
        <v>6991</v>
      </c>
      <c r="B782" s="90" t="s">
        <v>6992</v>
      </c>
      <c r="C782" s="90" t="s">
        <v>1419</v>
      </c>
      <c r="D782" s="90" t="s">
        <v>1709</v>
      </c>
      <c r="E782" s="89" t="s">
        <v>1663</v>
      </c>
      <c r="F782" s="91">
        <v>505024</v>
      </c>
      <c r="G782" s="91">
        <v>5090300</v>
      </c>
      <c r="H782" s="87"/>
      <c r="I782" s="90" t="s">
        <v>6993</v>
      </c>
      <c r="J782" s="88" t="str">
        <f t="shared" si="12"/>
        <v>重复</v>
      </c>
      <c r="K782" s="88" t="str">
        <f t="shared" si="12"/>
        <v>不重复</v>
      </c>
    </row>
    <row r="783" spans="1:11" ht="20.25" customHeight="1">
      <c r="A783" s="89" t="s">
        <v>6994</v>
      </c>
      <c r="B783" s="90" t="s">
        <v>6995</v>
      </c>
      <c r="C783" s="90" t="s">
        <v>1710</v>
      </c>
      <c r="D783" s="90" t="s">
        <v>6996</v>
      </c>
      <c r="E783" s="89" t="s">
        <v>1663</v>
      </c>
      <c r="F783" s="91">
        <v>505025</v>
      </c>
      <c r="G783" s="91">
        <v>5090300</v>
      </c>
      <c r="H783" s="87"/>
      <c r="I783" s="90" t="s">
        <v>6997</v>
      </c>
      <c r="J783" s="88" t="str">
        <f t="shared" si="12"/>
        <v>不重复</v>
      </c>
      <c r="K783" s="88" t="str">
        <f t="shared" si="12"/>
        <v>不重复</v>
      </c>
    </row>
    <row r="784" spans="1:11" ht="20.25" customHeight="1">
      <c r="A784" s="89" t="s">
        <v>1705</v>
      </c>
      <c r="B784" s="90" t="s">
        <v>6998</v>
      </c>
      <c r="C784" s="90" t="s">
        <v>1706</v>
      </c>
      <c r="D784" s="90" t="s">
        <v>1707</v>
      </c>
      <c r="E784" s="89" t="s">
        <v>1663</v>
      </c>
      <c r="F784" s="91">
        <v>505026</v>
      </c>
      <c r="G784" s="91">
        <v>5090300</v>
      </c>
      <c r="H784" s="87"/>
      <c r="I784" s="90" t="s">
        <v>6993</v>
      </c>
      <c r="J784" s="88" t="str">
        <f t="shared" si="12"/>
        <v>不重复</v>
      </c>
      <c r="K784" s="88" t="str">
        <f t="shared" si="12"/>
        <v>不重复</v>
      </c>
    </row>
    <row r="785" spans="1:11" ht="20.25" customHeight="1">
      <c r="A785" s="89" t="s">
        <v>1711</v>
      </c>
      <c r="B785" s="89" t="s">
        <v>1712</v>
      </c>
      <c r="C785" s="90" t="s">
        <v>5202</v>
      </c>
      <c r="D785" s="90" t="s">
        <v>6999</v>
      </c>
      <c r="E785" s="89" t="s">
        <v>1663</v>
      </c>
      <c r="F785" s="91">
        <v>910005</v>
      </c>
      <c r="G785" s="91">
        <v>5090300</v>
      </c>
      <c r="H785" s="87"/>
      <c r="I785" s="90"/>
      <c r="J785" s="88" t="str">
        <f t="shared" si="12"/>
        <v>不重复</v>
      </c>
      <c r="K785" s="88" t="str">
        <f t="shared" si="12"/>
        <v>不重复</v>
      </c>
    </row>
    <row r="786" spans="1:11" ht="20.25" customHeight="1">
      <c r="A786" s="89" t="s">
        <v>1733</v>
      </c>
      <c r="B786" s="90" t="s">
        <v>1734</v>
      </c>
      <c r="C786" s="90" t="s">
        <v>1735</v>
      </c>
      <c r="D786" s="90" t="s">
        <v>1736</v>
      </c>
      <c r="E786" s="89" t="s">
        <v>1663</v>
      </c>
      <c r="F786" s="91">
        <v>505027</v>
      </c>
      <c r="G786" s="91">
        <v>5090300</v>
      </c>
      <c r="H786" s="87"/>
      <c r="I786" s="90" t="s">
        <v>25</v>
      </c>
      <c r="J786" s="88" t="str">
        <f t="shared" si="12"/>
        <v>不重复</v>
      </c>
      <c r="K786" s="88" t="str">
        <f t="shared" si="12"/>
        <v>不重复</v>
      </c>
    </row>
    <row r="787" spans="1:11" ht="20.25" customHeight="1">
      <c r="A787" s="89" t="s">
        <v>1724</v>
      </c>
      <c r="B787" s="90" t="s">
        <v>7000</v>
      </c>
      <c r="C787" s="90" t="s">
        <v>1725</v>
      </c>
      <c r="D787" s="90" t="s">
        <v>1726</v>
      </c>
      <c r="E787" s="89" t="s">
        <v>1663</v>
      </c>
      <c r="F787" s="91">
        <v>505028</v>
      </c>
      <c r="G787" s="91">
        <v>5090300</v>
      </c>
      <c r="H787" s="87"/>
      <c r="I787" s="90" t="s">
        <v>7001</v>
      </c>
      <c r="J787" s="88" t="str">
        <f t="shared" si="12"/>
        <v>不重复</v>
      </c>
      <c r="K787" s="88" t="str">
        <f t="shared" si="12"/>
        <v>不重复</v>
      </c>
    </row>
    <row r="788" spans="1:11" ht="20.25" customHeight="1">
      <c r="A788" s="89" t="s">
        <v>1721</v>
      </c>
      <c r="B788" s="90" t="s">
        <v>7002</v>
      </c>
      <c r="C788" s="90" t="s">
        <v>1722</v>
      </c>
      <c r="D788" s="90" t="s">
        <v>1723</v>
      </c>
      <c r="E788" s="89" t="s">
        <v>1663</v>
      </c>
      <c r="F788" s="91">
        <v>505029</v>
      </c>
      <c r="G788" s="91">
        <v>5090300</v>
      </c>
      <c r="H788" s="87"/>
      <c r="I788" s="90" t="s">
        <v>7003</v>
      </c>
      <c r="J788" s="88" t="str">
        <f t="shared" si="12"/>
        <v>不重复</v>
      </c>
      <c r="K788" s="88" t="str">
        <f t="shared" si="12"/>
        <v>不重复</v>
      </c>
    </row>
    <row r="789" spans="1:11" ht="20.25" customHeight="1">
      <c r="A789" s="89" t="s">
        <v>1730</v>
      </c>
      <c r="B789" s="90" t="s">
        <v>7004</v>
      </c>
      <c r="C789" s="90" t="s">
        <v>1731</v>
      </c>
      <c r="D789" s="90" t="s">
        <v>1732</v>
      </c>
      <c r="E789" s="89" t="s">
        <v>1663</v>
      </c>
      <c r="F789" s="91">
        <v>505030</v>
      </c>
      <c r="G789" s="91">
        <v>5090300</v>
      </c>
      <c r="H789" s="87"/>
      <c r="I789" s="90" t="s">
        <v>6954</v>
      </c>
      <c r="J789" s="88" t="str">
        <f t="shared" si="12"/>
        <v>不重复</v>
      </c>
      <c r="K789" s="88" t="str">
        <f t="shared" si="12"/>
        <v>不重复</v>
      </c>
    </row>
    <row r="790" spans="1:11" ht="20.25" customHeight="1">
      <c r="A790" s="89" t="s">
        <v>1719</v>
      </c>
      <c r="B790" s="90" t="s">
        <v>7005</v>
      </c>
      <c r="C790" s="90" t="s">
        <v>1720</v>
      </c>
      <c r="D790" s="90" t="s">
        <v>1718</v>
      </c>
      <c r="E790" s="89" t="s">
        <v>1663</v>
      </c>
      <c r="F790" s="91">
        <v>505031</v>
      </c>
      <c r="G790" s="91">
        <v>5090300</v>
      </c>
      <c r="H790" s="87"/>
      <c r="I790" s="90" t="s">
        <v>6993</v>
      </c>
      <c r="J790" s="88" t="str">
        <f t="shared" si="12"/>
        <v>不重复</v>
      </c>
      <c r="K790" s="88" t="str">
        <f t="shared" si="12"/>
        <v>不重复</v>
      </c>
    </row>
    <row r="791" spans="1:11" ht="20.25" customHeight="1">
      <c r="A791" s="89" t="s">
        <v>1716</v>
      </c>
      <c r="B791" s="90" t="s">
        <v>7006</v>
      </c>
      <c r="C791" s="90" t="s">
        <v>1717</v>
      </c>
      <c r="D791" s="90" t="s">
        <v>7007</v>
      </c>
      <c r="E791" s="89" t="s">
        <v>1663</v>
      </c>
      <c r="F791" s="91">
        <v>505032</v>
      </c>
      <c r="G791" s="91">
        <v>5090300</v>
      </c>
      <c r="H791" s="87"/>
      <c r="I791" s="90" t="s">
        <v>7008</v>
      </c>
      <c r="J791" s="88" t="str">
        <f t="shared" si="12"/>
        <v>重复</v>
      </c>
      <c r="K791" s="88" t="str">
        <f t="shared" si="12"/>
        <v>不重复</v>
      </c>
    </row>
    <row r="792" spans="1:11" ht="20.25" customHeight="1">
      <c r="A792" s="89" t="s">
        <v>1713</v>
      </c>
      <c r="B792" s="90" t="s">
        <v>7009</v>
      </c>
      <c r="C792" s="90" t="s">
        <v>1714</v>
      </c>
      <c r="D792" s="90" t="s">
        <v>1715</v>
      </c>
      <c r="E792" s="89" t="s">
        <v>1663</v>
      </c>
      <c r="F792" s="91">
        <v>505033</v>
      </c>
      <c r="G792" s="91">
        <v>5090300</v>
      </c>
      <c r="H792" s="87"/>
      <c r="I792" s="90" t="s">
        <v>7010</v>
      </c>
      <c r="J792" s="88" t="str">
        <f t="shared" si="12"/>
        <v>不重复</v>
      </c>
      <c r="K792" s="88" t="str">
        <f t="shared" si="12"/>
        <v>不重复</v>
      </c>
    </row>
    <row r="793" spans="1:11" ht="20.25" customHeight="1">
      <c r="A793" s="89" t="s">
        <v>1727</v>
      </c>
      <c r="B793" s="90" t="s">
        <v>7011</v>
      </c>
      <c r="C793" s="90" t="s">
        <v>1728</v>
      </c>
      <c r="D793" s="90" t="s">
        <v>1729</v>
      </c>
      <c r="E793" s="89" t="s">
        <v>1663</v>
      </c>
      <c r="F793" s="91">
        <v>505034</v>
      </c>
      <c r="G793" s="91">
        <v>5090300</v>
      </c>
      <c r="H793" s="87"/>
      <c r="I793" s="90" t="s">
        <v>7001</v>
      </c>
      <c r="J793" s="88" t="str">
        <f t="shared" si="12"/>
        <v>不重复</v>
      </c>
      <c r="K793" s="88" t="str">
        <f t="shared" si="12"/>
        <v>不重复</v>
      </c>
    </row>
    <row r="794" spans="1:11" ht="20.25" customHeight="1">
      <c r="A794" s="84" t="s">
        <v>7012</v>
      </c>
      <c r="B794" s="85" t="s">
        <v>7013</v>
      </c>
      <c r="C794" s="85" t="s">
        <v>1739</v>
      </c>
      <c r="D794" s="85" t="s">
        <v>7014</v>
      </c>
      <c r="E794" s="84" t="s">
        <v>1663</v>
      </c>
      <c r="F794" s="86">
        <v>505035</v>
      </c>
      <c r="G794" s="86">
        <v>5090300</v>
      </c>
      <c r="H794" s="87"/>
      <c r="I794" s="85" t="s">
        <v>25</v>
      </c>
      <c r="J794" s="88" t="str">
        <f t="shared" si="12"/>
        <v>重复</v>
      </c>
      <c r="K794" s="88" t="str">
        <f t="shared" si="12"/>
        <v>不重复</v>
      </c>
    </row>
    <row r="795" spans="1:11" ht="20.25" customHeight="1">
      <c r="A795" s="84" t="s">
        <v>1737</v>
      </c>
      <c r="B795" s="85" t="s">
        <v>1738</v>
      </c>
      <c r="C795" s="85" t="s">
        <v>1739</v>
      </c>
      <c r="D795" s="85" t="s">
        <v>1740</v>
      </c>
      <c r="E795" s="84" t="s">
        <v>1663</v>
      </c>
      <c r="F795" s="86">
        <v>505036</v>
      </c>
      <c r="G795" s="86">
        <v>5090300</v>
      </c>
      <c r="H795" s="87"/>
      <c r="I795" s="85" t="s">
        <v>6954</v>
      </c>
      <c r="J795" s="88" t="str">
        <f t="shared" si="12"/>
        <v>重复</v>
      </c>
      <c r="K795" s="88" t="str">
        <f t="shared" si="12"/>
        <v>不重复</v>
      </c>
    </row>
    <row r="796" spans="1:11" ht="20.25" customHeight="1">
      <c r="A796" s="89" t="s">
        <v>7015</v>
      </c>
      <c r="B796" s="90" t="s">
        <v>7016</v>
      </c>
      <c r="C796" s="90" t="s">
        <v>1743</v>
      </c>
      <c r="D796" s="90" t="s">
        <v>7017</v>
      </c>
      <c r="E796" s="89" t="s">
        <v>1663</v>
      </c>
      <c r="F796" s="91">
        <v>505037</v>
      </c>
      <c r="G796" s="91">
        <v>5090300</v>
      </c>
      <c r="H796" s="87"/>
      <c r="I796" s="90" t="s">
        <v>25</v>
      </c>
      <c r="J796" s="88" t="str">
        <f t="shared" si="12"/>
        <v>重复</v>
      </c>
      <c r="K796" s="88" t="str">
        <f t="shared" si="12"/>
        <v>不重复</v>
      </c>
    </row>
    <row r="797" spans="1:11" ht="20.25" customHeight="1">
      <c r="A797" s="89" t="s">
        <v>1741</v>
      </c>
      <c r="B797" s="90" t="s">
        <v>1742</v>
      </c>
      <c r="C797" s="90" t="s">
        <v>1743</v>
      </c>
      <c r="D797" s="90" t="s">
        <v>1744</v>
      </c>
      <c r="E797" s="89" t="s">
        <v>1663</v>
      </c>
      <c r="F797" s="91">
        <v>505038</v>
      </c>
      <c r="G797" s="91">
        <v>5090300</v>
      </c>
      <c r="H797" s="87"/>
      <c r="I797" s="90" t="s">
        <v>7018</v>
      </c>
      <c r="J797" s="88" t="str">
        <f t="shared" si="12"/>
        <v>重复</v>
      </c>
      <c r="K797" s="88" t="str">
        <f t="shared" si="12"/>
        <v>不重复</v>
      </c>
    </row>
    <row r="798" spans="1:11" ht="20.25" customHeight="1">
      <c r="A798" s="89" t="s">
        <v>1745</v>
      </c>
      <c r="B798" s="90" t="s">
        <v>1746</v>
      </c>
      <c r="C798" s="90" t="s">
        <v>1747</v>
      </c>
      <c r="D798" s="90" t="s">
        <v>1748</v>
      </c>
      <c r="E798" s="89" t="s">
        <v>1663</v>
      </c>
      <c r="F798" s="91">
        <v>505039</v>
      </c>
      <c r="G798" s="91">
        <v>5090300</v>
      </c>
      <c r="H798" s="87"/>
      <c r="I798" s="90" t="s">
        <v>6990</v>
      </c>
      <c r="J798" s="88" t="str">
        <f t="shared" si="12"/>
        <v>不重复</v>
      </c>
      <c r="K798" s="88" t="str">
        <f t="shared" si="12"/>
        <v>不重复</v>
      </c>
    </row>
    <row r="799" spans="1:11" ht="20.25" customHeight="1">
      <c r="A799" s="89" t="s">
        <v>1749</v>
      </c>
      <c r="B799" s="90" t="s">
        <v>1750</v>
      </c>
      <c r="C799" s="90" t="s">
        <v>1599</v>
      </c>
      <c r="D799" s="90" t="s">
        <v>1751</v>
      </c>
      <c r="E799" s="89" t="s">
        <v>1663</v>
      </c>
      <c r="F799" s="91">
        <v>505041</v>
      </c>
      <c r="G799" s="91">
        <v>5090300</v>
      </c>
      <c r="H799" s="87"/>
      <c r="I799" s="90" t="s">
        <v>7019</v>
      </c>
      <c r="J799" s="88" t="str">
        <f t="shared" si="12"/>
        <v>重复</v>
      </c>
      <c r="K799" s="88" t="str">
        <f t="shared" si="12"/>
        <v>不重复</v>
      </c>
    </row>
    <row r="800" spans="1:11" ht="20.25" customHeight="1">
      <c r="A800" s="89" t="s">
        <v>7020</v>
      </c>
      <c r="B800" s="90" t="s">
        <v>7021</v>
      </c>
      <c r="C800" s="90" t="s">
        <v>25</v>
      </c>
      <c r="D800" s="90" t="s">
        <v>7022</v>
      </c>
      <c r="E800" s="89" t="s">
        <v>1663</v>
      </c>
      <c r="F800" s="91">
        <v>505042</v>
      </c>
      <c r="G800" s="91">
        <v>5090300</v>
      </c>
      <c r="H800" s="87"/>
      <c r="I800" s="90" t="s">
        <v>25</v>
      </c>
      <c r="J800" s="88" t="str">
        <f t="shared" si="12"/>
        <v>重复</v>
      </c>
      <c r="K800" s="88" t="str">
        <f t="shared" si="12"/>
        <v>不重复</v>
      </c>
    </row>
    <row r="801" spans="1:11" ht="20.25" customHeight="1">
      <c r="A801" s="89" t="s">
        <v>7020</v>
      </c>
      <c r="B801" s="90" t="s">
        <v>7023</v>
      </c>
      <c r="C801" s="90" t="s">
        <v>25</v>
      </c>
      <c r="D801" s="90" t="s">
        <v>7024</v>
      </c>
      <c r="E801" s="89" t="s">
        <v>1663</v>
      </c>
      <c r="F801" s="91">
        <v>505043</v>
      </c>
      <c r="G801" s="91">
        <v>5090300</v>
      </c>
      <c r="H801" s="87"/>
      <c r="I801" s="90" t="s">
        <v>7025</v>
      </c>
      <c r="J801" s="88" t="str">
        <f t="shared" si="12"/>
        <v>重复</v>
      </c>
      <c r="K801" s="88" t="str">
        <f t="shared" si="12"/>
        <v>不重复</v>
      </c>
    </row>
    <row r="802" spans="1:11" ht="20.25" customHeight="1">
      <c r="A802" s="89" t="s">
        <v>1752</v>
      </c>
      <c r="B802" s="90" t="s">
        <v>7026</v>
      </c>
      <c r="C802" s="90" t="s">
        <v>1753</v>
      </c>
      <c r="D802" s="90" t="s">
        <v>1754</v>
      </c>
      <c r="E802" s="89" t="s">
        <v>1663</v>
      </c>
      <c r="F802" s="91">
        <v>505045</v>
      </c>
      <c r="G802" s="91">
        <v>5090300</v>
      </c>
      <c r="H802" s="87"/>
      <c r="I802" s="90" t="s">
        <v>7027</v>
      </c>
      <c r="J802" s="88" t="str">
        <f t="shared" si="12"/>
        <v>不重复</v>
      </c>
      <c r="K802" s="88" t="str">
        <f t="shared" si="12"/>
        <v>不重复</v>
      </c>
    </row>
    <row r="803" spans="1:11" ht="20.25" customHeight="1">
      <c r="A803" s="84" t="s">
        <v>7028</v>
      </c>
      <c r="B803" s="85" t="s">
        <v>7029</v>
      </c>
      <c r="C803" s="85" t="s">
        <v>1756</v>
      </c>
      <c r="D803" s="85" t="s">
        <v>7030</v>
      </c>
      <c r="E803" s="84" t="s">
        <v>1663</v>
      </c>
      <c r="F803" s="86">
        <v>505046</v>
      </c>
      <c r="G803" s="86">
        <v>5090300</v>
      </c>
      <c r="H803" s="87"/>
      <c r="I803" s="85" t="s">
        <v>25</v>
      </c>
      <c r="J803" s="88" t="str">
        <f t="shared" si="12"/>
        <v>重复</v>
      </c>
      <c r="K803" s="88" t="str">
        <f t="shared" si="12"/>
        <v>不重复</v>
      </c>
    </row>
    <row r="804" spans="1:11" ht="20.25" customHeight="1">
      <c r="A804" s="84" t="s">
        <v>1755</v>
      </c>
      <c r="B804" s="85" t="s">
        <v>7031</v>
      </c>
      <c r="C804" s="85" t="s">
        <v>1756</v>
      </c>
      <c r="D804" s="85" t="s">
        <v>1757</v>
      </c>
      <c r="E804" s="84" t="s">
        <v>1663</v>
      </c>
      <c r="F804" s="86">
        <v>505047</v>
      </c>
      <c r="G804" s="86">
        <v>5090300</v>
      </c>
      <c r="H804" s="87"/>
      <c r="I804" s="85" t="s">
        <v>7032</v>
      </c>
      <c r="J804" s="88" t="str">
        <f t="shared" si="12"/>
        <v>重复</v>
      </c>
      <c r="K804" s="88" t="str">
        <f t="shared" si="12"/>
        <v>不重复</v>
      </c>
    </row>
    <row r="805" spans="1:11" ht="20.25" customHeight="1">
      <c r="A805" s="84" t="s">
        <v>1761</v>
      </c>
      <c r="B805" s="85" t="s">
        <v>7033</v>
      </c>
      <c r="C805" s="85" t="s">
        <v>1762</v>
      </c>
      <c r="D805" s="85" t="s">
        <v>1763</v>
      </c>
      <c r="E805" s="84" t="s">
        <v>1663</v>
      </c>
      <c r="F805" s="86">
        <v>505048</v>
      </c>
      <c r="G805" s="86">
        <v>5090300</v>
      </c>
      <c r="H805" s="87"/>
      <c r="I805" s="85" t="s">
        <v>7034</v>
      </c>
      <c r="J805" s="88" t="str">
        <f t="shared" si="12"/>
        <v>不重复</v>
      </c>
      <c r="K805" s="88" t="str">
        <f t="shared" si="12"/>
        <v>不重复</v>
      </c>
    </row>
    <row r="806" spans="1:11" ht="20.25" customHeight="1">
      <c r="A806" s="84" t="s">
        <v>1758</v>
      </c>
      <c r="B806" s="85" t="s">
        <v>7035</v>
      </c>
      <c r="C806" s="85" t="s">
        <v>1759</v>
      </c>
      <c r="D806" s="85" t="s">
        <v>1760</v>
      </c>
      <c r="E806" s="84" t="s">
        <v>1663</v>
      </c>
      <c r="F806" s="86">
        <v>505049</v>
      </c>
      <c r="G806" s="86">
        <v>5090300</v>
      </c>
      <c r="H806" s="87"/>
      <c r="I806" s="85" t="s">
        <v>7036</v>
      </c>
      <c r="J806" s="88" t="str">
        <f t="shared" si="12"/>
        <v>重复</v>
      </c>
      <c r="K806" s="88" t="str">
        <f t="shared" si="12"/>
        <v>不重复</v>
      </c>
    </row>
    <row r="807" spans="1:11" ht="20.25" customHeight="1">
      <c r="A807" s="84" t="s">
        <v>1775</v>
      </c>
      <c r="B807" s="85" t="s">
        <v>1776</v>
      </c>
      <c r="C807" s="85" t="s">
        <v>1765</v>
      </c>
      <c r="D807" s="85" t="s">
        <v>1777</v>
      </c>
      <c r="E807" s="84" t="s">
        <v>1663</v>
      </c>
      <c r="F807" s="86">
        <v>505050</v>
      </c>
      <c r="G807" s="86">
        <v>5090300</v>
      </c>
      <c r="H807" s="87"/>
      <c r="I807" s="85" t="s">
        <v>25</v>
      </c>
      <c r="J807" s="88" t="str">
        <f t="shared" si="12"/>
        <v>重复</v>
      </c>
      <c r="K807" s="88" t="str">
        <f t="shared" si="12"/>
        <v>不重复</v>
      </c>
    </row>
    <row r="808" spans="1:11" ht="20.25" customHeight="1">
      <c r="A808" s="84" t="s">
        <v>1764</v>
      </c>
      <c r="B808" s="85" t="s">
        <v>7037</v>
      </c>
      <c r="C808" s="85" t="s">
        <v>1765</v>
      </c>
      <c r="D808" s="85" t="s">
        <v>1766</v>
      </c>
      <c r="E808" s="84" t="s">
        <v>1663</v>
      </c>
      <c r="F808" s="86">
        <v>505051</v>
      </c>
      <c r="G808" s="86">
        <v>5090300</v>
      </c>
      <c r="H808" s="87"/>
      <c r="I808" s="85" t="s">
        <v>7038</v>
      </c>
      <c r="J808" s="88" t="str">
        <f t="shared" si="12"/>
        <v>重复</v>
      </c>
      <c r="K808" s="88" t="str">
        <f t="shared" si="12"/>
        <v>不重复</v>
      </c>
    </row>
    <row r="809" spans="1:11" ht="20.25" customHeight="1">
      <c r="A809" s="84" t="s">
        <v>1772</v>
      </c>
      <c r="B809" s="85" t="s">
        <v>1773</v>
      </c>
      <c r="C809" s="85" t="s">
        <v>1770</v>
      </c>
      <c r="D809" s="85" t="s">
        <v>1774</v>
      </c>
      <c r="E809" s="84" t="s">
        <v>1663</v>
      </c>
      <c r="F809" s="86">
        <v>505052</v>
      </c>
      <c r="G809" s="86">
        <v>5090300</v>
      </c>
      <c r="H809" s="87"/>
      <c r="I809" s="85" t="s">
        <v>6990</v>
      </c>
      <c r="J809" s="88" t="str">
        <f t="shared" si="12"/>
        <v>重复</v>
      </c>
      <c r="K809" s="88" t="str">
        <f t="shared" si="12"/>
        <v>不重复</v>
      </c>
    </row>
    <row r="810" spans="1:11" ht="20.25" customHeight="1">
      <c r="A810" s="84" t="s">
        <v>1767</v>
      </c>
      <c r="B810" s="85" t="s">
        <v>7039</v>
      </c>
      <c r="C810" s="85" t="s">
        <v>1561</v>
      </c>
      <c r="D810" s="85" t="s">
        <v>1768</v>
      </c>
      <c r="E810" s="84" t="s">
        <v>1663</v>
      </c>
      <c r="F810" s="86">
        <v>505053</v>
      </c>
      <c r="G810" s="86">
        <v>5090300</v>
      </c>
      <c r="H810" s="87"/>
      <c r="I810" s="85" t="s">
        <v>7040</v>
      </c>
      <c r="J810" s="88" t="str">
        <f t="shared" si="12"/>
        <v>不重复</v>
      </c>
      <c r="K810" s="88" t="str">
        <f t="shared" si="12"/>
        <v>不重复</v>
      </c>
    </row>
    <row r="811" spans="1:11" ht="20.25" customHeight="1">
      <c r="A811" s="84" t="s">
        <v>1769</v>
      </c>
      <c r="B811" s="85" t="s">
        <v>7041</v>
      </c>
      <c r="C811" s="85" t="s">
        <v>1770</v>
      </c>
      <c r="D811" s="85" t="s">
        <v>1771</v>
      </c>
      <c r="E811" s="84" t="s">
        <v>1663</v>
      </c>
      <c r="F811" s="86">
        <v>505054</v>
      </c>
      <c r="G811" s="86">
        <v>5090300</v>
      </c>
      <c r="H811" s="87"/>
      <c r="I811" s="85" t="s">
        <v>7040</v>
      </c>
      <c r="J811" s="88" t="str">
        <f t="shared" si="12"/>
        <v>重复</v>
      </c>
      <c r="K811" s="88" t="str">
        <f t="shared" si="12"/>
        <v>不重复</v>
      </c>
    </row>
    <row r="812" spans="1:11" ht="20.25" customHeight="1">
      <c r="A812" s="89" t="s">
        <v>7042</v>
      </c>
      <c r="B812" s="90" t="s">
        <v>7043</v>
      </c>
      <c r="C812" s="90" t="s">
        <v>1779</v>
      </c>
      <c r="D812" s="90" t="s">
        <v>7044</v>
      </c>
      <c r="E812" s="89" t="s">
        <v>1663</v>
      </c>
      <c r="F812" s="91">
        <v>505055</v>
      </c>
      <c r="G812" s="91">
        <v>5090300</v>
      </c>
      <c r="H812" s="87"/>
      <c r="I812" s="90" t="s">
        <v>25</v>
      </c>
      <c r="J812" s="88" t="str">
        <f t="shared" si="12"/>
        <v>重复</v>
      </c>
      <c r="K812" s="88" t="str">
        <f t="shared" si="12"/>
        <v>不重复</v>
      </c>
    </row>
    <row r="813" spans="1:11" ht="20.25" customHeight="1">
      <c r="A813" s="89" t="s">
        <v>1778</v>
      </c>
      <c r="B813" s="90" t="s">
        <v>7045</v>
      </c>
      <c r="C813" s="90" t="s">
        <v>1779</v>
      </c>
      <c r="D813" s="90" t="s">
        <v>1780</v>
      </c>
      <c r="E813" s="89" t="s">
        <v>1663</v>
      </c>
      <c r="F813" s="91">
        <v>505056</v>
      </c>
      <c r="G813" s="91">
        <v>5090300</v>
      </c>
      <c r="H813" s="87"/>
      <c r="I813" s="90" t="s">
        <v>6990</v>
      </c>
      <c r="J813" s="88" t="str">
        <f t="shared" si="12"/>
        <v>重复</v>
      </c>
      <c r="K813" s="88" t="str">
        <f t="shared" si="12"/>
        <v>不重复</v>
      </c>
    </row>
    <row r="814" spans="1:11" ht="20.25" customHeight="1">
      <c r="A814" s="84" t="s">
        <v>7046</v>
      </c>
      <c r="B814" s="85" t="s">
        <v>7047</v>
      </c>
      <c r="C814" s="85" t="s">
        <v>1782</v>
      </c>
      <c r="D814" s="85" t="s">
        <v>7048</v>
      </c>
      <c r="E814" s="84" t="s">
        <v>1663</v>
      </c>
      <c r="F814" s="86">
        <v>505057</v>
      </c>
      <c r="G814" s="86">
        <v>5090300</v>
      </c>
      <c r="H814" s="87"/>
      <c r="I814" s="85" t="s">
        <v>25</v>
      </c>
      <c r="J814" s="88" t="str">
        <f t="shared" si="12"/>
        <v>重复</v>
      </c>
      <c r="K814" s="88" t="str">
        <f t="shared" si="12"/>
        <v>不重复</v>
      </c>
    </row>
    <row r="815" spans="1:11" ht="20.25" customHeight="1">
      <c r="A815" s="84" t="s">
        <v>1781</v>
      </c>
      <c r="B815" s="85" t="s">
        <v>7049</v>
      </c>
      <c r="C815" s="85" t="s">
        <v>1782</v>
      </c>
      <c r="D815" s="85" t="s">
        <v>1783</v>
      </c>
      <c r="E815" s="84" t="s">
        <v>1663</v>
      </c>
      <c r="F815" s="86">
        <v>505058</v>
      </c>
      <c r="G815" s="86">
        <v>5090300</v>
      </c>
      <c r="H815" s="87"/>
      <c r="I815" s="85" t="s">
        <v>7008</v>
      </c>
      <c r="J815" s="88" t="str">
        <f t="shared" si="12"/>
        <v>重复</v>
      </c>
      <c r="K815" s="88" t="str">
        <f t="shared" si="12"/>
        <v>不重复</v>
      </c>
    </row>
    <row r="816" spans="1:11" ht="20.25" customHeight="1">
      <c r="A816" s="84" t="s">
        <v>7050</v>
      </c>
      <c r="B816" s="85" t="s">
        <v>7051</v>
      </c>
      <c r="C816" s="85" t="s">
        <v>1786</v>
      </c>
      <c r="D816" s="85" t="s">
        <v>1319</v>
      </c>
      <c r="E816" s="84" t="s">
        <v>1663</v>
      </c>
      <c r="F816" s="86">
        <v>505059</v>
      </c>
      <c r="G816" s="86">
        <v>5090300</v>
      </c>
      <c r="H816" s="87"/>
      <c r="I816" s="85" t="s">
        <v>25</v>
      </c>
      <c r="J816" s="88" t="str">
        <f t="shared" si="12"/>
        <v>重复</v>
      </c>
      <c r="K816" s="88" t="str">
        <f t="shared" si="12"/>
        <v>不重复</v>
      </c>
    </row>
    <row r="817" spans="1:11" ht="20.25" customHeight="1">
      <c r="A817" s="84" t="s">
        <v>1784</v>
      </c>
      <c r="B817" s="85" t="s">
        <v>1785</v>
      </c>
      <c r="C817" s="85" t="s">
        <v>1786</v>
      </c>
      <c r="D817" s="85" t="s">
        <v>1787</v>
      </c>
      <c r="E817" s="84" t="s">
        <v>1663</v>
      </c>
      <c r="F817" s="86">
        <v>505060</v>
      </c>
      <c r="G817" s="86">
        <v>5090300</v>
      </c>
      <c r="H817" s="87"/>
      <c r="I817" s="85" t="s">
        <v>7052</v>
      </c>
      <c r="J817" s="88" t="str">
        <f t="shared" si="12"/>
        <v>重复</v>
      </c>
      <c r="K817" s="88" t="str">
        <f t="shared" si="12"/>
        <v>不重复</v>
      </c>
    </row>
    <row r="818" spans="1:11" ht="20.25" customHeight="1">
      <c r="A818" s="84" t="s">
        <v>7053</v>
      </c>
      <c r="B818" s="85" t="s">
        <v>7054</v>
      </c>
      <c r="C818" s="85" t="s">
        <v>7055</v>
      </c>
      <c r="D818" s="85" t="s">
        <v>7056</v>
      </c>
      <c r="E818" s="84" t="s">
        <v>1663</v>
      </c>
      <c r="F818" s="86">
        <v>505061</v>
      </c>
      <c r="G818" s="86">
        <v>5090300</v>
      </c>
      <c r="H818" s="87"/>
      <c r="I818" s="85" t="s">
        <v>25</v>
      </c>
      <c r="J818" s="88" t="str">
        <f t="shared" si="12"/>
        <v>不重复</v>
      </c>
      <c r="K818" s="88" t="str">
        <f t="shared" si="12"/>
        <v>不重复</v>
      </c>
    </row>
    <row r="819" spans="1:11" ht="20.25" customHeight="1">
      <c r="A819" s="84" t="s">
        <v>1788</v>
      </c>
      <c r="B819" s="85" t="s">
        <v>1789</v>
      </c>
      <c r="C819" s="85" t="s">
        <v>1790</v>
      </c>
      <c r="D819" s="85" t="s">
        <v>1791</v>
      </c>
      <c r="E819" s="84" t="s">
        <v>1663</v>
      </c>
      <c r="F819" s="86">
        <v>505062</v>
      </c>
      <c r="G819" s="86">
        <v>5090300</v>
      </c>
      <c r="H819" s="87"/>
      <c r="I819" s="85" t="s">
        <v>7057</v>
      </c>
      <c r="J819" s="88" t="str">
        <f t="shared" si="12"/>
        <v>重复</v>
      </c>
      <c r="K819" s="88" t="str">
        <f t="shared" si="12"/>
        <v>不重复</v>
      </c>
    </row>
    <row r="820" spans="1:11" ht="20.25" customHeight="1">
      <c r="A820" s="89" t="s">
        <v>7058</v>
      </c>
      <c r="B820" s="90" t="s">
        <v>7059</v>
      </c>
      <c r="C820" s="90" t="s">
        <v>4012</v>
      </c>
      <c r="D820" s="90" t="s">
        <v>7060</v>
      </c>
      <c r="E820" s="89" t="s">
        <v>1584</v>
      </c>
      <c r="F820" s="91">
        <v>506000</v>
      </c>
      <c r="G820" s="91">
        <v>5090400</v>
      </c>
      <c r="H820" s="87"/>
      <c r="I820" s="90" t="s">
        <v>7061</v>
      </c>
      <c r="J820" s="88" t="str">
        <f t="shared" si="12"/>
        <v>重复</v>
      </c>
      <c r="K820" s="88" t="str">
        <f t="shared" si="12"/>
        <v>不重复</v>
      </c>
    </row>
    <row r="821" spans="1:11" ht="20.25" customHeight="1">
      <c r="A821" s="89" t="s">
        <v>5174</v>
      </c>
      <c r="B821" s="90" t="s">
        <v>7062</v>
      </c>
      <c r="C821" s="90" t="s">
        <v>5176</v>
      </c>
      <c r="D821" s="90" t="s">
        <v>5177</v>
      </c>
      <c r="E821" s="89" t="s">
        <v>7063</v>
      </c>
      <c r="F821" s="91">
        <v>600000</v>
      </c>
      <c r="G821" s="91">
        <v>5100000</v>
      </c>
      <c r="H821" s="87"/>
      <c r="I821" s="90" t="s">
        <v>25</v>
      </c>
      <c r="J821" s="88" t="str">
        <f t="shared" si="12"/>
        <v>重复</v>
      </c>
      <c r="K821" s="88" t="str">
        <f t="shared" si="12"/>
        <v>重复</v>
      </c>
    </row>
    <row r="822" spans="1:11" ht="20.25" customHeight="1">
      <c r="A822" s="89" t="s">
        <v>7064</v>
      </c>
      <c r="B822" s="90" t="s">
        <v>7065</v>
      </c>
      <c r="C822" s="90" t="s">
        <v>7066</v>
      </c>
      <c r="D822" s="90" t="s">
        <v>7067</v>
      </c>
      <c r="E822" s="89" t="s">
        <v>1808</v>
      </c>
      <c r="F822" s="91">
        <v>601000</v>
      </c>
      <c r="G822" s="91">
        <v>5100100</v>
      </c>
      <c r="H822" s="87"/>
      <c r="I822" s="90" t="s">
        <v>25</v>
      </c>
      <c r="J822" s="88" t="str">
        <f t="shared" si="12"/>
        <v>不重复</v>
      </c>
      <c r="K822" s="88" t="str">
        <f t="shared" si="12"/>
        <v>不重复</v>
      </c>
    </row>
    <row r="823" spans="1:11" ht="20.25" customHeight="1">
      <c r="A823" s="89" t="s">
        <v>1806</v>
      </c>
      <c r="B823" s="90" t="s">
        <v>7068</v>
      </c>
      <c r="C823" s="90" t="s">
        <v>1790</v>
      </c>
      <c r="D823" s="90" t="s">
        <v>1807</v>
      </c>
      <c r="E823" s="89" t="s">
        <v>1808</v>
      </c>
      <c r="F823" s="91">
        <v>601001</v>
      </c>
      <c r="G823" s="91">
        <v>5100100</v>
      </c>
      <c r="H823" s="87"/>
      <c r="I823" s="90" t="s">
        <v>7069</v>
      </c>
      <c r="J823" s="88" t="str">
        <f t="shared" si="12"/>
        <v>重复</v>
      </c>
      <c r="K823" s="88" t="str">
        <f t="shared" si="12"/>
        <v>不重复</v>
      </c>
    </row>
    <row r="824" spans="1:11" ht="20.25" customHeight="1">
      <c r="A824" s="84" t="s">
        <v>7070</v>
      </c>
      <c r="B824" s="85" t="s">
        <v>7071</v>
      </c>
      <c r="C824" s="85" t="s">
        <v>7072</v>
      </c>
      <c r="D824" s="85" t="s">
        <v>7073</v>
      </c>
      <c r="E824" s="84" t="s">
        <v>1808</v>
      </c>
      <c r="F824" s="86">
        <v>601002</v>
      </c>
      <c r="G824" s="86">
        <v>5100100</v>
      </c>
      <c r="H824" s="87"/>
      <c r="I824" s="85" t="s">
        <v>25</v>
      </c>
      <c r="J824" s="88" t="str">
        <f t="shared" si="12"/>
        <v>不重复</v>
      </c>
      <c r="K824" s="88" t="str">
        <f t="shared" si="12"/>
        <v>不重复</v>
      </c>
    </row>
    <row r="825" spans="1:11" ht="20.25" customHeight="1">
      <c r="A825" s="84" t="s">
        <v>1809</v>
      </c>
      <c r="B825" s="85" t="s">
        <v>7074</v>
      </c>
      <c r="C825" s="85" t="s">
        <v>648</v>
      </c>
      <c r="D825" s="85" t="s">
        <v>1810</v>
      </c>
      <c r="E825" s="84" t="s">
        <v>1808</v>
      </c>
      <c r="F825" s="86">
        <v>601003</v>
      </c>
      <c r="G825" s="86">
        <v>5100100</v>
      </c>
      <c r="H825" s="87"/>
      <c r="I825" s="85" t="s">
        <v>7075</v>
      </c>
      <c r="J825" s="88" t="str">
        <f t="shared" si="12"/>
        <v>不重复</v>
      </c>
      <c r="K825" s="88" t="str">
        <f t="shared" si="12"/>
        <v>不重复</v>
      </c>
    </row>
    <row r="826" spans="1:11" ht="20.25" customHeight="1">
      <c r="A826" s="89" t="s">
        <v>7076</v>
      </c>
      <c r="B826" s="90" t="s">
        <v>7077</v>
      </c>
      <c r="C826" s="90" t="s">
        <v>7078</v>
      </c>
      <c r="D826" s="90" t="s">
        <v>7079</v>
      </c>
      <c r="E826" s="89" t="s">
        <v>1808</v>
      </c>
      <c r="F826" s="91">
        <v>601004</v>
      </c>
      <c r="G826" s="91">
        <v>5100100</v>
      </c>
      <c r="H826" s="87"/>
      <c r="I826" s="90" t="s">
        <v>25</v>
      </c>
      <c r="J826" s="88" t="str">
        <f t="shared" si="12"/>
        <v>不重复</v>
      </c>
      <c r="K826" s="88" t="str">
        <f t="shared" si="12"/>
        <v>不重复</v>
      </c>
    </row>
    <row r="827" spans="1:11" ht="20.25" customHeight="1">
      <c r="A827" s="89" t="s">
        <v>1811</v>
      </c>
      <c r="B827" s="90" t="s">
        <v>7080</v>
      </c>
      <c r="C827" s="90" t="s">
        <v>1812</v>
      </c>
      <c r="D827" s="90" t="s">
        <v>1813</v>
      </c>
      <c r="E827" s="89" t="s">
        <v>1808</v>
      </c>
      <c r="F827" s="91">
        <v>601005</v>
      </c>
      <c r="G827" s="91">
        <v>5100100</v>
      </c>
      <c r="H827" s="87"/>
      <c r="I827" s="90" t="s">
        <v>7081</v>
      </c>
      <c r="J827" s="88" t="str">
        <f t="shared" si="12"/>
        <v>重复</v>
      </c>
      <c r="K827" s="88" t="str">
        <f t="shared" si="12"/>
        <v>不重复</v>
      </c>
    </row>
    <row r="828" spans="1:11" ht="20.25" customHeight="1">
      <c r="A828" s="89" t="s">
        <v>1814</v>
      </c>
      <c r="B828" s="90" t="s">
        <v>1815</v>
      </c>
      <c r="C828" s="90" t="s">
        <v>1816</v>
      </c>
      <c r="D828" s="90" t="s">
        <v>1817</v>
      </c>
      <c r="E828" s="89" t="s">
        <v>1808</v>
      </c>
      <c r="F828" s="91">
        <v>601006</v>
      </c>
      <c r="G828" s="91">
        <v>5100100</v>
      </c>
      <c r="H828" s="87"/>
      <c r="I828" s="90" t="s">
        <v>7082</v>
      </c>
      <c r="J828" s="88" t="str">
        <f t="shared" si="12"/>
        <v>重复</v>
      </c>
      <c r="K828" s="88" t="str">
        <f t="shared" si="12"/>
        <v>不重复</v>
      </c>
    </row>
    <row r="829" spans="1:11" ht="20.25" customHeight="1">
      <c r="A829" s="84" t="s">
        <v>1818</v>
      </c>
      <c r="B829" s="85" t="s">
        <v>7083</v>
      </c>
      <c r="C829" s="85" t="s">
        <v>1819</v>
      </c>
      <c r="D829" s="85" t="s">
        <v>1820</v>
      </c>
      <c r="E829" s="84" t="s">
        <v>1808</v>
      </c>
      <c r="F829" s="86">
        <v>601008</v>
      </c>
      <c r="G829" s="86">
        <v>5100100</v>
      </c>
      <c r="H829" s="87"/>
      <c r="I829" s="85" t="s">
        <v>7084</v>
      </c>
      <c r="J829" s="88" t="str">
        <f t="shared" si="12"/>
        <v>不重复</v>
      </c>
      <c r="K829" s="88" t="str">
        <f t="shared" si="12"/>
        <v>不重复</v>
      </c>
    </row>
    <row r="830" spans="1:11" ht="20.25" customHeight="1">
      <c r="A830" s="89" t="s">
        <v>1822</v>
      </c>
      <c r="B830" s="90" t="s">
        <v>1823</v>
      </c>
      <c r="C830" s="90" t="s">
        <v>1824</v>
      </c>
      <c r="D830" s="90" t="s">
        <v>1825</v>
      </c>
      <c r="E830" s="89" t="s">
        <v>1808</v>
      </c>
      <c r="F830" s="91">
        <v>601009</v>
      </c>
      <c r="G830" s="91">
        <v>5100100</v>
      </c>
      <c r="H830" s="87"/>
      <c r="I830" s="90" t="s">
        <v>25</v>
      </c>
      <c r="J830" s="88" t="str">
        <f t="shared" si="12"/>
        <v>重复</v>
      </c>
      <c r="K830" s="88" t="str">
        <f t="shared" si="12"/>
        <v>不重复</v>
      </c>
    </row>
    <row r="831" spans="1:11" ht="20.25" customHeight="1">
      <c r="A831" s="89" t="s">
        <v>1835</v>
      </c>
      <c r="B831" s="90" t="s">
        <v>1836</v>
      </c>
      <c r="C831" s="90" t="s">
        <v>7085</v>
      </c>
      <c r="D831" s="90" t="s">
        <v>1837</v>
      </c>
      <c r="E831" s="89" t="s">
        <v>1808</v>
      </c>
      <c r="F831" s="91">
        <v>601010</v>
      </c>
      <c r="G831" s="91">
        <v>5100100</v>
      </c>
      <c r="H831" s="87"/>
      <c r="I831" s="90" t="s">
        <v>25</v>
      </c>
      <c r="J831" s="88" t="str">
        <f t="shared" si="12"/>
        <v>不重复</v>
      </c>
      <c r="K831" s="88" t="str">
        <f t="shared" si="12"/>
        <v>不重复</v>
      </c>
    </row>
    <row r="832" spans="1:11" ht="20.25" customHeight="1">
      <c r="A832" s="89" t="s">
        <v>1826</v>
      </c>
      <c r="B832" s="90" t="s">
        <v>1827</v>
      </c>
      <c r="C832" s="90" t="s">
        <v>372</v>
      </c>
      <c r="D832" s="90" t="s">
        <v>1828</v>
      </c>
      <c r="E832" s="89" t="s">
        <v>1808</v>
      </c>
      <c r="F832" s="91">
        <v>601011</v>
      </c>
      <c r="G832" s="91">
        <v>5100100</v>
      </c>
      <c r="H832" s="87"/>
      <c r="I832" s="90" t="s">
        <v>7086</v>
      </c>
      <c r="J832" s="88" t="str">
        <f t="shared" si="12"/>
        <v>重复</v>
      </c>
      <c r="K832" s="88" t="str">
        <f t="shared" si="12"/>
        <v>不重复</v>
      </c>
    </row>
    <row r="833" spans="1:11" ht="20.25" customHeight="1">
      <c r="A833" s="89" t="s">
        <v>1832</v>
      </c>
      <c r="B833" s="90" t="s">
        <v>1833</v>
      </c>
      <c r="C833" s="90" t="s">
        <v>1531</v>
      </c>
      <c r="D833" s="90" t="s">
        <v>1834</v>
      </c>
      <c r="E833" s="89" t="s">
        <v>1808</v>
      </c>
      <c r="F833" s="91">
        <v>601012</v>
      </c>
      <c r="G833" s="91">
        <v>5100100</v>
      </c>
      <c r="H833" s="87"/>
      <c r="I833" s="90" t="s">
        <v>7087</v>
      </c>
      <c r="J833" s="88" t="str">
        <f t="shared" si="12"/>
        <v>不重复</v>
      </c>
      <c r="K833" s="88" t="str">
        <f t="shared" si="12"/>
        <v>不重复</v>
      </c>
    </row>
    <row r="834" spans="1:11" ht="20.25" customHeight="1">
      <c r="A834" s="89" t="s">
        <v>1852</v>
      </c>
      <c r="B834" s="90" t="s">
        <v>1853</v>
      </c>
      <c r="C834" s="90" t="s">
        <v>1240</v>
      </c>
      <c r="D834" s="90" t="s">
        <v>1854</v>
      </c>
      <c r="E834" s="89" t="s">
        <v>1808</v>
      </c>
      <c r="F834" s="91">
        <v>601014</v>
      </c>
      <c r="G834" s="91">
        <v>5100100</v>
      </c>
      <c r="H834" s="87"/>
      <c r="I834" s="90" t="s">
        <v>7088</v>
      </c>
      <c r="J834" s="88" t="str">
        <f t="shared" si="12"/>
        <v>重复</v>
      </c>
      <c r="K834" s="88" t="str">
        <f t="shared" si="12"/>
        <v>不重复</v>
      </c>
    </row>
    <row r="835" spans="1:11" ht="20.25" customHeight="1">
      <c r="A835" s="84" t="s">
        <v>7089</v>
      </c>
      <c r="B835" s="85" t="s">
        <v>7090</v>
      </c>
      <c r="C835" s="85" t="s">
        <v>7091</v>
      </c>
      <c r="D835" s="85" t="s">
        <v>7092</v>
      </c>
      <c r="E835" s="84" t="s">
        <v>1808</v>
      </c>
      <c r="F835" s="86">
        <v>601016</v>
      </c>
      <c r="G835" s="86">
        <v>5100100</v>
      </c>
      <c r="H835" s="87"/>
      <c r="I835" s="85" t="s">
        <v>25</v>
      </c>
      <c r="J835" s="88" t="str">
        <f t="shared" si="13" ref="J835:K898">IF(COUNTIF(C:C,C835)&gt;=2,"重复","不重复")</f>
        <v>不重复</v>
      </c>
      <c r="K835" s="88" t="str">
        <f t="shared" si="13"/>
        <v>不重复</v>
      </c>
    </row>
    <row r="836" spans="1:11" ht="20.25" customHeight="1">
      <c r="A836" s="84" t="s">
        <v>1838</v>
      </c>
      <c r="B836" s="85" t="s">
        <v>1839</v>
      </c>
      <c r="C836" s="85" t="s">
        <v>1840</v>
      </c>
      <c r="D836" s="85" t="s">
        <v>1841</v>
      </c>
      <c r="E836" s="84" t="s">
        <v>1808</v>
      </c>
      <c r="F836" s="86">
        <v>601017</v>
      </c>
      <c r="G836" s="86">
        <v>5100100</v>
      </c>
      <c r="H836" s="87"/>
      <c r="I836" s="85" t="s">
        <v>7093</v>
      </c>
      <c r="J836" s="88" t="str">
        <f t="shared" si="13"/>
        <v>不重复</v>
      </c>
      <c r="K836" s="88" t="str">
        <f t="shared" si="13"/>
        <v>不重复</v>
      </c>
    </row>
    <row r="837" spans="1:11" ht="20.25" customHeight="1">
      <c r="A837" s="84" t="s">
        <v>7094</v>
      </c>
      <c r="B837" s="85" t="s">
        <v>7095</v>
      </c>
      <c r="C837" s="85" t="s">
        <v>7096</v>
      </c>
      <c r="D837" s="85" t="s">
        <v>7097</v>
      </c>
      <c r="E837" s="84" t="s">
        <v>1808</v>
      </c>
      <c r="F837" s="86">
        <v>601018</v>
      </c>
      <c r="G837" s="86">
        <v>5100100</v>
      </c>
      <c r="H837" s="87"/>
      <c r="I837" s="85" t="s">
        <v>25</v>
      </c>
      <c r="J837" s="88" t="str">
        <f t="shared" si="13"/>
        <v>不重复</v>
      </c>
      <c r="K837" s="88" t="str">
        <f t="shared" si="13"/>
        <v>不重复</v>
      </c>
    </row>
    <row r="838" spans="1:11" ht="20.25" customHeight="1">
      <c r="A838" s="84" t="s">
        <v>1843</v>
      </c>
      <c r="B838" s="85" t="s">
        <v>7098</v>
      </c>
      <c r="C838" s="85" t="s">
        <v>1844</v>
      </c>
      <c r="D838" s="85" t="s">
        <v>1845</v>
      </c>
      <c r="E838" s="84" t="s">
        <v>1808</v>
      </c>
      <c r="F838" s="86">
        <v>601019</v>
      </c>
      <c r="G838" s="86">
        <v>5100100</v>
      </c>
      <c r="H838" s="87"/>
      <c r="I838" s="85" t="s">
        <v>7075</v>
      </c>
      <c r="J838" s="88" t="str">
        <f t="shared" si="13"/>
        <v>不重复</v>
      </c>
      <c r="K838" s="88" t="str">
        <f t="shared" si="13"/>
        <v>不重复</v>
      </c>
    </row>
    <row r="839" spans="1:11" ht="20.25" customHeight="1">
      <c r="A839" s="89" t="s">
        <v>1849</v>
      </c>
      <c r="B839" s="90" t="s">
        <v>7099</v>
      </c>
      <c r="C839" s="90" t="s">
        <v>1850</v>
      </c>
      <c r="D839" s="90" t="s">
        <v>1851</v>
      </c>
      <c r="E839" s="89" t="s">
        <v>1808</v>
      </c>
      <c r="F839" s="91">
        <v>601021</v>
      </c>
      <c r="G839" s="91">
        <v>5100100</v>
      </c>
      <c r="H839" s="87"/>
      <c r="I839" s="90" t="s">
        <v>7100</v>
      </c>
      <c r="J839" s="88" t="str">
        <f t="shared" si="13"/>
        <v>不重复</v>
      </c>
      <c r="K839" s="88" t="str">
        <f t="shared" si="13"/>
        <v>不重复</v>
      </c>
    </row>
    <row r="840" spans="1:11" ht="20.25" customHeight="1">
      <c r="A840" s="89" t="s">
        <v>1846</v>
      </c>
      <c r="B840" s="90" t="s">
        <v>7101</v>
      </c>
      <c r="C840" s="90" t="s">
        <v>1847</v>
      </c>
      <c r="D840" s="90" t="s">
        <v>1848</v>
      </c>
      <c r="E840" s="89" t="s">
        <v>1808</v>
      </c>
      <c r="F840" s="91">
        <v>601023</v>
      </c>
      <c r="G840" s="91">
        <v>5100100</v>
      </c>
      <c r="H840" s="87"/>
      <c r="I840" s="90" t="s">
        <v>7102</v>
      </c>
      <c r="J840" s="88" t="str">
        <f t="shared" si="13"/>
        <v>不重复</v>
      </c>
      <c r="K840" s="88" t="str">
        <f t="shared" si="13"/>
        <v>不重复</v>
      </c>
    </row>
    <row r="841" spans="1:11" ht="20.25" customHeight="1">
      <c r="A841" s="84" t="s">
        <v>7103</v>
      </c>
      <c r="B841" s="85" t="s">
        <v>7104</v>
      </c>
      <c r="C841" s="85" t="s">
        <v>7105</v>
      </c>
      <c r="D841" s="85" t="s">
        <v>7106</v>
      </c>
      <c r="E841" s="84" t="s">
        <v>1808</v>
      </c>
      <c r="F841" s="86">
        <v>601024</v>
      </c>
      <c r="G841" s="86">
        <v>5100100</v>
      </c>
      <c r="H841" s="87"/>
      <c r="I841" s="85" t="s">
        <v>25</v>
      </c>
      <c r="J841" s="88" t="str">
        <f t="shared" si="13"/>
        <v>不重复</v>
      </c>
      <c r="K841" s="88" t="str">
        <f t="shared" si="13"/>
        <v>不重复</v>
      </c>
    </row>
    <row r="842" spans="1:11" ht="20.25" customHeight="1">
      <c r="A842" s="84" t="s">
        <v>1855</v>
      </c>
      <c r="B842" s="85" t="s">
        <v>7107</v>
      </c>
      <c r="C842" s="85" t="s">
        <v>1591</v>
      </c>
      <c r="D842" s="85" t="s">
        <v>1856</v>
      </c>
      <c r="E842" s="84" t="s">
        <v>1808</v>
      </c>
      <c r="F842" s="86">
        <v>601025</v>
      </c>
      <c r="G842" s="86">
        <v>5100100</v>
      </c>
      <c r="H842" s="87"/>
      <c r="I842" s="85" t="s">
        <v>7108</v>
      </c>
      <c r="J842" s="88" t="str">
        <f t="shared" si="13"/>
        <v>重复</v>
      </c>
      <c r="K842" s="88" t="str">
        <f t="shared" si="13"/>
        <v>不重复</v>
      </c>
    </row>
    <row r="843" spans="1:11" ht="20.25" customHeight="1">
      <c r="A843" s="84" t="s">
        <v>1857</v>
      </c>
      <c r="B843" s="85" t="s">
        <v>7109</v>
      </c>
      <c r="C843" s="85" t="s">
        <v>1858</v>
      </c>
      <c r="D843" s="85" t="s">
        <v>1859</v>
      </c>
      <c r="E843" s="84" t="s">
        <v>1808</v>
      </c>
      <c r="F843" s="86">
        <v>601026</v>
      </c>
      <c r="G843" s="86">
        <v>5100100</v>
      </c>
      <c r="H843" s="87"/>
      <c r="I843" s="85" t="s">
        <v>7110</v>
      </c>
      <c r="J843" s="88" t="str">
        <f t="shared" si="13"/>
        <v>不重复</v>
      </c>
      <c r="K843" s="88" t="str">
        <f t="shared" si="13"/>
        <v>不重复</v>
      </c>
    </row>
    <row r="844" spans="1:11" ht="20.25" customHeight="1">
      <c r="A844" s="89" t="s">
        <v>1863</v>
      </c>
      <c r="B844" s="90" t="s">
        <v>1864</v>
      </c>
      <c r="C844" s="90" t="s">
        <v>7111</v>
      </c>
      <c r="D844" s="90" t="s">
        <v>1865</v>
      </c>
      <c r="E844" s="89" t="s">
        <v>1808</v>
      </c>
      <c r="F844" s="91">
        <v>601027</v>
      </c>
      <c r="G844" s="91">
        <v>5100100</v>
      </c>
      <c r="H844" s="87"/>
      <c r="I844" s="90" t="s">
        <v>25</v>
      </c>
      <c r="J844" s="88" t="str">
        <f t="shared" si="13"/>
        <v>不重复</v>
      </c>
      <c r="K844" s="88" t="str">
        <f t="shared" si="13"/>
        <v>不重复</v>
      </c>
    </row>
    <row r="845" spans="1:11" ht="20.25" customHeight="1">
      <c r="A845" s="89" t="s">
        <v>1860</v>
      </c>
      <c r="B845" s="90" t="s">
        <v>7112</v>
      </c>
      <c r="C845" s="90" t="s">
        <v>1861</v>
      </c>
      <c r="D845" s="90" t="s">
        <v>1862</v>
      </c>
      <c r="E845" s="89" t="s">
        <v>1808</v>
      </c>
      <c r="F845" s="91">
        <v>601028</v>
      </c>
      <c r="G845" s="91">
        <v>5100100</v>
      </c>
      <c r="H845" s="87"/>
      <c r="I845" s="90" t="s">
        <v>7102</v>
      </c>
      <c r="J845" s="88" t="str">
        <f t="shared" si="13"/>
        <v>不重复</v>
      </c>
      <c r="K845" s="88" t="str">
        <f t="shared" si="13"/>
        <v>不重复</v>
      </c>
    </row>
    <row r="846" spans="1:11" ht="20.25" customHeight="1">
      <c r="A846" s="89" t="s">
        <v>7113</v>
      </c>
      <c r="B846" s="90" t="s">
        <v>7114</v>
      </c>
      <c r="C846" s="90" t="s">
        <v>1546</v>
      </c>
      <c r="D846" s="90" t="s">
        <v>7115</v>
      </c>
      <c r="E846" s="89" t="s">
        <v>1808</v>
      </c>
      <c r="F846" s="91">
        <v>601029</v>
      </c>
      <c r="G846" s="91">
        <v>5100100</v>
      </c>
      <c r="H846" s="87"/>
      <c r="I846" s="90" t="s">
        <v>25</v>
      </c>
      <c r="J846" s="88" t="str">
        <f t="shared" si="13"/>
        <v>重复</v>
      </c>
      <c r="K846" s="88" t="str">
        <f t="shared" si="13"/>
        <v>不重复</v>
      </c>
    </row>
    <row r="847" spans="1:11" ht="20.25" customHeight="1">
      <c r="A847" s="89" t="s">
        <v>1869</v>
      </c>
      <c r="B847" s="90" t="s">
        <v>7116</v>
      </c>
      <c r="C847" s="90" t="s">
        <v>1870</v>
      </c>
      <c r="D847" s="90" t="s">
        <v>1871</v>
      </c>
      <c r="E847" s="89" t="s">
        <v>1808</v>
      </c>
      <c r="F847" s="91">
        <v>601030</v>
      </c>
      <c r="G847" s="91">
        <v>5100100</v>
      </c>
      <c r="H847" s="87"/>
      <c r="I847" s="90" t="s">
        <v>7117</v>
      </c>
      <c r="J847" s="88" t="str">
        <f t="shared" si="13"/>
        <v>重复</v>
      </c>
      <c r="K847" s="88" t="str">
        <f t="shared" si="13"/>
        <v>不重复</v>
      </c>
    </row>
    <row r="848" spans="1:11" ht="20.25" customHeight="1">
      <c r="A848" s="89" t="s">
        <v>1874</v>
      </c>
      <c r="B848" s="90" t="s">
        <v>7118</v>
      </c>
      <c r="C848" s="90" t="s">
        <v>1875</v>
      </c>
      <c r="D848" s="90" t="s">
        <v>7119</v>
      </c>
      <c r="E848" s="89" t="s">
        <v>1808</v>
      </c>
      <c r="F848" s="91">
        <v>601031</v>
      </c>
      <c r="G848" s="91">
        <v>5100100</v>
      </c>
      <c r="H848" s="87"/>
      <c r="I848" s="90" t="s">
        <v>7120</v>
      </c>
      <c r="J848" s="88" t="str">
        <f t="shared" si="13"/>
        <v>重复</v>
      </c>
      <c r="K848" s="88" t="str">
        <f t="shared" si="13"/>
        <v>不重复</v>
      </c>
    </row>
    <row r="849" spans="1:11" ht="20.25" customHeight="1">
      <c r="A849" s="89" t="s">
        <v>1866</v>
      </c>
      <c r="B849" s="90" t="s">
        <v>7121</v>
      </c>
      <c r="C849" s="90" t="s">
        <v>1867</v>
      </c>
      <c r="D849" s="90" t="s">
        <v>1868</v>
      </c>
      <c r="E849" s="89" t="s">
        <v>1808</v>
      </c>
      <c r="F849" s="91">
        <v>601032</v>
      </c>
      <c r="G849" s="91">
        <v>5100100</v>
      </c>
      <c r="H849" s="87"/>
      <c r="I849" s="90" t="s">
        <v>7120</v>
      </c>
      <c r="J849" s="88" t="str">
        <f t="shared" si="13"/>
        <v>不重复</v>
      </c>
      <c r="K849" s="88" t="str">
        <f t="shared" si="13"/>
        <v>不重复</v>
      </c>
    </row>
    <row r="850" spans="1:11" ht="20.25" customHeight="1">
      <c r="A850" s="89" t="s">
        <v>1872</v>
      </c>
      <c r="B850" s="90" t="s">
        <v>7122</v>
      </c>
      <c r="C850" s="90" t="s">
        <v>1411</v>
      </c>
      <c r="D850" s="90" t="s">
        <v>7123</v>
      </c>
      <c r="E850" s="89" t="s">
        <v>1808</v>
      </c>
      <c r="F850" s="91">
        <v>601033</v>
      </c>
      <c r="G850" s="91">
        <v>5100100</v>
      </c>
      <c r="H850" s="87"/>
      <c r="I850" s="90" t="s">
        <v>7086</v>
      </c>
      <c r="J850" s="88" t="str">
        <f t="shared" si="13"/>
        <v>重复</v>
      </c>
      <c r="K850" s="88" t="str">
        <f t="shared" si="13"/>
        <v>不重复</v>
      </c>
    </row>
    <row r="851" spans="1:11" ht="20.25" customHeight="1">
      <c r="A851" s="89" t="s">
        <v>7124</v>
      </c>
      <c r="B851" s="90" t="s">
        <v>7125</v>
      </c>
      <c r="C851" s="90" t="s">
        <v>2676</v>
      </c>
      <c r="D851" s="90" t="s">
        <v>7126</v>
      </c>
      <c r="E851" s="89" t="s">
        <v>1808</v>
      </c>
      <c r="F851" s="91">
        <v>601034</v>
      </c>
      <c r="G851" s="91">
        <v>5100100</v>
      </c>
      <c r="H851" s="87"/>
      <c r="I851" s="90" t="s">
        <v>25</v>
      </c>
      <c r="J851" s="88" t="str">
        <f t="shared" si="13"/>
        <v>重复</v>
      </c>
      <c r="K851" s="88" t="str">
        <f t="shared" si="13"/>
        <v>不重复</v>
      </c>
    </row>
    <row r="852" spans="1:11" ht="20.25" customHeight="1">
      <c r="A852" s="89" t="s">
        <v>1877</v>
      </c>
      <c r="B852" s="90" t="s">
        <v>7127</v>
      </c>
      <c r="C852" s="90" t="s">
        <v>1878</v>
      </c>
      <c r="D852" s="90" t="s">
        <v>1879</v>
      </c>
      <c r="E852" s="89" t="s">
        <v>1808</v>
      </c>
      <c r="F852" s="91">
        <v>601035</v>
      </c>
      <c r="G852" s="91">
        <v>5100100</v>
      </c>
      <c r="H852" s="87"/>
      <c r="I852" s="90" t="s">
        <v>7128</v>
      </c>
      <c r="J852" s="88" t="str">
        <f t="shared" si="13"/>
        <v>不重复</v>
      </c>
      <c r="K852" s="88" t="str">
        <f t="shared" si="13"/>
        <v>不重复</v>
      </c>
    </row>
    <row r="853" spans="1:11" ht="20.25" customHeight="1">
      <c r="A853" s="89" t="s">
        <v>1880</v>
      </c>
      <c r="B853" s="90" t="s">
        <v>7129</v>
      </c>
      <c r="C853" s="90" t="s">
        <v>1881</v>
      </c>
      <c r="D853" s="90" t="s">
        <v>1882</v>
      </c>
      <c r="E853" s="89" t="s">
        <v>1808</v>
      </c>
      <c r="F853" s="91">
        <v>601037</v>
      </c>
      <c r="G853" s="91">
        <v>5100100</v>
      </c>
      <c r="H853" s="87"/>
      <c r="I853" s="90" t="s">
        <v>7130</v>
      </c>
      <c r="J853" s="88" t="str">
        <f t="shared" si="13"/>
        <v>不重复</v>
      </c>
      <c r="K853" s="88" t="str">
        <f t="shared" si="13"/>
        <v>不重复</v>
      </c>
    </row>
    <row r="854" spans="1:11" ht="20.25" customHeight="1">
      <c r="A854" s="89" t="s">
        <v>1883</v>
      </c>
      <c r="B854" s="90" t="s">
        <v>1884</v>
      </c>
      <c r="C854" s="90" t="s">
        <v>1885</v>
      </c>
      <c r="D854" s="90" t="s">
        <v>1886</v>
      </c>
      <c r="E854" s="89" t="s">
        <v>1808</v>
      </c>
      <c r="F854" s="91">
        <v>601038</v>
      </c>
      <c r="G854" s="91">
        <v>5100100</v>
      </c>
      <c r="H854" s="87"/>
      <c r="I854" s="90" t="s">
        <v>7131</v>
      </c>
      <c r="J854" s="88" t="str">
        <f t="shared" si="13"/>
        <v>重复</v>
      </c>
      <c r="K854" s="88" t="str">
        <f t="shared" si="13"/>
        <v>不重复</v>
      </c>
    </row>
    <row r="855" spans="1:11" ht="20.25" customHeight="1">
      <c r="A855" s="89" t="s">
        <v>7132</v>
      </c>
      <c r="B855" s="90" t="s">
        <v>7133</v>
      </c>
      <c r="C855" s="90" t="s">
        <v>7134</v>
      </c>
      <c r="D855" s="90" t="s">
        <v>7135</v>
      </c>
      <c r="E855" s="89" t="s">
        <v>1808</v>
      </c>
      <c r="F855" s="91">
        <v>601039</v>
      </c>
      <c r="G855" s="91">
        <v>5100100</v>
      </c>
      <c r="H855" s="87"/>
      <c r="I855" s="90" t="s">
        <v>25</v>
      </c>
      <c r="J855" s="88" t="str">
        <f t="shared" si="13"/>
        <v>不重复</v>
      </c>
      <c r="K855" s="88" t="str">
        <f t="shared" si="13"/>
        <v>不重复</v>
      </c>
    </row>
    <row r="856" spans="1:11" ht="20.25" customHeight="1">
      <c r="A856" s="89" t="s">
        <v>1887</v>
      </c>
      <c r="B856" s="90" t="s">
        <v>1888</v>
      </c>
      <c r="C856" s="90" t="s">
        <v>396</v>
      </c>
      <c r="D856" s="90" t="s">
        <v>1889</v>
      </c>
      <c r="E856" s="89" t="s">
        <v>1808</v>
      </c>
      <c r="F856" s="91">
        <v>601040</v>
      </c>
      <c r="G856" s="91">
        <v>5100100</v>
      </c>
      <c r="H856" s="87"/>
      <c r="I856" s="90" t="s">
        <v>7136</v>
      </c>
      <c r="J856" s="88" t="str">
        <f t="shared" si="13"/>
        <v>重复</v>
      </c>
      <c r="K856" s="88" t="str">
        <f t="shared" si="13"/>
        <v>不重复</v>
      </c>
    </row>
    <row r="857" spans="1:11" ht="20.25" customHeight="1">
      <c r="A857" s="84" t="s">
        <v>7137</v>
      </c>
      <c r="B857" s="85" t="s">
        <v>7138</v>
      </c>
      <c r="C857" s="85" t="s">
        <v>2096</v>
      </c>
      <c r="D857" s="85" t="s">
        <v>7139</v>
      </c>
      <c r="E857" s="84" t="s">
        <v>1808</v>
      </c>
      <c r="F857" s="86">
        <v>601041</v>
      </c>
      <c r="G857" s="86">
        <v>5100100</v>
      </c>
      <c r="H857" s="87"/>
      <c r="I857" s="85" t="s">
        <v>25</v>
      </c>
      <c r="J857" s="88" t="str">
        <f t="shared" si="13"/>
        <v>重复</v>
      </c>
      <c r="K857" s="88" t="str">
        <f t="shared" si="13"/>
        <v>不重复</v>
      </c>
    </row>
    <row r="858" spans="1:11" ht="20.25" customHeight="1">
      <c r="A858" s="84" t="s">
        <v>1894</v>
      </c>
      <c r="B858" s="85" t="s">
        <v>1895</v>
      </c>
      <c r="C858" s="85" t="s">
        <v>1896</v>
      </c>
      <c r="D858" s="85" t="s">
        <v>1897</v>
      </c>
      <c r="E858" s="84" t="s">
        <v>1808</v>
      </c>
      <c r="F858" s="86">
        <v>601042</v>
      </c>
      <c r="G858" s="86">
        <v>5100100</v>
      </c>
      <c r="H858" s="87"/>
      <c r="I858" s="85" t="s">
        <v>7140</v>
      </c>
      <c r="J858" s="88" t="str">
        <f t="shared" si="13"/>
        <v>不重复</v>
      </c>
      <c r="K858" s="88" t="str">
        <f t="shared" si="13"/>
        <v>不重复</v>
      </c>
    </row>
    <row r="859" spans="1:11" ht="20.25" customHeight="1">
      <c r="A859" s="84" t="s">
        <v>1890</v>
      </c>
      <c r="B859" s="85" t="s">
        <v>1891</v>
      </c>
      <c r="C859" s="85" t="s">
        <v>1892</v>
      </c>
      <c r="D859" s="85" t="s">
        <v>1893</v>
      </c>
      <c r="E859" s="84" t="s">
        <v>1808</v>
      </c>
      <c r="F859" s="86">
        <v>601043</v>
      </c>
      <c r="G859" s="86">
        <v>5100100</v>
      </c>
      <c r="H859" s="87"/>
      <c r="I859" s="85" t="s">
        <v>7141</v>
      </c>
      <c r="J859" s="88" t="str">
        <f t="shared" si="13"/>
        <v>不重复</v>
      </c>
      <c r="K859" s="88" t="str">
        <f t="shared" si="13"/>
        <v>不重复</v>
      </c>
    </row>
    <row r="860" spans="1:11" ht="20.25" customHeight="1">
      <c r="A860" s="89" t="s">
        <v>7142</v>
      </c>
      <c r="B860" s="90" t="s">
        <v>7143</v>
      </c>
      <c r="C860" s="90" t="s">
        <v>7144</v>
      </c>
      <c r="D860" s="90" t="s">
        <v>7145</v>
      </c>
      <c r="E860" s="89" t="s">
        <v>1808</v>
      </c>
      <c r="F860" s="91">
        <v>601044</v>
      </c>
      <c r="G860" s="91">
        <v>5100100</v>
      </c>
      <c r="H860" s="87"/>
      <c r="I860" s="90" t="s">
        <v>25</v>
      </c>
      <c r="J860" s="88" t="str">
        <f t="shared" si="13"/>
        <v>不重复</v>
      </c>
      <c r="K860" s="88" t="str">
        <f t="shared" si="13"/>
        <v>不重复</v>
      </c>
    </row>
    <row r="861" spans="1:11" ht="20.25" customHeight="1">
      <c r="A861" s="89" t="s">
        <v>1898</v>
      </c>
      <c r="B861" s="90" t="s">
        <v>1899</v>
      </c>
      <c r="C861" s="90" t="s">
        <v>1900</v>
      </c>
      <c r="D861" s="90" t="s">
        <v>1901</v>
      </c>
      <c r="E861" s="89" t="s">
        <v>1808</v>
      </c>
      <c r="F861" s="91">
        <v>601045</v>
      </c>
      <c r="G861" s="91">
        <v>5100100</v>
      </c>
      <c r="H861" s="87"/>
      <c r="I861" s="90" t="s">
        <v>7136</v>
      </c>
      <c r="J861" s="88" t="str">
        <f t="shared" si="13"/>
        <v>不重复</v>
      </c>
      <c r="K861" s="88" t="str">
        <f t="shared" si="13"/>
        <v>不重复</v>
      </c>
    </row>
    <row r="862" spans="1:11" ht="20.25" customHeight="1">
      <c r="A862" s="84" t="s">
        <v>7146</v>
      </c>
      <c r="B862" s="85" t="s">
        <v>7147</v>
      </c>
      <c r="C862" s="85" t="s">
        <v>1545</v>
      </c>
      <c r="D862" s="85" t="s">
        <v>128</v>
      </c>
      <c r="E862" s="84" t="s">
        <v>1808</v>
      </c>
      <c r="F862" s="86">
        <v>601046</v>
      </c>
      <c r="G862" s="86">
        <v>5100100</v>
      </c>
      <c r="H862" s="87"/>
      <c r="I862" s="85" t="s">
        <v>25</v>
      </c>
      <c r="J862" s="88" t="str">
        <f t="shared" si="13"/>
        <v>不重复</v>
      </c>
      <c r="K862" s="88" t="str">
        <f t="shared" si="13"/>
        <v>不重复</v>
      </c>
    </row>
    <row r="863" spans="1:11" ht="20.25" customHeight="1">
      <c r="A863" s="84" t="s">
        <v>1902</v>
      </c>
      <c r="B863" s="85" t="s">
        <v>7148</v>
      </c>
      <c r="C863" s="85" t="s">
        <v>1903</v>
      </c>
      <c r="D863" s="85" t="s">
        <v>1904</v>
      </c>
      <c r="E863" s="84" t="s">
        <v>1808</v>
      </c>
      <c r="F863" s="86">
        <v>601047</v>
      </c>
      <c r="G863" s="86">
        <v>5100100</v>
      </c>
      <c r="H863" s="87"/>
      <c r="I863" s="85" t="s">
        <v>1905</v>
      </c>
      <c r="J863" s="88" t="str">
        <f t="shared" si="13"/>
        <v>重复</v>
      </c>
      <c r="K863" s="88" t="str">
        <f t="shared" si="13"/>
        <v>不重复</v>
      </c>
    </row>
    <row r="864" spans="1:11" ht="20.25" customHeight="1">
      <c r="A864" s="84" t="s">
        <v>1906</v>
      </c>
      <c r="B864" s="85" t="s">
        <v>7149</v>
      </c>
      <c r="C864" s="85" t="s">
        <v>1907</v>
      </c>
      <c r="D864" s="85" t="s">
        <v>1908</v>
      </c>
      <c r="E864" s="84" t="s">
        <v>1808</v>
      </c>
      <c r="F864" s="86">
        <v>601048</v>
      </c>
      <c r="G864" s="86">
        <v>5100100</v>
      </c>
      <c r="H864" s="87"/>
      <c r="I864" s="85" t="s">
        <v>1909</v>
      </c>
      <c r="J864" s="88" t="str">
        <f t="shared" si="13"/>
        <v>重复</v>
      </c>
      <c r="K864" s="88" t="str">
        <f t="shared" si="13"/>
        <v>不重复</v>
      </c>
    </row>
    <row r="865" spans="1:11" ht="20.25" customHeight="1">
      <c r="A865" s="89" t="s">
        <v>7150</v>
      </c>
      <c r="B865" s="90" t="s">
        <v>7151</v>
      </c>
      <c r="C865" s="90" t="s">
        <v>1076</v>
      </c>
      <c r="D865" s="90" t="s">
        <v>7152</v>
      </c>
      <c r="E865" s="89" t="s">
        <v>1808</v>
      </c>
      <c r="F865" s="91">
        <v>601049</v>
      </c>
      <c r="G865" s="91">
        <v>5100100</v>
      </c>
      <c r="H865" s="87"/>
      <c r="I865" s="90" t="s">
        <v>25</v>
      </c>
      <c r="J865" s="88" t="str">
        <f t="shared" si="13"/>
        <v>重复</v>
      </c>
      <c r="K865" s="88" t="str">
        <f t="shared" si="13"/>
        <v>不重复</v>
      </c>
    </row>
    <row r="866" spans="1:11" ht="20.25" customHeight="1">
      <c r="A866" s="89" t="s">
        <v>1910</v>
      </c>
      <c r="B866" s="90" t="s">
        <v>7153</v>
      </c>
      <c r="C866" s="90" t="s">
        <v>973</v>
      </c>
      <c r="D866" s="90" t="s">
        <v>1911</v>
      </c>
      <c r="E866" s="89" t="s">
        <v>1808</v>
      </c>
      <c r="F866" s="91">
        <v>601050</v>
      </c>
      <c r="G866" s="91">
        <v>5100100</v>
      </c>
      <c r="H866" s="87"/>
      <c r="I866" s="90" t="s">
        <v>7154</v>
      </c>
      <c r="J866" s="88" t="str">
        <f t="shared" si="13"/>
        <v>重复</v>
      </c>
      <c r="K866" s="88" t="str">
        <f t="shared" si="13"/>
        <v>不重复</v>
      </c>
    </row>
    <row r="867" spans="1:11" ht="20.25" customHeight="1">
      <c r="A867" s="89" t="s">
        <v>1912</v>
      </c>
      <c r="B867" s="90" t="s">
        <v>7155</v>
      </c>
      <c r="C867" s="90" t="s">
        <v>1384</v>
      </c>
      <c r="D867" s="90" t="s">
        <v>1913</v>
      </c>
      <c r="E867" s="89" t="s">
        <v>1808</v>
      </c>
      <c r="F867" s="91">
        <v>601051</v>
      </c>
      <c r="G867" s="91">
        <v>5100100</v>
      </c>
      <c r="H867" s="87"/>
      <c r="I867" s="90" t="s">
        <v>7156</v>
      </c>
      <c r="J867" s="88" t="str">
        <f t="shared" si="13"/>
        <v>重复</v>
      </c>
      <c r="K867" s="88" t="str">
        <f t="shared" si="13"/>
        <v>不重复</v>
      </c>
    </row>
    <row r="868" spans="1:11" ht="20.25" customHeight="1">
      <c r="A868" s="89" t="s">
        <v>7157</v>
      </c>
      <c r="B868" s="90" t="s">
        <v>7158</v>
      </c>
      <c r="C868" s="90" t="s">
        <v>25</v>
      </c>
      <c r="D868" s="90" t="s">
        <v>7159</v>
      </c>
      <c r="E868" s="89" t="s">
        <v>2468</v>
      </c>
      <c r="F868" s="91">
        <v>602001</v>
      </c>
      <c r="G868" s="91">
        <v>5100200</v>
      </c>
      <c r="H868" s="87"/>
      <c r="I868" s="90" t="s">
        <v>7160</v>
      </c>
      <c r="J868" s="88" t="str">
        <f t="shared" si="13"/>
        <v>重复</v>
      </c>
      <c r="K868" s="88" t="str">
        <f t="shared" si="13"/>
        <v>不重复</v>
      </c>
    </row>
    <row r="869" spans="1:11" ht="20.25" customHeight="1">
      <c r="A869" s="89" t="s">
        <v>2465</v>
      </c>
      <c r="B869" s="90" t="s">
        <v>7161</v>
      </c>
      <c r="C869" s="90" t="s">
        <v>2466</v>
      </c>
      <c r="D869" s="90" t="s">
        <v>2467</v>
      </c>
      <c r="E869" s="89" t="s">
        <v>2468</v>
      </c>
      <c r="F869" s="91">
        <v>602002</v>
      </c>
      <c r="G869" s="91">
        <v>5100200</v>
      </c>
      <c r="H869" s="87"/>
      <c r="I869" s="90" t="s">
        <v>7162</v>
      </c>
      <c r="J869" s="88" t="str">
        <f t="shared" si="13"/>
        <v>重复</v>
      </c>
      <c r="K869" s="88" t="str">
        <f t="shared" si="13"/>
        <v>不重复</v>
      </c>
    </row>
    <row r="870" spans="1:11" ht="20.25" customHeight="1">
      <c r="A870" s="84" t="s">
        <v>7163</v>
      </c>
      <c r="B870" s="85" t="s">
        <v>7164</v>
      </c>
      <c r="C870" s="85" t="s">
        <v>2482</v>
      </c>
      <c r="D870" s="85" t="s">
        <v>7165</v>
      </c>
      <c r="E870" s="84" t="s">
        <v>2468</v>
      </c>
      <c r="F870" s="86">
        <v>602003</v>
      </c>
      <c r="G870" s="86">
        <v>5100200</v>
      </c>
      <c r="H870" s="87"/>
      <c r="I870" s="85" t="s">
        <v>25</v>
      </c>
      <c r="J870" s="88" t="str">
        <f t="shared" si="13"/>
        <v>重复</v>
      </c>
      <c r="K870" s="88" t="str">
        <f t="shared" si="13"/>
        <v>不重复</v>
      </c>
    </row>
    <row r="871" spans="1:11" ht="20.25" customHeight="1">
      <c r="A871" s="84" t="s">
        <v>2471</v>
      </c>
      <c r="B871" s="85" t="s">
        <v>7166</v>
      </c>
      <c r="C871" s="85" t="s">
        <v>2472</v>
      </c>
      <c r="D871" s="85" t="s">
        <v>2473</v>
      </c>
      <c r="E871" s="84" t="s">
        <v>2468</v>
      </c>
      <c r="F871" s="86">
        <v>602004</v>
      </c>
      <c r="G871" s="86">
        <v>5100200</v>
      </c>
      <c r="H871" s="87"/>
      <c r="I871" s="85" t="s">
        <v>7167</v>
      </c>
      <c r="J871" s="88" t="str">
        <f t="shared" si="13"/>
        <v>重复</v>
      </c>
      <c r="K871" s="88" t="str">
        <f t="shared" si="13"/>
        <v>不重复</v>
      </c>
    </row>
    <row r="872" spans="1:11" ht="20.25" customHeight="1">
      <c r="A872" s="84" t="s">
        <v>2474</v>
      </c>
      <c r="B872" s="85" t="s">
        <v>7168</v>
      </c>
      <c r="C872" s="85" t="s">
        <v>2093</v>
      </c>
      <c r="D872" s="85" t="s">
        <v>2475</v>
      </c>
      <c r="E872" s="84" t="s">
        <v>2468</v>
      </c>
      <c r="F872" s="86">
        <v>602005</v>
      </c>
      <c r="G872" s="86">
        <v>5100200</v>
      </c>
      <c r="H872" s="87"/>
      <c r="I872" s="85" t="s">
        <v>7169</v>
      </c>
      <c r="J872" s="88" t="str">
        <f t="shared" si="13"/>
        <v>重复</v>
      </c>
      <c r="K872" s="88" t="str">
        <f t="shared" si="13"/>
        <v>不重复</v>
      </c>
    </row>
    <row r="873" spans="1:11" ht="20.25" customHeight="1">
      <c r="A873" s="89" t="s">
        <v>7170</v>
      </c>
      <c r="B873" s="90" t="s">
        <v>7171</v>
      </c>
      <c r="C873" s="90" t="s">
        <v>1082</v>
      </c>
      <c r="D873" s="90" t="s">
        <v>7172</v>
      </c>
      <c r="E873" s="89" t="s">
        <v>2468</v>
      </c>
      <c r="F873" s="91">
        <v>602006</v>
      </c>
      <c r="G873" s="91">
        <v>5100200</v>
      </c>
      <c r="H873" s="87"/>
      <c r="I873" s="90" t="s">
        <v>25</v>
      </c>
      <c r="J873" s="88" t="str">
        <f t="shared" si="13"/>
        <v>重复</v>
      </c>
      <c r="K873" s="88" t="str">
        <f t="shared" si="13"/>
        <v>不重复</v>
      </c>
    </row>
    <row r="874" spans="1:11" ht="20.25" customHeight="1">
      <c r="A874" s="89" t="s">
        <v>7173</v>
      </c>
      <c r="B874" s="90" t="s">
        <v>7174</v>
      </c>
      <c r="C874" s="90" t="s">
        <v>372</v>
      </c>
      <c r="D874" s="90" t="s">
        <v>2477</v>
      </c>
      <c r="E874" s="89" t="s">
        <v>2468</v>
      </c>
      <c r="F874" s="91">
        <v>602009</v>
      </c>
      <c r="G874" s="91">
        <v>5100200</v>
      </c>
      <c r="H874" s="87"/>
      <c r="I874" s="90" t="s">
        <v>7175</v>
      </c>
      <c r="J874" s="88" t="str">
        <f t="shared" si="13"/>
        <v>重复</v>
      </c>
      <c r="K874" s="88" t="str">
        <f t="shared" si="13"/>
        <v>不重复</v>
      </c>
    </row>
    <row r="875" spans="1:11" ht="20.25" customHeight="1">
      <c r="A875" s="89" t="s">
        <v>2478</v>
      </c>
      <c r="B875" s="90" t="s">
        <v>7176</v>
      </c>
      <c r="C875" s="90" t="s">
        <v>2479</v>
      </c>
      <c r="D875" s="90" t="s">
        <v>2480</v>
      </c>
      <c r="E875" s="89" t="s">
        <v>2468</v>
      </c>
      <c r="F875" s="91">
        <v>602011</v>
      </c>
      <c r="G875" s="91">
        <v>5100200</v>
      </c>
      <c r="H875" s="87"/>
      <c r="I875" s="90" t="s">
        <v>7169</v>
      </c>
      <c r="J875" s="88" t="str">
        <f t="shared" si="13"/>
        <v>不重复</v>
      </c>
      <c r="K875" s="88" t="str">
        <f t="shared" si="13"/>
        <v>不重复</v>
      </c>
    </row>
    <row r="876" spans="1:11" ht="20.25" customHeight="1">
      <c r="A876" s="84" t="s">
        <v>7177</v>
      </c>
      <c r="B876" s="85" t="s">
        <v>7178</v>
      </c>
      <c r="C876" s="85" t="s">
        <v>1549</v>
      </c>
      <c r="D876" s="85" t="s">
        <v>7179</v>
      </c>
      <c r="E876" s="84" t="s">
        <v>2468</v>
      </c>
      <c r="F876" s="86">
        <v>602012</v>
      </c>
      <c r="G876" s="86">
        <v>5100200</v>
      </c>
      <c r="H876" s="87"/>
      <c r="I876" s="85" t="s">
        <v>25</v>
      </c>
      <c r="J876" s="88" t="str">
        <f t="shared" si="13"/>
        <v>不重复</v>
      </c>
      <c r="K876" s="88" t="str">
        <f t="shared" si="13"/>
        <v>不重复</v>
      </c>
    </row>
    <row r="877" spans="1:11" ht="20.25" customHeight="1">
      <c r="A877" s="84" t="s">
        <v>2481</v>
      </c>
      <c r="B877" s="85" t="s">
        <v>7180</v>
      </c>
      <c r="C877" s="85" t="s">
        <v>2482</v>
      </c>
      <c r="D877" s="85" t="s">
        <v>2483</v>
      </c>
      <c r="E877" s="84" t="s">
        <v>2468</v>
      </c>
      <c r="F877" s="86">
        <v>602013</v>
      </c>
      <c r="G877" s="86">
        <v>5100200</v>
      </c>
      <c r="H877" s="87"/>
      <c r="I877" s="85" t="s">
        <v>7181</v>
      </c>
      <c r="J877" s="88" t="str">
        <f t="shared" si="13"/>
        <v>重复</v>
      </c>
      <c r="K877" s="88" t="str">
        <f t="shared" si="13"/>
        <v>不重复</v>
      </c>
    </row>
    <row r="878" spans="1:11" ht="20.25" customHeight="1">
      <c r="A878" s="84" t="s">
        <v>7182</v>
      </c>
      <c r="B878" s="85" t="s">
        <v>7183</v>
      </c>
      <c r="C878" s="85" t="s">
        <v>7184</v>
      </c>
      <c r="D878" s="85" t="s">
        <v>7185</v>
      </c>
      <c r="E878" s="84" t="s">
        <v>2468</v>
      </c>
      <c r="F878" s="86">
        <v>602014</v>
      </c>
      <c r="G878" s="86">
        <v>5100200</v>
      </c>
      <c r="H878" s="87"/>
      <c r="I878" s="85" t="s">
        <v>25</v>
      </c>
      <c r="J878" s="88" t="str">
        <f t="shared" si="13"/>
        <v>不重复</v>
      </c>
      <c r="K878" s="88" t="str">
        <f t="shared" si="13"/>
        <v>不重复</v>
      </c>
    </row>
    <row r="879" spans="1:11" ht="20.25" customHeight="1">
      <c r="A879" s="84" t="s">
        <v>2484</v>
      </c>
      <c r="B879" s="85" t="s">
        <v>7186</v>
      </c>
      <c r="C879" s="85" t="s">
        <v>2485</v>
      </c>
      <c r="D879" s="85" t="s">
        <v>2486</v>
      </c>
      <c r="E879" s="84" t="s">
        <v>2468</v>
      </c>
      <c r="F879" s="86">
        <v>602015</v>
      </c>
      <c r="G879" s="86">
        <v>5100200</v>
      </c>
      <c r="H879" s="87"/>
      <c r="I879" s="85" t="s">
        <v>7167</v>
      </c>
      <c r="J879" s="88" t="str">
        <f t="shared" si="13"/>
        <v>不重复</v>
      </c>
      <c r="K879" s="88" t="str">
        <f t="shared" si="13"/>
        <v>不重复</v>
      </c>
    </row>
    <row r="880" spans="1:11" ht="20.25" customHeight="1">
      <c r="A880" s="89" t="s">
        <v>7187</v>
      </c>
      <c r="B880" s="90" t="s">
        <v>7188</v>
      </c>
      <c r="C880" s="90" t="s">
        <v>138</v>
      </c>
      <c r="D880" s="90" t="s">
        <v>7189</v>
      </c>
      <c r="E880" s="89" t="s">
        <v>2468</v>
      </c>
      <c r="F880" s="91">
        <v>602016</v>
      </c>
      <c r="G880" s="91">
        <v>5100200</v>
      </c>
      <c r="H880" s="87"/>
      <c r="I880" s="90" t="s">
        <v>25</v>
      </c>
      <c r="J880" s="88" t="str">
        <f t="shared" si="13"/>
        <v>重复</v>
      </c>
      <c r="K880" s="88" t="str">
        <f t="shared" si="13"/>
        <v>不重复</v>
      </c>
    </row>
    <row r="881" spans="1:11" ht="20.25" customHeight="1">
      <c r="A881" s="89" t="s">
        <v>2469</v>
      </c>
      <c r="B881" s="90" t="s">
        <v>7190</v>
      </c>
      <c r="C881" s="90" t="s">
        <v>816</v>
      </c>
      <c r="D881" s="90" t="s">
        <v>2470</v>
      </c>
      <c r="E881" s="89" t="s">
        <v>2468</v>
      </c>
      <c r="F881" s="91">
        <v>602017</v>
      </c>
      <c r="G881" s="91">
        <v>5100200</v>
      </c>
      <c r="H881" s="87"/>
      <c r="I881" s="90" t="s">
        <v>7191</v>
      </c>
      <c r="J881" s="88" t="str">
        <f t="shared" si="13"/>
        <v>重复</v>
      </c>
      <c r="K881" s="88" t="str">
        <f t="shared" si="13"/>
        <v>不重复</v>
      </c>
    </row>
    <row r="882" spans="1:11" ht="20.25" customHeight="1">
      <c r="A882" s="89" t="s">
        <v>2490</v>
      </c>
      <c r="B882" s="90" t="s">
        <v>2491</v>
      </c>
      <c r="C882" s="90" t="s">
        <v>2492</v>
      </c>
      <c r="D882" s="90" t="s">
        <v>7192</v>
      </c>
      <c r="E882" s="89" t="s">
        <v>2468</v>
      </c>
      <c r="F882" s="91">
        <v>602018</v>
      </c>
      <c r="G882" s="91">
        <v>5100200</v>
      </c>
      <c r="H882" s="87"/>
      <c r="I882" s="90" t="s">
        <v>25</v>
      </c>
      <c r="J882" s="88" t="str">
        <f t="shared" si="13"/>
        <v>重复</v>
      </c>
      <c r="K882" s="88" t="str">
        <f t="shared" si="13"/>
        <v>不重复</v>
      </c>
    </row>
    <row r="883" spans="1:11" ht="20.25" customHeight="1">
      <c r="A883" s="89" t="s">
        <v>2487</v>
      </c>
      <c r="B883" s="90" t="s">
        <v>7193</v>
      </c>
      <c r="C883" s="90" t="s">
        <v>2184</v>
      </c>
      <c r="D883" s="90" t="s">
        <v>5209</v>
      </c>
      <c r="E883" s="89" t="s">
        <v>2468</v>
      </c>
      <c r="F883" s="91">
        <v>602019</v>
      </c>
      <c r="G883" s="91">
        <v>5100200</v>
      </c>
      <c r="H883" s="87"/>
      <c r="I883" s="90" t="s">
        <v>7167</v>
      </c>
      <c r="J883" s="88" t="str">
        <f t="shared" si="13"/>
        <v>重复</v>
      </c>
      <c r="K883" s="88" t="str">
        <f t="shared" si="13"/>
        <v>不重复</v>
      </c>
    </row>
    <row r="884" spans="1:11" ht="20.25" customHeight="1">
      <c r="A884" s="89" t="s">
        <v>7194</v>
      </c>
      <c r="B884" s="90" t="s">
        <v>7195</v>
      </c>
      <c r="C884" s="90" t="s">
        <v>1547</v>
      </c>
      <c r="D884" s="90" t="s">
        <v>7196</v>
      </c>
      <c r="E884" s="89" t="s">
        <v>2468</v>
      </c>
      <c r="F884" s="91">
        <v>602020</v>
      </c>
      <c r="G884" s="91">
        <v>5100200</v>
      </c>
      <c r="H884" s="87"/>
      <c r="I884" s="90" t="s">
        <v>7197</v>
      </c>
      <c r="J884" s="88" t="str">
        <f t="shared" si="13"/>
        <v>重复</v>
      </c>
      <c r="K884" s="88" t="str">
        <f t="shared" si="13"/>
        <v>不重复</v>
      </c>
    </row>
    <row r="885" spans="1:11" ht="20.25" customHeight="1">
      <c r="A885" s="84" t="s">
        <v>7198</v>
      </c>
      <c r="B885" s="85" t="s">
        <v>7199</v>
      </c>
      <c r="C885" s="85" t="s">
        <v>5208</v>
      </c>
      <c r="D885" s="85" t="s">
        <v>7200</v>
      </c>
      <c r="E885" s="84" t="s">
        <v>2468</v>
      </c>
      <c r="F885" s="86">
        <v>602021</v>
      </c>
      <c r="G885" s="86">
        <v>5100200</v>
      </c>
      <c r="H885" s="87"/>
      <c r="I885" s="85" t="s">
        <v>25</v>
      </c>
      <c r="J885" s="88" t="str">
        <f t="shared" si="13"/>
        <v>不重复</v>
      </c>
      <c r="K885" s="88" t="str">
        <f t="shared" si="13"/>
        <v>不重复</v>
      </c>
    </row>
    <row r="886" spans="1:11" ht="20.25" customHeight="1">
      <c r="A886" s="84" t="s">
        <v>2493</v>
      </c>
      <c r="B886" s="85" t="s">
        <v>7201</v>
      </c>
      <c r="C886" s="85" t="s">
        <v>2494</v>
      </c>
      <c r="D886" s="85" t="s">
        <v>2495</v>
      </c>
      <c r="E886" s="84" t="s">
        <v>2468</v>
      </c>
      <c r="F886" s="86">
        <v>602022</v>
      </c>
      <c r="G886" s="86">
        <v>5100200</v>
      </c>
      <c r="H886" s="87"/>
      <c r="I886" s="85" t="s">
        <v>7084</v>
      </c>
      <c r="J886" s="88" t="str">
        <f t="shared" si="13"/>
        <v>不重复</v>
      </c>
      <c r="K886" s="88" t="str">
        <f t="shared" si="13"/>
        <v>不重复</v>
      </c>
    </row>
    <row r="887" spans="1:11" ht="20.25" customHeight="1">
      <c r="A887" s="84" t="s">
        <v>2496</v>
      </c>
      <c r="B887" s="85" t="s">
        <v>7202</v>
      </c>
      <c r="C887" s="85" t="s">
        <v>2497</v>
      </c>
      <c r="D887" s="85" t="s">
        <v>2498</v>
      </c>
      <c r="E887" s="84" t="s">
        <v>2468</v>
      </c>
      <c r="F887" s="86">
        <v>602023</v>
      </c>
      <c r="G887" s="86">
        <v>5100200</v>
      </c>
      <c r="H887" s="87"/>
      <c r="I887" s="85" t="s">
        <v>7203</v>
      </c>
      <c r="J887" s="88" t="str">
        <f t="shared" si="13"/>
        <v>不重复</v>
      </c>
      <c r="K887" s="88" t="str">
        <f t="shared" si="13"/>
        <v>不重复</v>
      </c>
    </row>
    <row r="888" spans="1:11" ht="20.25" customHeight="1">
      <c r="A888" s="84" t="s">
        <v>2500</v>
      </c>
      <c r="B888" s="85" t="s">
        <v>7204</v>
      </c>
      <c r="C888" s="85" t="s">
        <v>2501</v>
      </c>
      <c r="D888" s="85" t="s">
        <v>2502</v>
      </c>
      <c r="E888" s="84" t="s">
        <v>2468</v>
      </c>
      <c r="F888" s="86">
        <v>602024</v>
      </c>
      <c r="G888" s="86">
        <v>5100200</v>
      </c>
      <c r="H888" s="87"/>
      <c r="I888" s="85" t="s">
        <v>7205</v>
      </c>
      <c r="J888" s="88" t="str">
        <f t="shared" si="13"/>
        <v>不重复</v>
      </c>
      <c r="K888" s="88" t="str">
        <f t="shared" si="13"/>
        <v>不重复</v>
      </c>
    </row>
    <row r="889" spans="1:11" ht="20.25" customHeight="1">
      <c r="A889" s="84" t="s">
        <v>7206</v>
      </c>
      <c r="B889" s="85" t="s">
        <v>7207</v>
      </c>
      <c r="C889" s="85" t="s">
        <v>7208</v>
      </c>
      <c r="D889" s="85" t="s">
        <v>7209</v>
      </c>
      <c r="E889" s="84" t="s">
        <v>2468</v>
      </c>
      <c r="F889" s="86">
        <v>602025</v>
      </c>
      <c r="G889" s="86">
        <v>5100200</v>
      </c>
      <c r="H889" s="87"/>
      <c r="I889" s="85" t="s">
        <v>25</v>
      </c>
      <c r="J889" s="88" t="str">
        <f t="shared" si="13"/>
        <v>不重复</v>
      </c>
      <c r="K889" s="88" t="str">
        <f t="shared" si="13"/>
        <v>不重复</v>
      </c>
    </row>
    <row r="890" spans="1:11" ht="20.25" customHeight="1">
      <c r="A890" s="89" t="s">
        <v>5206</v>
      </c>
      <c r="B890" s="90" t="s">
        <v>7210</v>
      </c>
      <c r="C890" s="90" t="s">
        <v>4752</v>
      </c>
      <c r="D890" s="90" t="s">
        <v>5207</v>
      </c>
      <c r="E890" s="89" t="s">
        <v>2468</v>
      </c>
      <c r="F890" s="91">
        <v>602026</v>
      </c>
      <c r="G890" s="91">
        <v>5100200</v>
      </c>
      <c r="H890" s="87"/>
      <c r="I890" s="90" t="s">
        <v>7167</v>
      </c>
      <c r="J890" s="88" t="str">
        <f t="shared" si="13"/>
        <v>重复</v>
      </c>
      <c r="K890" s="88" t="str">
        <f t="shared" si="13"/>
        <v>不重复</v>
      </c>
    </row>
    <row r="891" spans="1:11" ht="20.25" customHeight="1">
      <c r="A891" s="89" t="s">
        <v>5210</v>
      </c>
      <c r="B891" s="90" t="s">
        <v>7211</v>
      </c>
      <c r="C891" s="90" t="s">
        <v>7212</v>
      </c>
      <c r="D891" s="90" t="s">
        <v>7213</v>
      </c>
      <c r="E891" s="89" t="s">
        <v>2468</v>
      </c>
      <c r="F891" s="91">
        <v>602028</v>
      </c>
      <c r="G891" s="91">
        <v>5100200</v>
      </c>
      <c r="H891" s="87"/>
      <c r="I891" s="90" t="s">
        <v>7214</v>
      </c>
      <c r="J891" s="88" t="str">
        <f t="shared" si="13"/>
        <v>不重复</v>
      </c>
      <c r="K891" s="88" t="str">
        <f t="shared" si="13"/>
        <v>不重复</v>
      </c>
    </row>
    <row r="892" spans="1:11" ht="20.25" customHeight="1">
      <c r="A892" s="89" t="s">
        <v>5214</v>
      </c>
      <c r="B892" s="90" t="s">
        <v>7215</v>
      </c>
      <c r="C892" s="90" t="s">
        <v>2488</v>
      </c>
      <c r="D892" s="90" t="s">
        <v>7216</v>
      </c>
      <c r="E892" s="89" t="s">
        <v>2468</v>
      </c>
      <c r="F892" s="91">
        <v>602029</v>
      </c>
      <c r="G892" s="91">
        <v>5100200</v>
      </c>
      <c r="H892" s="87"/>
      <c r="I892" s="90" t="s">
        <v>7214</v>
      </c>
      <c r="J892" s="88" t="str">
        <f t="shared" si="13"/>
        <v>不重复</v>
      </c>
      <c r="K892" s="88" t="str">
        <f t="shared" si="13"/>
        <v>不重复</v>
      </c>
    </row>
    <row r="893" spans="1:11" ht="20.25" customHeight="1">
      <c r="A893" s="89" t="s">
        <v>5215</v>
      </c>
      <c r="B893" s="90" t="s">
        <v>7217</v>
      </c>
      <c r="C893" s="90" t="s">
        <v>2489</v>
      </c>
      <c r="D893" s="90" t="s">
        <v>7218</v>
      </c>
      <c r="E893" s="89" t="s">
        <v>2468</v>
      </c>
      <c r="F893" s="91">
        <v>602030</v>
      </c>
      <c r="G893" s="91">
        <v>5100200</v>
      </c>
      <c r="H893" s="87"/>
      <c r="I893" s="90" t="s">
        <v>7214</v>
      </c>
      <c r="J893" s="88" t="str">
        <f t="shared" si="13"/>
        <v>不重复</v>
      </c>
      <c r="K893" s="88" t="str">
        <f t="shared" si="13"/>
        <v>不重复</v>
      </c>
    </row>
    <row r="894" spans="1:11" ht="20.25" customHeight="1">
      <c r="A894" s="89" t="s">
        <v>5211</v>
      </c>
      <c r="B894" s="90" t="s">
        <v>7219</v>
      </c>
      <c r="C894" s="90" t="s">
        <v>7220</v>
      </c>
      <c r="D894" s="90" t="s">
        <v>7221</v>
      </c>
      <c r="E894" s="89" t="s">
        <v>2468</v>
      </c>
      <c r="F894" s="91">
        <v>602031</v>
      </c>
      <c r="G894" s="91">
        <v>5100200</v>
      </c>
      <c r="H894" s="87"/>
      <c r="I894" s="90" t="s">
        <v>7214</v>
      </c>
      <c r="J894" s="88" t="str">
        <f t="shared" si="13"/>
        <v>不重复</v>
      </c>
      <c r="K894" s="88" t="str">
        <f t="shared" si="13"/>
        <v>不重复</v>
      </c>
    </row>
    <row r="895" spans="1:11" ht="20.25" customHeight="1">
      <c r="A895" s="89" t="s">
        <v>5213</v>
      </c>
      <c r="B895" s="90" t="s">
        <v>7222</v>
      </c>
      <c r="C895" s="90" t="s">
        <v>7223</v>
      </c>
      <c r="D895" s="90" t="s">
        <v>7224</v>
      </c>
      <c r="E895" s="89" t="s">
        <v>2468</v>
      </c>
      <c r="F895" s="91">
        <v>602032</v>
      </c>
      <c r="G895" s="91">
        <v>5100200</v>
      </c>
      <c r="H895" s="87"/>
      <c r="I895" s="90" t="s">
        <v>7214</v>
      </c>
      <c r="J895" s="88" t="str">
        <f t="shared" si="13"/>
        <v>不重复</v>
      </c>
      <c r="K895" s="88" t="str">
        <f t="shared" si="13"/>
        <v>不重复</v>
      </c>
    </row>
    <row r="896" spans="1:11" ht="20.25" customHeight="1">
      <c r="A896" s="89" t="s">
        <v>2569</v>
      </c>
      <c r="B896" s="90" t="s">
        <v>2570</v>
      </c>
      <c r="C896" s="90" t="s">
        <v>418</v>
      </c>
      <c r="D896" s="90" t="s">
        <v>2571</v>
      </c>
      <c r="E896" s="89" t="s">
        <v>2468</v>
      </c>
      <c r="F896" s="91">
        <v>602033</v>
      </c>
      <c r="G896" s="91">
        <v>5100200</v>
      </c>
      <c r="H896" s="87"/>
      <c r="I896" s="90" t="s">
        <v>25</v>
      </c>
      <c r="J896" s="88" t="str">
        <f t="shared" si="13"/>
        <v>重复</v>
      </c>
      <c r="K896" s="88" t="str">
        <f t="shared" si="13"/>
        <v>不重复</v>
      </c>
    </row>
    <row r="897" spans="1:11" ht="20.25" customHeight="1">
      <c r="A897" s="89" t="s">
        <v>2566</v>
      </c>
      <c r="B897" s="90" t="s">
        <v>7225</v>
      </c>
      <c r="C897" s="90" t="s">
        <v>1161</v>
      </c>
      <c r="D897" s="90" t="s">
        <v>2567</v>
      </c>
      <c r="E897" s="89" t="s">
        <v>2468</v>
      </c>
      <c r="F897" s="91">
        <v>602034</v>
      </c>
      <c r="G897" s="91">
        <v>5100200</v>
      </c>
      <c r="H897" s="87"/>
      <c r="I897" s="90" t="s">
        <v>7226</v>
      </c>
      <c r="J897" s="88" t="str">
        <f t="shared" si="13"/>
        <v>重复</v>
      </c>
      <c r="K897" s="88" t="str">
        <f t="shared" si="13"/>
        <v>不重复</v>
      </c>
    </row>
    <row r="898" spans="1:11" ht="20.25" customHeight="1">
      <c r="A898" s="89" t="s">
        <v>2555</v>
      </c>
      <c r="B898" s="90" t="s">
        <v>7227</v>
      </c>
      <c r="C898" s="90" t="s">
        <v>2556</v>
      </c>
      <c r="D898" s="90" t="s">
        <v>2557</v>
      </c>
      <c r="E898" s="89" t="s">
        <v>2468</v>
      </c>
      <c r="F898" s="91">
        <v>602035</v>
      </c>
      <c r="G898" s="91">
        <v>5100200</v>
      </c>
      <c r="H898" s="87"/>
      <c r="I898" s="90" t="s">
        <v>7203</v>
      </c>
      <c r="J898" s="88" t="str">
        <f t="shared" si="13"/>
        <v>不重复</v>
      </c>
      <c r="K898" s="88" t="str">
        <f t="shared" si="13"/>
        <v>不重复</v>
      </c>
    </row>
    <row r="899" spans="1:11" ht="20.25" customHeight="1">
      <c r="A899" s="89" t="s">
        <v>2552</v>
      </c>
      <c r="B899" s="90" t="s">
        <v>7228</v>
      </c>
      <c r="C899" s="90" t="s">
        <v>2553</v>
      </c>
      <c r="D899" s="90" t="s">
        <v>2554</v>
      </c>
      <c r="E899" s="89" t="s">
        <v>2468</v>
      </c>
      <c r="F899" s="91">
        <v>602036</v>
      </c>
      <c r="G899" s="91">
        <v>5100200</v>
      </c>
      <c r="H899" s="87"/>
      <c r="I899" s="90" t="s">
        <v>7203</v>
      </c>
      <c r="J899" s="88" t="str">
        <f t="shared" si="14" ref="J899:K962">IF(COUNTIF(C:C,C899)&gt;=2,"重复","不重复")</f>
        <v>不重复</v>
      </c>
      <c r="K899" s="88" t="str">
        <f t="shared" si="14"/>
        <v>不重复</v>
      </c>
    </row>
    <row r="900" spans="1:11" ht="20.25" customHeight="1">
      <c r="A900" s="89" t="s">
        <v>2563</v>
      </c>
      <c r="B900" s="90" t="s">
        <v>7229</v>
      </c>
      <c r="C900" s="90" t="s">
        <v>2564</v>
      </c>
      <c r="D900" s="90" t="s">
        <v>2565</v>
      </c>
      <c r="E900" s="89" t="s">
        <v>2468</v>
      </c>
      <c r="F900" s="91">
        <v>602037</v>
      </c>
      <c r="G900" s="91">
        <v>5100200</v>
      </c>
      <c r="H900" s="87"/>
      <c r="I900" s="90" t="s">
        <v>7230</v>
      </c>
      <c r="J900" s="88" t="str">
        <f t="shared" si="14"/>
        <v>不重复</v>
      </c>
      <c r="K900" s="88" t="str">
        <f t="shared" si="14"/>
        <v>不重复</v>
      </c>
    </row>
    <row r="901" spans="1:11" ht="20.25" customHeight="1">
      <c r="A901" s="89" t="s">
        <v>2558</v>
      </c>
      <c r="B901" s="90" t="s">
        <v>7231</v>
      </c>
      <c r="C901" s="90" t="s">
        <v>1704</v>
      </c>
      <c r="D901" s="90" t="s">
        <v>2559</v>
      </c>
      <c r="E901" s="89" t="s">
        <v>2468</v>
      </c>
      <c r="F901" s="91">
        <v>602038</v>
      </c>
      <c r="G901" s="91">
        <v>5100200</v>
      </c>
      <c r="H901" s="87"/>
      <c r="I901" s="90" t="s">
        <v>7203</v>
      </c>
      <c r="J901" s="88" t="str">
        <f t="shared" si="14"/>
        <v>重复</v>
      </c>
      <c r="K901" s="88" t="str">
        <f t="shared" si="14"/>
        <v>不重复</v>
      </c>
    </row>
    <row r="902" spans="1:11" ht="20.25" customHeight="1">
      <c r="A902" s="89" t="s">
        <v>2560</v>
      </c>
      <c r="B902" s="90" t="s">
        <v>7232</v>
      </c>
      <c r="C902" s="90" t="s">
        <v>2561</v>
      </c>
      <c r="D902" s="90" t="s">
        <v>2562</v>
      </c>
      <c r="E902" s="89" t="s">
        <v>2468</v>
      </c>
      <c r="F902" s="91">
        <v>602039</v>
      </c>
      <c r="G902" s="91">
        <v>5100200</v>
      </c>
      <c r="H902" s="87"/>
      <c r="I902" s="90" t="s">
        <v>7203</v>
      </c>
      <c r="J902" s="88" t="str">
        <f t="shared" si="14"/>
        <v>不重复</v>
      </c>
      <c r="K902" s="88" t="str">
        <f t="shared" si="14"/>
        <v>不重复</v>
      </c>
    </row>
    <row r="903" spans="1:11" ht="20.25" customHeight="1">
      <c r="A903" s="89" t="s">
        <v>7233</v>
      </c>
      <c r="B903" s="90" t="s">
        <v>7234</v>
      </c>
      <c r="C903" s="90" t="s">
        <v>7235</v>
      </c>
      <c r="D903" s="90" t="s">
        <v>7236</v>
      </c>
      <c r="E903" s="89" t="s">
        <v>2468</v>
      </c>
      <c r="F903" s="91">
        <v>602040</v>
      </c>
      <c r="G903" s="91">
        <v>5100200</v>
      </c>
      <c r="H903" s="87"/>
      <c r="I903" s="90" t="s">
        <v>25</v>
      </c>
      <c r="J903" s="88" t="str">
        <f t="shared" si="14"/>
        <v>不重复</v>
      </c>
      <c r="K903" s="88" t="str">
        <f t="shared" si="14"/>
        <v>不重复</v>
      </c>
    </row>
    <row r="904" spans="1:11" ht="20.25" customHeight="1">
      <c r="A904" s="89" t="s">
        <v>2529</v>
      </c>
      <c r="B904" s="90" t="s">
        <v>7237</v>
      </c>
      <c r="C904" s="90" t="s">
        <v>2530</v>
      </c>
      <c r="D904" s="90" t="s">
        <v>2531</v>
      </c>
      <c r="E904" s="89" t="s">
        <v>2468</v>
      </c>
      <c r="F904" s="91">
        <v>602041</v>
      </c>
      <c r="G904" s="91">
        <v>5100200</v>
      </c>
      <c r="H904" s="87"/>
      <c r="I904" s="90" t="s">
        <v>7238</v>
      </c>
      <c r="J904" s="88" t="str">
        <f t="shared" si="14"/>
        <v>不重复</v>
      </c>
      <c r="K904" s="88" t="str">
        <f t="shared" si="14"/>
        <v>不重复</v>
      </c>
    </row>
    <row r="905" spans="1:11" ht="20.25" customHeight="1">
      <c r="A905" s="89" t="s">
        <v>2526</v>
      </c>
      <c r="B905" s="90" t="s">
        <v>7239</v>
      </c>
      <c r="C905" s="90" t="s">
        <v>2527</v>
      </c>
      <c r="D905" s="90" t="s">
        <v>2528</v>
      </c>
      <c r="E905" s="89" t="s">
        <v>2468</v>
      </c>
      <c r="F905" s="91">
        <v>602042</v>
      </c>
      <c r="G905" s="91">
        <v>5100200</v>
      </c>
      <c r="H905" s="87"/>
      <c r="I905" s="90" t="s">
        <v>7240</v>
      </c>
      <c r="J905" s="88" t="str">
        <f t="shared" si="14"/>
        <v>不重复</v>
      </c>
      <c r="K905" s="88" t="str">
        <f t="shared" si="14"/>
        <v>不重复</v>
      </c>
    </row>
    <row r="906" spans="1:11" ht="20.25" customHeight="1">
      <c r="A906" s="89" t="s">
        <v>2549</v>
      </c>
      <c r="B906" s="90" t="s">
        <v>2550</v>
      </c>
      <c r="C906" s="90" t="s">
        <v>418</v>
      </c>
      <c r="D906" s="90" t="s">
        <v>2551</v>
      </c>
      <c r="E906" s="89" t="s">
        <v>2468</v>
      </c>
      <c r="F906" s="91">
        <v>602043</v>
      </c>
      <c r="G906" s="91">
        <v>5100200</v>
      </c>
      <c r="H906" s="87"/>
      <c r="I906" s="90" t="s">
        <v>25</v>
      </c>
      <c r="J906" s="88" t="str">
        <f t="shared" si="14"/>
        <v>重复</v>
      </c>
      <c r="K906" s="88" t="str">
        <f t="shared" si="14"/>
        <v>不重复</v>
      </c>
    </row>
    <row r="907" spans="1:11" ht="20.25" customHeight="1">
      <c r="A907" s="89" t="s">
        <v>2542</v>
      </c>
      <c r="B907" s="90" t="s">
        <v>7241</v>
      </c>
      <c r="C907" s="90" t="s">
        <v>2543</v>
      </c>
      <c r="D907" s="90" t="s">
        <v>7242</v>
      </c>
      <c r="E907" s="89" t="s">
        <v>2468</v>
      </c>
      <c r="F907" s="91">
        <v>602044</v>
      </c>
      <c r="G907" s="91">
        <v>5100200</v>
      </c>
      <c r="H907" s="87"/>
      <c r="I907" s="90" t="s">
        <v>7243</v>
      </c>
      <c r="J907" s="88" t="str">
        <f t="shared" si="14"/>
        <v>不重复</v>
      </c>
      <c r="K907" s="88" t="str">
        <f t="shared" si="14"/>
        <v>不重复</v>
      </c>
    </row>
    <row r="908" spans="1:11" ht="20.25" customHeight="1">
      <c r="A908" s="89" t="s">
        <v>2546</v>
      </c>
      <c r="B908" s="90" t="s">
        <v>7244</v>
      </c>
      <c r="C908" s="90" t="s">
        <v>2547</v>
      </c>
      <c r="D908" s="90" t="s">
        <v>2548</v>
      </c>
      <c r="E908" s="89" t="s">
        <v>2468</v>
      </c>
      <c r="F908" s="91">
        <v>602045</v>
      </c>
      <c r="G908" s="91">
        <v>5100200</v>
      </c>
      <c r="H908" s="87"/>
      <c r="I908" s="90" t="s">
        <v>7245</v>
      </c>
      <c r="J908" s="88" t="str">
        <f t="shared" si="14"/>
        <v>不重复</v>
      </c>
      <c r="K908" s="88" t="str">
        <f t="shared" si="14"/>
        <v>不重复</v>
      </c>
    </row>
    <row r="909" spans="1:11" ht="20.25" customHeight="1">
      <c r="A909" s="89" t="s">
        <v>2544</v>
      </c>
      <c r="B909" s="90" t="s">
        <v>7246</v>
      </c>
      <c r="C909" s="90" t="s">
        <v>1591</v>
      </c>
      <c r="D909" s="90" t="s">
        <v>2545</v>
      </c>
      <c r="E909" s="89" t="s">
        <v>2468</v>
      </c>
      <c r="F909" s="91">
        <v>602046</v>
      </c>
      <c r="G909" s="91">
        <v>5100200</v>
      </c>
      <c r="H909" s="87"/>
      <c r="I909" s="90" t="s">
        <v>7247</v>
      </c>
      <c r="J909" s="88" t="str">
        <f t="shared" si="14"/>
        <v>重复</v>
      </c>
      <c r="K909" s="88" t="str">
        <f t="shared" si="14"/>
        <v>不重复</v>
      </c>
    </row>
    <row r="910" spans="1:11" ht="20.25" customHeight="1">
      <c r="A910" s="89" t="s">
        <v>2532</v>
      </c>
      <c r="B910" s="90" t="s">
        <v>7248</v>
      </c>
      <c r="C910" s="90" t="s">
        <v>2533</v>
      </c>
      <c r="D910" s="90" t="s">
        <v>7249</v>
      </c>
      <c r="E910" s="89" t="s">
        <v>2468</v>
      </c>
      <c r="F910" s="91">
        <v>602047</v>
      </c>
      <c r="G910" s="91">
        <v>5100200</v>
      </c>
      <c r="H910" s="87"/>
      <c r="I910" s="90" t="s">
        <v>7167</v>
      </c>
      <c r="J910" s="88" t="str">
        <f t="shared" si="14"/>
        <v>不重复</v>
      </c>
      <c r="K910" s="88" t="str">
        <f t="shared" si="14"/>
        <v>不重复</v>
      </c>
    </row>
    <row r="911" spans="1:11" ht="20.25" customHeight="1">
      <c r="A911" s="89" t="s">
        <v>2537</v>
      </c>
      <c r="B911" s="90" t="s">
        <v>7250</v>
      </c>
      <c r="C911" s="90" t="s">
        <v>2538</v>
      </c>
      <c r="D911" s="90" t="s">
        <v>7251</v>
      </c>
      <c r="E911" s="89" t="s">
        <v>2468</v>
      </c>
      <c r="F911" s="91">
        <v>602048</v>
      </c>
      <c r="G911" s="91">
        <v>5100200</v>
      </c>
      <c r="H911" s="87"/>
      <c r="I911" s="90" t="s">
        <v>7252</v>
      </c>
      <c r="J911" s="88" t="str">
        <f t="shared" si="14"/>
        <v>不重复</v>
      </c>
      <c r="K911" s="88" t="str">
        <f t="shared" si="14"/>
        <v>不重复</v>
      </c>
    </row>
    <row r="912" spans="1:11" ht="20.25" customHeight="1">
      <c r="A912" s="89" t="s">
        <v>2534</v>
      </c>
      <c r="B912" s="90" t="s">
        <v>7253</v>
      </c>
      <c r="C912" s="90" t="s">
        <v>2535</v>
      </c>
      <c r="D912" s="90" t="s">
        <v>2536</v>
      </c>
      <c r="E912" s="89" t="s">
        <v>2468</v>
      </c>
      <c r="F912" s="91">
        <v>602049</v>
      </c>
      <c r="G912" s="91">
        <v>5100200</v>
      </c>
      <c r="H912" s="87"/>
      <c r="I912" s="90" t="s">
        <v>7181</v>
      </c>
      <c r="J912" s="88" t="str">
        <f t="shared" si="14"/>
        <v>不重复</v>
      </c>
      <c r="K912" s="88" t="str">
        <f t="shared" si="14"/>
        <v>不重复</v>
      </c>
    </row>
    <row r="913" spans="1:11" ht="20.25" customHeight="1">
      <c r="A913" s="89" t="s">
        <v>2539</v>
      </c>
      <c r="B913" s="90" t="s">
        <v>7254</v>
      </c>
      <c r="C913" s="90" t="s">
        <v>2540</v>
      </c>
      <c r="D913" s="90" t="s">
        <v>2541</v>
      </c>
      <c r="E913" s="89" t="s">
        <v>2468</v>
      </c>
      <c r="F913" s="91">
        <v>602050</v>
      </c>
      <c r="G913" s="91">
        <v>5100200</v>
      </c>
      <c r="H913" s="87"/>
      <c r="I913" s="90" t="s">
        <v>7203</v>
      </c>
      <c r="J913" s="88" t="str">
        <f t="shared" si="14"/>
        <v>不重复</v>
      </c>
      <c r="K913" s="88" t="str">
        <f t="shared" si="14"/>
        <v>不重复</v>
      </c>
    </row>
    <row r="914" spans="1:11" ht="20.25" customHeight="1">
      <c r="A914" s="89" t="s">
        <v>7255</v>
      </c>
      <c r="B914" s="90" t="s">
        <v>7256</v>
      </c>
      <c r="C914" s="90" t="s">
        <v>7257</v>
      </c>
      <c r="D914" s="90" t="s">
        <v>7258</v>
      </c>
      <c r="E914" s="89" t="s">
        <v>2468</v>
      </c>
      <c r="F914" s="91">
        <v>602051</v>
      </c>
      <c r="G914" s="91">
        <v>5100200</v>
      </c>
      <c r="H914" s="87"/>
      <c r="I914" s="90" t="s">
        <v>25</v>
      </c>
      <c r="J914" s="88" t="str">
        <f t="shared" si="14"/>
        <v>不重复</v>
      </c>
      <c r="K914" s="88" t="str">
        <f t="shared" si="14"/>
        <v>不重复</v>
      </c>
    </row>
    <row r="915" spans="1:11" ht="20.25" customHeight="1">
      <c r="A915" s="89" t="s">
        <v>7259</v>
      </c>
      <c r="B915" s="90" t="s">
        <v>7260</v>
      </c>
      <c r="C915" s="90" t="s">
        <v>2522</v>
      </c>
      <c r="D915" s="90" t="s">
        <v>7261</v>
      </c>
      <c r="E915" s="89" t="s">
        <v>2468</v>
      </c>
      <c r="F915" s="91">
        <v>602052</v>
      </c>
      <c r="G915" s="91">
        <v>5100200</v>
      </c>
      <c r="H915" s="87"/>
      <c r="I915" s="90" t="s">
        <v>7262</v>
      </c>
      <c r="J915" s="88" t="str">
        <f t="shared" si="14"/>
        <v>重复</v>
      </c>
      <c r="K915" s="88" t="str">
        <f t="shared" si="14"/>
        <v>不重复</v>
      </c>
    </row>
    <row r="916" spans="1:11" ht="20.25" customHeight="1">
      <c r="A916" s="84" t="s">
        <v>2523</v>
      </c>
      <c r="B916" s="85" t="s">
        <v>2524</v>
      </c>
      <c r="C916" s="85" t="s">
        <v>2525</v>
      </c>
      <c r="D916" s="85" t="s">
        <v>7263</v>
      </c>
      <c r="E916" s="84" t="s">
        <v>2468</v>
      </c>
      <c r="F916" s="86">
        <v>602053</v>
      </c>
      <c r="G916" s="86">
        <v>5100200</v>
      </c>
      <c r="H916" s="87"/>
      <c r="I916" s="85" t="s">
        <v>25</v>
      </c>
      <c r="J916" s="88" t="str">
        <f t="shared" si="14"/>
        <v>不重复</v>
      </c>
      <c r="K916" s="88" t="str">
        <f t="shared" si="14"/>
        <v>不重复</v>
      </c>
    </row>
    <row r="917" spans="1:11" ht="20.25" customHeight="1">
      <c r="A917" s="84" t="s">
        <v>2506</v>
      </c>
      <c r="B917" s="85" t="s">
        <v>7264</v>
      </c>
      <c r="C917" s="85" t="s">
        <v>2507</v>
      </c>
      <c r="D917" s="85" t="s">
        <v>2508</v>
      </c>
      <c r="E917" s="84" t="s">
        <v>2468</v>
      </c>
      <c r="F917" s="86">
        <v>602054</v>
      </c>
      <c r="G917" s="86">
        <v>5100200</v>
      </c>
      <c r="H917" s="87"/>
      <c r="I917" s="85" t="s">
        <v>7203</v>
      </c>
      <c r="J917" s="88" t="str">
        <f t="shared" si="14"/>
        <v>不重复</v>
      </c>
      <c r="K917" s="88" t="str">
        <f t="shared" si="14"/>
        <v>不重复</v>
      </c>
    </row>
    <row r="918" spans="1:11" ht="20.25" customHeight="1">
      <c r="A918" s="84" t="s">
        <v>2511</v>
      </c>
      <c r="B918" s="85" t="s">
        <v>7265</v>
      </c>
      <c r="C918" s="85" t="s">
        <v>2512</v>
      </c>
      <c r="D918" s="85" t="s">
        <v>2513</v>
      </c>
      <c r="E918" s="84" t="s">
        <v>2468</v>
      </c>
      <c r="F918" s="86">
        <v>602055</v>
      </c>
      <c r="G918" s="86">
        <v>5100200</v>
      </c>
      <c r="H918" s="87"/>
      <c r="I918" s="85" t="s">
        <v>7266</v>
      </c>
      <c r="J918" s="88" t="str">
        <f t="shared" si="14"/>
        <v>不重复</v>
      </c>
      <c r="K918" s="88" t="str">
        <f t="shared" si="14"/>
        <v>不重复</v>
      </c>
    </row>
    <row r="919" spans="1:11" ht="20.25" customHeight="1">
      <c r="A919" s="84" t="s">
        <v>2518</v>
      </c>
      <c r="B919" s="85" t="s">
        <v>7267</v>
      </c>
      <c r="C919" s="85" t="s">
        <v>2519</v>
      </c>
      <c r="D919" s="85" t="s">
        <v>2520</v>
      </c>
      <c r="E919" s="84" t="s">
        <v>2468</v>
      </c>
      <c r="F919" s="86">
        <v>602056</v>
      </c>
      <c r="G919" s="86">
        <v>5100200</v>
      </c>
      <c r="H919" s="87"/>
      <c r="I919" s="85" t="s">
        <v>10058</v>
      </c>
      <c r="J919" s="88" t="str">
        <f t="shared" si="14"/>
        <v>不重复</v>
      </c>
      <c r="K919" s="88" t="str">
        <f t="shared" si="14"/>
        <v>不重复</v>
      </c>
    </row>
    <row r="920" spans="1:11" ht="20.25" customHeight="1">
      <c r="A920" s="84" t="s">
        <v>2505</v>
      </c>
      <c r="B920" s="85" t="s">
        <v>7268</v>
      </c>
      <c r="C920" s="85" t="s">
        <v>1573</v>
      </c>
      <c r="D920" s="85" t="s">
        <v>1530</v>
      </c>
      <c r="E920" s="84" t="s">
        <v>2468</v>
      </c>
      <c r="F920" s="86">
        <v>602057</v>
      </c>
      <c r="G920" s="86">
        <v>5100200</v>
      </c>
      <c r="H920" s="87"/>
      <c r="I920" s="85" t="s">
        <v>7181</v>
      </c>
      <c r="J920" s="88" t="str">
        <f t="shared" si="14"/>
        <v>不重复</v>
      </c>
      <c r="K920" s="88" t="str">
        <f t="shared" si="14"/>
        <v>不重复</v>
      </c>
    </row>
    <row r="921" spans="1:11" ht="20.25" customHeight="1">
      <c r="A921" s="84" t="s">
        <v>2514</v>
      </c>
      <c r="B921" s="85" t="s">
        <v>2515</v>
      </c>
      <c r="C921" s="85" t="s">
        <v>2516</v>
      </c>
      <c r="D921" s="85" t="s">
        <v>2517</v>
      </c>
      <c r="E921" s="84" t="s">
        <v>2468</v>
      </c>
      <c r="F921" s="86">
        <v>602058</v>
      </c>
      <c r="G921" s="86">
        <v>5100200</v>
      </c>
      <c r="H921" s="87"/>
      <c r="I921" s="85" t="s">
        <v>7269</v>
      </c>
      <c r="J921" s="88" t="str">
        <f t="shared" si="14"/>
        <v>不重复</v>
      </c>
      <c r="K921" s="88" t="str">
        <f t="shared" si="14"/>
        <v>不重复</v>
      </c>
    </row>
    <row r="922" spans="1:11" ht="20.25" customHeight="1">
      <c r="A922" s="84" t="s">
        <v>7270</v>
      </c>
      <c r="B922" s="85" t="s">
        <v>7271</v>
      </c>
      <c r="C922" s="85" t="s">
        <v>7272</v>
      </c>
      <c r="D922" s="85" t="s">
        <v>7273</v>
      </c>
      <c r="E922" s="84" t="s">
        <v>2468</v>
      </c>
      <c r="F922" s="86">
        <v>602059</v>
      </c>
      <c r="G922" s="86">
        <v>5100200</v>
      </c>
      <c r="H922" s="87"/>
      <c r="I922" s="85" t="s">
        <v>25</v>
      </c>
      <c r="J922" s="88" t="str">
        <f t="shared" si="14"/>
        <v>不重复</v>
      </c>
      <c r="K922" s="88" t="str">
        <f t="shared" si="14"/>
        <v>不重复</v>
      </c>
    </row>
    <row r="923" spans="1:11" ht="20.25" customHeight="1">
      <c r="A923" s="84" t="s">
        <v>7274</v>
      </c>
      <c r="B923" s="85" t="s">
        <v>7275</v>
      </c>
      <c r="C923" s="85" t="s">
        <v>2509</v>
      </c>
      <c r="D923" s="85" t="s">
        <v>2510</v>
      </c>
      <c r="E923" s="84" t="s">
        <v>2468</v>
      </c>
      <c r="F923" s="86">
        <v>602060</v>
      </c>
      <c r="G923" s="86">
        <v>5100200</v>
      </c>
      <c r="H923" s="87"/>
      <c r="I923" s="85" t="s">
        <v>7276</v>
      </c>
      <c r="J923" s="88" t="str">
        <f t="shared" si="14"/>
        <v>不重复</v>
      </c>
      <c r="K923" s="88" t="str">
        <f t="shared" si="14"/>
        <v>不重复</v>
      </c>
    </row>
    <row r="924" spans="1:11" ht="20.25" customHeight="1">
      <c r="A924" s="89" t="s">
        <v>7277</v>
      </c>
      <c r="B924" s="90" t="s">
        <v>7278</v>
      </c>
      <c r="C924" s="90" t="s">
        <v>1070</v>
      </c>
      <c r="D924" s="90" t="s">
        <v>7279</v>
      </c>
      <c r="E924" s="89" t="s">
        <v>2468</v>
      </c>
      <c r="F924" s="91">
        <v>602061</v>
      </c>
      <c r="G924" s="91">
        <v>5100200</v>
      </c>
      <c r="H924" s="87"/>
      <c r="I924" s="90" t="s">
        <v>25</v>
      </c>
      <c r="J924" s="88" t="str">
        <f t="shared" si="14"/>
        <v>重复</v>
      </c>
      <c r="K924" s="88" t="str">
        <f t="shared" si="14"/>
        <v>不重复</v>
      </c>
    </row>
    <row r="925" spans="1:11" ht="20.25" customHeight="1">
      <c r="A925" s="89" t="s">
        <v>2503</v>
      </c>
      <c r="B925" s="90" t="s">
        <v>7280</v>
      </c>
      <c r="C925" s="90" t="s">
        <v>562</v>
      </c>
      <c r="D925" s="90" t="s">
        <v>2504</v>
      </c>
      <c r="E925" s="89" t="s">
        <v>2468</v>
      </c>
      <c r="F925" s="91">
        <v>602062</v>
      </c>
      <c r="G925" s="91">
        <v>5100200</v>
      </c>
      <c r="H925" s="87"/>
      <c r="I925" s="90" t="s">
        <v>7281</v>
      </c>
      <c r="J925" s="88" t="str">
        <f t="shared" si="14"/>
        <v>重复</v>
      </c>
      <c r="K925" s="88" t="str">
        <f t="shared" si="14"/>
        <v>不重复</v>
      </c>
    </row>
    <row r="926" spans="1:11" ht="20.25" customHeight="1">
      <c r="A926" s="84" t="s">
        <v>7282</v>
      </c>
      <c r="B926" s="85" t="s">
        <v>7283</v>
      </c>
      <c r="C926" s="85" t="s">
        <v>7284</v>
      </c>
      <c r="D926" s="85" t="s">
        <v>7285</v>
      </c>
      <c r="E926" s="84" t="s">
        <v>2468</v>
      </c>
      <c r="F926" s="86">
        <v>602063</v>
      </c>
      <c r="G926" s="86">
        <v>5100200</v>
      </c>
      <c r="H926" s="87"/>
      <c r="I926" s="85" t="s">
        <v>25</v>
      </c>
      <c r="J926" s="88" t="str">
        <f t="shared" si="14"/>
        <v>不重复</v>
      </c>
      <c r="K926" s="88" t="str">
        <f t="shared" si="14"/>
        <v>不重复</v>
      </c>
    </row>
    <row r="927" spans="1:11" ht="20.25" customHeight="1">
      <c r="A927" s="84" t="s">
        <v>2628</v>
      </c>
      <c r="B927" s="85" t="s">
        <v>2629</v>
      </c>
      <c r="C927" s="85" t="s">
        <v>550</v>
      </c>
      <c r="D927" s="85" t="s">
        <v>2630</v>
      </c>
      <c r="E927" s="84" t="s">
        <v>2468</v>
      </c>
      <c r="F927" s="86">
        <v>602064</v>
      </c>
      <c r="G927" s="86">
        <v>5100200</v>
      </c>
      <c r="H927" s="87"/>
      <c r="I927" s="85" t="s">
        <v>7286</v>
      </c>
      <c r="J927" s="88" t="str">
        <f t="shared" si="14"/>
        <v>重复</v>
      </c>
      <c r="K927" s="88" t="str">
        <f t="shared" si="14"/>
        <v>不重复</v>
      </c>
    </row>
    <row r="928" spans="1:11" ht="20.25" customHeight="1">
      <c r="A928" s="84" t="s">
        <v>7287</v>
      </c>
      <c r="B928" s="85" t="s">
        <v>7288</v>
      </c>
      <c r="C928" s="85" t="s">
        <v>905</v>
      </c>
      <c r="D928" s="85" t="s">
        <v>7289</v>
      </c>
      <c r="E928" s="84" t="s">
        <v>2468</v>
      </c>
      <c r="F928" s="86">
        <v>602065</v>
      </c>
      <c r="G928" s="86">
        <v>5100200</v>
      </c>
      <c r="H928" s="87"/>
      <c r="I928" s="85" t="s">
        <v>25</v>
      </c>
      <c r="J928" s="88" t="str">
        <f t="shared" si="14"/>
        <v>重复</v>
      </c>
      <c r="K928" s="88" t="str">
        <f t="shared" si="14"/>
        <v>不重复</v>
      </c>
    </row>
    <row r="929" spans="1:11" ht="20.25" customHeight="1">
      <c r="A929" s="84" t="s">
        <v>2631</v>
      </c>
      <c r="B929" s="85" t="s">
        <v>7290</v>
      </c>
      <c r="C929" s="85" t="s">
        <v>1903</v>
      </c>
      <c r="D929" s="85" t="s">
        <v>2632</v>
      </c>
      <c r="E929" s="84" t="s">
        <v>2468</v>
      </c>
      <c r="F929" s="86">
        <v>602066</v>
      </c>
      <c r="G929" s="86">
        <v>5100200</v>
      </c>
      <c r="H929" s="87"/>
      <c r="I929" s="85" t="s">
        <v>7291</v>
      </c>
      <c r="J929" s="88" t="str">
        <f t="shared" si="14"/>
        <v>重复</v>
      </c>
      <c r="K929" s="88" t="str">
        <f t="shared" si="14"/>
        <v>不重复</v>
      </c>
    </row>
    <row r="930" spans="1:11" ht="20.25" customHeight="1">
      <c r="A930" s="84" t="s">
        <v>2625</v>
      </c>
      <c r="B930" s="85" t="s">
        <v>2626</v>
      </c>
      <c r="C930" s="85" t="s">
        <v>2627</v>
      </c>
      <c r="D930" s="85" t="s">
        <v>7292</v>
      </c>
      <c r="E930" s="84" t="s">
        <v>2468</v>
      </c>
      <c r="F930" s="86">
        <v>602067</v>
      </c>
      <c r="G930" s="86">
        <v>5100200</v>
      </c>
      <c r="H930" s="87"/>
      <c r="I930" s="85" t="s">
        <v>25</v>
      </c>
      <c r="J930" s="88" t="str">
        <f t="shared" si="14"/>
        <v>重复</v>
      </c>
      <c r="K930" s="88" t="str">
        <f t="shared" si="14"/>
        <v>不重复</v>
      </c>
    </row>
    <row r="931" spans="1:11" ht="20.25" customHeight="1">
      <c r="A931" s="84" t="s">
        <v>2615</v>
      </c>
      <c r="B931" s="85" t="s">
        <v>7293</v>
      </c>
      <c r="C931" s="85" t="s">
        <v>1548</v>
      </c>
      <c r="D931" s="85" t="s">
        <v>2616</v>
      </c>
      <c r="E931" s="84" t="s">
        <v>2468</v>
      </c>
      <c r="F931" s="86">
        <v>602068</v>
      </c>
      <c r="G931" s="86">
        <v>5100200</v>
      </c>
      <c r="H931" s="87"/>
      <c r="I931" s="85" t="s">
        <v>7294</v>
      </c>
      <c r="J931" s="88" t="str">
        <f t="shared" si="14"/>
        <v>重复</v>
      </c>
      <c r="K931" s="88" t="str">
        <f t="shared" si="14"/>
        <v>不重复</v>
      </c>
    </row>
    <row r="932" spans="1:11" ht="20.25" customHeight="1">
      <c r="A932" s="84" t="s">
        <v>2621</v>
      </c>
      <c r="B932" s="85" t="s">
        <v>2622</v>
      </c>
      <c r="C932" s="85" t="s">
        <v>2623</v>
      </c>
      <c r="D932" s="85" t="s">
        <v>2624</v>
      </c>
      <c r="E932" s="84" t="s">
        <v>2468</v>
      </c>
      <c r="F932" s="86">
        <v>602069</v>
      </c>
      <c r="G932" s="86">
        <v>5100200</v>
      </c>
      <c r="H932" s="87"/>
      <c r="I932" s="85" t="s">
        <v>7295</v>
      </c>
      <c r="J932" s="88" t="str">
        <f t="shared" si="14"/>
        <v>重复</v>
      </c>
      <c r="K932" s="88" t="str">
        <f t="shared" si="14"/>
        <v>不重复</v>
      </c>
    </row>
    <row r="933" spans="1:11" ht="20.25" customHeight="1">
      <c r="A933" s="84" t="s">
        <v>2609</v>
      </c>
      <c r="B933" s="85" t="s">
        <v>2610</v>
      </c>
      <c r="C933" s="85" t="s">
        <v>2353</v>
      </c>
      <c r="D933" s="85" t="s">
        <v>1568</v>
      </c>
      <c r="E933" s="84" t="s">
        <v>2468</v>
      </c>
      <c r="F933" s="86">
        <v>602070</v>
      </c>
      <c r="G933" s="86">
        <v>5100200</v>
      </c>
      <c r="H933" s="87"/>
      <c r="I933" s="85" t="s">
        <v>7296</v>
      </c>
      <c r="J933" s="88" t="str">
        <f t="shared" si="14"/>
        <v>重复</v>
      </c>
      <c r="K933" s="88" t="str">
        <f t="shared" si="14"/>
        <v>不重复</v>
      </c>
    </row>
    <row r="934" spans="1:11" ht="20.25" customHeight="1">
      <c r="A934" s="84" t="s">
        <v>2617</v>
      </c>
      <c r="B934" s="85" t="s">
        <v>2618</v>
      </c>
      <c r="C934" s="85" t="s">
        <v>2619</v>
      </c>
      <c r="D934" s="85" t="s">
        <v>2620</v>
      </c>
      <c r="E934" s="84" t="s">
        <v>2468</v>
      </c>
      <c r="F934" s="86">
        <v>602071</v>
      </c>
      <c r="G934" s="86">
        <v>5100200</v>
      </c>
      <c r="H934" s="87"/>
      <c r="I934" s="85" t="s">
        <v>7297</v>
      </c>
      <c r="J934" s="88" t="str">
        <f t="shared" si="14"/>
        <v>不重复</v>
      </c>
      <c r="K934" s="88" t="str">
        <f t="shared" si="14"/>
        <v>不重复</v>
      </c>
    </row>
    <row r="935" spans="1:11" ht="20.25" customHeight="1">
      <c r="A935" s="84" t="s">
        <v>2611</v>
      </c>
      <c r="B935" s="85" t="s">
        <v>2612</v>
      </c>
      <c r="C935" s="85" t="s">
        <v>2613</v>
      </c>
      <c r="D935" s="85" t="s">
        <v>7298</v>
      </c>
      <c r="E935" s="84" t="s">
        <v>2468</v>
      </c>
      <c r="F935" s="86">
        <v>602072</v>
      </c>
      <c r="G935" s="86">
        <v>5100200</v>
      </c>
      <c r="H935" s="87"/>
      <c r="I935" s="85" t="s">
        <v>7286</v>
      </c>
      <c r="J935" s="88" t="str">
        <f t="shared" si="14"/>
        <v>不重复</v>
      </c>
      <c r="K935" s="88" t="str">
        <f t="shared" si="14"/>
        <v>不重复</v>
      </c>
    </row>
    <row r="936" spans="1:11" ht="20.25" customHeight="1">
      <c r="A936" s="89" t="s">
        <v>2598</v>
      </c>
      <c r="B936" s="90" t="s">
        <v>2599</v>
      </c>
      <c r="C936" s="90" t="s">
        <v>672</v>
      </c>
      <c r="D936" s="90" t="s">
        <v>2600</v>
      </c>
      <c r="E936" s="89" t="s">
        <v>2468</v>
      </c>
      <c r="F936" s="91">
        <v>602073</v>
      </c>
      <c r="G936" s="91">
        <v>5100200</v>
      </c>
      <c r="H936" s="87"/>
      <c r="I936" s="90" t="s">
        <v>25</v>
      </c>
      <c r="J936" s="88" t="str">
        <f t="shared" si="14"/>
        <v>重复</v>
      </c>
      <c r="K936" s="88" t="str">
        <f t="shared" si="14"/>
        <v>不重复</v>
      </c>
    </row>
    <row r="937" spans="1:11" ht="20.25" customHeight="1">
      <c r="A937" s="89" t="s">
        <v>2572</v>
      </c>
      <c r="B937" s="90" t="s">
        <v>7299</v>
      </c>
      <c r="C937" s="90" t="s">
        <v>2573</v>
      </c>
      <c r="D937" s="90" t="s">
        <v>2574</v>
      </c>
      <c r="E937" s="89" t="s">
        <v>2468</v>
      </c>
      <c r="F937" s="91">
        <v>602074</v>
      </c>
      <c r="G937" s="91">
        <v>5100200</v>
      </c>
      <c r="H937" s="87"/>
      <c r="I937" s="90" t="s">
        <v>7167</v>
      </c>
      <c r="J937" s="88" t="str">
        <f t="shared" si="14"/>
        <v>不重复</v>
      </c>
      <c r="K937" s="88" t="str">
        <f t="shared" si="14"/>
        <v>不重复</v>
      </c>
    </row>
    <row r="938" spans="1:11" ht="20.25" customHeight="1">
      <c r="A938" s="89" t="s">
        <v>2581</v>
      </c>
      <c r="B938" s="90" t="s">
        <v>7300</v>
      </c>
      <c r="C938" s="90" t="s">
        <v>2582</v>
      </c>
      <c r="D938" s="90" t="s">
        <v>2583</v>
      </c>
      <c r="E938" s="89" t="s">
        <v>2468</v>
      </c>
      <c r="F938" s="91">
        <v>602075</v>
      </c>
      <c r="G938" s="91">
        <v>5100200</v>
      </c>
      <c r="H938" s="87"/>
      <c r="I938" s="90" t="s">
        <v>7301</v>
      </c>
      <c r="J938" s="88" t="str">
        <f t="shared" si="14"/>
        <v>不重复</v>
      </c>
      <c r="K938" s="88" t="str">
        <f t="shared" si="14"/>
        <v>不重复</v>
      </c>
    </row>
    <row r="939" spans="1:11" ht="20.25" customHeight="1">
      <c r="A939" s="89" t="s">
        <v>2575</v>
      </c>
      <c r="B939" s="90" t="s">
        <v>7302</v>
      </c>
      <c r="C939" s="90" t="s">
        <v>2576</v>
      </c>
      <c r="D939" s="90" t="s">
        <v>2577</v>
      </c>
      <c r="E939" s="89" t="s">
        <v>2468</v>
      </c>
      <c r="F939" s="91">
        <v>602076</v>
      </c>
      <c r="G939" s="91">
        <v>5100200</v>
      </c>
      <c r="H939" s="87"/>
      <c r="I939" s="90" t="s">
        <v>7303</v>
      </c>
      <c r="J939" s="88" t="str">
        <f t="shared" si="14"/>
        <v>重复</v>
      </c>
      <c r="K939" s="88" t="str">
        <f t="shared" si="14"/>
        <v>不重复</v>
      </c>
    </row>
    <row r="940" spans="1:11" ht="20.25" customHeight="1">
      <c r="A940" s="89" t="s">
        <v>2595</v>
      </c>
      <c r="B940" s="90" t="s">
        <v>7304</v>
      </c>
      <c r="C940" s="90" t="s">
        <v>2596</v>
      </c>
      <c r="D940" s="90" t="s">
        <v>2597</v>
      </c>
      <c r="E940" s="89" t="s">
        <v>2468</v>
      </c>
      <c r="F940" s="91">
        <v>602077</v>
      </c>
      <c r="G940" s="91">
        <v>5100200</v>
      </c>
      <c r="H940" s="87"/>
      <c r="I940" s="90" t="s">
        <v>7305</v>
      </c>
      <c r="J940" s="88" t="str">
        <f t="shared" si="14"/>
        <v>不重复</v>
      </c>
      <c r="K940" s="88" t="str">
        <f t="shared" si="14"/>
        <v>不重复</v>
      </c>
    </row>
    <row r="941" spans="1:11" ht="20.25" customHeight="1">
      <c r="A941" s="89" t="s">
        <v>2588</v>
      </c>
      <c r="B941" s="90" t="s">
        <v>2589</v>
      </c>
      <c r="C941" s="90" t="s">
        <v>2590</v>
      </c>
      <c r="D941" s="90" t="s">
        <v>2591</v>
      </c>
      <c r="E941" s="89" t="s">
        <v>2468</v>
      </c>
      <c r="F941" s="91">
        <v>602078</v>
      </c>
      <c r="G941" s="91">
        <v>5100200</v>
      </c>
      <c r="H941" s="87"/>
      <c r="I941" s="90" t="s">
        <v>7181</v>
      </c>
      <c r="J941" s="88" t="str">
        <f t="shared" si="14"/>
        <v>不重复</v>
      </c>
      <c r="K941" s="88" t="str">
        <f t="shared" si="14"/>
        <v>不重复</v>
      </c>
    </row>
    <row r="942" spans="1:11" ht="20.25" customHeight="1">
      <c r="A942" s="89" t="s">
        <v>2592</v>
      </c>
      <c r="B942" s="90" t="s">
        <v>7306</v>
      </c>
      <c r="C942" s="90" t="s">
        <v>1544</v>
      </c>
      <c r="D942" s="90" t="s">
        <v>2593</v>
      </c>
      <c r="E942" s="89" t="s">
        <v>2468</v>
      </c>
      <c r="F942" s="91">
        <v>602079</v>
      </c>
      <c r="G942" s="91">
        <v>5100200</v>
      </c>
      <c r="H942" s="87"/>
      <c r="I942" s="90" t="s">
        <v>7301</v>
      </c>
      <c r="J942" s="88" t="str">
        <f t="shared" si="14"/>
        <v>重复</v>
      </c>
      <c r="K942" s="88" t="str">
        <f t="shared" si="14"/>
        <v>不重复</v>
      </c>
    </row>
    <row r="943" spans="1:11" ht="20.25" customHeight="1">
      <c r="A943" s="89" t="s">
        <v>2584</v>
      </c>
      <c r="B943" s="90" t="s">
        <v>2585</v>
      </c>
      <c r="C943" s="90" t="s">
        <v>2586</v>
      </c>
      <c r="D943" s="90" t="s">
        <v>2587</v>
      </c>
      <c r="E943" s="89" t="s">
        <v>2468</v>
      </c>
      <c r="F943" s="91">
        <v>602081</v>
      </c>
      <c r="G943" s="91">
        <v>5100200</v>
      </c>
      <c r="H943" s="87"/>
      <c r="I943" s="90" t="s">
        <v>7243</v>
      </c>
      <c r="J943" s="88" t="str">
        <f t="shared" si="14"/>
        <v>重复</v>
      </c>
      <c r="K943" s="88" t="str">
        <f t="shared" si="14"/>
        <v>不重复</v>
      </c>
    </row>
    <row r="944" spans="1:11" ht="20.25" customHeight="1">
      <c r="A944" s="89" t="s">
        <v>2578</v>
      </c>
      <c r="B944" s="90" t="s">
        <v>7307</v>
      </c>
      <c r="C944" s="90" t="s">
        <v>2579</v>
      </c>
      <c r="D944" s="90" t="s">
        <v>2580</v>
      </c>
      <c r="E944" s="89" t="s">
        <v>2468</v>
      </c>
      <c r="F944" s="91">
        <v>602082</v>
      </c>
      <c r="G944" s="91">
        <v>5100200</v>
      </c>
      <c r="H944" s="87"/>
      <c r="I944" s="90" t="s">
        <v>7243</v>
      </c>
      <c r="J944" s="88" t="str">
        <f t="shared" si="14"/>
        <v>不重复</v>
      </c>
      <c r="K944" s="88" t="str">
        <f t="shared" si="14"/>
        <v>不重复</v>
      </c>
    </row>
    <row r="945" spans="1:11" ht="20.25" customHeight="1">
      <c r="A945" s="89" t="s">
        <v>7308</v>
      </c>
      <c r="B945" s="90" t="s">
        <v>7309</v>
      </c>
      <c r="C945" s="90" t="s">
        <v>2492</v>
      </c>
      <c r="D945" s="90" t="s">
        <v>7310</v>
      </c>
      <c r="E945" s="89" t="s">
        <v>2468</v>
      </c>
      <c r="F945" s="91">
        <v>602083</v>
      </c>
      <c r="G945" s="91">
        <v>5100200</v>
      </c>
      <c r="H945" s="87"/>
      <c r="I945" s="90" t="s">
        <v>25</v>
      </c>
      <c r="J945" s="88" t="str">
        <f t="shared" si="14"/>
        <v>重复</v>
      </c>
      <c r="K945" s="88" t="str">
        <f t="shared" si="14"/>
        <v>不重复</v>
      </c>
    </row>
    <row r="946" spans="1:11" ht="20.25" customHeight="1">
      <c r="A946" s="89" t="s">
        <v>2601</v>
      </c>
      <c r="B946" s="90" t="s">
        <v>2602</v>
      </c>
      <c r="C946" s="90" t="s">
        <v>2603</v>
      </c>
      <c r="D946" s="90" t="s">
        <v>2604</v>
      </c>
      <c r="E946" s="89" t="s">
        <v>2468</v>
      </c>
      <c r="F946" s="91">
        <v>602084</v>
      </c>
      <c r="G946" s="91">
        <v>5100200</v>
      </c>
      <c r="H946" s="87"/>
      <c r="I946" s="90" t="s">
        <v>7203</v>
      </c>
      <c r="J946" s="88" t="str">
        <f t="shared" si="14"/>
        <v>重复</v>
      </c>
      <c r="K946" s="88" t="str">
        <f t="shared" si="14"/>
        <v>不重复</v>
      </c>
    </row>
    <row r="947" spans="1:11" ht="20.25" customHeight="1">
      <c r="A947" s="89" t="s">
        <v>2633</v>
      </c>
      <c r="B947" s="90" t="s">
        <v>7311</v>
      </c>
      <c r="C947" s="90" t="s">
        <v>2634</v>
      </c>
      <c r="D947" s="90" t="s">
        <v>7312</v>
      </c>
      <c r="E947" s="89" t="s">
        <v>2468</v>
      </c>
      <c r="F947" s="91">
        <v>602086</v>
      </c>
      <c r="G947" s="91">
        <v>5100200</v>
      </c>
      <c r="H947" s="87"/>
      <c r="I947" s="90" t="s">
        <v>7313</v>
      </c>
      <c r="J947" s="88" t="str">
        <f t="shared" si="14"/>
        <v>不重复</v>
      </c>
      <c r="K947" s="88" t="str">
        <f t="shared" si="14"/>
        <v>不重复</v>
      </c>
    </row>
    <row r="948" spans="1:11" ht="20.25" customHeight="1">
      <c r="A948" s="89" t="s">
        <v>2635</v>
      </c>
      <c r="B948" s="90" t="s">
        <v>7314</v>
      </c>
      <c r="C948" s="90" t="s">
        <v>1687</v>
      </c>
      <c r="D948" s="90" t="s">
        <v>7315</v>
      </c>
      <c r="E948" s="89" t="s">
        <v>2468</v>
      </c>
      <c r="F948" s="91">
        <v>602087</v>
      </c>
      <c r="G948" s="91">
        <v>5100200</v>
      </c>
      <c r="H948" s="87"/>
      <c r="I948" s="90" t="s">
        <v>7316</v>
      </c>
      <c r="J948" s="88" t="str">
        <f t="shared" si="14"/>
        <v>重复</v>
      </c>
      <c r="K948" s="88" t="str">
        <f t="shared" si="14"/>
        <v>不重复</v>
      </c>
    </row>
    <row r="949" spans="1:11" ht="20.25" customHeight="1">
      <c r="A949" s="89" t="s">
        <v>2605</v>
      </c>
      <c r="B949" s="90" t="s">
        <v>2606</v>
      </c>
      <c r="C949" s="90" t="s">
        <v>2607</v>
      </c>
      <c r="D949" s="90" t="s">
        <v>2608</v>
      </c>
      <c r="E949" s="89" t="s">
        <v>2468</v>
      </c>
      <c r="F949" s="91">
        <v>602089</v>
      </c>
      <c r="G949" s="91">
        <v>5100200</v>
      </c>
      <c r="H949" s="87"/>
      <c r="I949" s="90" t="s">
        <v>7093</v>
      </c>
      <c r="J949" s="88" t="str">
        <f t="shared" si="14"/>
        <v>不重复</v>
      </c>
      <c r="K949" s="88" t="str">
        <f t="shared" si="14"/>
        <v>不重复</v>
      </c>
    </row>
    <row r="950" spans="1:11" ht="20.25" customHeight="1">
      <c r="A950" s="89" t="s">
        <v>7317</v>
      </c>
      <c r="B950" s="90" t="s">
        <v>7318</v>
      </c>
      <c r="C950" s="90" t="s">
        <v>1578</v>
      </c>
      <c r="D950" s="90" t="s">
        <v>7319</v>
      </c>
      <c r="E950" s="89" t="s">
        <v>2468</v>
      </c>
      <c r="F950" s="91">
        <v>602090</v>
      </c>
      <c r="G950" s="91">
        <v>5100200</v>
      </c>
      <c r="H950" s="87"/>
      <c r="I950" s="90" t="s">
        <v>25</v>
      </c>
      <c r="J950" s="88" t="str">
        <f t="shared" si="14"/>
        <v>重复</v>
      </c>
      <c r="K950" s="88" t="str">
        <f t="shared" si="14"/>
        <v>不重复</v>
      </c>
    </row>
    <row r="951" spans="1:11" ht="20.25" customHeight="1">
      <c r="A951" s="89" t="s">
        <v>7320</v>
      </c>
      <c r="B951" s="90" t="s">
        <v>7321</v>
      </c>
      <c r="C951" s="90" t="s">
        <v>2442</v>
      </c>
      <c r="D951" s="90" t="s">
        <v>7322</v>
      </c>
      <c r="E951" s="89" t="s">
        <v>2468</v>
      </c>
      <c r="F951" s="91">
        <v>602091</v>
      </c>
      <c r="G951" s="91">
        <v>5100200</v>
      </c>
      <c r="H951" s="87"/>
      <c r="I951" s="90" t="s">
        <v>7323</v>
      </c>
      <c r="J951" s="88" t="str">
        <f t="shared" si="14"/>
        <v>重复</v>
      </c>
      <c r="K951" s="88" t="str">
        <f t="shared" si="14"/>
        <v>不重复</v>
      </c>
    </row>
    <row r="952" spans="1:11" ht="20.25" customHeight="1">
      <c r="A952" s="89" t="s">
        <v>2636</v>
      </c>
      <c r="B952" s="90" t="s">
        <v>7324</v>
      </c>
      <c r="C952" s="90" t="s">
        <v>2637</v>
      </c>
      <c r="D952" s="90" t="s">
        <v>2638</v>
      </c>
      <c r="E952" s="89" t="s">
        <v>2468</v>
      </c>
      <c r="F952" s="91">
        <v>602092</v>
      </c>
      <c r="G952" s="91">
        <v>5100200</v>
      </c>
      <c r="H952" s="87"/>
      <c r="I952" s="90" t="s">
        <v>7325</v>
      </c>
      <c r="J952" s="88" t="str">
        <f t="shared" si="14"/>
        <v>不重复</v>
      </c>
      <c r="K952" s="88" t="str">
        <f t="shared" si="14"/>
        <v>不重复</v>
      </c>
    </row>
    <row r="953" spans="1:11" ht="20.25" customHeight="1">
      <c r="A953" s="89" t="s">
        <v>7326</v>
      </c>
      <c r="B953" s="90" t="s">
        <v>5217</v>
      </c>
      <c r="C953" s="90" t="s">
        <v>2639</v>
      </c>
      <c r="D953" s="90" t="s">
        <v>5218</v>
      </c>
      <c r="E953" s="89" t="s">
        <v>2468</v>
      </c>
      <c r="F953" s="91">
        <v>602093</v>
      </c>
      <c r="G953" s="91">
        <v>5100200</v>
      </c>
      <c r="H953" s="87"/>
      <c r="I953" s="90" t="s">
        <v>7327</v>
      </c>
      <c r="J953" s="88" t="str">
        <f t="shared" si="14"/>
        <v>重复</v>
      </c>
      <c r="K953" s="88" t="str">
        <f t="shared" si="14"/>
        <v>不重复</v>
      </c>
    </row>
    <row r="954" spans="1:11" ht="20.25" customHeight="1">
      <c r="A954" s="89" t="s">
        <v>7328</v>
      </c>
      <c r="B954" s="90" t="s">
        <v>7329</v>
      </c>
      <c r="C954" s="90" t="s">
        <v>7330</v>
      </c>
      <c r="D954" s="90" t="s">
        <v>7331</v>
      </c>
      <c r="E954" s="89" t="s">
        <v>2468</v>
      </c>
      <c r="F954" s="91">
        <v>602094</v>
      </c>
      <c r="G954" s="91">
        <v>5100200</v>
      </c>
      <c r="H954" s="87"/>
      <c r="I954" s="90" t="s">
        <v>25</v>
      </c>
      <c r="J954" s="88" t="str">
        <f t="shared" si="14"/>
        <v>重复</v>
      </c>
      <c r="K954" s="88" t="str">
        <f t="shared" si="14"/>
        <v>不重复</v>
      </c>
    </row>
    <row r="955" spans="1:11" ht="20.25" customHeight="1">
      <c r="A955" s="89" t="s">
        <v>2647</v>
      </c>
      <c r="B955" s="90" t="s">
        <v>2648</v>
      </c>
      <c r="C955" s="90" t="s">
        <v>1816</v>
      </c>
      <c r="D955" s="90" t="s">
        <v>2649</v>
      </c>
      <c r="E955" s="89" t="s">
        <v>2468</v>
      </c>
      <c r="F955" s="91">
        <v>602095</v>
      </c>
      <c r="G955" s="91">
        <v>5100200</v>
      </c>
      <c r="H955" s="87"/>
      <c r="I955" s="90" t="s">
        <v>7332</v>
      </c>
      <c r="J955" s="88" t="str">
        <f t="shared" si="14"/>
        <v>重复</v>
      </c>
      <c r="K955" s="88" t="str">
        <f t="shared" si="14"/>
        <v>不重复</v>
      </c>
    </row>
    <row r="956" spans="1:11" ht="20.25" customHeight="1">
      <c r="A956" s="89" t="s">
        <v>7333</v>
      </c>
      <c r="B956" s="90" t="s">
        <v>7334</v>
      </c>
      <c r="C956" s="90" t="s">
        <v>1190</v>
      </c>
      <c r="D956" s="90" t="s">
        <v>2643</v>
      </c>
      <c r="E956" s="89" t="s">
        <v>2468</v>
      </c>
      <c r="F956" s="91">
        <v>602096</v>
      </c>
      <c r="G956" s="91">
        <v>5100200</v>
      </c>
      <c r="H956" s="87"/>
      <c r="I956" s="90" t="s">
        <v>7335</v>
      </c>
      <c r="J956" s="88" t="str">
        <f t="shared" si="14"/>
        <v>重复</v>
      </c>
      <c r="K956" s="88" t="str">
        <f t="shared" si="14"/>
        <v>不重复</v>
      </c>
    </row>
    <row r="957" spans="1:11" ht="20.25" customHeight="1">
      <c r="A957" s="89" t="s">
        <v>2644</v>
      </c>
      <c r="B957" s="90" t="s">
        <v>2645</v>
      </c>
      <c r="C957" s="90" t="s">
        <v>880</v>
      </c>
      <c r="D957" s="90" t="s">
        <v>2646</v>
      </c>
      <c r="E957" s="89" t="s">
        <v>2468</v>
      </c>
      <c r="F957" s="91">
        <v>602098</v>
      </c>
      <c r="G957" s="91">
        <v>5100200</v>
      </c>
      <c r="H957" s="87"/>
      <c r="I957" s="90" t="s">
        <v>7286</v>
      </c>
      <c r="J957" s="88" t="str">
        <f t="shared" si="14"/>
        <v>重复</v>
      </c>
      <c r="K957" s="88" t="str">
        <f t="shared" si="14"/>
        <v>不重复</v>
      </c>
    </row>
    <row r="958" spans="1:11" ht="20.25" customHeight="1">
      <c r="A958" s="89" t="s">
        <v>2713</v>
      </c>
      <c r="B958" s="90" t="s">
        <v>2714</v>
      </c>
      <c r="C958" s="90" t="s">
        <v>167</v>
      </c>
      <c r="D958" s="90" t="s">
        <v>2715</v>
      </c>
      <c r="E958" s="89" t="s">
        <v>2468</v>
      </c>
      <c r="F958" s="91">
        <v>602100</v>
      </c>
      <c r="G958" s="91">
        <v>5100200</v>
      </c>
      <c r="H958" s="87"/>
      <c r="I958" s="90" t="s">
        <v>7336</v>
      </c>
      <c r="J958" s="88" t="str">
        <f t="shared" si="14"/>
        <v>重复</v>
      </c>
      <c r="K958" s="88" t="str">
        <f t="shared" si="14"/>
        <v>不重复</v>
      </c>
    </row>
    <row r="959" spans="1:11" ht="20.25" customHeight="1">
      <c r="A959" s="89" t="s">
        <v>2710</v>
      </c>
      <c r="B959" s="90" t="s">
        <v>2711</v>
      </c>
      <c r="C959" s="90" t="s">
        <v>2712</v>
      </c>
      <c r="D959" s="90" t="s">
        <v>7337</v>
      </c>
      <c r="E959" s="89" t="s">
        <v>2468</v>
      </c>
      <c r="F959" s="91">
        <v>602101</v>
      </c>
      <c r="G959" s="91">
        <v>5100200</v>
      </c>
      <c r="H959" s="87"/>
      <c r="I959" s="90" t="s">
        <v>25</v>
      </c>
      <c r="J959" s="88" t="str">
        <f t="shared" si="14"/>
        <v>不重复</v>
      </c>
      <c r="K959" s="88" t="str">
        <f t="shared" si="14"/>
        <v>不重复</v>
      </c>
    </row>
    <row r="960" spans="1:11" ht="20.25" customHeight="1">
      <c r="A960" s="89" t="s">
        <v>2669</v>
      </c>
      <c r="B960" s="90" t="s">
        <v>7338</v>
      </c>
      <c r="C960" s="90" t="s">
        <v>2670</v>
      </c>
      <c r="D960" s="90" t="s">
        <v>2671</v>
      </c>
      <c r="E960" s="89" t="s">
        <v>2468</v>
      </c>
      <c r="F960" s="91">
        <v>602102</v>
      </c>
      <c r="G960" s="91">
        <v>5100200</v>
      </c>
      <c r="H960" s="87"/>
      <c r="I960" s="90" t="s">
        <v>7203</v>
      </c>
      <c r="J960" s="88" t="str">
        <f t="shared" si="14"/>
        <v>重复</v>
      </c>
      <c r="K960" s="88" t="str">
        <f t="shared" si="14"/>
        <v>不重复</v>
      </c>
    </row>
    <row r="961" spans="1:11" ht="20.25" customHeight="1">
      <c r="A961" s="89" t="s">
        <v>2672</v>
      </c>
      <c r="B961" s="90" t="s">
        <v>7339</v>
      </c>
      <c r="C961" s="90" t="s">
        <v>2673</v>
      </c>
      <c r="D961" s="90" t="s">
        <v>2674</v>
      </c>
      <c r="E961" s="89" t="s">
        <v>2468</v>
      </c>
      <c r="F961" s="91">
        <v>602103</v>
      </c>
      <c r="G961" s="91">
        <v>5100200</v>
      </c>
      <c r="H961" s="87"/>
      <c r="I961" s="90" t="s">
        <v>7203</v>
      </c>
      <c r="J961" s="88" t="str">
        <f t="shared" si="14"/>
        <v>不重复</v>
      </c>
      <c r="K961" s="88" t="str">
        <f t="shared" si="14"/>
        <v>不重复</v>
      </c>
    </row>
    <row r="962" spans="1:11" ht="20.25" customHeight="1">
      <c r="A962" s="89" t="s">
        <v>2707</v>
      </c>
      <c r="B962" s="90" t="s">
        <v>2708</v>
      </c>
      <c r="C962" s="90" t="s">
        <v>2709</v>
      </c>
      <c r="D962" s="90" t="s">
        <v>7340</v>
      </c>
      <c r="E962" s="89" t="s">
        <v>2468</v>
      </c>
      <c r="F962" s="91">
        <v>602104</v>
      </c>
      <c r="G962" s="91">
        <v>5100200</v>
      </c>
      <c r="H962" s="87"/>
      <c r="I962" s="90" t="s">
        <v>7341</v>
      </c>
      <c r="J962" s="88" t="str">
        <f t="shared" si="14"/>
        <v>重复</v>
      </c>
      <c r="K962" s="88" t="str">
        <f t="shared" si="14"/>
        <v>不重复</v>
      </c>
    </row>
    <row r="963" spans="1:11" ht="20.25" customHeight="1">
      <c r="A963" s="89" t="s">
        <v>2675</v>
      </c>
      <c r="B963" s="90" t="s">
        <v>7342</v>
      </c>
      <c r="C963" s="90" t="s">
        <v>2676</v>
      </c>
      <c r="D963" s="90" t="s">
        <v>2677</v>
      </c>
      <c r="E963" s="89" t="s">
        <v>2468</v>
      </c>
      <c r="F963" s="91">
        <v>602105</v>
      </c>
      <c r="G963" s="91">
        <v>5100200</v>
      </c>
      <c r="H963" s="87"/>
      <c r="I963" s="90" t="s">
        <v>7203</v>
      </c>
      <c r="J963" s="88" t="str">
        <f t="shared" si="15" ref="J963:K1026">IF(COUNTIF(C:C,C963)&gt;=2,"重复","不重复")</f>
        <v>重复</v>
      </c>
      <c r="K963" s="88" t="str">
        <f t="shared" si="15"/>
        <v>不重复</v>
      </c>
    </row>
    <row r="964" spans="1:11" ht="20.25" customHeight="1">
      <c r="A964" s="89" t="s">
        <v>2678</v>
      </c>
      <c r="B964" s="90" t="s">
        <v>7343</v>
      </c>
      <c r="C964" s="90" t="s">
        <v>2679</v>
      </c>
      <c r="D964" s="90" t="s">
        <v>2680</v>
      </c>
      <c r="E964" s="89" t="s">
        <v>2468</v>
      </c>
      <c r="F964" s="91">
        <v>602106</v>
      </c>
      <c r="G964" s="91">
        <v>5100200</v>
      </c>
      <c r="H964" s="87"/>
      <c r="I964" s="90" t="s">
        <v>7203</v>
      </c>
      <c r="J964" s="88" t="str">
        <f t="shared" si="15"/>
        <v>不重复</v>
      </c>
      <c r="K964" s="88" t="str">
        <f t="shared" si="15"/>
        <v>不重复</v>
      </c>
    </row>
    <row r="965" spans="1:11" ht="20.25" customHeight="1">
      <c r="A965" s="89" t="s">
        <v>2694</v>
      </c>
      <c r="B965" s="90" t="s">
        <v>2695</v>
      </c>
      <c r="C965" s="90" t="s">
        <v>2696</v>
      </c>
      <c r="D965" s="90" t="s">
        <v>7344</v>
      </c>
      <c r="E965" s="89" t="s">
        <v>2468</v>
      </c>
      <c r="F965" s="91">
        <v>602107</v>
      </c>
      <c r="G965" s="91">
        <v>5100200</v>
      </c>
      <c r="H965" s="87"/>
      <c r="I965" s="90" t="s">
        <v>7345</v>
      </c>
      <c r="J965" s="88" t="str">
        <f t="shared" si="15"/>
        <v>重复</v>
      </c>
      <c r="K965" s="88" t="str">
        <f t="shared" si="15"/>
        <v>不重复</v>
      </c>
    </row>
    <row r="966" spans="1:11" ht="20.25" customHeight="1">
      <c r="A966" s="89" t="s">
        <v>2701</v>
      </c>
      <c r="B966" s="90" t="s">
        <v>2702</v>
      </c>
      <c r="C966" s="90" t="s">
        <v>2689</v>
      </c>
      <c r="D966" s="90" t="s">
        <v>7346</v>
      </c>
      <c r="E966" s="89" t="s">
        <v>2468</v>
      </c>
      <c r="F966" s="91">
        <v>602108</v>
      </c>
      <c r="G966" s="91">
        <v>5100200</v>
      </c>
      <c r="H966" s="87"/>
      <c r="I966" s="90" t="s">
        <v>7230</v>
      </c>
      <c r="J966" s="88" t="str">
        <f t="shared" si="15"/>
        <v>重复</v>
      </c>
      <c r="K966" s="88" t="str">
        <f t="shared" si="15"/>
        <v>不重复</v>
      </c>
    </row>
    <row r="967" spans="1:11" ht="20.25" customHeight="1">
      <c r="A967" s="89" t="s">
        <v>2698</v>
      </c>
      <c r="B967" s="90" t="s">
        <v>2699</v>
      </c>
      <c r="C967" s="90" t="s">
        <v>2700</v>
      </c>
      <c r="D967" s="90" t="s">
        <v>5219</v>
      </c>
      <c r="E967" s="89" t="s">
        <v>2468</v>
      </c>
      <c r="F967" s="91">
        <v>602109</v>
      </c>
      <c r="G967" s="91">
        <v>5100200</v>
      </c>
      <c r="H967" s="87"/>
      <c r="I967" s="90" t="s">
        <v>7347</v>
      </c>
      <c r="J967" s="88" t="str">
        <f t="shared" si="15"/>
        <v>重复</v>
      </c>
      <c r="K967" s="88" t="str">
        <f t="shared" si="15"/>
        <v>不重复</v>
      </c>
    </row>
    <row r="968" spans="1:11" ht="20.25" customHeight="1">
      <c r="A968" s="89" t="s">
        <v>2691</v>
      </c>
      <c r="B968" s="90" t="s">
        <v>2692</v>
      </c>
      <c r="C968" s="90" t="s">
        <v>550</v>
      </c>
      <c r="D968" s="90" t="s">
        <v>2693</v>
      </c>
      <c r="E968" s="89" t="s">
        <v>2468</v>
      </c>
      <c r="F968" s="91">
        <v>602110</v>
      </c>
      <c r="G968" s="91">
        <v>5100200</v>
      </c>
      <c r="H968" s="87"/>
      <c r="I968" s="90" t="s">
        <v>7301</v>
      </c>
      <c r="J968" s="88" t="str">
        <f t="shared" si="15"/>
        <v>重复</v>
      </c>
      <c r="K968" s="88" t="str">
        <f t="shared" si="15"/>
        <v>不重复</v>
      </c>
    </row>
    <row r="969" spans="1:11" ht="20.25" customHeight="1">
      <c r="A969" s="89" t="s">
        <v>2687</v>
      </c>
      <c r="B969" s="90" t="s">
        <v>2688</v>
      </c>
      <c r="C969" s="90" t="s">
        <v>2689</v>
      </c>
      <c r="D969" s="90" t="s">
        <v>2690</v>
      </c>
      <c r="E969" s="89" t="s">
        <v>2468</v>
      </c>
      <c r="F969" s="91">
        <v>602111</v>
      </c>
      <c r="G969" s="91">
        <v>5100200</v>
      </c>
      <c r="H969" s="87"/>
      <c r="I969" s="90" t="s">
        <v>7348</v>
      </c>
      <c r="J969" s="88" t="str">
        <f t="shared" si="15"/>
        <v>重复</v>
      </c>
      <c r="K969" s="88" t="str">
        <f t="shared" si="15"/>
        <v>不重复</v>
      </c>
    </row>
    <row r="970" spans="1:11" ht="20.25" customHeight="1">
      <c r="A970" s="89" t="s">
        <v>2703</v>
      </c>
      <c r="B970" s="90" t="s">
        <v>2704</v>
      </c>
      <c r="C970" s="90" t="s">
        <v>2705</v>
      </c>
      <c r="D970" s="90" t="s">
        <v>2706</v>
      </c>
      <c r="E970" s="89" t="s">
        <v>2468</v>
      </c>
      <c r="F970" s="91">
        <v>602112</v>
      </c>
      <c r="G970" s="91">
        <v>5100200</v>
      </c>
      <c r="H970" s="87"/>
      <c r="I970" s="90" t="s">
        <v>7349</v>
      </c>
      <c r="J970" s="88" t="str">
        <f t="shared" si="15"/>
        <v>不重复</v>
      </c>
      <c r="K970" s="88" t="str">
        <f t="shared" si="15"/>
        <v>不重复</v>
      </c>
    </row>
    <row r="971" spans="1:11" ht="20.25" customHeight="1">
      <c r="A971" s="89" t="s">
        <v>2684</v>
      </c>
      <c r="B971" s="90" t="s">
        <v>2685</v>
      </c>
      <c r="C971" s="90" t="s">
        <v>2353</v>
      </c>
      <c r="D971" s="90" t="s">
        <v>2686</v>
      </c>
      <c r="E971" s="89" t="s">
        <v>2468</v>
      </c>
      <c r="F971" s="91">
        <v>602113</v>
      </c>
      <c r="G971" s="91">
        <v>5100200</v>
      </c>
      <c r="H971" s="87"/>
      <c r="I971" s="90" t="s">
        <v>7350</v>
      </c>
      <c r="J971" s="88" t="str">
        <f t="shared" si="15"/>
        <v>重复</v>
      </c>
      <c r="K971" s="88" t="str">
        <f t="shared" si="15"/>
        <v>不重复</v>
      </c>
    </row>
    <row r="972" spans="1:11" ht="20.25" customHeight="1">
      <c r="A972" s="89" t="s">
        <v>2681</v>
      </c>
      <c r="B972" s="90" t="s">
        <v>2682</v>
      </c>
      <c r="C972" s="90" t="s">
        <v>2683</v>
      </c>
      <c r="D972" s="90" t="s">
        <v>628</v>
      </c>
      <c r="E972" s="89" t="s">
        <v>2468</v>
      </c>
      <c r="F972" s="91">
        <v>602114</v>
      </c>
      <c r="G972" s="91">
        <v>5100200</v>
      </c>
      <c r="H972" s="87"/>
      <c r="I972" s="90" t="s">
        <v>7203</v>
      </c>
      <c r="J972" s="88" t="str">
        <f t="shared" si="15"/>
        <v>重复</v>
      </c>
      <c r="K972" s="88" t="str">
        <f t="shared" si="15"/>
        <v>不重复</v>
      </c>
    </row>
    <row r="973" spans="1:11" ht="20.25" customHeight="1">
      <c r="A973" s="89" t="s">
        <v>2662</v>
      </c>
      <c r="B973" s="90" t="s">
        <v>2663</v>
      </c>
      <c r="C973" s="90" t="s">
        <v>2664</v>
      </c>
      <c r="D973" s="90" t="s">
        <v>2665</v>
      </c>
      <c r="E973" s="89" t="s">
        <v>2468</v>
      </c>
      <c r="F973" s="91">
        <v>602115</v>
      </c>
      <c r="G973" s="91">
        <v>5100200</v>
      </c>
      <c r="H973" s="87"/>
      <c r="I973" s="90" t="s">
        <v>25</v>
      </c>
      <c r="J973" s="88" t="str">
        <f t="shared" si="15"/>
        <v>不重复</v>
      </c>
      <c r="K973" s="88" t="str">
        <f t="shared" si="15"/>
        <v>不重复</v>
      </c>
    </row>
    <row r="974" spans="1:11" ht="20.25" customHeight="1">
      <c r="A974" s="89" t="s">
        <v>2658</v>
      </c>
      <c r="B974" s="90" t="s">
        <v>2659</v>
      </c>
      <c r="C974" s="90" t="s">
        <v>2660</v>
      </c>
      <c r="D974" s="90" t="s">
        <v>2661</v>
      </c>
      <c r="E974" s="89" t="s">
        <v>2468</v>
      </c>
      <c r="F974" s="91">
        <v>602116</v>
      </c>
      <c r="G974" s="91">
        <v>5100200</v>
      </c>
      <c r="H974" s="87"/>
      <c r="I974" s="90" t="s">
        <v>7351</v>
      </c>
      <c r="J974" s="88" t="str">
        <f t="shared" si="15"/>
        <v>不重复</v>
      </c>
      <c r="K974" s="88" t="str">
        <f t="shared" si="15"/>
        <v>不重复</v>
      </c>
    </row>
    <row r="975" spans="1:11" ht="20.25" customHeight="1">
      <c r="A975" s="89" t="s">
        <v>2652</v>
      </c>
      <c r="B975" s="90" t="s">
        <v>7352</v>
      </c>
      <c r="C975" s="90" t="s">
        <v>2653</v>
      </c>
      <c r="D975" s="90" t="s">
        <v>7353</v>
      </c>
      <c r="E975" s="89" t="s">
        <v>2468</v>
      </c>
      <c r="F975" s="91">
        <v>602117</v>
      </c>
      <c r="G975" s="91">
        <v>5100200</v>
      </c>
      <c r="H975" s="87"/>
      <c r="I975" s="90" t="s">
        <v>7203</v>
      </c>
      <c r="J975" s="88" t="str">
        <f t="shared" si="15"/>
        <v>不重复</v>
      </c>
      <c r="K975" s="88" t="str">
        <f t="shared" si="15"/>
        <v>不重复</v>
      </c>
    </row>
    <row r="976" spans="1:11" ht="20.25" customHeight="1">
      <c r="A976" s="89" t="s">
        <v>2650</v>
      </c>
      <c r="B976" s="90" t="s">
        <v>2651</v>
      </c>
      <c r="C976" s="90" t="s">
        <v>1017</v>
      </c>
      <c r="D976" s="90" t="s">
        <v>7354</v>
      </c>
      <c r="E976" s="89" t="s">
        <v>2468</v>
      </c>
      <c r="F976" s="91">
        <v>602118</v>
      </c>
      <c r="G976" s="91">
        <v>5100200</v>
      </c>
      <c r="H976" s="87"/>
      <c r="I976" s="90" t="s">
        <v>7355</v>
      </c>
      <c r="J976" s="88" t="str">
        <f t="shared" si="15"/>
        <v>重复</v>
      </c>
      <c r="K976" s="88" t="str">
        <f t="shared" si="15"/>
        <v>不重复</v>
      </c>
    </row>
    <row r="977" spans="1:11" ht="20.25" customHeight="1">
      <c r="A977" s="89" t="s">
        <v>2654</v>
      </c>
      <c r="B977" s="90" t="s">
        <v>2655</v>
      </c>
      <c r="C977" s="90" t="s">
        <v>2656</v>
      </c>
      <c r="D977" s="90" t="s">
        <v>2657</v>
      </c>
      <c r="E977" s="89" t="s">
        <v>2468</v>
      </c>
      <c r="F977" s="91">
        <v>602119</v>
      </c>
      <c r="G977" s="91">
        <v>5100200</v>
      </c>
      <c r="H977" s="87"/>
      <c r="I977" s="90" t="s">
        <v>7356</v>
      </c>
      <c r="J977" s="88" t="str">
        <f t="shared" si="15"/>
        <v>不重复</v>
      </c>
      <c r="K977" s="88" t="str">
        <f t="shared" si="15"/>
        <v>不重复</v>
      </c>
    </row>
    <row r="978" spans="1:11" ht="20.25" customHeight="1">
      <c r="A978" s="89" t="s">
        <v>7357</v>
      </c>
      <c r="B978" s="90" t="s">
        <v>7358</v>
      </c>
      <c r="C978" s="90" t="s">
        <v>426</v>
      </c>
      <c r="D978" s="90" t="s">
        <v>7359</v>
      </c>
      <c r="E978" s="89" t="s">
        <v>2468</v>
      </c>
      <c r="F978" s="91">
        <v>602120</v>
      </c>
      <c r="G978" s="91">
        <v>5100200</v>
      </c>
      <c r="H978" s="87"/>
      <c r="I978" s="90" t="s">
        <v>25</v>
      </c>
      <c r="J978" s="88" t="str">
        <f t="shared" si="15"/>
        <v>重复</v>
      </c>
      <c r="K978" s="88" t="str">
        <f t="shared" si="15"/>
        <v>不重复</v>
      </c>
    </row>
    <row r="979" spans="1:11" ht="20.25" customHeight="1">
      <c r="A979" s="89" t="s">
        <v>2666</v>
      </c>
      <c r="B979" s="90" t="s">
        <v>7360</v>
      </c>
      <c r="C979" s="90" t="s">
        <v>2667</v>
      </c>
      <c r="D979" s="90" t="s">
        <v>2668</v>
      </c>
      <c r="E979" s="89" t="s">
        <v>2468</v>
      </c>
      <c r="F979" s="91">
        <v>602121</v>
      </c>
      <c r="G979" s="91">
        <v>5100200</v>
      </c>
      <c r="H979" s="87"/>
      <c r="I979" s="90" t="s">
        <v>7336</v>
      </c>
      <c r="J979" s="88" t="str">
        <f t="shared" si="15"/>
        <v>不重复</v>
      </c>
      <c r="K979" s="88" t="str">
        <f t="shared" si="15"/>
        <v>不重复</v>
      </c>
    </row>
    <row r="980" spans="1:11" ht="20.25" customHeight="1">
      <c r="A980" s="84" t="s">
        <v>7361</v>
      </c>
      <c r="B980" s="85" t="s">
        <v>7362</v>
      </c>
      <c r="C980" s="85" t="s">
        <v>7363</v>
      </c>
      <c r="D980" s="85" t="s">
        <v>7364</v>
      </c>
      <c r="E980" s="84" t="s">
        <v>2468</v>
      </c>
      <c r="F980" s="86">
        <v>602122</v>
      </c>
      <c r="G980" s="86">
        <v>5100200</v>
      </c>
      <c r="H980" s="87"/>
      <c r="I980" s="85" t="s">
        <v>25</v>
      </c>
      <c r="J980" s="88" t="str">
        <f t="shared" si="15"/>
        <v>不重复</v>
      </c>
      <c r="K980" s="88" t="str">
        <f t="shared" si="15"/>
        <v>不重复</v>
      </c>
    </row>
    <row r="981" spans="1:11" ht="20.25" customHeight="1">
      <c r="A981" s="84" t="s">
        <v>2725</v>
      </c>
      <c r="B981" s="85" t="s">
        <v>2726</v>
      </c>
      <c r="C981" s="85" t="s">
        <v>2727</v>
      </c>
      <c r="D981" s="85" t="s">
        <v>2728</v>
      </c>
      <c r="E981" s="84" t="s">
        <v>2468</v>
      </c>
      <c r="F981" s="86">
        <v>602123</v>
      </c>
      <c r="G981" s="86">
        <v>5100200</v>
      </c>
      <c r="H981" s="87"/>
      <c r="I981" s="85" t="s">
        <v>7365</v>
      </c>
      <c r="J981" s="88" t="str">
        <f t="shared" si="15"/>
        <v>不重复</v>
      </c>
      <c r="K981" s="88" t="str">
        <f t="shared" si="15"/>
        <v>不重复</v>
      </c>
    </row>
    <row r="982" spans="1:11" ht="20.25" customHeight="1">
      <c r="A982" s="84" t="s">
        <v>2640</v>
      </c>
      <c r="B982" s="85" t="s">
        <v>2641</v>
      </c>
      <c r="C982" s="85" t="s">
        <v>1875</v>
      </c>
      <c r="D982" s="85" t="s">
        <v>2642</v>
      </c>
      <c r="E982" s="84" t="s">
        <v>2468</v>
      </c>
      <c r="F982" s="86">
        <v>602124</v>
      </c>
      <c r="G982" s="86">
        <v>5100200</v>
      </c>
      <c r="H982" s="87"/>
      <c r="I982" s="85" t="s">
        <v>1987</v>
      </c>
      <c r="J982" s="88" t="str">
        <f t="shared" si="15"/>
        <v>重复</v>
      </c>
      <c r="K982" s="88" t="str">
        <f t="shared" si="15"/>
        <v>不重复</v>
      </c>
    </row>
    <row r="983" spans="1:11" ht="20.25" customHeight="1">
      <c r="A983" s="84" t="s">
        <v>7366</v>
      </c>
      <c r="B983" s="85" t="s">
        <v>7367</v>
      </c>
      <c r="C983" s="85" t="s">
        <v>7368</v>
      </c>
      <c r="D983" s="85" t="s">
        <v>7369</v>
      </c>
      <c r="E983" s="84" t="s">
        <v>2468</v>
      </c>
      <c r="F983" s="86">
        <v>602125</v>
      </c>
      <c r="G983" s="86">
        <v>5100200</v>
      </c>
      <c r="H983" s="87"/>
      <c r="I983" s="85" t="s">
        <v>25</v>
      </c>
      <c r="J983" s="88" t="str">
        <f t="shared" si="15"/>
        <v>不重复</v>
      </c>
      <c r="K983" s="88" t="str">
        <f t="shared" si="15"/>
        <v>不重复</v>
      </c>
    </row>
    <row r="984" spans="1:11" ht="20.25" customHeight="1">
      <c r="A984" s="84" t="s">
        <v>2720</v>
      </c>
      <c r="B984" s="85" t="s">
        <v>2721</v>
      </c>
      <c r="C984" s="85" t="s">
        <v>465</v>
      </c>
      <c r="D984" s="85" t="s">
        <v>2722</v>
      </c>
      <c r="E984" s="84" t="s">
        <v>2468</v>
      </c>
      <c r="F984" s="86">
        <v>602126</v>
      </c>
      <c r="G984" s="86">
        <v>5100200</v>
      </c>
      <c r="H984" s="87"/>
      <c r="I984" s="85" t="s">
        <v>7370</v>
      </c>
      <c r="J984" s="88" t="str">
        <f t="shared" si="15"/>
        <v>重复</v>
      </c>
      <c r="K984" s="88" t="str">
        <f t="shared" si="15"/>
        <v>不重复</v>
      </c>
    </row>
    <row r="985" spans="1:11" ht="20.25" customHeight="1">
      <c r="A985" s="84" t="s">
        <v>2723</v>
      </c>
      <c r="B985" s="85" t="s">
        <v>7371</v>
      </c>
      <c r="C985" s="85" t="s">
        <v>559</v>
      </c>
      <c r="D985" s="85" t="s">
        <v>2724</v>
      </c>
      <c r="E985" s="84" t="s">
        <v>2468</v>
      </c>
      <c r="F985" s="86">
        <v>602127</v>
      </c>
      <c r="G985" s="86">
        <v>5100200</v>
      </c>
      <c r="H985" s="87"/>
      <c r="I985" s="85" t="s">
        <v>7335</v>
      </c>
      <c r="J985" s="88" t="str">
        <f t="shared" si="15"/>
        <v>重复</v>
      </c>
      <c r="K985" s="88" t="str">
        <f t="shared" si="15"/>
        <v>不重复</v>
      </c>
    </row>
    <row r="986" spans="1:11" ht="20.25" customHeight="1">
      <c r="A986" s="84" t="s">
        <v>2716</v>
      </c>
      <c r="B986" s="85" t="s">
        <v>2717</v>
      </c>
      <c r="C986" s="85" t="s">
        <v>2718</v>
      </c>
      <c r="D986" s="85" t="s">
        <v>2719</v>
      </c>
      <c r="E986" s="84" t="s">
        <v>2468</v>
      </c>
      <c r="F986" s="86">
        <v>602128</v>
      </c>
      <c r="G986" s="86">
        <v>5100200</v>
      </c>
      <c r="H986" s="87"/>
      <c r="I986" s="85" t="s">
        <v>7348</v>
      </c>
      <c r="J986" s="88" t="str">
        <f t="shared" si="15"/>
        <v>不重复</v>
      </c>
      <c r="K986" s="88" t="str">
        <f t="shared" si="15"/>
        <v>不重复</v>
      </c>
    </row>
    <row r="987" spans="1:11" ht="20.25" customHeight="1">
      <c r="A987" s="89" t="s">
        <v>7372</v>
      </c>
      <c r="B987" s="90" t="s">
        <v>2745</v>
      </c>
      <c r="C987" s="90" t="s">
        <v>631</v>
      </c>
      <c r="D987" s="90" t="s">
        <v>7373</v>
      </c>
      <c r="E987" s="89" t="s">
        <v>2468</v>
      </c>
      <c r="F987" s="91">
        <v>602129</v>
      </c>
      <c r="G987" s="91">
        <v>5100200</v>
      </c>
      <c r="H987" s="87"/>
      <c r="I987" s="90" t="s">
        <v>25</v>
      </c>
      <c r="J987" s="88" t="str">
        <f t="shared" si="15"/>
        <v>重复</v>
      </c>
      <c r="K987" s="88" t="str">
        <f t="shared" si="15"/>
        <v>不重复</v>
      </c>
    </row>
    <row r="988" spans="1:11" ht="20.25" customHeight="1">
      <c r="A988" s="89" t="s">
        <v>2730</v>
      </c>
      <c r="B988" s="90" t="s">
        <v>7374</v>
      </c>
      <c r="C988" s="90" t="s">
        <v>107</v>
      </c>
      <c r="D988" s="90" t="s">
        <v>2731</v>
      </c>
      <c r="E988" s="89" t="s">
        <v>2468</v>
      </c>
      <c r="F988" s="91">
        <v>602130</v>
      </c>
      <c r="G988" s="91">
        <v>5100200</v>
      </c>
      <c r="H988" s="87"/>
      <c r="I988" s="90" t="s">
        <v>7084</v>
      </c>
      <c r="J988" s="88" t="str">
        <f t="shared" si="15"/>
        <v>重复</v>
      </c>
      <c r="K988" s="88" t="str">
        <f t="shared" si="15"/>
        <v>不重复</v>
      </c>
    </row>
    <row r="989" spans="1:11" ht="20.25" customHeight="1">
      <c r="A989" s="89" t="s">
        <v>2732</v>
      </c>
      <c r="B989" s="90" t="s">
        <v>7375</v>
      </c>
      <c r="C989" s="90" t="s">
        <v>1070</v>
      </c>
      <c r="D989" s="90" t="s">
        <v>2733</v>
      </c>
      <c r="E989" s="89" t="s">
        <v>2468</v>
      </c>
      <c r="F989" s="91">
        <v>602131</v>
      </c>
      <c r="G989" s="91">
        <v>5100200</v>
      </c>
      <c r="H989" s="87"/>
      <c r="I989" s="90" t="s">
        <v>7203</v>
      </c>
      <c r="J989" s="88" t="str">
        <f t="shared" si="15"/>
        <v>重复</v>
      </c>
      <c r="K989" s="88" t="str">
        <f t="shared" si="15"/>
        <v>不重复</v>
      </c>
    </row>
    <row r="990" spans="1:11" ht="20.25" customHeight="1">
      <c r="A990" s="89" t="s">
        <v>2734</v>
      </c>
      <c r="B990" s="90" t="s">
        <v>7376</v>
      </c>
      <c r="C990" s="90" t="s">
        <v>2735</v>
      </c>
      <c r="D990" s="90" t="s">
        <v>2736</v>
      </c>
      <c r="E990" s="89" t="s">
        <v>2468</v>
      </c>
      <c r="F990" s="91">
        <v>602132</v>
      </c>
      <c r="G990" s="91">
        <v>5100200</v>
      </c>
      <c r="H990" s="87"/>
      <c r="I990" s="90" t="s">
        <v>7377</v>
      </c>
      <c r="J990" s="88" t="str">
        <f t="shared" si="15"/>
        <v>不重复</v>
      </c>
      <c r="K990" s="88" t="str">
        <f t="shared" si="15"/>
        <v>不重复</v>
      </c>
    </row>
    <row r="991" spans="1:11" ht="20.25" customHeight="1">
      <c r="A991" s="89" t="s">
        <v>2741</v>
      </c>
      <c r="B991" s="90" t="s">
        <v>7378</v>
      </c>
      <c r="C991" s="90" t="s">
        <v>1553</v>
      </c>
      <c r="D991" s="90" t="s">
        <v>7379</v>
      </c>
      <c r="E991" s="89" t="s">
        <v>2468</v>
      </c>
      <c r="F991" s="91">
        <v>602133</v>
      </c>
      <c r="G991" s="91">
        <v>5100200</v>
      </c>
      <c r="H991" s="87"/>
      <c r="I991" s="90" t="s">
        <v>7335</v>
      </c>
      <c r="J991" s="88" t="str">
        <f t="shared" si="15"/>
        <v>不重复</v>
      </c>
      <c r="K991" s="88" t="str">
        <f t="shared" si="15"/>
        <v>不重复</v>
      </c>
    </row>
    <row r="992" spans="1:11" ht="20.25" customHeight="1">
      <c r="A992" s="89" t="s">
        <v>2744</v>
      </c>
      <c r="B992" s="90" t="s">
        <v>7380</v>
      </c>
      <c r="C992" s="90" t="s">
        <v>2696</v>
      </c>
      <c r="D992" s="90" t="s">
        <v>2697</v>
      </c>
      <c r="E992" s="89" t="s">
        <v>2468</v>
      </c>
      <c r="F992" s="91">
        <v>602134</v>
      </c>
      <c r="G992" s="91">
        <v>5100200</v>
      </c>
      <c r="H992" s="87"/>
      <c r="I992" s="90" t="s">
        <v>7230</v>
      </c>
      <c r="J992" s="88" t="str">
        <f t="shared" si="15"/>
        <v>重复</v>
      </c>
      <c r="K992" s="88" t="str">
        <f t="shared" si="15"/>
        <v>不重复</v>
      </c>
    </row>
    <row r="993" spans="1:11" ht="20.25" customHeight="1">
      <c r="A993" s="89" t="s">
        <v>7381</v>
      </c>
      <c r="B993" s="90" t="s">
        <v>7382</v>
      </c>
      <c r="C993" s="90" t="s">
        <v>2179</v>
      </c>
      <c r="D993" s="90" t="s">
        <v>7383</v>
      </c>
      <c r="E993" s="89" t="s">
        <v>2468</v>
      </c>
      <c r="F993" s="91">
        <v>602135</v>
      </c>
      <c r="G993" s="91">
        <v>5100200</v>
      </c>
      <c r="H993" s="87"/>
      <c r="I993" s="90" t="s">
        <v>7384</v>
      </c>
      <c r="J993" s="88" t="str">
        <f t="shared" si="15"/>
        <v>重复</v>
      </c>
      <c r="K993" s="88" t="str">
        <f t="shared" si="15"/>
        <v>不重复</v>
      </c>
    </row>
    <row r="994" spans="1:11" ht="20.25" customHeight="1">
      <c r="A994" s="89" t="s">
        <v>2738</v>
      </c>
      <c r="B994" s="90" t="s">
        <v>7385</v>
      </c>
      <c r="C994" s="90" t="s">
        <v>2739</v>
      </c>
      <c r="D994" s="90" t="s">
        <v>7386</v>
      </c>
      <c r="E994" s="89" t="s">
        <v>2468</v>
      </c>
      <c r="F994" s="91">
        <v>602136</v>
      </c>
      <c r="G994" s="91">
        <v>5100200</v>
      </c>
      <c r="H994" s="87"/>
      <c r="I994" s="90" t="s">
        <v>7203</v>
      </c>
      <c r="J994" s="88" t="str">
        <f t="shared" si="15"/>
        <v>重复</v>
      </c>
      <c r="K994" s="88" t="str">
        <f t="shared" si="15"/>
        <v>不重复</v>
      </c>
    </row>
    <row r="995" spans="1:11" ht="20.25" customHeight="1">
      <c r="A995" s="89" t="s">
        <v>2740</v>
      </c>
      <c r="B995" s="90" t="s">
        <v>7387</v>
      </c>
      <c r="C995" s="90" t="s">
        <v>675</v>
      </c>
      <c r="D995" s="90" t="s">
        <v>7388</v>
      </c>
      <c r="E995" s="89" t="s">
        <v>2468</v>
      </c>
      <c r="F995" s="91">
        <v>602137</v>
      </c>
      <c r="G995" s="91">
        <v>5100200</v>
      </c>
      <c r="H995" s="87"/>
      <c r="I995" s="90" t="s">
        <v>7203</v>
      </c>
      <c r="J995" s="88" t="str">
        <f t="shared" si="15"/>
        <v>重复</v>
      </c>
      <c r="K995" s="88" t="str">
        <f t="shared" si="15"/>
        <v>不重复</v>
      </c>
    </row>
    <row r="996" spans="1:11" ht="20.25" customHeight="1">
      <c r="A996" s="89" t="s">
        <v>2742</v>
      </c>
      <c r="B996" s="90" t="s">
        <v>7389</v>
      </c>
      <c r="C996" s="90" t="s">
        <v>1559</v>
      </c>
      <c r="D996" s="90" t="s">
        <v>2743</v>
      </c>
      <c r="E996" s="89" t="s">
        <v>2468</v>
      </c>
      <c r="F996" s="91">
        <v>602138</v>
      </c>
      <c r="G996" s="91">
        <v>5100200</v>
      </c>
      <c r="H996" s="87"/>
      <c r="I996" s="90" t="s">
        <v>7351</v>
      </c>
      <c r="J996" s="88" t="str">
        <f t="shared" si="15"/>
        <v>不重复</v>
      </c>
      <c r="K996" s="88" t="str">
        <f t="shared" si="15"/>
        <v>不重复</v>
      </c>
    </row>
    <row r="997" spans="1:11" ht="20.25" customHeight="1">
      <c r="A997" s="84" t="s">
        <v>2764</v>
      </c>
      <c r="B997" s="85" t="s">
        <v>2765</v>
      </c>
      <c r="C997" s="85" t="s">
        <v>2766</v>
      </c>
      <c r="D997" s="85" t="s">
        <v>7390</v>
      </c>
      <c r="E997" s="84" t="s">
        <v>2468</v>
      </c>
      <c r="F997" s="86">
        <v>602139</v>
      </c>
      <c r="G997" s="86">
        <v>5100200</v>
      </c>
      <c r="H997" s="87"/>
      <c r="I997" s="85" t="s">
        <v>25</v>
      </c>
      <c r="J997" s="88" t="str">
        <f t="shared" si="15"/>
        <v>不重复</v>
      </c>
      <c r="K997" s="88" t="str">
        <f t="shared" si="15"/>
        <v>不重复</v>
      </c>
    </row>
    <row r="998" spans="1:11" ht="20.25" customHeight="1">
      <c r="A998" s="84" t="s">
        <v>2748</v>
      </c>
      <c r="B998" s="85" t="s">
        <v>7391</v>
      </c>
      <c r="C998" s="85" t="s">
        <v>2749</v>
      </c>
      <c r="D998" s="85" t="s">
        <v>2750</v>
      </c>
      <c r="E998" s="84" t="s">
        <v>2468</v>
      </c>
      <c r="F998" s="86">
        <v>602140</v>
      </c>
      <c r="G998" s="86">
        <v>5100200</v>
      </c>
      <c r="H998" s="87"/>
      <c r="I998" s="85" t="s">
        <v>7392</v>
      </c>
      <c r="J998" s="88" t="str">
        <f t="shared" si="15"/>
        <v>重复</v>
      </c>
      <c r="K998" s="88" t="str">
        <f t="shared" si="15"/>
        <v>不重复</v>
      </c>
    </row>
    <row r="999" spans="1:11" ht="20.25" customHeight="1">
      <c r="A999" s="84" t="s">
        <v>2755</v>
      </c>
      <c r="B999" s="85" t="s">
        <v>7393</v>
      </c>
      <c r="C999" s="85" t="s">
        <v>2756</v>
      </c>
      <c r="D999" s="85" t="s">
        <v>7394</v>
      </c>
      <c r="E999" s="84" t="s">
        <v>2468</v>
      </c>
      <c r="F999" s="86">
        <v>602141</v>
      </c>
      <c r="G999" s="86">
        <v>5100200</v>
      </c>
      <c r="H999" s="87"/>
      <c r="I999" s="85" t="s">
        <v>7301</v>
      </c>
      <c r="J999" s="88" t="str">
        <f t="shared" si="15"/>
        <v>不重复</v>
      </c>
      <c r="K999" s="88" t="str">
        <f t="shared" si="15"/>
        <v>不重复</v>
      </c>
    </row>
    <row r="1000" spans="1:11" ht="20.25" customHeight="1">
      <c r="A1000" s="84" t="s">
        <v>2746</v>
      </c>
      <c r="B1000" s="85" t="s">
        <v>7395</v>
      </c>
      <c r="C1000" s="85" t="s">
        <v>600</v>
      </c>
      <c r="D1000" s="85" t="s">
        <v>2747</v>
      </c>
      <c r="E1000" s="84" t="s">
        <v>2468</v>
      </c>
      <c r="F1000" s="86">
        <v>602142</v>
      </c>
      <c r="G1000" s="86">
        <v>5100200</v>
      </c>
      <c r="H1000" s="87"/>
      <c r="I1000" s="85" t="s">
        <v>7396</v>
      </c>
      <c r="J1000" s="88" t="str">
        <f t="shared" si="15"/>
        <v>重复</v>
      </c>
      <c r="K1000" s="88" t="str">
        <f t="shared" si="15"/>
        <v>不重复</v>
      </c>
    </row>
    <row r="1001" spans="1:11" ht="20.25" customHeight="1">
      <c r="A1001" s="84" t="s">
        <v>2751</v>
      </c>
      <c r="B1001" s="85" t="s">
        <v>7397</v>
      </c>
      <c r="C1001" s="85" t="s">
        <v>2752</v>
      </c>
      <c r="D1001" s="85" t="s">
        <v>2753</v>
      </c>
      <c r="E1001" s="84" t="s">
        <v>2468</v>
      </c>
      <c r="F1001" s="86">
        <v>602143</v>
      </c>
      <c r="G1001" s="86">
        <v>5100200</v>
      </c>
      <c r="H1001" s="87"/>
      <c r="I1001" s="85" t="s">
        <v>2754</v>
      </c>
      <c r="J1001" s="88" t="str">
        <f t="shared" si="15"/>
        <v>不重复</v>
      </c>
      <c r="K1001" s="88" t="str">
        <f t="shared" si="15"/>
        <v>不重复</v>
      </c>
    </row>
    <row r="1002" spans="1:11" ht="20.25" customHeight="1">
      <c r="A1002" s="84" t="s">
        <v>2757</v>
      </c>
      <c r="B1002" s="85" t="s">
        <v>2758</v>
      </c>
      <c r="C1002" s="85" t="s">
        <v>2522</v>
      </c>
      <c r="D1002" s="85" t="s">
        <v>2759</v>
      </c>
      <c r="E1002" s="84" t="s">
        <v>2468</v>
      </c>
      <c r="F1002" s="86">
        <v>602144</v>
      </c>
      <c r="G1002" s="86">
        <v>5100200</v>
      </c>
      <c r="H1002" s="87"/>
      <c r="I1002" s="85" t="s">
        <v>7398</v>
      </c>
      <c r="J1002" s="88" t="str">
        <f t="shared" si="15"/>
        <v>重复</v>
      </c>
      <c r="K1002" s="88" t="str">
        <f t="shared" si="15"/>
        <v>不重复</v>
      </c>
    </row>
    <row r="1003" spans="1:11" ht="20.25" customHeight="1">
      <c r="A1003" s="84" t="s">
        <v>2760</v>
      </c>
      <c r="B1003" s="85" t="s">
        <v>2761</v>
      </c>
      <c r="C1003" s="85" t="s">
        <v>2762</v>
      </c>
      <c r="D1003" s="85" t="s">
        <v>2763</v>
      </c>
      <c r="E1003" s="84" t="s">
        <v>2468</v>
      </c>
      <c r="F1003" s="86">
        <v>602145</v>
      </c>
      <c r="G1003" s="86">
        <v>5100200</v>
      </c>
      <c r="H1003" s="87"/>
      <c r="I1003" s="85" t="s">
        <v>7398</v>
      </c>
      <c r="J1003" s="88" t="str">
        <f t="shared" si="15"/>
        <v>重复</v>
      </c>
      <c r="K1003" s="88" t="str">
        <f t="shared" si="15"/>
        <v>不重复</v>
      </c>
    </row>
    <row r="1004" spans="1:11" ht="20.25" customHeight="1">
      <c r="A1004" s="84" t="s">
        <v>7399</v>
      </c>
      <c r="B1004" s="85" t="s">
        <v>7400</v>
      </c>
      <c r="C1004" s="85" t="s">
        <v>2350</v>
      </c>
      <c r="D1004" s="85" t="s">
        <v>2770</v>
      </c>
      <c r="E1004" s="84" t="s">
        <v>2468</v>
      </c>
      <c r="F1004" s="86">
        <v>602146</v>
      </c>
      <c r="G1004" s="86">
        <v>5100200</v>
      </c>
      <c r="H1004" s="87"/>
      <c r="I1004" s="85" t="s">
        <v>25</v>
      </c>
      <c r="J1004" s="88" t="str">
        <f t="shared" si="15"/>
        <v>重复</v>
      </c>
      <c r="K1004" s="88" t="str">
        <f t="shared" si="15"/>
        <v>不重复</v>
      </c>
    </row>
    <row r="1005" spans="1:11" ht="20.25" customHeight="1">
      <c r="A1005" s="84" t="s">
        <v>2767</v>
      </c>
      <c r="B1005" s="85" t="s">
        <v>2768</v>
      </c>
      <c r="C1005" s="85" t="s">
        <v>2769</v>
      </c>
      <c r="D1005" s="85" t="s">
        <v>7401</v>
      </c>
      <c r="E1005" s="84" t="s">
        <v>2468</v>
      </c>
      <c r="F1005" s="86">
        <v>602147</v>
      </c>
      <c r="G1005" s="86">
        <v>5100200</v>
      </c>
      <c r="H1005" s="87"/>
      <c r="I1005" s="85" t="s">
        <v>7402</v>
      </c>
      <c r="J1005" s="88" t="str">
        <f t="shared" si="15"/>
        <v>不重复</v>
      </c>
      <c r="K1005" s="88" t="str">
        <f t="shared" si="15"/>
        <v>不重复</v>
      </c>
    </row>
    <row r="1006" spans="1:11" ht="20.25" customHeight="1">
      <c r="A1006" s="84" t="s">
        <v>7403</v>
      </c>
      <c r="B1006" s="85" t="s">
        <v>7404</v>
      </c>
      <c r="C1006" s="85" t="s">
        <v>2350</v>
      </c>
      <c r="D1006" s="85" t="s">
        <v>7405</v>
      </c>
      <c r="E1006" s="84" t="s">
        <v>2468</v>
      </c>
      <c r="F1006" s="86">
        <v>602148</v>
      </c>
      <c r="G1006" s="86">
        <v>5100200</v>
      </c>
      <c r="H1006" s="87"/>
      <c r="I1006" s="85" t="s">
        <v>25</v>
      </c>
      <c r="J1006" s="88" t="str">
        <f t="shared" si="15"/>
        <v>重复</v>
      </c>
      <c r="K1006" s="88" t="str">
        <f t="shared" si="15"/>
        <v>不重复</v>
      </c>
    </row>
    <row r="1007" spans="1:11" ht="20.25" customHeight="1">
      <c r="A1007" s="84" t="s">
        <v>2776</v>
      </c>
      <c r="B1007" s="85" t="s">
        <v>7406</v>
      </c>
      <c r="C1007" s="85" t="s">
        <v>2777</v>
      </c>
      <c r="D1007" s="85" t="s">
        <v>2778</v>
      </c>
      <c r="E1007" s="84" t="s">
        <v>2468</v>
      </c>
      <c r="F1007" s="86">
        <v>602149</v>
      </c>
      <c r="G1007" s="86">
        <v>5100200</v>
      </c>
      <c r="H1007" s="87"/>
      <c r="I1007" s="85" t="s">
        <v>7335</v>
      </c>
      <c r="J1007" s="88" t="str">
        <f t="shared" si="15"/>
        <v>不重复</v>
      </c>
      <c r="K1007" s="88" t="str">
        <f t="shared" si="15"/>
        <v>不重复</v>
      </c>
    </row>
    <row r="1008" spans="1:11" ht="20.25" customHeight="1">
      <c r="A1008" s="84" t="s">
        <v>2771</v>
      </c>
      <c r="B1008" s="85" t="s">
        <v>2772</v>
      </c>
      <c r="C1008" s="85" t="s">
        <v>2773</v>
      </c>
      <c r="D1008" s="85" t="s">
        <v>2774</v>
      </c>
      <c r="E1008" s="84" t="s">
        <v>2468</v>
      </c>
      <c r="F1008" s="86">
        <v>602150</v>
      </c>
      <c r="G1008" s="86">
        <v>5100200</v>
      </c>
      <c r="H1008" s="87"/>
      <c r="I1008" s="85" t="s">
        <v>7407</v>
      </c>
      <c r="J1008" s="88" t="str">
        <f t="shared" si="15"/>
        <v>不重复</v>
      </c>
      <c r="K1008" s="88" t="str">
        <f t="shared" si="15"/>
        <v>不重复</v>
      </c>
    </row>
    <row r="1009" spans="1:11" ht="20.25" customHeight="1">
      <c r="A1009" s="84" t="s">
        <v>2779</v>
      </c>
      <c r="B1009" s="85" t="s">
        <v>2780</v>
      </c>
      <c r="C1009" s="85" t="s">
        <v>2781</v>
      </c>
      <c r="D1009" s="85" t="s">
        <v>2782</v>
      </c>
      <c r="E1009" s="84" t="s">
        <v>2468</v>
      </c>
      <c r="F1009" s="86">
        <v>602151</v>
      </c>
      <c r="G1009" s="86">
        <v>5100200</v>
      </c>
      <c r="H1009" s="87"/>
      <c r="I1009" s="85" t="s">
        <v>7266</v>
      </c>
      <c r="J1009" s="88" t="str">
        <f t="shared" si="15"/>
        <v>不重复</v>
      </c>
      <c r="K1009" s="88" t="str">
        <f t="shared" si="15"/>
        <v>不重复</v>
      </c>
    </row>
    <row r="1010" spans="1:11" ht="20.25" customHeight="1">
      <c r="A1010" s="84" t="s">
        <v>2783</v>
      </c>
      <c r="B1010" s="85" t="s">
        <v>7408</v>
      </c>
      <c r="C1010" s="85" t="s">
        <v>2784</v>
      </c>
      <c r="D1010" s="85" t="s">
        <v>7409</v>
      </c>
      <c r="E1010" s="84" t="s">
        <v>2468</v>
      </c>
      <c r="F1010" s="86">
        <v>602153</v>
      </c>
      <c r="G1010" s="86">
        <v>5100200</v>
      </c>
      <c r="H1010" s="87"/>
      <c r="I1010" s="85" t="s">
        <v>7410</v>
      </c>
      <c r="J1010" s="88" t="str">
        <f t="shared" si="15"/>
        <v>重复</v>
      </c>
      <c r="K1010" s="88" t="str">
        <f t="shared" si="15"/>
        <v>不重复</v>
      </c>
    </row>
    <row r="1011" spans="1:11" ht="20.25" customHeight="1">
      <c r="A1011" s="84" t="s">
        <v>2785</v>
      </c>
      <c r="B1011" s="85" t="s">
        <v>2786</v>
      </c>
      <c r="C1011" s="85" t="s">
        <v>2603</v>
      </c>
      <c r="D1011" s="85" t="s">
        <v>2787</v>
      </c>
      <c r="E1011" s="84" t="s">
        <v>2468</v>
      </c>
      <c r="F1011" s="86">
        <v>602155</v>
      </c>
      <c r="G1011" s="86">
        <v>5100200</v>
      </c>
      <c r="H1011" s="87"/>
      <c r="I1011" s="85" t="s">
        <v>7411</v>
      </c>
      <c r="J1011" s="88" t="str">
        <f t="shared" si="15"/>
        <v>重复</v>
      </c>
      <c r="K1011" s="88" t="str">
        <f t="shared" si="15"/>
        <v>不重复</v>
      </c>
    </row>
    <row r="1012" spans="1:11" ht="20.25" customHeight="1">
      <c r="A1012" s="89" t="s">
        <v>7412</v>
      </c>
      <c r="B1012" s="90" t="s">
        <v>7413</v>
      </c>
      <c r="C1012" s="90" t="s">
        <v>2892</v>
      </c>
      <c r="D1012" s="90" t="s">
        <v>7414</v>
      </c>
      <c r="E1012" s="89" t="s">
        <v>2468</v>
      </c>
      <c r="F1012" s="91">
        <v>602156</v>
      </c>
      <c r="G1012" s="91">
        <v>5100200</v>
      </c>
      <c r="H1012" s="87"/>
      <c r="I1012" s="90" t="s">
        <v>25</v>
      </c>
      <c r="J1012" s="88" t="str">
        <f t="shared" si="15"/>
        <v>重复</v>
      </c>
      <c r="K1012" s="88" t="str">
        <f t="shared" si="15"/>
        <v>不重复</v>
      </c>
    </row>
    <row r="1013" spans="1:11" ht="20.25" customHeight="1">
      <c r="A1013" s="84" t="s">
        <v>7415</v>
      </c>
      <c r="B1013" s="85" t="s">
        <v>7416</v>
      </c>
      <c r="C1013" s="85" t="s">
        <v>2889</v>
      </c>
      <c r="D1013" s="85" t="s">
        <v>1554</v>
      </c>
      <c r="E1013" s="84" t="s">
        <v>2468</v>
      </c>
      <c r="F1013" s="86">
        <v>602157</v>
      </c>
      <c r="G1013" s="86">
        <v>5100200</v>
      </c>
      <c r="H1013" s="87"/>
      <c r="I1013" s="85" t="s">
        <v>7417</v>
      </c>
      <c r="J1013" s="88" t="str">
        <f t="shared" si="15"/>
        <v>不重复</v>
      </c>
      <c r="K1013" s="88" t="str">
        <f t="shared" si="15"/>
        <v>不重复</v>
      </c>
    </row>
    <row r="1014" spans="1:11" ht="20.25" customHeight="1">
      <c r="A1014" s="84" t="s">
        <v>7418</v>
      </c>
      <c r="B1014" s="85" t="s">
        <v>7419</v>
      </c>
      <c r="C1014" s="85" t="s">
        <v>2864</v>
      </c>
      <c r="D1014" s="85" t="s">
        <v>1551</v>
      </c>
      <c r="E1014" s="84" t="s">
        <v>2468</v>
      </c>
      <c r="F1014" s="86">
        <v>602158</v>
      </c>
      <c r="G1014" s="86">
        <v>5100200</v>
      </c>
      <c r="H1014" s="87"/>
      <c r="I1014" s="85" t="s">
        <v>7365</v>
      </c>
      <c r="J1014" s="88" t="str">
        <f t="shared" si="15"/>
        <v>重复</v>
      </c>
      <c r="K1014" s="88" t="str">
        <f t="shared" si="15"/>
        <v>不重复</v>
      </c>
    </row>
    <row r="1015" spans="1:11" ht="20.25" customHeight="1">
      <c r="A1015" s="84" t="s">
        <v>7420</v>
      </c>
      <c r="B1015" s="85" t="s">
        <v>7421</v>
      </c>
      <c r="C1015" s="85" t="s">
        <v>2888</v>
      </c>
      <c r="D1015" s="85" t="s">
        <v>2803</v>
      </c>
      <c r="E1015" s="84" t="s">
        <v>2468</v>
      </c>
      <c r="F1015" s="86">
        <v>602160</v>
      </c>
      <c r="G1015" s="86">
        <v>5100200</v>
      </c>
      <c r="H1015" s="87"/>
      <c r="I1015" s="85" t="s">
        <v>7422</v>
      </c>
      <c r="J1015" s="88" t="str">
        <f t="shared" si="15"/>
        <v>不重复</v>
      </c>
      <c r="K1015" s="88" t="str">
        <f t="shared" si="15"/>
        <v>不重复</v>
      </c>
    </row>
    <row r="1016" spans="1:11" ht="20.25" customHeight="1">
      <c r="A1016" s="89" t="s">
        <v>7423</v>
      </c>
      <c r="B1016" s="90" t="s">
        <v>7424</v>
      </c>
      <c r="C1016" s="90" t="s">
        <v>2639</v>
      </c>
      <c r="D1016" s="90" t="s">
        <v>7425</v>
      </c>
      <c r="E1016" s="89" t="s">
        <v>2468</v>
      </c>
      <c r="F1016" s="91">
        <v>602161</v>
      </c>
      <c r="G1016" s="91">
        <v>5100200</v>
      </c>
      <c r="H1016" s="87"/>
      <c r="I1016" s="90" t="s">
        <v>25</v>
      </c>
      <c r="J1016" s="88" t="str">
        <f t="shared" si="15"/>
        <v>重复</v>
      </c>
      <c r="K1016" s="88" t="str">
        <f t="shared" si="15"/>
        <v>不重复</v>
      </c>
    </row>
    <row r="1017" spans="1:11" ht="20.25" customHeight="1">
      <c r="A1017" s="89" t="s">
        <v>2818</v>
      </c>
      <c r="B1017" s="90" t="s">
        <v>2819</v>
      </c>
      <c r="C1017" s="90" t="s">
        <v>2820</v>
      </c>
      <c r="D1017" s="90" t="s">
        <v>2821</v>
      </c>
      <c r="E1017" s="89" t="s">
        <v>2468</v>
      </c>
      <c r="F1017" s="91">
        <v>602162</v>
      </c>
      <c r="G1017" s="91">
        <v>5100200</v>
      </c>
      <c r="H1017" s="87"/>
      <c r="I1017" s="90" t="s">
        <v>7336</v>
      </c>
      <c r="J1017" s="88" t="str">
        <f t="shared" si="15"/>
        <v>不重复</v>
      </c>
      <c r="K1017" s="88" t="str">
        <f t="shared" si="15"/>
        <v>不重复</v>
      </c>
    </row>
    <row r="1018" spans="1:11" ht="20.25" customHeight="1">
      <c r="A1018" s="89" t="s">
        <v>2814</v>
      </c>
      <c r="B1018" s="90" t="s">
        <v>2815</v>
      </c>
      <c r="C1018" s="90" t="s">
        <v>2816</v>
      </c>
      <c r="D1018" s="90" t="s">
        <v>2817</v>
      </c>
      <c r="E1018" s="89" t="s">
        <v>2468</v>
      </c>
      <c r="F1018" s="91">
        <v>602163</v>
      </c>
      <c r="G1018" s="91">
        <v>5100200</v>
      </c>
      <c r="H1018" s="87"/>
      <c r="I1018" s="90" t="s">
        <v>7426</v>
      </c>
      <c r="J1018" s="88" t="str">
        <f t="shared" si="15"/>
        <v>重复</v>
      </c>
      <c r="K1018" s="88" t="str">
        <f t="shared" si="15"/>
        <v>不重复</v>
      </c>
    </row>
    <row r="1019" spans="1:11" ht="20.25" customHeight="1">
      <c r="A1019" s="89" t="s">
        <v>7427</v>
      </c>
      <c r="B1019" s="90" t="s">
        <v>7428</v>
      </c>
      <c r="C1019" s="90" t="s">
        <v>7429</v>
      </c>
      <c r="D1019" s="90" t="s">
        <v>1873</v>
      </c>
      <c r="E1019" s="89" t="s">
        <v>2468</v>
      </c>
      <c r="F1019" s="91">
        <v>602164</v>
      </c>
      <c r="G1019" s="91">
        <v>5100200</v>
      </c>
      <c r="H1019" s="87"/>
      <c r="I1019" s="90" t="s">
        <v>25</v>
      </c>
      <c r="J1019" s="88" t="str">
        <f t="shared" si="15"/>
        <v>不重复</v>
      </c>
      <c r="K1019" s="88" t="str">
        <f t="shared" si="15"/>
        <v>不重复</v>
      </c>
    </row>
    <row r="1020" spans="1:11" ht="20.25" customHeight="1">
      <c r="A1020" s="89" t="s">
        <v>2822</v>
      </c>
      <c r="B1020" s="90" t="s">
        <v>2823</v>
      </c>
      <c r="C1020" s="90" t="s">
        <v>2824</v>
      </c>
      <c r="D1020" s="90" t="s">
        <v>2825</v>
      </c>
      <c r="E1020" s="89" t="s">
        <v>2468</v>
      </c>
      <c r="F1020" s="91">
        <v>602165</v>
      </c>
      <c r="G1020" s="91">
        <v>5100200</v>
      </c>
      <c r="H1020" s="87"/>
      <c r="I1020" s="90" t="s">
        <v>7430</v>
      </c>
      <c r="J1020" s="88" t="str">
        <f t="shared" si="15"/>
        <v>重复</v>
      </c>
      <c r="K1020" s="88" t="str">
        <f t="shared" si="15"/>
        <v>不重复</v>
      </c>
    </row>
    <row r="1021" spans="1:11" ht="20.25" customHeight="1">
      <c r="A1021" s="89" t="s">
        <v>2826</v>
      </c>
      <c r="B1021" s="90" t="s">
        <v>2827</v>
      </c>
      <c r="C1021" s="90" t="s">
        <v>2828</v>
      </c>
      <c r="D1021" s="90" t="s">
        <v>2829</v>
      </c>
      <c r="E1021" s="89" t="s">
        <v>2468</v>
      </c>
      <c r="F1021" s="91">
        <v>602166</v>
      </c>
      <c r="G1021" s="91">
        <v>5100200</v>
      </c>
      <c r="H1021" s="87"/>
      <c r="I1021" s="90" t="s">
        <v>7431</v>
      </c>
      <c r="J1021" s="88" t="str">
        <f t="shared" si="15"/>
        <v>不重复</v>
      </c>
      <c r="K1021" s="88" t="str">
        <f t="shared" si="15"/>
        <v>不重复</v>
      </c>
    </row>
    <row r="1022" spans="1:11" ht="20.25" customHeight="1">
      <c r="A1022" s="84" t="s">
        <v>7432</v>
      </c>
      <c r="B1022" s="85" t="s">
        <v>7433</v>
      </c>
      <c r="C1022" s="85" t="s">
        <v>25</v>
      </c>
      <c r="D1022" s="85" t="s">
        <v>7434</v>
      </c>
      <c r="E1022" s="84" t="s">
        <v>2468</v>
      </c>
      <c r="F1022" s="86">
        <v>602167</v>
      </c>
      <c r="G1022" s="86">
        <v>5100200</v>
      </c>
      <c r="H1022" s="87"/>
      <c r="I1022" s="85" t="s">
        <v>25</v>
      </c>
      <c r="J1022" s="88" t="str">
        <f t="shared" si="15"/>
        <v>重复</v>
      </c>
      <c r="K1022" s="88" t="str">
        <f t="shared" si="15"/>
        <v>不重复</v>
      </c>
    </row>
    <row r="1023" spans="1:11" ht="20.25" customHeight="1">
      <c r="A1023" s="84" t="s">
        <v>7435</v>
      </c>
      <c r="B1023" s="85" t="s">
        <v>7436</v>
      </c>
      <c r="C1023" s="85" t="s">
        <v>2333</v>
      </c>
      <c r="D1023" s="85" t="s">
        <v>2882</v>
      </c>
      <c r="E1023" s="84" t="s">
        <v>2468</v>
      </c>
      <c r="F1023" s="86">
        <v>602168</v>
      </c>
      <c r="G1023" s="86">
        <v>5100200</v>
      </c>
      <c r="H1023" s="87"/>
      <c r="I1023" s="85" t="s">
        <v>7323</v>
      </c>
      <c r="J1023" s="88" t="str">
        <f t="shared" si="15"/>
        <v>重复</v>
      </c>
      <c r="K1023" s="88" t="str">
        <f t="shared" si="15"/>
        <v>不重复</v>
      </c>
    </row>
    <row r="1024" spans="1:11" ht="20.25" customHeight="1">
      <c r="A1024" s="84" t="s">
        <v>7437</v>
      </c>
      <c r="B1024" s="85" t="s">
        <v>7438</v>
      </c>
      <c r="C1024" s="85" t="s">
        <v>1240</v>
      </c>
      <c r="D1024" s="85" t="s">
        <v>7439</v>
      </c>
      <c r="E1024" s="84" t="s">
        <v>2468</v>
      </c>
      <c r="F1024" s="86">
        <v>602169</v>
      </c>
      <c r="G1024" s="86">
        <v>5100200</v>
      </c>
      <c r="H1024" s="87"/>
      <c r="I1024" s="85" t="s">
        <v>25</v>
      </c>
      <c r="J1024" s="88" t="str">
        <f t="shared" si="15"/>
        <v>重复</v>
      </c>
      <c r="K1024" s="88" t="str">
        <f t="shared" si="15"/>
        <v>不重复</v>
      </c>
    </row>
    <row r="1025" spans="1:11" ht="20.25" customHeight="1">
      <c r="A1025" s="84" t="s">
        <v>2844</v>
      </c>
      <c r="B1025" s="85" t="s">
        <v>2845</v>
      </c>
      <c r="C1025" s="85" t="s">
        <v>2846</v>
      </c>
      <c r="D1025" s="85" t="s">
        <v>2847</v>
      </c>
      <c r="E1025" s="84" t="s">
        <v>2468</v>
      </c>
      <c r="F1025" s="86">
        <v>602170</v>
      </c>
      <c r="G1025" s="86">
        <v>5100200</v>
      </c>
      <c r="H1025" s="87"/>
      <c r="I1025" s="85" t="s">
        <v>7440</v>
      </c>
      <c r="J1025" s="88" t="str">
        <f t="shared" si="15"/>
        <v>不重复</v>
      </c>
      <c r="K1025" s="88" t="str">
        <f t="shared" si="15"/>
        <v>不重复</v>
      </c>
    </row>
    <row r="1026" spans="1:11" ht="20.25" customHeight="1">
      <c r="A1026" s="84" t="s">
        <v>2841</v>
      </c>
      <c r="B1026" s="85" t="s">
        <v>2842</v>
      </c>
      <c r="C1026" s="85" t="s">
        <v>2492</v>
      </c>
      <c r="D1026" s="85" t="s">
        <v>2843</v>
      </c>
      <c r="E1026" s="84" t="s">
        <v>2468</v>
      </c>
      <c r="F1026" s="86">
        <v>602171</v>
      </c>
      <c r="G1026" s="86">
        <v>5100200</v>
      </c>
      <c r="H1026" s="87"/>
      <c r="I1026" s="85" t="s">
        <v>25</v>
      </c>
      <c r="J1026" s="88" t="str">
        <f t="shared" si="15"/>
        <v>重复</v>
      </c>
      <c r="K1026" s="88" t="str">
        <f t="shared" si="15"/>
        <v>不重复</v>
      </c>
    </row>
    <row r="1027" spans="1:11" ht="20.25" customHeight="1">
      <c r="A1027" s="84" t="s">
        <v>7441</v>
      </c>
      <c r="B1027" s="85" t="s">
        <v>2837</v>
      </c>
      <c r="C1027" s="85" t="s">
        <v>1055</v>
      </c>
      <c r="D1027" s="85" t="s">
        <v>2838</v>
      </c>
      <c r="E1027" s="84" t="s">
        <v>2468</v>
      </c>
      <c r="F1027" s="86">
        <v>602172</v>
      </c>
      <c r="G1027" s="86">
        <v>5100200</v>
      </c>
      <c r="H1027" s="87"/>
      <c r="I1027" s="85" t="s">
        <v>7442</v>
      </c>
      <c r="J1027" s="88" t="str">
        <f t="shared" si="16" ref="J1027:K1090">IF(COUNTIF(C:C,C1027)&gt;=2,"重复","不重复")</f>
        <v>重复</v>
      </c>
      <c r="K1027" s="88" t="str">
        <f t="shared" si="16"/>
        <v>不重复</v>
      </c>
    </row>
    <row r="1028" spans="1:11" ht="20.25" customHeight="1">
      <c r="A1028" s="84" t="s">
        <v>2830</v>
      </c>
      <c r="B1028" s="85" t="s">
        <v>2831</v>
      </c>
      <c r="C1028" s="85" t="s">
        <v>672</v>
      </c>
      <c r="D1028" s="85" t="s">
        <v>2832</v>
      </c>
      <c r="E1028" s="84" t="s">
        <v>2468</v>
      </c>
      <c r="F1028" s="86">
        <v>602173</v>
      </c>
      <c r="G1028" s="86">
        <v>5100200</v>
      </c>
      <c r="H1028" s="87"/>
      <c r="I1028" s="85" t="s">
        <v>7355</v>
      </c>
      <c r="J1028" s="88" t="str">
        <f t="shared" si="16"/>
        <v>重复</v>
      </c>
      <c r="K1028" s="88" t="str">
        <f t="shared" si="16"/>
        <v>不重复</v>
      </c>
    </row>
    <row r="1029" spans="1:11" ht="20.25" customHeight="1">
      <c r="A1029" s="84" t="s">
        <v>2833</v>
      </c>
      <c r="B1029" s="85" t="s">
        <v>2834</v>
      </c>
      <c r="C1029" s="85" t="s">
        <v>2623</v>
      </c>
      <c r="D1029" s="85" t="s">
        <v>1541</v>
      </c>
      <c r="E1029" s="84" t="s">
        <v>2468</v>
      </c>
      <c r="F1029" s="86">
        <v>602174</v>
      </c>
      <c r="G1029" s="86">
        <v>5100200</v>
      </c>
      <c r="H1029" s="87"/>
      <c r="I1029" s="85" t="s">
        <v>7169</v>
      </c>
      <c r="J1029" s="88" t="str">
        <f t="shared" si="16"/>
        <v>重复</v>
      </c>
      <c r="K1029" s="88" t="str">
        <f t="shared" si="16"/>
        <v>不重复</v>
      </c>
    </row>
    <row r="1030" spans="1:11" ht="20.25" customHeight="1">
      <c r="A1030" s="84" t="s">
        <v>2835</v>
      </c>
      <c r="B1030" s="85" t="s">
        <v>2836</v>
      </c>
      <c r="C1030" s="85" t="s">
        <v>111</v>
      </c>
      <c r="D1030" s="85" t="s">
        <v>7443</v>
      </c>
      <c r="E1030" s="84" t="s">
        <v>2468</v>
      </c>
      <c r="F1030" s="86">
        <v>602175</v>
      </c>
      <c r="G1030" s="86">
        <v>5100200</v>
      </c>
      <c r="H1030" s="87"/>
      <c r="I1030" s="85" t="s">
        <v>7426</v>
      </c>
      <c r="J1030" s="88" t="str">
        <f t="shared" si="16"/>
        <v>重复</v>
      </c>
      <c r="K1030" s="88" t="str">
        <f t="shared" si="16"/>
        <v>不重复</v>
      </c>
    </row>
    <row r="1031" spans="1:11" ht="20.25" customHeight="1">
      <c r="A1031" s="84" t="s">
        <v>2839</v>
      </c>
      <c r="B1031" s="85" t="s">
        <v>2840</v>
      </c>
      <c r="C1031" s="85" t="s">
        <v>107</v>
      </c>
      <c r="D1031" s="85" t="s">
        <v>7444</v>
      </c>
      <c r="E1031" s="84" t="s">
        <v>2468</v>
      </c>
      <c r="F1031" s="86">
        <v>602176</v>
      </c>
      <c r="G1031" s="86">
        <v>5100200</v>
      </c>
      <c r="H1031" s="87"/>
      <c r="I1031" s="85" t="s">
        <v>7426</v>
      </c>
      <c r="J1031" s="88" t="str">
        <f t="shared" si="16"/>
        <v>重复</v>
      </c>
      <c r="K1031" s="88" t="str">
        <f t="shared" si="16"/>
        <v>不重复</v>
      </c>
    </row>
    <row r="1032" spans="1:11" ht="20.25" customHeight="1">
      <c r="A1032" s="84" t="s">
        <v>2890</v>
      </c>
      <c r="B1032" s="85" t="s">
        <v>2891</v>
      </c>
      <c r="C1032" s="85" t="s">
        <v>2892</v>
      </c>
      <c r="D1032" s="85" t="s">
        <v>7445</v>
      </c>
      <c r="E1032" s="84" t="s">
        <v>2468</v>
      </c>
      <c r="F1032" s="86">
        <v>602177</v>
      </c>
      <c r="G1032" s="86">
        <v>5100200</v>
      </c>
      <c r="H1032" s="87"/>
      <c r="I1032" s="85" t="s">
        <v>25</v>
      </c>
      <c r="J1032" s="88" t="str">
        <f t="shared" si="16"/>
        <v>重复</v>
      </c>
      <c r="K1032" s="88" t="str">
        <f t="shared" si="16"/>
        <v>不重复</v>
      </c>
    </row>
    <row r="1033" spans="1:11" ht="20.25" customHeight="1">
      <c r="A1033" s="84" t="s">
        <v>2863</v>
      </c>
      <c r="B1033" s="85" t="s">
        <v>7446</v>
      </c>
      <c r="C1033" s="85" t="s">
        <v>2864</v>
      </c>
      <c r="D1033" s="85" t="s">
        <v>2865</v>
      </c>
      <c r="E1033" s="84" t="s">
        <v>2468</v>
      </c>
      <c r="F1033" s="86">
        <v>602178</v>
      </c>
      <c r="G1033" s="86">
        <v>5100200</v>
      </c>
      <c r="H1033" s="87"/>
      <c r="I1033" s="85" t="s">
        <v>7169</v>
      </c>
      <c r="J1033" s="88" t="str">
        <f t="shared" si="16"/>
        <v>重复</v>
      </c>
      <c r="K1033" s="88" t="str">
        <f t="shared" si="16"/>
        <v>不重复</v>
      </c>
    </row>
    <row r="1034" spans="1:11" ht="20.25" customHeight="1">
      <c r="A1034" s="84" t="s">
        <v>2866</v>
      </c>
      <c r="B1034" s="85" t="s">
        <v>7447</v>
      </c>
      <c r="C1034" s="85" t="s">
        <v>2867</v>
      </c>
      <c r="D1034" s="85" t="s">
        <v>2868</v>
      </c>
      <c r="E1034" s="84" t="s">
        <v>2468</v>
      </c>
      <c r="F1034" s="86">
        <v>602179</v>
      </c>
      <c r="G1034" s="86">
        <v>5100200</v>
      </c>
      <c r="H1034" s="87"/>
      <c r="I1034" s="85" t="s">
        <v>7422</v>
      </c>
      <c r="J1034" s="88" t="str">
        <f t="shared" si="16"/>
        <v>不重复</v>
      </c>
      <c r="K1034" s="88" t="str">
        <f t="shared" si="16"/>
        <v>不重复</v>
      </c>
    </row>
    <row r="1035" spans="1:11" ht="20.25" customHeight="1">
      <c r="A1035" s="84" t="s">
        <v>2871</v>
      </c>
      <c r="B1035" s="85" t="s">
        <v>7448</v>
      </c>
      <c r="C1035" s="85" t="s">
        <v>2872</v>
      </c>
      <c r="D1035" s="85" t="s">
        <v>2873</v>
      </c>
      <c r="E1035" s="84" t="s">
        <v>2468</v>
      </c>
      <c r="F1035" s="86">
        <v>602180</v>
      </c>
      <c r="G1035" s="86">
        <v>5100200</v>
      </c>
      <c r="H1035" s="87"/>
      <c r="I1035" s="85" t="s">
        <v>7243</v>
      </c>
      <c r="J1035" s="88" t="str">
        <f t="shared" si="16"/>
        <v>重复</v>
      </c>
      <c r="K1035" s="88" t="str">
        <f t="shared" si="16"/>
        <v>不重复</v>
      </c>
    </row>
    <row r="1036" spans="1:11" ht="20.25" customHeight="1">
      <c r="A1036" s="84" t="s">
        <v>2857</v>
      </c>
      <c r="B1036" s="85" t="s">
        <v>7449</v>
      </c>
      <c r="C1036" s="85" t="s">
        <v>2858</v>
      </c>
      <c r="D1036" s="85" t="s">
        <v>2859</v>
      </c>
      <c r="E1036" s="84" t="s">
        <v>2468</v>
      </c>
      <c r="F1036" s="86">
        <v>602181</v>
      </c>
      <c r="G1036" s="86">
        <v>5100200</v>
      </c>
      <c r="H1036" s="87"/>
      <c r="I1036" s="85" t="s">
        <v>7266</v>
      </c>
      <c r="J1036" s="88" t="str">
        <f t="shared" si="16"/>
        <v>不重复</v>
      </c>
      <c r="K1036" s="88" t="str">
        <f t="shared" si="16"/>
        <v>不重复</v>
      </c>
    </row>
    <row r="1037" spans="1:11" ht="20.25" customHeight="1">
      <c r="A1037" s="84" t="s">
        <v>2860</v>
      </c>
      <c r="B1037" s="85" t="s">
        <v>7450</v>
      </c>
      <c r="C1037" s="85" t="s">
        <v>2861</v>
      </c>
      <c r="D1037" s="85" t="s">
        <v>2862</v>
      </c>
      <c r="E1037" s="84" t="s">
        <v>2468</v>
      </c>
      <c r="F1037" s="86">
        <v>602182</v>
      </c>
      <c r="G1037" s="86">
        <v>5100200</v>
      </c>
      <c r="H1037" s="87"/>
      <c r="I1037" s="85" t="s">
        <v>7303</v>
      </c>
      <c r="J1037" s="88" t="str">
        <f t="shared" si="16"/>
        <v>不重复</v>
      </c>
      <c r="K1037" s="88" t="str">
        <f t="shared" si="16"/>
        <v>不重复</v>
      </c>
    </row>
    <row r="1038" spans="1:11" ht="20.25" customHeight="1">
      <c r="A1038" s="84" t="s">
        <v>2879</v>
      </c>
      <c r="B1038" s="85" t="s">
        <v>7451</v>
      </c>
      <c r="C1038" s="85" t="s">
        <v>2880</v>
      </c>
      <c r="D1038" s="85" t="s">
        <v>2881</v>
      </c>
      <c r="E1038" s="84" t="s">
        <v>2468</v>
      </c>
      <c r="F1038" s="86">
        <v>602183</v>
      </c>
      <c r="G1038" s="86">
        <v>5100200</v>
      </c>
      <c r="H1038" s="87"/>
      <c r="I1038" s="85" t="s">
        <v>7452</v>
      </c>
      <c r="J1038" s="88" t="str">
        <f t="shared" si="16"/>
        <v>不重复</v>
      </c>
      <c r="K1038" s="88" t="str">
        <f t="shared" si="16"/>
        <v>不重复</v>
      </c>
    </row>
    <row r="1039" spans="1:11" ht="20.25" customHeight="1">
      <c r="A1039" s="84" t="s">
        <v>2854</v>
      </c>
      <c r="B1039" s="85" t="s">
        <v>7453</v>
      </c>
      <c r="C1039" s="85" t="s">
        <v>2855</v>
      </c>
      <c r="D1039" s="85" t="s">
        <v>2856</v>
      </c>
      <c r="E1039" s="84" t="s">
        <v>2468</v>
      </c>
      <c r="F1039" s="86">
        <v>602184</v>
      </c>
      <c r="G1039" s="86">
        <v>5100200</v>
      </c>
      <c r="H1039" s="87"/>
      <c r="I1039" s="85" t="s">
        <v>7422</v>
      </c>
      <c r="J1039" s="88" t="str">
        <f t="shared" si="16"/>
        <v>不重复</v>
      </c>
      <c r="K1039" s="88" t="str">
        <f t="shared" si="16"/>
        <v>不重复</v>
      </c>
    </row>
    <row r="1040" spans="1:11" ht="20.25" customHeight="1">
      <c r="A1040" s="84" t="s">
        <v>2883</v>
      </c>
      <c r="B1040" s="85" t="s">
        <v>7454</v>
      </c>
      <c r="C1040" s="85" t="s">
        <v>2330</v>
      </c>
      <c r="D1040" s="85" t="s">
        <v>2884</v>
      </c>
      <c r="E1040" s="84" t="s">
        <v>2468</v>
      </c>
      <c r="F1040" s="86">
        <v>602185</v>
      </c>
      <c r="G1040" s="86">
        <v>5100200</v>
      </c>
      <c r="H1040" s="87"/>
      <c r="I1040" s="85" t="s">
        <v>7455</v>
      </c>
      <c r="J1040" s="88" t="str">
        <f t="shared" si="16"/>
        <v>重复</v>
      </c>
      <c r="K1040" s="88" t="str">
        <f t="shared" si="16"/>
        <v>不重复</v>
      </c>
    </row>
    <row r="1041" spans="1:11" ht="20.25" customHeight="1">
      <c r="A1041" s="84" t="s">
        <v>2874</v>
      </c>
      <c r="B1041" s="85" t="s">
        <v>7456</v>
      </c>
      <c r="C1041" s="85" t="s">
        <v>2875</v>
      </c>
      <c r="D1041" s="85" t="s">
        <v>2876</v>
      </c>
      <c r="E1041" s="84" t="s">
        <v>2468</v>
      </c>
      <c r="F1041" s="86">
        <v>602186</v>
      </c>
      <c r="G1041" s="86">
        <v>5100200</v>
      </c>
      <c r="H1041" s="87"/>
      <c r="I1041" s="85" t="s">
        <v>7407</v>
      </c>
      <c r="J1041" s="88" t="str">
        <f t="shared" si="16"/>
        <v>不重复</v>
      </c>
      <c r="K1041" s="88" t="str">
        <f t="shared" si="16"/>
        <v>不重复</v>
      </c>
    </row>
    <row r="1042" spans="1:11" ht="20.25" customHeight="1">
      <c r="A1042" s="84" t="s">
        <v>2885</v>
      </c>
      <c r="B1042" s="85" t="s">
        <v>7457</v>
      </c>
      <c r="C1042" s="85" t="s">
        <v>2886</v>
      </c>
      <c r="D1042" s="85" t="s">
        <v>2887</v>
      </c>
      <c r="E1042" s="84" t="s">
        <v>2468</v>
      </c>
      <c r="F1042" s="86">
        <v>602187</v>
      </c>
      <c r="G1042" s="86">
        <v>5100200</v>
      </c>
      <c r="H1042" s="87"/>
      <c r="I1042" s="85" t="s">
        <v>7243</v>
      </c>
      <c r="J1042" s="88" t="str">
        <f t="shared" si="16"/>
        <v>不重复</v>
      </c>
      <c r="K1042" s="88" t="str">
        <f t="shared" si="16"/>
        <v>不重复</v>
      </c>
    </row>
    <row r="1043" spans="1:11" ht="20.25" customHeight="1">
      <c r="A1043" s="84" t="s">
        <v>2869</v>
      </c>
      <c r="B1043" s="85" t="s">
        <v>7458</v>
      </c>
      <c r="C1043" s="85" t="s">
        <v>661</v>
      </c>
      <c r="D1043" s="85" t="s">
        <v>2870</v>
      </c>
      <c r="E1043" s="84" t="s">
        <v>2468</v>
      </c>
      <c r="F1043" s="86">
        <v>602188</v>
      </c>
      <c r="G1043" s="86">
        <v>5100200</v>
      </c>
      <c r="H1043" s="87"/>
      <c r="I1043" s="85" t="s">
        <v>7422</v>
      </c>
      <c r="J1043" s="88" t="str">
        <f t="shared" si="16"/>
        <v>不重复</v>
      </c>
      <c r="K1043" s="88" t="str">
        <f t="shared" si="16"/>
        <v>不重复</v>
      </c>
    </row>
    <row r="1044" spans="1:11" ht="20.25" customHeight="1">
      <c r="A1044" s="84" t="s">
        <v>7459</v>
      </c>
      <c r="B1044" s="85" t="s">
        <v>7460</v>
      </c>
      <c r="C1044" s="85" t="s">
        <v>867</v>
      </c>
      <c r="D1044" s="85" t="s">
        <v>7461</v>
      </c>
      <c r="E1044" s="84" t="s">
        <v>2468</v>
      </c>
      <c r="F1044" s="86">
        <v>602189</v>
      </c>
      <c r="G1044" s="86">
        <v>5100200</v>
      </c>
      <c r="H1044" s="87"/>
      <c r="I1044" s="85" t="s">
        <v>25</v>
      </c>
      <c r="J1044" s="88" t="str">
        <f t="shared" si="16"/>
        <v>不重复</v>
      </c>
      <c r="K1044" s="88" t="str">
        <f t="shared" si="16"/>
        <v>不重复</v>
      </c>
    </row>
    <row r="1045" spans="1:11" ht="20.25" customHeight="1">
      <c r="A1045" s="84" t="s">
        <v>7462</v>
      </c>
      <c r="B1045" s="85" t="s">
        <v>7463</v>
      </c>
      <c r="C1045" s="85" t="s">
        <v>1190</v>
      </c>
      <c r="D1045" s="85" t="s">
        <v>2853</v>
      </c>
      <c r="E1045" s="84" t="s">
        <v>2468</v>
      </c>
      <c r="F1045" s="86">
        <v>602190</v>
      </c>
      <c r="G1045" s="86">
        <v>5100200</v>
      </c>
      <c r="H1045" s="87"/>
      <c r="I1045" s="85" t="s">
        <v>7169</v>
      </c>
      <c r="J1045" s="88" t="str">
        <f t="shared" si="16"/>
        <v>重复</v>
      </c>
      <c r="K1045" s="88" t="str">
        <f t="shared" si="16"/>
        <v>不重复</v>
      </c>
    </row>
    <row r="1046" spans="1:11" ht="20.25" customHeight="1">
      <c r="A1046" s="84" t="s">
        <v>7464</v>
      </c>
      <c r="B1046" s="85" t="s">
        <v>7465</v>
      </c>
      <c r="C1046" s="85" t="s">
        <v>2877</v>
      </c>
      <c r="D1046" s="85" t="s">
        <v>2878</v>
      </c>
      <c r="E1046" s="84" t="s">
        <v>2468</v>
      </c>
      <c r="F1046" s="86">
        <v>602191</v>
      </c>
      <c r="G1046" s="86">
        <v>5100200</v>
      </c>
      <c r="H1046" s="87"/>
      <c r="I1046" s="85" t="s">
        <v>7169</v>
      </c>
      <c r="J1046" s="88" t="str">
        <f t="shared" si="16"/>
        <v>不重复</v>
      </c>
      <c r="K1046" s="88" t="str">
        <f t="shared" si="16"/>
        <v>不重复</v>
      </c>
    </row>
    <row r="1047" spans="1:11" ht="20.25" customHeight="1">
      <c r="A1047" s="84" t="s">
        <v>2848</v>
      </c>
      <c r="B1047" s="85" t="s">
        <v>7466</v>
      </c>
      <c r="C1047" s="85" t="s">
        <v>2324</v>
      </c>
      <c r="D1047" s="85" t="s">
        <v>2849</v>
      </c>
      <c r="E1047" s="84" t="s">
        <v>2468</v>
      </c>
      <c r="F1047" s="86">
        <v>602192</v>
      </c>
      <c r="G1047" s="86">
        <v>5100200</v>
      </c>
      <c r="H1047" s="87"/>
      <c r="I1047" s="85" t="s">
        <v>7348</v>
      </c>
      <c r="J1047" s="88" t="str">
        <f t="shared" si="16"/>
        <v>重复</v>
      </c>
      <c r="K1047" s="88" t="str">
        <f t="shared" si="16"/>
        <v>不重复</v>
      </c>
    </row>
    <row r="1048" spans="1:11" ht="20.25" customHeight="1">
      <c r="A1048" s="84" t="s">
        <v>2850</v>
      </c>
      <c r="B1048" s="85" t="s">
        <v>7467</v>
      </c>
      <c r="C1048" s="85" t="s">
        <v>2851</v>
      </c>
      <c r="D1048" s="85" t="s">
        <v>2852</v>
      </c>
      <c r="E1048" s="84" t="s">
        <v>2468</v>
      </c>
      <c r="F1048" s="86">
        <v>602193</v>
      </c>
      <c r="G1048" s="86">
        <v>5100200</v>
      </c>
      <c r="H1048" s="87"/>
      <c r="I1048" s="85" t="s">
        <v>7301</v>
      </c>
      <c r="J1048" s="88" t="str">
        <f t="shared" si="16"/>
        <v>不重复</v>
      </c>
      <c r="K1048" s="88" t="str">
        <f t="shared" si="16"/>
        <v>不重复</v>
      </c>
    </row>
    <row r="1049" spans="1:11" ht="20.25" customHeight="1">
      <c r="A1049" s="84" t="s">
        <v>2812</v>
      </c>
      <c r="B1049" s="85" t="s">
        <v>2813</v>
      </c>
      <c r="C1049" s="85" t="s">
        <v>164</v>
      </c>
      <c r="D1049" s="85" t="s">
        <v>1555</v>
      </c>
      <c r="E1049" s="84" t="s">
        <v>2468</v>
      </c>
      <c r="F1049" s="86">
        <v>602194</v>
      </c>
      <c r="G1049" s="86">
        <v>5100200</v>
      </c>
      <c r="H1049" s="87"/>
      <c r="I1049" s="85" t="s">
        <v>25</v>
      </c>
      <c r="J1049" s="88" t="str">
        <f t="shared" si="16"/>
        <v>重复</v>
      </c>
      <c r="K1049" s="88" t="str">
        <f t="shared" si="16"/>
        <v>不重复</v>
      </c>
    </row>
    <row r="1050" spans="1:11" ht="20.25" customHeight="1">
      <c r="A1050" s="84" t="s">
        <v>2796</v>
      </c>
      <c r="B1050" s="85" t="s">
        <v>2797</v>
      </c>
      <c r="C1050" s="85" t="s">
        <v>2798</v>
      </c>
      <c r="D1050" s="85" t="s">
        <v>2799</v>
      </c>
      <c r="E1050" s="84" t="s">
        <v>2468</v>
      </c>
      <c r="F1050" s="86">
        <v>602195</v>
      </c>
      <c r="G1050" s="86">
        <v>5100200</v>
      </c>
      <c r="H1050" s="87"/>
      <c r="I1050" s="85" t="s">
        <v>7430</v>
      </c>
      <c r="J1050" s="88" t="str">
        <f t="shared" si="16"/>
        <v>不重复</v>
      </c>
      <c r="K1050" s="88" t="str">
        <f t="shared" si="16"/>
        <v>不重复</v>
      </c>
    </row>
    <row r="1051" spans="1:11" ht="20.25" customHeight="1">
      <c r="A1051" s="84" t="s">
        <v>2794</v>
      </c>
      <c r="B1051" s="85" t="s">
        <v>7468</v>
      </c>
      <c r="C1051" s="85" t="s">
        <v>129</v>
      </c>
      <c r="D1051" s="85" t="s">
        <v>2795</v>
      </c>
      <c r="E1051" s="84" t="s">
        <v>2468</v>
      </c>
      <c r="F1051" s="86">
        <v>602196</v>
      </c>
      <c r="G1051" s="86">
        <v>5100200</v>
      </c>
      <c r="H1051" s="87"/>
      <c r="I1051" s="85" t="s">
        <v>7348</v>
      </c>
      <c r="J1051" s="88" t="str">
        <f t="shared" si="16"/>
        <v>不重复</v>
      </c>
      <c r="K1051" s="88" t="str">
        <f t="shared" si="16"/>
        <v>不重复</v>
      </c>
    </row>
    <row r="1052" spans="1:11" ht="20.25" customHeight="1">
      <c r="A1052" s="84" t="s">
        <v>2791</v>
      </c>
      <c r="B1052" s="85" t="s">
        <v>7469</v>
      </c>
      <c r="C1052" s="85" t="s">
        <v>2792</v>
      </c>
      <c r="D1052" s="85" t="s">
        <v>2793</v>
      </c>
      <c r="E1052" s="84" t="s">
        <v>2468</v>
      </c>
      <c r="F1052" s="86">
        <v>602197</v>
      </c>
      <c r="G1052" s="86">
        <v>5100200</v>
      </c>
      <c r="H1052" s="87"/>
      <c r="I1052" s="85" t="s">
        <v>7470</v>
      </c>
      <c r="J1052" s="88" t="str">
        <f t="shared" si="16"/>
        <v>不重复</v>
      </c>
      <c r="K1052" s="88" t="str">
        <f t="shared" si="16"/>
        <v>不重复</v>
      </c>
    </row>
    <row r="1053" spans="1:11" ht="20.25" customHeight="1">
      <c r="A1053" s="84" t="s">
        <v>2804</v>
      </c>
      <c r="B1053" s="85" t="s">
        <v>2805</v>
      </c>
      <c r="C1053" s="85" t="s">
        <v>2806</v>
      </c>
      <c r="D1053" s="85" t="s">
        <v>2807</v>
      </c>
      <c r="E1053" s="84" t="s">
        <v>2468</v>
      </c>
      <c r="F1053" s="86">
        <v>602198</v>
      </c>
      <c r="G1053" s="86">
        <v>5100200</v>
      </c>
      <c r="H1053" s="87"/>
      <c r="I1053" s="85" t="s">
        <v>7440</v>
      </c>
      <c r="J1053" s="88" t="str">
        <f t="shared" si="16"/>
        <v>不重复</v>
      </c>
      <c r="K1053" s="88" t="str">
        <f t="shared" si="16"/>
        <v>不重复</v>
      </c>
    </row>
    <row r="1054" spans="1:11" ht="20.25" customHeight="1">
      <c r="A1054" s="84" t="s">
        <v>2788</v>
      </c>
      <c r="B1054" s="85" t="s">
        <v>2789</v>
      </c>
      <c r="C1054" s="85" t="s">
        <v>262</v>
      </c>
      <c r="D1054" s="85" t="s">
        <v>7471</v>
      </c>
      <c r="E1054" s="84" t="s">
        <v>2468</v>
      </c>
      <c r="F1054" s="86">
        <v>602199</v>
      </c>
      <c r="G1054" s="86">
        <v>5100200</v>
      </c>
      <c r="H1054" s="87"/>
      <c r="I1054" s="85" t="s">
        <v>7426</v>
      </c>
      <c r="J1054" s="88" t="str">
        <f t="shared" si="16"/>
        <v>重复</v>
      </c>
      <c r="K1054" s="88" t="str">
        <f t="shared" si="16"/>
        <v>不重复</v>
      </c>
    </row>
    <row r="1055" spans="1:11" ht="20.25" customHeight="1">
      <c r="A1055" s="84" t="s">
        <v>2800</v>
      </c>
      <c r="B1055" s="85" t="s">
        <v>2801</v>
      </c>
      <c r="C1055" s="85" t="s">
        <v>2802</v>
      </c>
      <c r="D1055" s="85" t="s">
        <v>2790</v>
      </c>
      <c r="E1055" s="84" t="s">
        <v>2468</v>
      </c>
      <c r="F1055" s="86">
        <v>602200</v>
      </c>
      <c r="G1055" s="86">
        <v>5100200</v>
      </c>
      <c r="H1055" s="87"/>
      <c r="I1055" s="85" t="s">
        <v>7252</v>
      </c>
      <c r="J1055" s="88" t="str">
        <f t="shared" si="16"/>
        <v>不重复</v>
      </c>
      <c r="K1055" s="88" t="str">
        <f t="shared" si="16"/>
        <v>不重复</v>
      </c>
    </row>
    <row r="1056" spans="1:11" ht="20.25" customHeight="1">
      <c r="A1056" s="84" t="s">
        <v>2808</v>
      </c>
      <c r="B1056" s="85" t="s">
        <v>2809</v>
      </c>
      <c r="C1056" s="85" t="s">
        <v>2810</v>
      </c>
      <c r="D1056" s="85" t="s">
        <v>2811</v>
      </c>
      <c r="E1056" s="84" t="s">
        <v>2468</v>
      </c>
      <c r="F1056" s="86">
        <v>602201</v>
      </c>
      <c r="G1056" s="86">
        <v>5100200</v>
      </c>
      <c r="H1056" s="87"/>
      <c r="I1056" s="85" t="s">
        <v>7370</v>
      </c>
      <c r="J1056" s="88" t="str">
        <f t="shared" si="16"/>
        <v>不重复</v>
      </c>
      <c r="K1056" s="88" t="str">
        <f t="shared" si="16"/>
        <v>不重复</v>
      </c>
    </row>
    <row r="1057" spans="1:11" ht="20.25" customHeight="1">
      <c r="A1057" s="84" t="s">
        <v>7472</v>
      </c>
      <c r="B1057" s="85" t="s">
        <v>7473</v>
      </c>
      <c r="C1057" s="85" t="s">
        <v>7474</v>
      </c>
      <c r="D1057" s="85" t="s">
        <v>7475</v>
      </c>
      <c r="E1057" s="84" t="s">
        <v>2468</v>
      </c>
      <c r="F1057" s="86">
        <v>602202</v>
      </c>
      <c r="G1057" s="86">
        <v>5100200</v>
      </c>
      <c r="H1057" s="87"/>
      <c r="I1057" s="85" t="s">
        <v>25</v>
      </c>
      <c r="J1057" s="88" t="str">
        <f t="shared" si="16"/>
        <v>重复</v>
      </c>
      <c r="K1057" s="88" t="str">
        <f t="shared" si="16"/>
        <v>不重复</v>
      </c>
    </row>
    <row r="1058" spans="1:11" ht="20.25" customHeight="1">
      <c r="A1058" s="84" t="s">
        <v>2893</v>
      </c>
      <c r="B1058" s="85" t="s">
        <v>2894</v>
      </c>
      <c r="C1058" s="85" t="s">
        <v>2895</v>
      </c>
      <c r="D1058" s="85" t="s">
        <v>2896</v>
      </c>
      <c r="E1058" s="84" t="s">
        <v>2468</v>
      </c>
      <c r="F1058" s="86">
        <v>602203</v>
      </c>
      <c r="G1058" s="86">
        <v>5100200</v>
      </c>
      <c r="H1058" s="87"/>
      <c r="I1058" s="85" t="s">
        <v>7266</v>
      </c>
      <c r="J1058" s="88" t="str">
        <f t="shared" si="16"/>
        <v>不重复</v>
      </c>
      <c r="K1058" s="88" t="str">
        <f t="shared" si="16"/>
        <v>不重复</v>
      </c>
    </row>
    <row r="1059" spans="1:11" ht="20.25" customHeight="1">
      <c r="A1059" s="89" t="s">
        <v>7476</v>
      </c>
      <c r="B1059" s="90" t="s">
        <v>7477</v>
      </c>
      <c r="C1059" s="90" t="s">
        <v>173</v>
      </c>
      <c r="D1059" s="90" t="s">
        <v>7478</v>
      </c>
      <c r="E1059" s="89" t="s">
        <v>2468</v>
      </c>
      <c r="F1059" s="91">
        <v>602204</v>
      </c>
      <c r="G1059" s="91">
        <v>5100200</v>
      </c>
      <c r="H1059" s="87"/>
      <c r="I1059" s="90" t="s">
        <v>25</v>
      </c>
      <c r="J1059" s="88" t="str">
        <f t="shared" si="16"/>
        <v>重复</v>
      </c>
      <c r="K1059" s="88" t="str">
        <f t="shared" si="16"/>
        <v>不重复</v>
      </c>
    </row>
    <row r="1060" spans="1:11" ht="20.25" customHeight="1">
      <c r="A1060" s="89" t="s">
        <v>2905</v>
      </c>
      <c r="B1060" s="90" t="s">
        <v>7479</v>
      </c>
      <c r="C1060" s="90" t="s">
        <v>1556</v>
      </c>
      <c r="D1060" s="90" t="s">
        <v>2906</v>
      </c>
      <c r="E1060" s="89" t="s">
        <v>2468</v>
      </c>
      <c r="F1060" s="91">
        <v>602205</v>
      </c>
      <c r="G1060" s="91">
        <v>5100200</v>
      </c>
      <c r="H1060" s="87"/>
      <c r="I1060" s="90" t="s">
        <v>7480</v>
      </c>
      <c r="J1060" s="88" t="str">
        <f t="shared" si="16"/>
        <v>重复</v>
      </c>
      <c r="K1060" s="88" t="str">
        <f t="shared" si="16"/>
        <v>不重复</v>
      </c>
    </row>
    <row r="1061" spans="1:11" ht="20.25" customHeight="1">
      <c r="A1061" s="84" t="s">
        <v>7481</v>
      </c>
      <c r="B1061" s="85" t="s">
        <v>7482</v>
      </c>
      <c r="C1061" s="85" t="s">
        <v>674</v>
      </c>
      <c r="D1061" s="85" t="s">
        <v>7483</v>
      </c>
      <c r="E1061" s="84" t="s">
        <v>2468</v>
      </c>
      <c r="F1061" s="86">
        <v>602206</v>
      </c>
      <c r="G1061" s="86">
        <v>5100200</v>
      </c>
      <c r="H1061" s="87"/>
      <c r="I1061" s="85" t="s">
        <v>25</v>
      </c>
      <c r="J1061" s="88" t="str">
        <f t="shared" si="16"/>
        <v>不重复</v>
      </c>
      <c r="K1061" s="88" t="str">
        <f t="shared" si="16"/>
        <v>不重复</v>
      </c>
    </row>
    <row r="1062" spans="1:11" ht="20.25" customHeight="1">
      <c r="A1062" s="84" t="s">
        <v>2900</v>
      </c>
      <c r="B1062" s="85" t="s">
        <v>7484</v>
      </c>
      <c r="C1062" s="85" t="s">
        <v>2901</v>
      </c>
      <c r="D1062" s="85" t="s">
        <v>2902</v>
      </c>
      <c r="E1062" s="84" t="s">
        <v>2468</v>
      </c>
      <c r="F1062" s="86">
        <v>602207</v>
      </c>
      <c r="G1062" s="86">
        <v>5100200</v>
      </c>
      <c r="H1062" s="87"/>
      <c r="I1062" s="85" t="s">
        <v>7485</v>
      </c>
      <c r="J1062" s="88" t="str">
        <f t="shared" si="16"/>
        <v>不重复</v>
      </c>
      <c r="K1062" s="88" t="str">
        <f t="shared" si="16"/>
        <v>不重复</v>
      </c>
    </row>
    <row r="1063" spans="1:11" ht="20.25" customHeight="1">
      <c r="A1063" s="84" t="s">
        <v>2903</v>
      </c>
      <c r="B1063" s="85" t="s">
        <v>7486</v>
      </c>
      <c r="C1063" s="85" t="s">
        <v>2898</v>
      </c>
      <c r="D1063" s="85" t="s">
        <v>2904</v>
      </c>
      <c r="E1063" s="84" t="s">
        <v>2468</v>
      </c>
      <c r="F1063" s="86">
        <v>602208</v>
      </c>
      <c r="G1063" s="86">
        <v>5100200</v>
      </c>
      <c r="H1063" s="87"/>
      <c r="I1063" s="85" t="s">
        <v>7167</v>
      </c>
      <c r="J1063" s="88" t="str">
        <f t="shared" si="16"/>
        <v>重复</v>
      </c>
      <c r="K1063" s="88" t="str">
        <f t="shared" si="16"/>
        <v>不重复</v>
      </c>
    </row>
    <row r="1064" spans="1:11" ht="20.25" customHeight="1">
      <c r="A1064" s="84" t="s">
        <v>2897</v>
      </c>
      <c r="B1064" s="85" t="s">
        <v>7487</v>
      </c>
      <c r="C1064" s="85" t="s">
        <v>2898</v>
      </c>
      <c r="D1064" s="85" t="s">
        <v>2899</v>
      </c>
      <c r="E1064" s="84" t="s">
        <v>2468</v>
      </c>
      <c r="F1064" s="86">
        <v>602209</v>
      </c>
      <c r="G1064" s="86">
        <v>5100200</v>
      </c>
      <c r="H1064" s="87"/>
      <c r="I1064" s="85" t="s">
        <v>7167</v>
      </c>
      <c r="J1064" s="88" t="str">
        <f t="shared" si="16"/>
        <v>重复</v>
      </c>
      <c r="K1064" s="88" t="str">
        <f t="shared" si="16"/>
        <v>不重复</v>
      </c>
    </row>
    <row r="1065" spans="1:11" ht="20.25" customHeight="1">
      <c r="A1065" s="84" t="s">
        <v>7488</v>
      </c>
      <c r="B1065" s="85" t="s">
        <v>7489</v>
      </c>
      <c r="C1065" s="85" t="s">
        <v>7490</v>
      </c>
      <c r="D1065" s="85" t="s">
        <v>7491</v>
      </c>
      <c r="E1065" s="84" t="s">
        <v>2468</v>
      </c>
      <c r="F1065" s="86">
        <v>602210</v>
      </c>
      <c r="G1065" s="86">
        <v>5100200</v>
      </c>
      <c r="H1065" s="87"/>
      <c r="I1065" s="85" t="s">
        <v>25</v>
      </c>
      <c r="J1065" s="88" t="str">
        <f t="shared" si="16"/>
        <v>不重复</v>
      </c>
      <c r="K1065" s="88" t="str">
        <f t="shared" si="16"/>
        <v>不重复</v>
      </c>
    </row>
    <row r="1066" spans="1:11" ht="20.25" customHeight="1">
      <c r="A1066" s="84" t="s">
        <v>2907</v>
      </c>
      <c r="B1066" s="85" t="s">
        <v>2908</v>
      </c>
      <c r="C1066" s="85" t="s">
        <v>2250</v>
      </c>
      <c r="D1066" s="85" t="s">
        <v>2909</v>
      </c>
      <c r="E1066" s="84" t="s">
        <v>2468</v>
      </c>
      <c r="F1066" s="86">
        <v>602211</v>
      </c>
      <c r="G1066" s="86">
        <v>5100200</v>
      </c>
      <c r="H1066" s="87"/>
      <c r="I1066" s="85" t="s">
        <v>7492</v>
      </c>
      <c r="J1066" s="88" t="str">
        <f t="shared" si="16"/>
        <v>重复</v>
      </c>
      <c r="K1066" s="88" t="str">
        <f t="shared" si="16"/>
        <v>不重复</v>
      </c>
    </row>
    <row r="1067" spans="1:11" ht="20.25" customHeight="1">
      <c r="A1067" s="89" t="s">
        <v>2917</v>
      </c>
      <c r="B1067" s="90" t="s">
        <v>2918</v>
      </c>
      <c r="C1067" s="90" t="s">
        <v>2090</v>
      </c>
      <c r="D1067" s="90" t="s">
        <v>2919</v>
      </c>
      <c r="E1067" s="89" t="s">
        <v>2468</v>
      </c>
      <c r="F1067" s="91">
        <v>602213</v>
      </c>
      <c r="G1067" s="91">
        <v>5100200</v>
      </c>
      <c r="H1067" s="87"/>
      <c r="I1067" s="90" t="s">
        <v>7485</v>
      </c>
      <c r="J1067" s="88" t="str">
        <f t="shared" si="16"/>
        <v>重复</v>
      </c>
      <c r="K1067" s="88" t="str">
        <f t="shared" si="16"/>
        <v>不重复</v>
      </c>
    </row>
    <row r="1068" spans="1:11" ht="20.25" customHeight="1">
      <c r="A1068" s="89" t="s">
        <v>2923</v>
      </c>
      <c r="B1068" s="90" t="s">
        <v>2924</v>
      </c>
      <c r="C1068" s="90" t="s">
        <v>312</v>
      </c>
      <c r="D1068" s="90" t="s">
        <v>7493</v>
      </c>
      <c r="E1068" s="89" t="s">
        <v>2468</v>
      </c>
      <c r="F1068" s="91">
        <v>602214</v>
      </c>
      <c r="G1068" s="91">
        <v>5100200</v>
      </c>
      <c r="H1068" s="87"/>
      <c r="I1068" s="90" t="s">
        <v>7291</v>
      </c>
      <c r="J1068" s="88" t="str">
        <f t="shared" si="16"/>
        <v>重复</v>
      </c>
      <c r="K1068" s="88" t="str">
        <f t="shared" si="16"/>
        <v>不重复</v>
      </c>
    </row>
    <row r="1069" spans="1:11" ht="20.25" customHeight="1">
      <c r="A1069" s="89" t="s">
        <v>2913</v>
      </c>
      <c r="B1069" s="90" t="s">
        <v>2914</v>
      </c>
      <c r="C1069" s="90" t="s">
        <v>2915</v>
      </c>
      <c r="D1069" s="90" t="s">
        <v>2916</v>
      </c>
      <c r="E1069" s="89" t="s">
        <v>2468</v>
      </c>
      <c r="F1069" s="91">
        <v>602215</v>
      </c>
      <c r="G1069" s="91">
        <v>5100200</v>
      </c>
      <c r="H1069" s="87"/>
      <c r="I1069" s="90" t="s">
        <v>7335</v>
      </c>
      <c r="J1069" s="88" t="str">
        <f t="shared" si="16"/>
        <v>不重复</v>
      </c>
      <c r="K1069" s="88" t="str">
        <f t="shared" si="16"/>
        <v>不重复</v>
      </c>
    </row>
    <row r="1070" spans="1:11" ht="20.25" customHeight="1">
      <c r="A1070" s="89" t="s">
        <v>2920</v>
      </c>
      <c r="B1070" s="90" t="s">
        <v>2921</v>
      </c>
      <c r="C1070" s="90" t="s">
        <v>565</v>
      </c>
      <c r="D1070" s="90" t="s">
        <v>2922</v>
      </c>
      <c r="E1070" s="89" t="s">
        <v>2468</v>
      </c>
      <c r="F1070" s="91">
        <v>602216</v>
      </c>
      <c r="G1070" s="91">
        <v>5100200</v>
      </c>
      <c r="H1070" s="87"/>
      <c r="I1070" s="90" t="s">
        <v>7335</v>
      </c>
      <c r="J1070" s="88" t="str">
        <f t="shared" si="16"/>
        <v>重复</v>
      </c>
      <c r="K1070" s="88" t="str">
        <f t="shared" si="16"/>
        <v>不重复</v>
      </c>
    </row>
    <row r="1071" spans="1:11" ht="20.25" customHeight="1">
      <c r="A1071" s="84" t="s">
        <v>2940</v>
      </c>
      <c r="B1071" s="85" t="s">
        <v>2941</v>
      </c>
      <c r="C1071" s="85" t="s">
        <v>2942</v>
      </c>
      <c r="D1071" s="85" t="s">
        <v>7494</v>
      </c>
      <c r="E1071" s="84" t="s">
        <v>2468</v>
      </c>
      <c r="F1071" s="86">
        <v>602217</v>
      </c>
      <c r="G1071" s="86">
        <v>5100200</v>
      </c>
      <c r="H1071" s="87"/>
      <c r="I1071" s="85" t="s">
        <v>25</v>
      </c>
      <c r="J1071" s="88" t="str">
        <f t="shared" si="16"/>
        <v>不重复</v>
      </c>
      <c r="K1071" s="88" t="str">
        <f t="shared" si="16"/>
        <v>不重复</v>
      </c>
    </row>
    <row r="1072" spans="1:11" ht="20.25" customHeight="1">
      <c r="A1072" s="84" t="s">
        <v>2928</v>
      </c>
      <c r="B1072" s="85" t="s">
        <v>7495</v>
      </c>
      <c r="C1072" s="85" t="s">
        <v>2929</v>
      </c>
      <c r="D1072" s="85" t="s">
        <v>2930</v>
      </c>
      <c r="E1072" s="84" t="s">
        <v>2468</v>
      </c>
      <c r="F1072" s="86">
        <v>602218</v>
      </c>
      <c r="G1072" s="86">
        <v>5100200</v>
      </c>
      <c r="H1072" s="87"/>
      <c r="I1072" s="85" t="s">
        <v>7348</v>
      </c>
      <c r="J1072" s="88" t="str">
        <f t="shared" si="16"/>
        <v>不重复</v>
      </c>
      <c r="K1072" s="88" t="str">
        <f t="shared" si="16"/>
        <v>不重复</v>
      </c>
    </row>
    <row r="1073" spans="1:11" ht="20.25" customHeight="1">
      <c r="A1073" s="84" t="s">
        <v>2934</v>
      </c>
      <c r="B1073" s="85" t="s">
        <v>7496</v>
      </c>
      <c r="C1073" s="85" t="s">
        <v>2935</v>
      </c>
      <c r="D1073" s="85" t="s">
        <v>2936</v>
      </c>
      <c r="E1073" s="84" t="s">
        <v>2468</v>
      </c>
      <c r="F1073" s="86">
        <v>602219</v>
      </c>
      <c r="G1073" s="86">
        <v>5100200</v>
      </c>
      <c r="H1073" s="87"/>
      <c r="I1073" s="85" t="s">
        <v>7497</v>
      </c>
      <c r="J1073" s="88" t="str">
        <f t="shared" si="16"/>
        <v>不重复</v>
      </c>
      <c r="K1073" s="88" t="str">
        <f t="shared" si="16"/>
        <v>不重复</v>
      </c>
    </row>
    <row r="1074" spans="1:11" ht="20.25" customHeight="1">
      <c r="A1074" s="84" t="s">
        <v>2937</v>
      </c>
      <c r="B1074" s="85" t="s">
        <v>7498</v>
      </c>
      <c r="C1074" s="85" t="s">
        <v>2938</v>
      </c>
      <c r="D1074" s="85" t="s">
        <v>2939</v>
      </c>
      <c r="E1074" s="84" t="s">
        <v>2468</v>
      </c>
      <c r="F1074" s="86">
        <v>602220</v>
      </c>
      <c r="G1074" s="86">
        <v>5100200</v>
      </c>
      <c r="H1074" s="87"/>
      <c r="I1074" s="85" t="s">
        <v>7181</v>
      </c>
      <c r="J1074" s="88" t="str">
        <f t="shared" si="16"/>
        <v>不重复</v>
      </c>
      <c r="K1074" s="88" t="str">
        <f t="shared" si="16"/>
        <v>不重复</v>
      </c>
    </row>
    <row r="1075" spans="1:11" ht="20.25" customHeight="1">
      <c r="A1075" s="84" t="s">
        <v>2931</v>
      </c>
      <c r="B1075" s="85" t="s">
        <v>7499</v>
      </c>
      <c r="C1075" s="85" t="s">
        <v>2932</v>
      </c>
      <c r="D1075" s="85" t="s">
        <v>2933</v>
      </c>
      <c r="E1075" s="84" t="s">
        <v>2468</v>
      </c>
      <c r="F1075" s="86">
        <v>602221</v>
      </c>
      <c r="G1075" s="86">
        <v>5100200</v>
      </c>
      <c r="H1075" s="87"/>
      <c r="I1075" s="85" t="s">
        <v>7497</v>
      </c>
      <c r="J1075" s="88" t="str">
        <f t="shared" si="16"/>
        <v>不重复</v>
      </c>
      <c r="K1075" s="88" t="str">
        <f t="shared" si="16"/>
        <v>不重复</v>
      </c>
    </row>
    <row r="1076" spans="1:11" ht="20.25" customHeight="1">
      <c r="A1076" s="84" t="s">
        <v>2925</v>
      </c>
      <c r="B1076" s="85" t="s">
        <v>7500</v>
      </c>
      <c r="C1076" s="85" t="s">
        <v>2926</v>
      </c>
      <c r="D1076" s="85" t="s">
        <v>2927</v>
      </c>
      <c r="E1076" s="84" t="s">
        <v>2468</v>
      </c>
      <c r="F1076" s="86">
        <v>602222</v>
      </c>
      <c r="G1076" s="86">
        <v>5100200</v>
      </c>
      <c r="H1076" s="87"/>
      <c r="I1076" s="85" t="s">
        <v>7501</v>
      </c>
      <c r="J1076" s="88" t="str">
        <f t="shared" si="16"/>
        <v>不重复</v>
      </c>
      <c r="K1076" s="88" t="str">
        <f t="shared" si="16"/>
        <v>不重复</v>
      </c>
    </row>
    <row r="1077" spans="1:11" ht="20.25" customHeight="1">
      <c r="A1077" s="89" t="s">
        <v>2976</v>
      </c>
      <c r="B1077" s="90" t="s">
        <v>2977</v>
      </c>
      <c r="C1077" s="90" t="s">
        <v>2978</v>
      </c>
      <c r="D1077" s="90" t="s">
        <v>2979</v>
      </c>
      <c r="E1077" s="89" t="s">
        <v>2468</v>
      </c>
      <c r="F1077" s="91">
        <v>602223</v>
      </c>
      <c r="G1077" s="91">
        <v>5100200</v>
      </c>
      <c r="H1077" s="87"/>
      <c r="I1077" s="90" t="s">
        <v>25</v>
      </c>
      <c r="J1077" s="88" t="str">
        <f t="shared" si="16"/>
        <v>重复</v>
      </c>
      <c r="K1077" s="88" t="str">
        <f t="shared" si="16"/>
        <v>不重复</v>
      </c>
    </row>
    <row r="1078" spans="1:11" ht="20.25" customHeight="1">
      <c r="A1078" s="89" t="s">
        <v>2944</v>
      </c>
      <c r="B1078" s="90" t="s">
        <v>7502</v>
      </c>
      <c r="C1078" s="90" t="s">
        <v>1194</v>
      </c>
      <c r="D1078" s="90" t="s">
        <v>2945</v>
      </c>
      <c r="E1078" s="89" t="s">
        <v>2468</v>
      </c>
      <c r="F1078" s="91">
        <v>602224</v>
      </c>
      <c r="G1078" s="91">
        <v>5100200</v>
      </c>
      <c r="H1078" s="87"/>
      <c r="I1078" s="90" t="s">
        <v>7480</v>
      </c>
      <c r="J1078" s="88" t="str">
        <f t="shared" si="16"/>
        <v>重复</v>
      </c>
      <c r="K1078" s="88" t="str">
        <f t="shared" si="16"/>
        <v>不重复</v>
      </c>
    </row>
    <row r="1079" spans="1:11" ht="20.25" customHeight="1">
      <c r="A1079" s="89" t="s">
        <v>2974</v>
      </c>
      <c r="B1079" s="90" t="s">
        <v>7503</v>
      </c>
      <c r="C1079" s="90" t="s">
        <v>1812</v>
      </c>
      <c r="D1079" s="90" t="s">
        <v>2975</v>
      </c>
      <c r="E1079" s="89" t="s">
        <v>2468</v>
      </c>
      <c r="F1079" s="91">
        <v>602225</v>
      </c>
      <c r="G1079" s="91">
        <v>5100200</v>
      </c>
      <c r="H1079" s="87"/>
      <c r="I1079" s="90" t="s">
        <v>7504</v>
      </c>
      <c r="J1079" s="88" t="str">
        <f t="shared" si="16"/>
        <v>重复</v>
      </c>
      <c r="K1079" s="88" t="str">
        <f t="shared" si="16"/>
        <v>不重复</v>
      </c>
    </row>
    <row r="1080" spans="1:11" ht="20.25" customHeight="1">
      <c r="A1080" s="89" t="s">
        <v>2958</v>
      </c>
      <c r="B1080" s="90" t="s">
        <v>7505</v>
      </c>
      <c r="C1080" s="90" t="s">
        <v>2959</v>
      </c>
      <c r="D1080" s="90" t="s">
        <v>2960</v>
      </c>
      <c r="E1080" s="89" t="s">
        <v>2468</v>
      </c>
      <c r="F1080" s="91">
        <v>602226</v>
      </c>
      <c r="G1080" s="91">
        <v>5100200</v>
      </c>
      <c r="H1080" s="87"/>
      <c r="I1080" s="90" t="s">
        <v>7167</v>
      </c>
      <c r="J1080" s="88" t="str">
        <f t="shared" si="16"/>
        <v>重复</v>
      </c>
      <c r="K1080" s="88" t="str">
        <f t="shared" si="16"/>
        <v>不重复</v>
      </c>
    </row>
    <row r="1081" spans="1:11" ht="20.25" customHeight="1">
      <c r="A1081" s="89" t="s">
        <v>2950</v>
      </c>
      <c r="B1081" s="90" t="s">
        <v>7506</v>
      </c>
      <c r="C1081" s="90" t="s">
        <v>2951</v>
      </c>
      <c r="D1081" s="90" t="s">
        <v>2952</v>
      </c>
      <c r="E1081" s="89" t="s">
        <v>2468</v>
      </c>
      <c r="F1081" s="91">
        <v>602227</v>
      </c>
      <c r="G1081" s="91">
        <v>5100200</v>
      </c>
      <c r="H1081" s="87"/>
      <c r="I1081" s="90" t="s">
        <v>7507</v>
      </c>
      <c r="J1081" s="88" t="str">
        <f t="shared" si="16"/>
        <v>不重复</v>
      </c>
      <c r="K1081" s="88" t="str">
        <f t="shared" si="16"/>
        <v>不重复</v>
      </c>
    </row>
    <row r="1082" spans="1:11" ht="20.25" customHeight="1">
      <c r="A1082" s="89" t="s">
        <v>2961</v>
      </c>
      <c r="B1082" s="90" t="s">
        <v>7508</v>
      </c>
      <c r="C1082" s="90" t="s">
        <v>664</v>
      </c>
      <c r="D1082" s="90" t="s">
        <v>2962</v>
      </c>
      <c r="E1082" s="89" t="s">
        <v>2468</v>
      </c>
      <c r="F1082" s="91">
        <v>602228</v>
      </c>
      <c r="G1082" s="91">
        <v>5100200</v>
      </c>
      <c r="H1082" s="87"/>
      <c r="I1082" s="90" t="s">
        <v>7485</v>
      </c>
      <c r="J1082" s="88" t="str">
        <f t="shared" si="16"/>
        <v>重复</v>
      </c>
      <c r="K1082" s="88" t="str">
        <f t="shared" si="16"/>
        <v>不重复</v>
      </c>
    </row>
    <row r="1083" spans="1:11" ht="20.25" customHeight="1">
      <c r="A1083" s="89" t="s">
        <v>2969</v>
      </c>
      <c r="B1083" s="90" t="s">
        <v>7509</v>
      </c>
      <c r="C1083" s="90" t="s">
        <v>2970</v>
      </c>
      <c r="D1083" s="90" t="s">
        <v>2971</v>
      </c>
      <c r="E1083" s="89" t="s">
        <v>2468</v>
      </c>
      <c r="F1083" s="91">
        <v>602229</v>
      </c>
      <c r="G1083" s="91">
        <v>5100200</v>
      </c>
      <c r="H1083" s="87"/>
      <c r="I1083" s="90" t="s">
        <v>7167</v>
      </c>
      <c r="J1083" s="88" t="str">
        <f t="shared" si="16"/>
        <v>重复</v>
      </c>
      <c r="K1083" s="88" t="str">
        <f t="shared" si="16"/>
        <v>不重复</v>
      </c>
    </row>
    <row r="1084" spans="1:11" ht="20.25" customHeight="1">
      <c r="A1084" s="89" t="s">
        <v>2955</v>
      </c>
      <c r="B1084" s="90" t="s">
        <v>7510</v>
      </c>
      <c r="C1084" s="90" t="s">
        <v>2956</v>
      </c>
      <c r="D1084" s="90" t="s">
        <v>2957</v>
      </c>
      <c r="E1084" s="89" t="s">
        <v>2468</v>
      </c>
      <c r="F1084" s="91">
        <v>602230</v>
      </c>
      <c r="G1084" s="91">
        <v>5100200</v>
      </c>
      <c r="H1084" s="87"/>
      <c r="I1084" s="90" t="s">
        <v>7167</v>
      </c>
      <c r="J1084" s="88" t="str">
        <f t="shared" si="16"/>
        <v>不重复</v>
      </c>
      <c r="K1084" s="88" t="str">
        <f t="shared" si="16"/>
        <v>不重复</v>
      </c>
    </row>
    <row r="1085" spans="1:11" ht="20.25" customHeight="1">
      <c r="A1085" s="89" t="s">
        <v>2966</v>
      </c>
      <c r="B1085" s="90" t="s">
        <v>7511</v>
      </c>
      <c r="C1085" s="90" t="s">
        <v>2967</v>
      </c>
      <c r="D1085" s="90" t="s">
        <v>2968</v>
      </c>
      <c r="E1085" s="89" t="s">
        <v>2468</v>
      </c>
      <c r="F1085" s="91">
        <v>602231</v>
      </c>
      <c r="G1085" s="91">
        <v>5100200</v>
      </c>
      <c r="H1085" s="87"/>
      <c r="I1085" s="90" t="s">
        <v>7512</v>
      </c>
      <c r="J1085" s="88" t="str">
        <f t="shared" si="16"/>
        <v>重复</v>
      </c>
      <c r="K1085" s="88" t="str">
        <f t="shared" si="16"/>
        <v>不重复</v>
      </c>
    </row>
    <row r="1086" spans="1:11" ht="20.25" customHeight="1">
      <c r="A1086" s="89" t="s">
        <v>2963</v>
      </c>
      <c r="B1086" s="90" t="s">
        <v>7513</v>
      </c>
      <c r="C1086" s="90" t="s">
        <v>2964</v>
      </c>
      <c r="D1086" s="90" t="s">
        <v>2965</v>
      </c>
      <c r="E1086" s="89" t="s">
        <v>2468</v>
      </c>
      <c r="F1086" s="91">
        <v>602232</v>
      </c>
      <c r="G1086" s="91">
        <v>5100200</v>
      </c>
      <c r="H1086" s="87"/>
      <c r="I1086" s="90" t="s">
        <v>7485</v>
      </c>
      <c r="J1086" s="88" t="str">
        <f t="shared" si="16"/>
        <v>不重复</v>
      </c>
      <c r="K1086" s="88" t="str">
        <f t="shared" si="16"/>
        <v>不重复</v>
      </c>
    </row>
    <row r="1087" spans="1:11" ht="20.25" customHeight="1">
      <c r="A1087" s="89" t="s">
        <v>2953</v>
      </c>
      <c r="B1087" s="90" t="s">
        <v>7514</v>
      </c>
      <c r="C1087" s="90" t="s">
        <v>668</v>
      </c>
      <c r="D1087" s="90" t="s">
        <v>2954</v>
      </c>
      <c r="E1087" s="89" t="s">
        <v>2468</v>
      </c>
      <c r="F1087" s="91">
        <v>602233</v>
      </c>
      <c r="G1087" s="91">
        <v>5100200</v>
      </c>
      <c r="H1087" s="87"/>
      <c r="I1087" s="90" t="s">
        <v>7266</v>
      </c>
      <c r="J1087" s="88" t="str">
        <f t="shared" si="16"/>
        <v>重复</v>
      </c>
      <c r="K1087" s="88" t="str">
        <f t="shared" si="16"/>
        <v>不重复</v>
      </c>
    </row>
    <row r="1088" spans="1:11" ht="20.25" customHeight="1">
      <c r="A1088" s="89" t="s">
        <v>2946</v>
      </c>
      <c r="B1088" s="90" t="s">
        <v>7515</v>
      </c>
      <c r="C1088" s="90" t="s">
        <v>2947</v>
      </c>
      <c r="D1088" s="90" t="s">
        <v>2948</v>
      </c>
      <c r="E1088" s="89" t="s">
        <v>2468</v>
      </c>
      <c r="F1088" s="91">
        <v>602234</v>
      </c>
      <c r="G1088" s="91">
        <v>5100200</v>
      </c>
      <c r="H1088" s="87"/>
      <c r="I1088" s="90" t="s">
        <v>7507</v>
      </c>
      <c r="J1088" s="88" t="str">
        <f t="shared" si="16"/>
        <v>不重复</v>
      </c>
      <c r="K1088" s="88" t="str">
        <f t="shared" si="16"/>
        <v>不重复</v>
      </c>
    </row>
    <row r="1089" spans="1:11" ht="20.25" customHeight="1">
      <c r="A1089" s="89" t="s">
        <v>2972</v>
      </c>
      <c r="B1089" s="90" t="s">
        <v>7516</v>
      </c>
      <c r="C1089" s="90" t="s">
        <v>2959</v>
      </c>
      <c r="D1089" s="90" t="s">
        <v>2973</v>
      </c>
      <c r="E1089" s="89" t="s">
        <v>2468</v>
      </c>
      <c r="F1089" s="91">
        <v>602235</v>
      </c>
      <c r="G1089" s="91">
        <v>5100200</v>
      </c>
      <c r="H1089" s="87"/>
      <c r="I1089" s="90" t="s">
        <v>7181</v>
      </c>
      <c r="J1089" s="88" t="str">
        <f t="shared" si="16"/>
        <v>重复</v>
      </c>
      <c r="K1089" s="88" t="str">
        <f t="shared" si="16"/>
        <v>不重复</v>
      </c>
    </row>
    <row r="1090" spans="1:11" ht="20.25" customHeight="1">
      <c r="A1090" s="84" t="s">
        <v>2992</v>
      </c>
      <c r="B1090" s="85" t="s">
        <v>2993</v>
      </c>
      <c r="C1090" s="85" t="s">
        <v>2984</v>
      </c>
      <c r="D1090" s="85" t="s">
        <v>2994</v>
      </c>
      <c r="E1090" s="84" t="s">
        <v>2468</v>
      </c>
      <c r="F1090" s="86">
        <v>602236</v>
      </c>
      <c r="G1090" s="86">
        <v>5100200</v>
      </c>
      <c r="H1090" s="87"/>
      <c r="I1090" s="85" t="s">
        <v>25</v>
      </c>
      <c r="J1090" s="88" t="str">
        <f t="shared" si="16"/>
        <v>重复</v>
      </c>
      <c r="K1090" s="88" t="str">
        <f t="shared" si="16"/>
        <v>不重复</v>
      </c>
    </row>
    <row r="1091" spans="1:11" ht="20.25" customHeight="1">
      <c r="A1091" s="84" t="s">
        <v>2986</v>
      </c>
      <c r="B1091" s="85" t="s">
        <v>7517</v>
      </c>
      <c r="C1091" s="85" t="s">
        <v>2987</v>
      </c>
      <c r="D1091" s="85" t="s">
        <v>2988</v>
      </c>
      <c r="E1091" s="84" t="s">
        <v>2468</v>
      </c>
      <c r="F1091" s="86">
        <v>602237</v>
      </c>
      <c r="G1091" s="86">
        <v>5100200</v>
      </c>
      <c r="H1091" s="87"/>
      <c r="I1091" s="85" t="s">
        <v>7518</v>
      </c>
      <c r="J1091" s="88" t="str">
        <f t="shared" si="17" ref="J1091:K1154">IF(COUNTIF(C:C,C1091)&gt;=2,"重复","不重复")</f>
        <v>不重复</v>
      </c>
      <c r="K1091" s="88" t="str">
        <f t="shared" si="17"/>
        <v>不重复</v>
      </c>
    </row>
    <row r="1092" spans="1:11" ht="20.25" customHeight="1">
      <c r="A1092" s="84" t="s">
        <v>2983</v>
      </c>
      <c r="B1092" s="85" t="s">
        <v>7519</v>
      </c>
      <c r="C1092" s="85" t="s">
        <v>2984</v>
      </c>
      <c r="D1092" s="85" t="s">
        <v>2985</v>
      </c>
      <c r="E1092" s="84" t="s">
        <v>2468</v>
      </c>
      <c r="F1092" s="86">
        <v>602238</v>
      </c>
      <c r="G1092" s="86">
        <v>5100200</v>
      </c>
      <c r="H1092" s="87"/>
      <c r="I1092" s="85" t="s">
        <v>7520</v>
      </c>
      <c r="J1092" s="88" t="str">
        <f t="shared" si="17"/>
        <v>重复</v>
      </c>
      <c r="K1092" s="88" t="str">
        <f t="shared" si="17"/>
        <v>不重复</v>
      </c>
    </row>
    <row r="1093" spans="1:11" ht="20.25" customHeight="1">
      <c r="A1093" s="84" t="s">
        <v>2989</v>
      </c>
      <c r="B1093" s="85" t="s">
        <v>7521</v>
      </c>
      <c r="C1093" s="85" t="s">
        <v>2990</v>
      </c>
      <c r="D1093" s="85" t="s">
        <v>2991</v>
      </c>
      <c r="E1093" s="84" t="s">
        <v>2468</v>
      </c>
      <c r="F1093" s="86">
        <v>602239</v>
      </c>
      <c r="G1093" s="86">
        <v>5100200</v>
      </c>
      <c r="H1093" s="87"/>
      <c r="I1093" s="85" t="s">
        <v>7522</v>
      </c>
      <c r="J1093" s="88" t="str">
        <f t="shared" si="17"/>
        <v>不重复</v>
      </c>
      <c r="K1093" s="88" t="str">
        <f t="shared" si="17"/>
        <v>不重复</v>
      </c>
    </row>
    <row r="1094" spans="1:11" ht="20.25" customHeight="1">
      <c r="A1094" s="84" t="s">
        <v>2980</v>
      </c>
      <c r="B1094" s="85" t="s">
        <v>7523</v>
      </c>
      <c r="C1094" s="85" t="s">
        <v>2981</v>
      </c>
      <c r="D1094" s="85" t="s">
        <v>2982</v>
      </c>
      <c r="E1094" s="84" t="s">
        <v>2468</v>
      </c>
      <c r="F1094" s="86">
        <v>602240</v>
      </c>
      <c r="G1094" s="86">
        <v>5100200</v>
      </c>
      <c r="H1094" s="87"/>
      <c r="I1094" s="85" t="s">
        <v>7524</v>
      </c>
      <c r="J1094" s="88" t="str">
        <f t="shared" si="17"/>
        <v>不重复</v>
      </c>
      <c r="K1094" s="88" t="str">
        <f t="shared" si="17"/>
        <v>不重复</v>
      </c>
    </row>
    <row r="1095" spans="1:11" ht="20.25" customHeight="1">
      <c r="A1095" s="84" t="s">
        <v>7525</v>
      </c>
      <c r="B1095" s="85" t="s">
        <v>7526</v>
      </c>
      <c r="C1095" s="85" t="s">
        <v>7527</v>
      </c>
      <c r="D1095" s="85" t="s">
        <v>7528</v>
      </c>
      <c r="E1095" s="84" t="s">
        <v>2468</v>
      </c>
      <c r="F1095" s="86">
        <v>602241</v>
      </c>
      <c r="G1095" s="86">
        <v>5100200</v>
      </c>
      <c r="H1095" s="87"/>
      <c r="I1095" s="85" t="s">
        <v>25</v>
      </c>
      <c r="J1095" s="88" t="str">
        <f t="shared" si="17"/>
        <v>不重复</v>
      </c>
      <c r="K1095" s="88" t="str">
        <f t="shared" si="17"/>
        <v>不重复</v>
      </c>
    </row>
    <row r="1096" spans="1:11" ht="20.25" customHeight="1">
      <c r="A1096" s="84" t="s">
        <v>7529</v>
      </c>
      <c r="B1096" s="85" t="s">
        <v>7530</v>
      </c>
      <c r="C1096" s="85" t="s">
        <v>664</v>
      </c>
      <c r="D1096" s="85" t="s">
        <v>3004</v>
      </c>
      <c r="E1096" s="84" t="s">
        <v>2468</v>
      </c>
      <c r="F1096" s="86">
        <v>602242</v>
      </c>
      <c r="G1096" s="86">
        <v>5100200</v>
      </c>
      <c r="H1096" s="87"/>
      <c r="I1096" s="85" t="s">
        <v>7531</v>
      </c>
      <c r="J1096" s="88" t="str">
        <f t="shared" si="17"/>
        <v>重复</v>
      </c>
      <c r="K1096" s="88" t="str">
        <f t="shared" si="17"/>
        <v>不重复</v>
      </c>
    </row>
    <row r="1097" spans="1:11" ht="20.25" customHeight="1">
      <c r="A1097" s="84" t="s">
        <v>5225</v>
      </c>
      <c r="B1097" s="85" t="s">
        <v>7532</v>
      </c>
      <c r="C1097" s="85" t="s">
        <v>3005</v>
      </c>
      <c r="D1097" s="85" t="s">
        <v>3006</v>
      </c>
      <c r="E1097" s="84" t="s">
        <v>2468</v>
      </c>
      <c r="F1097" s="86">
        <v>602243</v>
      </c>
      <c r="G1097" s="86">
        <v>5100200</v>
      </c>
      <c r="H1097" s="87"/>
      <c r="I1097" s="85" t="s">
        <v>7533</v>
      </c>
      <c r="J1097" s="88" t="str">
        <f t="shared" si="17"/>
        <v>不重复</v>
      </c>
      <c r="K1097" s="88" t="str">
        <f t="shared" si="17"/>
        <v>不重复</v>
      </c>
    </row>
    <row r="1098" spans="1:11" ht="20.25" customHeight="1">
      <c r="A1098" s="84" t="s">
        <v>2996</v>
      </c>
      <c r="B1098" s="85" t="s">
        <v>7534</v>
      </c>
      <c r="C1098" s="85" t="s">
        <v>2997</v>
      </c>
      <c r="D1098" s="85" t="s">
        <v>7535</v>
      </c>
      <c r="E1098" s="84" t="s">
        <v>2468</v>
      </c>
      <c r="F1098" s="86">
        <v>602244</v>
      </c>
      <c r="G1098" s="86">
        <v>5100200</v>
      </c>
      <c r="H1098" s="87"/>
      <c r="I1098" s="85" t="s">
        <v>7504</v>
      </c>
      <c r="J1098" s="88" t="str">
        <f t="shared" si="17"/>
        <v>不重复</v>
      </c>
      <c r="K1098" s="88" t="str">
        <f t="shared" si="17"/>
        <v>不重复</v>
      </c>
    </row>
    <row r="1099" spans="1:11" ht="20.25" customHeight="1">
      <c r="A1099" s="84" t="s">
        <v>5224</v>
      </c>
      <c r="B1099" s="85" t="s">
        <v>7536</v>
      </c>
      <c r="C1099" s="85" t="s">
        <v>113</v>
      </c>
      <c r="D1099" s="85" t="s">
        <v>3003</v>
      </c>
      <c r="E1099" s="84" t="s">
        <v>2468</v>
      </c>
      <c r="F1099" s="86">
        <v>602245</v>
      </c>
      <c r="G1099" s="86">
        <v>5100200</v>
      </c>
      <c r="H1099" s="87"/>
      <c r="I1099" s="85" t="s">
        <v>7537</v>
      </c>
      <c r="J1099" s="88" t="str">
        <f t="shared" si="17"/>
        <v>不重复</v>
      </c>
      <c r="K1099" s="88" t="str">
        <f t="shared" si="17"/>
        <v>不重复</v>
      </c>
    </row>
    <row r="1100" spans="1:11" ht="20.25" customHeight="1">
      <c r="A1100" s="84" t="s">
        <v>2995</v>
      </c>
      <c r="B1100" s="85" t="s">
        <v>7538</v>
      </c>
      <c r="C1100" s="85" t="s">
        <v>7539</v>
      </c>
      <c r="D1100" s="85" t="s">
        <v>260</v>
      </c>
      <c r="E1100" s="84" t="s">
        <v>2468</v>
      </c>
      <c r="F1100" s="86">
        <v>602246</v>
      </c>
      <c r="G1100" s="86">
        <v>5100200</v>
      </c>
      <c r="H1100" s="87"/>
      <c r="I1100" s="85" t="s">
        <v>7480</v>
      </c>
      <c r="J1100" s="88" t="str">
        <f t="shared" si="17"/>
        <v>不重复</v>
      </c>
      <c r="K1100" s="88" t="str">
        <f t="shared" si="17"/>
        <v>不重复</v>
      </c>
    </row>
    <row r="1101" spans="1:11" ht="20.25" customHeight="1">
      <c r="A1101" s="84" t="s">
        <v>2999</v>
      </c>
      <c r="B1101" s="85" t="s">
        <v>3000</v>
      </c>
      <c r="C1101" s="85" t="s">
        <v>3001</v>
      </c>
      <c r="D1101" s="85" t="s">
        <v>3002</v>
      </c>
      <c r="E1101" s="84" t="s">
        <v>2468</v>
      </c>
      <c r="F1101" s="86">
        <v>602247</v>
      </c>
      <c r="G1101" s="86">
        <v>5100200</v>
      </c>
      <c r="H1101" s="87"/>
      <c r="I1101" s="85" t="s">
        <v>7238</v>
      </c>
      <c r="J1101" s="88" t="str">
        <f t="shared" si="17"/>
        <v>不重复</v>
      </c>
      <c r="K1101" s="88" t="str">
        <f t="shared" si="17"/>
        <v>不重复</v>
      </c>
    </row>
    <row r="1102" spans="1:11" ht="20.25" customHeight="1">
      <c r="A1102" s="84" t="s">
        <v>5223</v>
      </c>
      <c r="B1102" s="85" t="s">
        <v>7540</v>
      </c>
      <c r="C1102" s="85" t="s">
        <v>352</v>
      </c>
      <c r="D1102" s="85" t="s">
        <v>7541</v>
      </c>
      <c r="E1102" s="84" t="s">
        <v>2468</v>
      </c>
      <c r="F1102" s="86">
        <v>602248</v>
      </c>
      <c r="G1102" s="86">
        <v>5100200</v>
      </c>
      <c r="H1102" s="87"/>
      <c r="I1102" s="85" t="s">
        <v>7542</v>
      </c>
      <c r="J1102" s="88" t="str">
        <f t="shared" si="17"/>
        <v>不重复</v>
      </c>
      <c r="K1102" s="88" t="str">
        <f t="shared" si="17"/>
        <v>不重复</v>
      </c>
    </row>
    <row r="1103" spans="1:11" ht="20.25" customHeight="1">
      <c r="A1103" s="84" t="s">
        <v>7543</v>
      </c>
      <c r="B1103" s="85" t="s">
        <v>7544</v>
      </c>
      <c r="C1103" s="85" t="s">
        <v>1131</v>
      </c>
      <c r="D1103" s="85" t="s">
        <v>7545</v>
      </c>
      <c r="E1103" s="84" t="s">
        <v>2468</v>
      </c>
      <c r="F1103" s="86">
        <v>602249</v>
      </c>
      <c r="G1103" s="86">
        <v>5100200</v>
      </c>
      <c r="H1103" s="87"/>
      <c r="I1103" s="85" t="s">
        <v>25</v>
      </c>
      <c r="J1103" s="88" t="str">
        <f t="shared" si="17"/>
        <v>重复</v>
      </c>
      <c r="K1103" s="88" t="str">
        <f t="shared" si="17"/>
        <v>不重复</v>
      </c>
    </row>
    <row r="1104" spans="1:11" ht="20.25" customHeight="1">
      <c r="A1104" s="84" t="s">
        <v>3007</v>
      </c>
      <c r="B1104" s="85" t="s">
        <v>7546</v>
      </c>
      <c r="C1104" s="85" t="s">
        <v>2967</v>
      </c>
      <c r="D1104" s="85" t="s">
        <v>3008</v>
      </c>
      <c r="E1104" s="84" t="s">
        <v>2468</v>
      </c>
      <c r="F1104" s="86">
        <v>602250</v>
      </c>
      <c r="G1104" s="86">
        <v>5100200</v>
      </c>
      <c r="H1104" s="87"/>
      <c r="I1104" s="85" t="s">
        <v>7547</v>
      </c>
      <c r="J1104" s="88" t="str">
        <f t="shared" si="17"/>
        <v>重复</v>
      </c>
      <c r="K1104" s="88" t="str">
        <f t="shared" si="17"/>
        <v>不重复</v>
      </c>
    </row>
    <row r="1105" spans="1:11" ht="20.25" customHeight="1">
      <c r="A1105" s="84" t="s">
        <v>7548</v>
      </c>
      <c r="B1105" s="85" t="s">
        <v>7549</v>
      </c>
      <c r="C1105" s="85" t="s">
        <v>7550</v>
      </c>
      <c r="D1105" s="85" t="s">
        <v>7551</v>
      </c>
      <c r="E1105" s="84" t="s">
        <v>2468</v>
      </c>
      <c r="F1105" s="86">
        <v>602251</v>
      </c>
      <c r="G1105" s="86">
        <v>5100200</v>
      </c>
      <c r="H1105" s="87"/>
      <c r="I1105" s="85" t="s">
        <v>25</v>
      </c>
      <c r="J1105" s="88" t="str">
        <f t="shared" si="17"/>
        <v>不重复</v>
      </c>
      <c r="K1105" s="88" t="str">
        <f t="shared" si="17"/>
        <v>不重复</v>
      </c>
    </row>
    <row r="1106" spans="1:11" ht="20.25" customHeight="1">
      <c r="A1106" s="84" t="s">
        <v>3009</v>
      </c>
      <c r="B1106" s="85" t="s">
        <v>3010</v>
      </c>
      <c r="C1106" s="85" t="s">
        <v>3011</v>
      </c>
      <c r="D1106" s="85" t="s">
        <v>3012</v>
      </c>
      <c r="E1106" s="84" t="s">
        <v>2468</v>
      </c>
      <c r="F1106" s="86">
        <v>602252</v>
      </c>
      <c r="G1106" s="86">
        <v>5100200</v>
      </c>
      <c r="H1106" s="87"/>
      <c r="I1106" s="85" t="s">
        <v>7552</v>
      </c>
      <c r="J1106" s="88" t="str">
        <f t="shared" si="17"/>
        <v>不重复</v>
      </c>
      <c r="K1106" s="88" t="str">
        <f t="shared" si="17"/>
        <v>不重复</v>
      </c>
    </row>
    <row r="1107" spans="1:11" ht="20.25" customHeight="1">
      <c r="A1107" s="84" t="s">
        <v>7553</v>
      </c>
      <c r="B1107" s="85" t="s">
        <v>7554</v>
      </c>
      <c r="C1107" s="85" t="s">
        <v>7555</v>
      </c>
      <c r="D1107" s="85" t="s">
        <v>7556</v>
      </c>
      <c r="E1107" s="84" t="s">
        <v>2468</v>
      </c>
      <c r="F1107" s="86">
        <v>602253</v>
      </c>
      <c r="G1107" s="86">
        <v>5100200</v>
      </c>
      <c r="H1107" s="87"/>
      <c r="I1107" s="85" t="s">
        <v>25</v>
      </c>
      <c r="J1107" s="88" t="str">
        <f t="shared" si="17"/>
        <v>不重复</v>
      </c>
      <c r="K1107" s="88" t="str">
        <f t="shared" si="17"/>
        <v>不重复</v>
      </c>
    </row>
    <row r="1108" spans="1:11" ht="20.25" customHeight="1">
      <c r="A1108" s="84" t="s">
        <v>3013</v>
      </c>
      <c r="B1108" s="85" t="s">
        <v>3014</v>
      </c>
      <c r="C1108" s="85" t="s">
        <v>3015</v>
      </c>
      <c r="D1108" s="85" t="s">
        <v>3016</v>
      </c>
      <c r="E1108" s="84" t="s">
        <v>2468</v>
      </c>
      <c r="F1108" s="86">
        <v>602254</v>
      </c>
      <c r="G1108" s="86">
        <v>5100200</v>
      </c>
      <c r="H1108" s="87"/>
      <c r="I1108" s="85" t="s">
        <v>7557</v>
      </c>
      <c r="J1108" s="88" t="str">
        <f t="shared" si="17"/>
        <v>重复</v>
      </c>
      <c r="K1108" s="88" t="str">
        <f t="shared" si="17"/>
        <v>不重复</v>
      </c>
    </row>
    <row r="1109" spans="1:11" ht="20.25" customHeight="1">
      <c r="A1109" s="89" t="s">
        <v>3038</v>
      </c>
      <c r="B1109" s="90" t="s">
        <v>7558</v>
      </c>
      <c r="C1109" s="90" t="s">
        <v>3039</v>
      </c>
      <c r="D1109" s="90" t="s">
        <v>3040</v>
      </c>
      <c r="E1109" s="89" t="s">
        <v>2468</v>
      </c>
      <c r="F1109" s="91">
        <v>602256</v>
      </c>
      <c r="G1109" s="91">
        <v>5100200</v>
      </c>
      <c r="H1109" s="87"/>
      <c r="I1109" s="90" t="s">
        <v>7230</v>
      </c>
      <c r="J1109" s="88" t="str">
        <f t="shared" si="17"/>
        <v>不重复</v>
      </c>
      <c r="K1109" s="88" t="str">
        <f t="shared" si="17"/>
        <v>不重复</v>
      </c>
    </row>
    <row r="1110" spans="1:11" ht="20.25" customHeight="1">
      <c r="A1110" s="89" t="s">
        <v>3019</v>
      </c>
      <c r="B1110" s="90" t="s">
        <v>7559</v>
      </c>
      <c r="C1110" s="90" t="s">
        <v>3020</v>
      </c>
      <c r="D1110" s="90" t="s">
        <v>3021</v>
      </c>
      <c r="E1110" s="89" t="s">
        <v>2468</v>
      </c>
      <c r="F1110" s="91">
        <v>602257</v>
      </c>
      <c r="G1110" s="91">
        <v>5100200</v>
      </c>
      <c r="H1110" s="87"/>
      <c r="I1110" s="90" t="s">
        <v>7501</v>
      </c>
      <c r="J1110" s="88" t="str">
        <f t="shared" si="17"/>
        <v>不重复</v>
      </c>
      <c r="K1110" s="88" t="str">
        <f t="shared" si="17"/>
        <v>不重复</v>
      </c>
    </row>
    <row r="1111" spans="1:11" ht="20.25" customHeight="1">
      <c r="A1111" s="89" t="s">
        <v>3033</v>
      </c>
      <c r="B1111" s="90" t="s">
        <v>7560</v>
      </c>
      <c r="C1111" s="90" t="s">
        <v>382</v>
      </c>
      <c r="D1111" s="90" t="s">
        <v>3034</v>
      </c>
      <c r="E1111" s="89" t="s">
        <v>2468</v>
      </c>
      <c r="F1111" s="91">
        <v>602258</v>
      </c>
      <c r="G1111" s="91">
        <v>5100200</v>
      </c>
      <c r="H1111" s="87"/>
      <c r="I1111" s="90" t="s">
        <v>7355</v>
      </c>
      <c r="J1111" s="88" t="str">
        <f t="shared" si="17"/>
        <v>重复</v>
      </c>
      <c r="K1111" s="88" t="str">
        <f t="shared" si="17"/>
        <v>不重复</v>
      </c>
    </row>
    <row r="1112" spans="1:11" ht="20.25" customHeight="1">
      <c r="A1112" s="89" t="s">
        <v>3017</v>
      </c>
      <c r="B1112" s="90" t="s">
        <v>7561</v>
      </c>
      <c r="C1112" s="90" t="s">
        <v>655</v>
      </c>
      <c r="D1112" s="90" t="s">
        <v>5226</v>
      </c>
      <c r="E1112" s="89" t="s">
        <v>2468</v>
      </c>
      <c r="F1112" s="91">
        <v>602259</v>
      </c>
      <c r="G1112" s="91">
        <v>5100200</v>
      </c>
      <c r="H1112" s="87"/>
      <c r="I1112" s="90" t="s">
        <v>7181</v>
      </c>
      <c r="J1112" s="88" t="str">
        <f t="shared" si="17"/>
        <v>不重复</v>
      </c>
      <c r="K1112" s="88" t="str">
        <f t="shared" si="17"/>
        <v>不重复</v>
      </c>
    </row>
    <row r="1113" spans="1:11" ht="20.25" customHeight="1">
      <c r="A1113" s="89" t="s">
        <v>3022</v>
      </c>
      <c r="B1113" s="90" t="s">
        <v>7562</v>
      </c>
      <c r="C1113" s="90" t="s">
        <v>49</v>
      </c>
      <c r="D1113" s="90" t="s">
        <v>3023</v>
      </c>
      <c r="E1113" s="89" t="s">
        <v>2468</v>
      </c>
      <c r="F1113" s="91">
        <v>602260</v>
      </c>
      <c r="G1113" s="91">
        <v>5100200</v>
      </c>
      <c r="H1113" s="87"/>
      <c r="I1113" s="90" t="s">
        <v>7243</v>
      </c>
      <c r="J1113" s="88" t="str">
        <f t="shared" si="17"/>
        <v>重复</v>
      </c>
      <c r="K1113" s="88" t="str">
        <f t="shared" si="17"/>
        <v>不重复</v>
      </c>
    </row>
    <row r="1114" spans="1:11" ht="20.25" customHeight="1">
      <c r="A1114" s="89" t="s">
        <v>3030</v>
      </c>
      <c r="B1114" s="90" t="s">
        <v>7563</v>
      </c>
      <c r="C1114" s="90" t="s">
        <v>3031</v>
      </c>
      <c r="D1114" s="90" t="s">
        <v>3032</v>
      </c>
      <c r="E1114" s="89" t="s">
        <v>2468</v>
      </c>
      <c r="F1114" s="91">
        <v>602261</v>
      </c>
      <c r="G1114" s="91">
        <v>5100200</v>
      </c>
      <c r="H1114" s="87"/>
      <c r="I1114" s="90" t="s">
        <v>7501</v>
      </c>
      <c r="J1114" s="88" t="str">
        <f t="shared" si="17"/>
        <v>不重复</v>
      </c>
      <c r="K1114" s="88" t="str">
        <f t="shared" si="17"/>
        <v>不重复</v>
      </c>
    </row>
    <row r="1115" spans="1:11" ht="20.25" customHeight="1">
      <c r="A1115" s="89" t="s">
        <v>3026</v>
      </c>
      <c r="B1115" s="90" t="s">
        <v>7564</v>
      </c>
      <c r="C1115" s="90" t="s">
        <v>382</v>
      </c>
      <c r="D1115" s="90" t="s">
        <v>7565</v>
      </c>
      <c r="E1115" s="89" t="s">
        <v>2468</v>
      </c>
      <c r="F1115" s="91">
        <v>602262</v>
      </c>
      <c r="G1115" s="91">
        <v>5100200</v>
      </c>
      <c r="H1115" s="87"/>
      <c r="I1115" s="90" t="s">
        <v>7296</v>
      </c>
      <c r="J1115" s="88" t="str">
        <f t="shared" si="17"/>
        <v>重复</v>
      </c>
      <c r="K1115" s="88" t="str">
        <f t="shared" si="17"/>
        <v>不重复</v>
      </c>
    </row>
    <row r="1116" spans="1:11" ht="20.25" customHeight="1">
      <c r="A1116" s="89" t="s">
        <v>3024</v>
      </c>
      <c r="B1116" s="90" t="s">
        <v>7566</v>
      </c>
      <c r="C1116" s="90" t="s">
        <v>843</v>
      </c>
      <c r="D1116" s="90" t="s">
        <v>3025</v>
      </c>
      <c r="E1116" s="89" t="s">
        <v>2468</v>
      </c>
      <c r="F1116" s="91">
        <v>602263</v>
      </c>
      <c r="G1116" s="91">
        <v>5100200</v>
      </c>
      <c r="H1116" s="87"/>
      <c r="I1116" s="90" t="s">
        <v>7567</v>
      </c>
      <c r="J1116" s="88" t="str">
        <f t="shared" si="17"/>
        <v>重复</v>
      </c>
      <c r="K1116" s="88" t="str">
        <f t="shared" si="17"/>
        <v>不重复</v>
      </c>
    </row>
    <row r="1117" spans="1:11" ht="20.25" customHeight="1">
      <c r="A1117" s="89" t="s">
        <v>3018</v>
      </c>
      <c r="B1117" s="90" t="s">
        <v>7568</v>
      </c>
      <c r="C1117" s="90" t="s">
        <v>3042</v>
      </c>
      <c r="D1117" s="90" t="s">
        <v>7569</v>
      </c>
      <c r="E1117" s="89" t="s">
        <v>2468</v>
      </c>
      <c r="F1117" s="91">
        <v>602264</v>
      </c>
      <c r="G1117" s="91">
        <v>5100200</v>
      </c>
      <c r="H1117" s="87"/>
      <c r="I1117" s="90" t="s">
        <v>7501</v>
      </c>
      <c r="J1117" s="88" t="str">
        <f t="shared" si="17"/>
        <v>重复</v>
      </c>
      <c r="K1117" s="88" t="str">
        <f t="shared" si="17"/>
        <v>不重复</v>
      </c>
    </row>
    <row r="1118" spans="1:11" ht="20.25" customHeight="1">
      <c r="A1118" s="89" t="s">
        <v>3035</v>
      </c>
      <c r="B1118" s="90" t="s">
        <v>7570</v>
      </c>
      <c r="C1118" s="90" t="s">
        <v>3036</v>
      </c>
      <c r="D1118" s="90" t="s">
        <v>3037</v>
      </c>
      <c r="E1118" s="89" t="s">
        <v>2468</v>
      </c>
      <c r="F1118" s="91">
        <v>602265</v>
      </c>
      <c r="G1118" s="91">
        <v>5100200</v>
      </c>
      <c r="H1118" s="87"/>
      <c r="I1118" s="90" t="s">
        <v>7332</v>
      </c>
      <c r="J1118" s="88" t="str">
        <f t="shared" si="17"/>
        <v>不重复</v>
      </c>
      <c r="K1118" s="88" t="str">
        <f t="shared" si="17"/>
        <v>不重复</v>
      </c>
    </row>
    <row r="1119" spans="1:11" ht="20.25" customHeight="1">
      <c r="A1119" s="89" t="s">
        <v>3027</v>
      </c>
      <c r="B1119" s="90" t="s">
        <v>7571</v>
      </c>
      <c r="C1119" s="90" t="s">
        <v>3028</v>
      </c>
      <c r="D1119" s="90" t="s">
        <v>3029</v>
      </c>
      <c r="E1119" s="89" t="s">
        <v>2468</v>
      </c>
      <c r="F1119" s="91">
        <v>602266</v>
      </c>
      <c r="G1119" s="91">
        <v>5100200</v>
      </c>
      <c r="H1119" s="87"/>
      <c r="I1119" s="90" t="s">
        <v>7572</v>
      </c>
      <c r="J1119" s="88" t="str">
        <f t="shared" si="17"/>
        <v>不重复</v>
      </c>
      <c r="K1119" s="88" t="str">
        <f t="shared" si="17"/>
        <v>不重复</v>
      </c>
    </row>
    <row r="1120" spans="1:11" ht="20.25" customHeight="1">
      <c r="A1120" s="89" t="s">
        <v>3063</v>
      </c>
      <c r="B1120" s="90" t="s">
        <v>7573</v>
      </c>
      <c r="C1120" s="90" t="s">
        <v>3064</v>
      </c>
      <c r="D1120" s="90" t="s">
        <v>3065</v>
      </c>
      <c r="E1120" s="89" t="s">
        <v>2468</v>
      </c>
      <c r="F1120" s="91">
        <v>602268</v>
      </c>
      <c r="G1120" s="91">
        <v>5100200</v>
      </c>
      <c r="H1120" s="87"/>
      <c r="I1120" s="90" t="s">
        <v>7485</v>
      </c>
      <c r="J1120" s="88" t="str">
        <f t="shared" si="17"/>
        <v>不重复</v>
      </c>
      <c r="K1120" s="88" t="str">
        <f t="shared" si="17"/>
        <v>不重复</v>
      </c>
    </row>
    <row r="1121" spans="1:11" ht="20.25" customHeight="1">
      <c r="A1121" s="89" t="s">
        <v>7574</v>
      </c>
      <c r="B1121" s="90" t="s">
        <v>3058</v>
      </c>
      <c r="C1121" s="90" t="s">
        <v>1444</v>
      </c>
      <c r="D1121" s="90" t="s">
        <v>7575</v>
      </c>
      <c r="E1121" s="89" t="s">
        <v>2468</v>
      </c>
      <c r="F1121" s="91">
        <v>602269</v>
      </c>
      <c r="G1121" s="91">
        <v>5100200</v>
      </c>
      <c r="H1121" s="87"/>
      <c r="I1121" s="90" t="s">
        <v>25</v>
      </c>
      <c r="J1121" s="88" t="str">
        <f t="shared" si="17"/>
        <v>重复</v>
      </c>
      <c r="K1121" s="88" t="str">
        <f t="shared" si="17"/>
        <v>不重复</v>
      </c>
    </row>
    <row r="1122" spans="1:11" ht="20.25" customHeight="1">
      <c r="A1122" s="89" t="s">
        <v>3053</v>
      </c>
      <c r="B1122" s="90" t="s">
        <v>7576</v>
      </c>
      <c r="C1122" s="90" t="s">
        <v>3048</v>
      </c>
      <c r="D1122" s="90" t="s">
        <v>3054</v>
      </c>
      <c r="E1122" s="89" t="s">
        <v>2468</v>
      </c>
      <c r="F1122" s="91">
        <v>602270</v>
      </c>
      <c r="G1122" s="91">
        <v>5100200</v>
      </c>
      <c r="H1122" s="87"/>
      <c r="I1122" s="90" t="s">
        <v>7501</v>
      </c>
      <c r="J1122" s="88" t="str">
        <f t="shared" si="17"/>
        <v>重复</v>
      </c>
      <c r="K1122" s="88" t="str">
        <f t="shared" si="17"/>
        <v>不重复</v>
      </c>
    </row>
    <row r="1123" spans="1:11" ht="20.25" customHeight="1">
      <c r="A1123" s="89" t="s">
        <v>3050</v>
      </c>
      <c r="B1123" s="90" t="s">
        <v>7577</v>
      </c>
      <c r="C1123" s="90" t="s">
        <v>3051</v>
      </c>
      <c r="D1123" s="90" t="s">
        <v>3052</v>
      </c>
      <c r="E1123" s="89" t="s">
        <v>2468</v>
      </c>
      <c r="F1123" s="91">
        <v>602271</v>
      </c>
      <c r="G1123" s="91">
        <v>5100200</v>
      </c>
      <c r="H1123" s="87"/>
      <c r="I1123" s="90" t="s">
        <v>7501</v>
      </c>
      <c r="J1123" s="88" t="str">
        <f t="shared" si="17"/>
        <v>不重复</v>
      </c>
      <c r="K1123" s="88" t="str">
        <f t="shared" si="17"/>
        <v>不重复</v>
      </c>
    </row>
    <row r="1124" spans="1:11" ht="20.25" customHeight="1">
      <c r="A1124" s="89" t="s">
        <v>3043</v>
      </c>
      <c r="B1124" s="90" t="s">
        <v>7578</v>
      </c>
      <c r="C1124" s="90" t="s">
        <v>3044</v>
      </c>
      <c r="D1124" s="90" t="s">
        <v>3045</v>
      </c>
      <c r="E1124" s="89" t="s">
        <v>2468</v>
      </c>
      <c r="F1124" s="91">
        <v>602272</v>
      </c>
      <c r="G1124" s="91">
        <v>5100200</v>
      </c>
      <c r="H1124" s="87"/>
      <c r="I1124" s="90" t="s">
        <v>7181</v>
      </c>
      <c r="J1124" s="88" t="str">
        <f t="shared" si="17"/>
        <v>重复</v>
      </c>
      <c r="K1124" s="88" t="str">
        <f t="shared" si="17"/>
        <v>不重复</v>
      </c>
    </row>
    <row r="1125" spans="1:11" ht="20.25" customHeight="1">
      <c r="A1125" s="89" t="s">
        <v>3046</v>
      </c>
      <c r="B1125" s="90" t="s">
        <v>7579</v>
      </c>
      <c r="C1125" s="90" t="s">
        <v>3047</v>
      </c>
      <c r="D1125" s="90" t="s">
        <v>7580</v>
      </c>
      <c r="E1125" s="89" t="s">
        <v>2468</v>
      </c>
      <c r="F1125" s="91">
        <v>602273</v>
      </c>
      <c r="G1125" s="91">
        <v>5100200</v>
      </c>
      <c r="H1125" s="87"/>
      <c r="I1125" s="90" t="s">
        <v>7181</v>
      </c>
      <c r="J1125" s="88" t="str">
        <f t="shared" si="17"/>
        <v>不重复</v>
      </c>
      <c r="K1125" s="88" t="str">
        <f t="shared" si="17"/>
        <v>不重复</v>
      </c>
    </row>
    <row r="1126" spans="1:11" ht="20.25" customHeight="1">
      <c r="A1126" s="89" t="s">
        <v>7581</v>
      </c>
      <c r="B1126" s="90" t="s">
        <v>7582</v>
      </c>
      <c r="C1126" s="90" t="s">
        <v>905</v>
      </c>
      <c r="D1126" s="90" t="s">
        <v>7583</v>
      </c>
      <c r="E1126" s="89" t="s">
        <v>2468</v>
      </c>
      <c r="F1126" s="91">
        <v>602274</v>
      </c>
      <c r="G1126" s="91">
        <v>5100200</v>
      </c>
      <c r="H1126" s="87"/>
      <c r="I1126" s="90" t="s">
        <v>25</v>
      </c>
      <c r="J1126" s="88" t="str">
        <f t="shared" si="17"/>
        <v>重复</v>
      </c>
      <c r="K1126" s="88" t="str">
        <f t="shared" si="17"/>
        <v>不重复</v>
      </c>
    </row>
    <row r="1127" spans="1:11" ht="20.25" customHeight="1">
      <c r="A1127" s="89" t="s">
        <v>7584</v>
      </c>
      <c r="B1127" s="90" t="s">
        <v>7585</v>
      </c>
      <c r="C1127" s="90" t="s">
        <v>3056</v>
      </c>
      <c r="D1127" s="90" t="s">
        <v>3057</v>
      </c>
      <c r="E1127" s="89" t="s">
        <v>2468</v>
      </c>
      <c r="F1127" s="91">
        <v>602275</v>
      </c>
      <c r="G1127" s="91">
        <v>5100200</v>
      </c>
      <c r="H1127" s="87"/>
      <c r="I1127" s="90" t="s">
        <v>7501</v>
      </c>
      <c r="J1127" s="88" t="str">
        <f t="shared" si="17"/>
        <v>重复</v>
      </c>
      <c r="K1127" s="88" t="str">
        <f t="shared" si="17"/>
        <v>不重复</v>
      </c>
    </row>
    <row r="1128" spans="1:11" ht="20.25" customHeight="1">
      <c r="A1128" s="89" t="s">
        <v>7586</v>
      </c>
      <c r="B1128" s="90" t="s">
        <v>7587</v>
      </c>
      <c r="C1128" s="90" t="s">
        <v>7588</v>
      </c>
      <c r="D1128" s="90" t="s">
        <v>7589</v>
      </c>
      <c r="E1128" s="89" t="s">
        <v>2468</v>
      </c>
      <c r="F1128" s="91">
        <v>602276</v>
      </c>
      <c r="G1128" s="91">
        <v>5100200</v>
      </c>
      <c r="H1128" s="87"/>
      <c r="I1128" s="90" t="s">
        <v>25</v>
      </c>
      <c r="J1128" s="88" t="str">
        <f t="shared" si="17"/>
        <v>不重复</v>
      </c>
      <c r="K1128" s="88" t="str">
        <f t="shared" si="17"/>
        <v>不重复</v>
      </c>
    </row>
    <row r="1129" spans="1:11" ht="20.25" customHeight="1">
      <c r="A1129" s="89" t="s">
        <v>3059</v>
      </c>
      <c r="B1129" s="90" t="s">
        <v>3060</v>
      </c>
      <c r="C1129" s="90" t="s">
        <v>3061</v>
      </c>
      <c r="D1129" s="90" t="s">
        <v>3062</v>
      </c>
      <c r="E1129" s="89" t="s">
        <v>2468</v>
      </c>
      <c r="F1129" s="91">
        <v>602277</v>
      </c>
      <c r="G1129" s="91">
        <v>5100200</v>
      </c>
      <c r="H1129" s="87"/>
      <c r="I1129" s="90" t="s">
        <v>7332</v>
      </c>
      <c r="J1129" s="88" t="str">
        <f t="shared" si="17"/>
        <v>不重复</v>
      </c>
      <c r="K1129" s="88" t="str">
        <f t="shared" si="17"/>
        <v>不重复</v>
      </c>
    </row>
    <row r="1130" spans="1:11" ht="20.25" customHeight="1">
      <c r="A1130" s="84" t="s">
        <v>7590</v>
      </c>
      <c r="B1130" s="85" t="s">
        <v>7591</v>
      </c>
      <c r="C1130" s="85" t="s">
        <v>7592</v>
      </c>
      <c r="D1130" s="85" t="s">
        <v>7593</v>
      </c>
      <c r="E1130" s="84" t="s">
        <v>2468</v>
      </c>
      <c r="F1130" s="86">
        <v>602278</v>
      </c>
      <c r="G1130" s="86">
        <v>5100200</v>
      </c>
      <c r="H1130" s="87"/>
      <c r="I1130" s="85" t="s">
        <v>25</v>
      </c>
      <c r="J1130" s="88" t="str">
        <f t="shared" si="17"/>
        <v>不重复</v>
      </c>
      <c r="K1130" s="88" t="str">
        <f t="shared" si="17"/>
        <v>不重复</v>
      </c>
    </row>
    <row r="1131" spans="1:11" ht="20.25" customHeight="1">
      <c r="A1131" s="89" t="s">
        <v>7594</v>
      </c>
      <c r="B1131" s="90" t="s">
        <v>7595</v>
      </c>
      <c r="C1131" s="90" t="s">
        <v>3055</v>
      </c>
      <c r="D1131" s="90" t="s">
        <v>7596</v>
      </c>
      <c r="E1131" s="89" t="s">
        <v>2468</v>
      </c>
      <c r="F1131" s="91">
        <v>602279</v>
      </c>
      <c r="G1131" s="91">
        <v>5100200</v>
      </c>
      <c r="H1131" s="87"/>
      <c r="I1131" s="90" t="s">
        <v>7442</v>
      </c>
      <c r="J1131" s="88" t="str">
        <f t="shared" si="17"/>
        <v>不重复</v>
      </c>
      <c r="K1131" s="88" t="str">
        <f t="shared" si="17"/>
        <v>不重复</v>
      </c>
    </row>
    <row r="1132" spans="1:11" ht="20.25" customHeight="1">
      <c r="A1132" s="89" t="s">
        <v>7597</v>
      </c>
      <c r="B1132" s="90" t="s">
        <v>7598</v>
      </c>
      <c r="C1132" s="90" t="s">
        <v>3048</v>
      </c>
      <c r="D1132" s="90" t="s">
        <v>3049</v>
      </c>
      <c r="E1132" s="89" t="s">
        <v>2468</v>
      </c>
      <c r="F1132" s="91">
        <v>602280</v>
      </c>
      <c r="G1132" s="91">
        <v>5100200</v>
      </c>
      <c r="H1132" s="87"/>
      <c r="I1132" s="90" t="s">
        <v>7501</v>
      </c>
      <c r="J1132" s="88" t="str">
        <f t="shared" si="17"/>
        <v>重复</v>
      </c>
      <c r="K1132" s="88" t="str">
        <f t="shared" si="17"/>
        <v>不重复</v>
      </c>
    </row>
    <row r="1133" spans="1:11" ht="20.25" customHeight="1">
      <c r="A1133" s="89" t="s">
        <v>3116</v>
      </c>
      <c r="B1133" s="90" t="s">
        <v>3117</v>
      </c>
      <c r="C1133" s="90" t="s">
        <v>3114</v>
      </c>
      <c r="D1133" s="90" t="s">
        <v>3118</v>
      </c>
      <c r="E1133" s="89" t="s">
        <v>2468</v>
      </c>
      <c r="F1133" s="91">
        <v>602282</v>
      </c>
      <c r="G1133" s="91">
        <v>5100200</v>
      </c>
      <c r="H1133" s="87"/>
      <c r="I1133" s="90" t="s">
        <v>7442</v>
      </c>
      <c r="J1133" s="88" t="str">
        <f t="shared" si="17"/>
        <v>重复</v>
      </c>
      <c r="K1133" s="88" t="str">
        <f t="shared" si="17"/>
        <v>不重复</v>
      </c>
    </row>
    <row r="1134" spans="1:11" ht="20.25" customHeight="1">
      <c r="A1134" s="89" t="s">
        <v>3110</v>
      </c>
      <c r="B1134" s="90" t="s">
        <v>7599</v>
      </c>
      <c r="C1134" s="90" t="s">
        <v>3111</v>
      </c>
      <c r="D1134" s="90" t="s">
        <v>3112</v>
      </c>
      <c r="E1134" s="89" t="s">
        <v>2468</v>
      </c>
      <c r="F1134" s="91">
        <v>602283</v>
      </c>
      <c r="G1134" s="91">
        <v>5100200</v>
      </c>
      <c r="H1134" s="87"/>
      <c r="I1134" s="90" t="s">
        <v>7181</v>
      </c>
      <c r="J1134" s="88" t="str">
        <f t="shared" si="17"/>
        <v>重复</v>
      </c>
      <c r="K1134" s="88" t="str">
        <f t="shared" si="17"/>
        <v>不重复</v>
      </c>
    </row>
    <row r="1135" spans="1:11" ht="20.25" customHeight="1">
      <c r="A1135" s="89" t="s">
        <v>3113</v>
      </c>
      <c r="B1135" s="90" t="s">
        <v>7600</v>
      </c>
      <c r="C1135" s="90" t="s">
        <v>3114</v>
      </c>
      <c r="D1135" s="90" t="s">
        <v>3115</v>
      </c>
      <c r="E1135" s="89" t="s">
        <v>2468</v>
      </c>
      <c r="F1135" s="91">
        <v>602284</v>
      </c>
      <c r="G1135" s="91">
        <v>5100200</v>
      </c>
      <c r="H1135" s="87"/>
      <c r="I1135" s="90" t="s">
        <v>7485</v>
      </c>
      <c r="J1135" s="88" t="str">
        <f t="shared" si="17"/>
        <v>重复</v>
      </c>
      <c r="K1135" s="88" t="str">
        <f t="shared" si="17"/>
        <v>不重复</v>
      </c>
    </row>
    <row r="1136" spans="1:11" ht="20.25" customHeight="1">
      <c r="A1136" s="89" t="s">
        <v>3107</v>
      </c>
      <c r="B1136" s="90" t="s">
        <v>7601</v>
      </c>
      <c r="C1136" s="90" t="s">
        <v>3108</v>
      </c>
      <c r="D1136" s="90" t="s">
        <v>3109</v>
      </c>
      <c r="E1136" s="89" t="s">
        <v>2468</v>
      </c>
      <c r="F1136" s="91">
        <v>602285</v>
      </c>
      <c r="G1136" s="91">
        <v>5100200</v>
      </c>
      <c r="H1136" s="87"/>
      <c r="I1136" s="90" t="s">
        <v>7332</v>
      </c>
      <c r="J1136" s="88" t="str">
        <f t="shared" si="17"/>
        <v>重复</v>
      </c>
      <c r="K1136" s="88" t="str">
        <f t="shared" si="17"/>
        <v>不重复</v>
      </c>
    </row>
    <row r="1137" spans="1:11" ht="20.25" customHeight="1">
      <c r="A1137" s="89" t="s">
        <v>3147</v>
      </c>
      <c r="B1137" s="90" t="s">
        <v>3148</v>
      </c>
      <c r="C1137" s="90" t="s">
        <v>2784</v>
      </c>
      <c r="D1137" s="90" t="s">
        <v>3149</v>
      </c>
      <c r="E1137" s="89" t="s">
        <v>2468</v>
      </c>
      <c r="F1137" s="91">
        <v>602287</v>
      </c>
      <c r="G1137" s="91">
        <v>5100200</v>
      </c>
      <c r="H1137" s="87"/>
      <c r="I1137" s="90" t="s">
        <v>7426</v>
      </c>
      <c r="J1137" s="88" t="str">
        <f t="shared" si="17"/>
        <v>重复</v>
      </c>
      <c r="K1137" s="88" t="str">
        <f t="shared" si="17"/>
        <v>不重复</v>
      </c>
    </row>
    <row r="1138" spans="1:11" ht="20.25" customHeight="1">
      <c r="A1138" s="89" t="s">
        <v>3143</v>
      </c>
      <c r="B1138" s="90" t="s">
        <v>3144</v>
      </c>
      <c r="C1138" s="90" t="s">
        <v>3145</v>
      </c>
      <c r="D1138" s="90" t="s">
        <v>3146</v>
      </c>
      <c r="E1138" s="89" t="s">
        <v>2468</v>
      </c>
      <c r="F1138" s="91">
        <v>602288</v>
      </c>
      <c r="G1138" s="91">
        <v>5100200</v>
      </c>
      <c r="H1138" s="87"/>
      <c r="I1138" s="90" t="s">
        <v>25</v>
      </c>
      <c r="J1138" s="88" t="str">
        <f t="shared" si="17"/>
        <v>不重复</v>
      </c>
      <c r="K1138" s="88" t="str">
        <f t="shared" si="17"/>
        <v>不重复</v>
      </c>
    </row>
    <row r="1139" spans="1:11" ht="20.25" customHeight="1">
      <c r="A1139" s="89" t="s">
        <v>3140</v>
      </c>
      <c r="B1139" s="90" t="s">
        <v>7602</v>
      </c>
      <c r="C1139" s="90" t="s">
        <v>3141</v>
      </c>
      <c r="D1139" s="90" t="s">
        <v>3142</v>
      </c>
      <c r="E1139" s="89" t="s">
        <v>2468</v>
      </c>
      <c r="F1139" s="91">
        <v>602289</v>
      </c>
      <c r="G1139" s="91">
        <v>5100200</v>
      </c>
      <c r="H1139" s="87"/>
      <c r="I1139" s="90" t="s">
        <v>7294</v>
      </c>
      <c r="J1139" s="88" t="str">
        <f t="shared" si="17"/>
        <v>重复</v>
      </c>
      <c r="K1139" s="88" t="str">
        <f t="shared" si="17"/>
        <v>不重复</v>
      </c>
    </row>
    <row r="1140" spans="1:11" ht="20.25" customHeight="1">
      <c r="A1140" s="89" t="s">
        <v>3137</v>
      </c>
      <c r="B1140" s="90" t="s">
        <v>3138</v>
      </c>
      <c r="C1140" s="90" t="s">
        <v>1595</v>
      </c>
      <c r="D1140" s="90" t="s">
        <v>3139</v>
      </c>
      <c r="E1140" s="89" t="s">
        <v>2468</v>
      </c>
      <c r="F1140" s="91">
        <v>602290</v>
      </c>
      <c r="G1140" s="91">
        <v>5100200</v>
      </c>
      <c r="H1140" s="87"/>
      <c r="I1140" s="90" t="s">
        <v>7603</v>
      </c>
      <c r="J1140" s="88" t="str">
        <f t="shared" si="17"/>
        <v>重复</v>
      </c>
      <c r="K1140" s="88" t="str">
        <f t="shared" si="17"/>
        <v>不重复</v>
      </c>
    </row>
    <row r="1141" spans="1:11" ht="20.25" customHeight="1">
      <c r="A1141" s="89" t="s">
        <v>3119</v>
      </c>
      <c r="B1141" s="90" t="s">
        <v>7604</v>
      </c>
      <c r="C1141" s="90" t="s">
        <v>529</v>
      </c>
      <c r="D1141" s="90" t="s">
        <v>3120</v>
      </c>
      <c r="E1141" s="89" t="s">
        <v>2468</v>
      </c>
      <c r="F1141" s="91">
        <v>602291</v>
      </c>
      <c r="G1141" s="91">
        <v>5100200</v>
      </c>
      <c r="H1141" s="87"/>
      <c r="I1141" s="90" t="s">
        <v>10059</v>
      </c>
      <c r="J1141" s="88" t="str">
        <f t="shared" si="17"/>
        <v>重复</v>
      </c>
      <c r="K1141" s="88" t="str">
        <f t="shared" si="17"/>
        <v>不重复</v>
      </c>
    </row>
    <row r="1142" spans="1:11" ht="20.25" customHeight="1">
      <c r="A1142" s="89" t="s">
        <v>3121</v>
      </c>
      <c r="B1142" s="90" t="s">
        <v>3122</v>
      </c>
      <c r="C1142" s="90" t="s">
        <v>1546</v>
      </c>
      <c r="D1142" s="90" t="s">
        <v>3123</v>
      </c>
      <c r="E1142" s="89" t="s">
        <v>2468</v>
      </c>
      <c r="F1142" s="91">
        <v>602292</v>
      </c>
      <c r="G1142" s="91">
        <v>5100200</v>
      </c>
      <c r="H1142" s="87"/>
      <c r="I1142" s="90" t="s">
        <v>7501</v>
      </c>
      <c r="J1142" s="88" t="str">
        <f t="shared" si="17"/>
        <v>重复</v>
      </c>
      <c r="K1142" s="88" t="str">
        <f t="shared" si="17"/>
        <v>不重复</v>
      </c>
    </row>
    <row r="1143" spans="1:11" ht="20.25" customHeight="1">
      <c r="A1143" s="89" t="s">
        <v>3132</v>
      </c>
      <c r="B1143" s="90" t="s">
        <v>3133</v>
      </c>
      <c r="C1143" s="90" t="s">
        <v>3134</v>
      </c>
      <c r="D1143" s="90" t="s">
        <v>3135</v>
      </c>
      <c r="E1143" s="89" t="s">
        <v>2468</v>
      </c>
      <c r="F1143" s="91">
        <v>602293</v>
      </c>
      <c r="G1143" s="91">
        <v>5100200</v>
      </c>
      <c r="H1143" s="87"/>
      <c r="I1143" s="90" t="s">
        <v>7605</v>
      </c>
      <c r="J1143" s="88" t="str">
        <f t="shared" si="17"/>
        <v>重复</v>
      </c>
      <c r="K1143" s="88" t="str">
        <f t="shared" si="17"/>
        <v>不重复</v>
      </c>
    </row>
    <row r="1144" spans="1:11" ht="20.25" customHeight="1">
      <c r="A1144" s="89" t="s">
        <v>3124</v>
      </c>
      <c r="B1144" s="90" t="s">
        <v>3125</v>
      </c>
      <c r="C1144" s="90" t="s">
        <v>3126</v>
      </c>
      <c r="D1144" s="90" t="s">
        <v>3127</v>
      </c>
      <c r="E1144" s="89" t="s">
        <v>2468</v>
      </c>
      <c r="F1144" s="91">
        <v>602294</v>
      </c>
      <c r="G1144" s="91">
        <v>5100200</v>
      </c>
      <c r="H1144" s="87"/>
      <c r="I1144" s="90" t="s">
        <v>7365</v>
      </c>
      <c r="J1144" s="88" t="str">
        <f t="shared" si="17"/>
        <v>不重复</v>
      </c>
      <c r="K1144" s="88" t="str">
        <f t="shared" si="17"/>
        <v>不重复</v>
      </c>
    </row>
    <row r="1145" spans="1:11" ht="20.25" customHeight="1">
      <c r="A1145" s="89" t="s">
        <v>3128</v>
      </c>
      <c r="B1145" s="90" t="s">
        <v>3129</v>
      </c>
      <c r="C1145" s="90" t="s">
        <v>3130</v>
      </c>
      <c r="D1145" s="90" t="s">
        <v>3131</v>
      </c>
      <c r="E1145" s="89" t="s">
        <v>2468</v>
      </c>
      <c r="F1145" s="91">
        <v>602295</v>
      </c>
      <c r="G1145" s="91">
        <v>5100200</v>
      </c>
      <c r="H1145" s="87"/>
      <c r="I1145" s="90" t="s">
        <v>7501</v>
      </c>
      <c r="J1145" s="88" t="str">
        <f t="shared" si="17"/>
        <v>不重复</v>
      </c>
      <c r="K1145" s="88" t="str">
        <f t="shared" si="17"/>
        <v>不重复</v>
      </c>
    </row>
    <row r="1146" spans="1:11" ht="20.25" customHeight="1">
      <c r="A1146" s="89" t="s">
        <v>3105</v>
      </c>
      <c r="B1146" s="90" t="s">
        <v>3106</v>
      </c>
      <c r="C1146" s="90" t="s">
        <v>1208</v>
      </c>
      <c r="D1146" s="90" t="s">
        <v>7606</v>
      </c>
      <c r="E1146" s="89" t="s">
        <v>2468</v>
      </c>
      <c r="F1146" s="91">
        <v>602296</v>
      </c>
      <c r="G1146" s="91">
        <v>5100200</v>
      </c>
      <c r="H1146" s="87"/>
      <c r="I1146" s="90" t="s">
        <v>25</v>
      </c>
      <c r="J1146" s="88" t="str">
        <f t="shared" si="17"/>
        <v>重复</v>
      </c>
      <c r="K1146" s="88" t="str">
        <f t="shared" si="17"/>
        <v>不重复</v>
      </c>
    </row>
    <row r="1147" spans="1:11" ht="20.25" customHeight="1">
      <c r="A1147" s="89" t="s">
        <v>3094</v>
      </c>
      <c r="B1147" s="90" t="s">
        <v>3095</v>
      </c>
      <c r="C1147" s="90" t="s">
        <v>3096</v>
      </c>
      <c r="D1147" s="90" t="s">
        <v>3097</v>
      </c>
      <c r="E1147" s="89" t="s">
        <v>2468</v>
      </c>
      <c r="F1147" s="91">
        <v>602297</v>
      </c>
      <c r="G1147" s="91">
        <v>5100200</v>
      </c>
      <c r="H1147" s="87"/>
      <c r="I1147" s="90" t="s">
        <v>7422</v>
      </c>
      <c r="J1147" s="88" t="str">
        <f t="shared" si="17"/>
        <v>不重复</v>
      </c>
      <c r="K1147" s="88" t="str">
        <f t="shared" si="17"/>
        <v>不重复</v>
      </c>
    </row>
    <row r="1148" spans="1:11" ht="20.25" customHeight="1">
      <c r="A1148" s="89" t="s">
        <v>3074</v>
      </c>
      <c r="B1148" s="90" t="s">
        <v>3075</v>
      </c>
      <c r="C1148" s="90" t="s">
        <v>3076</v>
      </c>
      <c r="D1148" s="90" t="s">
        <v>1127</v>
      </c>
      <c r="E1148" s="89" t="s">
        <v>2468</v>
      </c>
      <c r="F1148" s="91">
        <v>602298</v>
      </c>
      <c r="G1148" s="91">
        <v>5100200</v>
      </c>
      <c r="H1148" s="87"/>
      <c r="I1148" s="90" t="s">
        <v>7607</v>
      </c>
      <c r="J1148" s="88" t="str">
        <f t="shared" si="17"/>
        <v>重复</v>
      </c>
      <c r="K1148" s="88" t="str">
        <f t="shared" si="17"/>
        <v>不重复</v>
      </c>
    </row>
    <row r="1149" spans="1:11" ht="20.25" customHeight="1">
      <c r="A1149" s="89" t="s">
        <v>3101</v>
      </c>
      <c r="B1149" s="90" t="s">
        <v>3102</v>
      </c>
      <c r="C1149" s="90" t="s">
        <v>3103</v>
      </c>
      <c r="D1149" s="90" t="s">
        <v>3104</v>
      </c>
      <c r="E1149" s="89" t="s">
        <v>2468</v>
      </c>
      <c r="F1149" s="91">
        <v>602299</v>
      </c>
      <c r="G1149" s="91">
        <v>5100200</v>
      </c>
      <c r="H1149" s="87"/>
      <c r="I1149" s="90" t="s">
        <v>7243</v>
      </c>
      <c r="J1149" s="88" t="str">
        <f t="shared" si="17"/>
        <v>不重复</v>
      </c>
      <c r="K1149" s="88" t="str">
        <f t="shared" si="17"/>
        <v>不重复</v>
      </c>
    </row>
    <row r="1150" spans="1:11" ht="20.25" customHeight="1">
      <c r="A1150" s="89" t="s">
        <v>3070</v>
      </c>
      <c r="B1150" s="90" t="s">
        <v>3071</v>
      </c>
      <c r="C1150" s="90" t="s">
        <v>3072</v>
      </c>
      <c r="D1150" s="90" t="s">
        <v>3073</v>
      </c>
      <c r="E1150" s="89" t="s">
        <v>2468</v>
      </c>
      <c r="F1150" s="91">
        <v>602300</v>
      </c>
      <c r="G1150" s="91">
        <v>5100200</v>
      </c>
      <c r="H1150" s="87"/>
      <c r="I1150" s="90" t="s">
        <v>7422</v>
      </c>
      <c r="J1150" s="88" t="str">
        <f t="shared" si="17"/>
        <v>不重复</v>
      </c>
      <c r="K1150" s="88" t="str">
        <f t="shared" si="17"/>
        <v>不重复</v>
      </c>
    </row>
    <row r="1151" spans="1:11" ht="20.25" customHeight="1">
      <c r="A1151" s="89" t="s">
        <v>3068</v>
      </c>
      <c r="B1151" s="90" t="s">
        <v>3069</v>
      </c>
      <c r="C1151" s="90" t="s">
        <v>1970</v>
      </c>
      <c r="D1151" s="90" t="s">
        <v>7608</v>
      </c>
      <c r="E1151" s="89" t="s">
        <v>2468</v>
      </c>
      <c r="F1151" s="91">
        <v>602301</v>
      </c>
      <c r="G1151" s="91">
        <v>5100200</v>
      </c>
      <c r="H1151" s="87"/>
      <c r="I1151" s="90" t="s">
        <v>7609</v>
      </c>
      <c r="J1151" s="88" t="str">
        <f t="shared" si="17"/>
        <v>重复</v>
      </c>
      <c r="K1151" s="88" t="str">
        <f t="shared" si="17"/>
        <v>不重复</v>
      </c>
    </row>
    <row r="1152" spans="1:11" ht="20.25" customHeight="1">
      <c r="A1152" s="89" t="s">
        <v>3066</v>
      </c>
      <c r="B1152" s="90" t="s">
        <v>7610</v>
      </c>
      <c r="C1152" s="90" t="s">
        <v>1794</v>
      </c>
      <c r="D1152" s="90" t="s">
        <v>3067</v>
      </c>
      <c r="E1152" s="89" t="s">
        <v>2468</v>
      </c>
      <c r="F1152" s="91">
        <v>602302</v>
      </c>
      <c r="G1152" s="91">
        <v>5100200</v>
      </c>
      <c r="H1152" s="87"/>
      <c r="I1152" s="90" t="s">
        <v>7181</v>
      </c>
      <c r="J1152" s="88" t="str">
        <f t="shared" si="17"/>
        <v>重复</v>
      </c>
      <c r="K1152" s="88" t="str">
        <f t="shared" si="17"/>
        <v>不重复</v>
      </c>
    </row>
    <row r="1153" spans="1:11" ht="20.25" customHeight="1">
      <c r="A1153" s="89" t="s">
        <v>3084</v>
      </c>
      <c r="B1153" s="90" t="s">
        <v>7611</v>
      </c>
      <c r="C1153" s="90" t="s">
        <v>3085</v>
      </c>
      <c r="D1153" s="90" t="s">
        <v>3086</v>
      </c>
      <c r="E1153" s="89" t="s">
        <v>2468</v>
      </c>
      <c r="F1153" s="91">
        <v>602303</v>
      </c>
      <c r="G1153" s="91">
        <v>5100200</v>
      </c>
      <c r="H1153" s="87"/>
      <c r="I1153" s="90" t="s">
        <v>7612</v>
      </c>
      <c r="J1153" s="88" t="str">
        <f t="shared" si="17"/>
        <v>不重复</v>
      </c>
      <c r="K1153" s="88" t="str">
        <f t="shared" si="17"/>
        <v>不重复</v>
      </c>
    </row>
    <row r="1154" spans="1:11" ht="20.25" customHeight="1">
      <c r="A1154" s="89" t="s">
        <v>3077</v>
      </c>
      <c r="B1154" s="90" t="s">
        <v>3078</v>
      </c>
      <c r="C1154" s="90" t="s">
        <v>3079</v>
      </c>
      <c r="D1154" s="90" t="s">
        <v>3080</v>
      </c>
      <c r="E1154" s="89" t="s">
        <v>2468</v>
      </c>
      <c r="F1154" s="91">
        <v>602304</v>
      </c>
      <c r="G1154" s="91">
        <v>5100200</v>
      </c>
      <c r="H1154" s="87"/>
      <c r="I1154" s="90" t="s">
        <v>7422</v>
      </c>
      <c r="J1154" s="88" t="str">
        <f t="shared" si="17"/>
        <v>不重复</v>
      </c>
      <c r="K1154" s="88" t="str">
        <f t="shared" si="17"/>
        <v>不重复</v>
      </c>
    </row>
    <row r="1155" spans="1:11" ht="20.25" customHeight="1">
      <c r="A1155" s="89" t="s">
        <v>3087</v>
      </c>
      <c r="B1155" s="90" t="s">
        <v>3088</v>
      </c>
      <c r="C1155" s="90" t="s">
        <v>3089</v>
      </c>
      <c r="D1155" s="90" t="s">
        <v>3090</v>
      </c>
      <c r="E1155" s="89" t="s">
        <v>2468</v>
      </c>
      <c r="F1155" s="91">
        <v>602305</v>
      </c>
      <c r="G1155" s="91">
        <v>5100200</v>
      </c>
      <c r="H1155" s="87"/>
      <c r="I1155" s="90" t="s">
        <v>7501</v>
      </c>
      <c r="J1155" s="88" t="str">
        <f t="shared" si="18" ref="J1155:K1218">IF(COUNTIF(C:C,C1155)&gt;=2,"重复","不重复")</f>
        <v>不重复</v>
      </c>
      <c r="K1155" s="88" t="str">
        <f t="shared" si="18"/>
        <v>不重复</v>
      </c>
    </row>
    <row r="1156" spans="1:11" ht="20.25" customHeight="1">
      <c r="A1156" s="89" t="s">
        <v>3091</v>
      </c>
      <c r="B1156" s="90" t="s">
        <v>3092</v>
      </c>
      <c r="C1156" s="90" t="s">
        <v>3093</v>
      </c>
      <c r="D1156" s="90" t="s">
        <v>5230</v>
      </c>
      <c r="E1156" s="89" t="s">
        <v>2468</v>
      </c>
      <c r="F1156" s="91">
        <v>602306</v>
      </c>
      <c r="G1156" s="91">
        <v>5100200</v>
      </c>
      <c r="H1156" s="87"/>
      <c r="I1156" s="90" t="s">
        <v>7297</v>
      </c>
      <c r="J1156" s="88" t="str">
        <f t="shared" si="18"/>
        <v>不重复</v>
      </c>
      <c r="K1156" s="88" t="str">
        <f t="shared" si="18"/>
        <v>不重复</v>
      </c>
    </row>
    <row r="1157" spans="1:11" ht="20.25" customHeight="1">
      <c r="A1157" s="89" t="s">
        <v>3081</v>
      </c>
      <c r="B1157" s="90" t="s">
        <v>3082</v>
      </c>
      <c r="C1157" s="90" t="s">
        <v>3083</v>
      </c>
      <c r="D1157" s="90" t="s">
        <v>7613</v>
      </c>
      <c r="E1157" s="89" t="s">
        <v>2468</v>
      </c>
      <c r="F1157" s="91">
        <v>602307</v>
      </c>
      <c r="G1157" s="91">
        <v>5100200</v>
      </c>
      <c r="H1157" s="87"/>
      <c r="I1157" s="90" t="s">
        <v>7422</v>
      </c>
      <c r="J1157" s="88" t="str">
        <f t="shared" si="18"/>
        <v>不重复</v>
      </c>
      <c r="K1157" s="88" t="str">
        <f t="shared" si="18"/>
        <v>不重复</v>
      </c>
    </row>
    <row r="1158" spans="1:11" ht="20.25" customHeight="1">
      <c r="A1158" s="89" t="s">
        <v>3098</v>
      </c>
      <c r="B1158" s="90" t="s">
        <v>3099</v>
      </c>
      <c r="C1158" s="90" t="s">
        <v>3100</v>
      </c>
      <c r="D1158" s="90" t="s">
        <v>646</v>
      </c>
      <c r="E1158" s="89" t="s">
        <v>2468</v>
      </c>
      <c r="F1158" s="91">
        <v>602308</v>
      </c>
      <c r="G1158" s="91">
        <v>5100200</v>
      </c>
      <c r="H1158" s="87"/>
      <c r="I1158" s="90" t="s">
        <v>7286</v>
      </c>
      <c r="J1158" s="88" t="str">
        <f t="shared" si="18"/>
        <v>不重复</v>
      </c>
      <c r="K1158" s="88" t="str">
        <f t="shared" si="18"/>
        <v>不重复</v>
      </c>
    </row>
    <row r="1159" spans="1:11" ht="20.25" customHeight="1">
      <c r="A1159" s="84" t="s">
        <v>7614</v>
      </c>
      <c r="B1159" s="85" t="s">
        <v>7615</v>
      </c>
      <c r="C1159" s="85" t="s">
        <v>7616</v>
      </c>
      <c r="D1159" s="85" t="s">
        <v>7617</v>
      </c>
      <c r="E1159" s="84" t="s">
        <v>2468</v>
      </c>
      <c r="F1159" s="86">
        <v>602309</v>
      </c>
      <c r="G1159" s="86">
        <v>5100200</v>
      </c>
      <c r="H1159" s="87"/>
      <c r="I1159" s="85" t="s">
        <v>25</v>
      </c>
      <c r="J1159" s="88" t="str">
        <f t="shared" si="18"/>
        <v>不重复</v>
      </c>
      <c r="K1159" s="88" t="str">
        <f t="shared" si="18"/>
        <v>不重复</v>
      </c>
    </row>
    <row r="1160" spans="1:11" ht="20.25" customHeight="1">
      <c r="A1160" s="84" t="s">
        <v>3150</v>
      </c>
      <c r="B1160" s="85" t="s">
        <v>3151</v>
      </c>
      <c r="C1160" s="85" t="s">
        <v>3152</v>
      </c>
      <c r="D1160" s="85" t="s">
        <v>3153</v>
      </c>
      <c r="E1160" s="84" t="s">
        <v>2468</v>
      </c>
      <c r="F1160" s="86">
        <v>602310</v>
      </c>
      <c r="G1160" s="86">
        <v>5100200</v>
      </c>
      <c r="H1160" s="87"/>
      <c r="I1160" s="85" t="s">
        <v>7618</v>
      </c>
      <c r="J1160" s="88" t="str">
        <f t="shared" si="18"/>
        <v>重复</v>
      </c>
      <c r="K1160" s="88" t="str">
        <f t="shared" si="18"/>
        <v>不重复</v>
      </c>
    </row>
    <row r="1161" spans="1:11" ht="20.25" customHeight="1">
      <c r="A1161" s="89" t="s">
        <v>7619</v>
      </c>
      <c r="B1161" s="90" t="s">
        <v>7620</v>
      </c>
      <c r="C1161" s="90" t="s">
        <v>1061</v>
      </c>
      <c r="D1161" s="90" t="s">
        <v>7621</v>
      </c>
      <c r="E1161" s="89" t="s">
        <v>2468</v>
      </c>
      <c r="F1161" s="91">
        <v>602311</v>
      </c>
      <c r="G1161" s="91">
        <v>5100200</v>
      </c>
      <c r="H1161" s="87"/>
      <c r="I1161" s="90" t="s">
        <v>25</v>
      </c>
      <c r="J1161" s="88" t="str">
        <f t="shared" si="18"/>
        <v>重复</v>
      </c>
      <c r="K1161" s="88" t="str">
        <f t="shared" si="18"/>
        <v>不重复</v>
      </c>
    </row>
    <row r="1162" spans="1:11" ht="20.25" customHeight="1">
      <c r="A1162" s="89" t="s">
        <v>3158</v>
      </c>
      <c r="B1162" s="90" t="s">
        <v>3159</v>
      </c>
      <c r="C1162" s="90" t="s">
        <v>657</v>
      </c>
      <c r="D1162" s="90" t="s">
        <v>3160</v>
      </c>
      <c r="E1162" s="89" t="s">
        <v>2468</v>
      </c>
      <c r="F1162" s="91">
        <v>602312</v>
      </c>
      <c r="G1162" s="91">
        <v>5100200</v>
      </c>
      <c r="H1162" s="87"/>
      <c r="I1162" s="90" t="s">
        <v>7426</v>
      </c>
      <c r="J1162" s="88" t="str">
        <f t="shared" si="18"/>
        <v>不重复</v>
      </c>
      <c r="K1162" s="88" t="str">
        <f t="shared" si="18"/>
        <v>不重复</v>
      </c>
    </row>
    <row r="1163" spans="1:11" ht="20.25" customHeight="1">
      <c r="A1163" s="89" t="s">
        <v>3161</v>
      </c>
      <c r="B1163" s="90" t="s">
        <v>3162</v>
      </c>
      <c r="C1163" s="90" t="s">
        <v>3163</v>
      </c>
      <c r="D1163" s="90" t="s">
        <v>3164</v>
      </c>
      <c r="E1163" s="89" t="s">
        <v>2468</v>
      </c>
      <c r="F1163" s="91">
        <v>602313</v>
      </c>
      <c r="G1163" s="91">
        <v>5100200</v>
      </c>
      <c r="H1163" s="87"/>
      <c r="I1163" s="90" t="s">
        <v>7291</v>
      </c>
      <c r="J1163" s="88" t="str">
        <f t="shared" si="18"/>
        <v>不重复</v>
      </c>
      <c r="K1163" s="88" t="str">
        <f t="shared" si="18"/>
        <v>不重复</v>
      </c>
    </row>
    <row r="1164" spans="1:11" ht="20.25" customHeight="1">
      <c r="A1164" s="89" t="s">
        <v>3154</v>
      </c>
      <c r="B1164" s="90" t="s">
        <v>3155</v>
      </c>
      <c r="C1164" s="90" t="s">
        <v>3156</v>
      </c>
      <c r="D1164" s="90" t="s">
        <v>3157</v>
      </c>
      <c r="E1164" s="89" t="s">
        <v>2468</v>
      </c>
      <c r="F1164" s="91">
        <v>602314</v>
      </c>
      <c r="G1164" s="91">
        <v>5100200</v>
      </c>
      <c r="H1164" s="87"/>
      <c r="I1164" s="90" t="s">
        <v>7335</v>
      </c>
      <c r="J1164" s="88" t="str">
        <f t="shared" si="18"/>
        <v>不重复</v>
      </c>
      <c r="K1164" s="88" t="str">
        <f t="shared" si="18"/>
        <v>不重复</v>
      </c>
    </row>
    <row r="1165" spans="1:11" ht="20.25" customHeight="1">
      <c r="A1165" s="89" t="s">
        <v>3189</v>
      </c>
      <c r="B1165" s="90" t="s">
        <v>7622</v>
      </c>
      <c r="C1165" s="90" t="s">
        <v>3076</v>
      </c>
      <c r="D1165" s="90" t="s">
        <v>3190</v>
      </c>
      <c r="E1165" s="89" t="s">
        <v>2468</v>
      </c>
      <c r="F1165" s="91">
        <v>602316</v>
      </c>
      <c r="G1165" s="91">
        <v>5100200</v>
      </c>
      <c r="H1165" s="87"/>
      <c r="I1165" s="90" t="s">
        <v>7623</v>
      </c>
      <c r="J1165" s="88" t="str">
        <f t="shared" si="18"/>
        <v>重复</v>
      </c>
      <c r="K1165" s="88" t="str">
        <f t="shared" si="18"/>
        <v>不重复</v>
      </c>
    </row>
    <row r="1166" spans="1:11" ht="20.25" customHeight="1">
      <c r="A1166" s="84" t="s">
        <v>7624</v>
      </c>
      <c r="B1166" s="85" t="s">
        <v>7625</v>
      </c>
      <c r="C1166" s="85" t="s">
        <v>7626</v>
      </c>
      <c r="D1166" s="85" t="s">
        <v>7627</v>
      </c>
      <c r="E1166" s="84" t="s">
        <v>2468</v>
      </c>
      <c r="F1166" s="86">
        <v>602317</v>
      </c>
      <c r="G1166" s="86">
        <v>5100200</v>
      </c>
      <c r="H1166" s="87"/>
      <c r="I1166" s="85" t="s">
        <v>25</v>
      </c>
      <c r="J1166" s="88" t="str">
        <f t="shared" si="18"/>
        <v>不重复</v>
      </c>
      <c r="K1166" s="88" t="str">
        <f t="shared" si="18"/>
        <v>不重复</v>
      </c>
    </row>
    <row r="1167" spans="1:11" ht="20.25" customHeight="1">
      <c r="A1167" s="84" t="s">
        <v>3165</v>
      </c>
      <c r="B1167" s="85" t="s">
        <v>3166</v>
      </c>
      <c r="C1167" s="85" t="s">
        <v>92</v>
      </c>
      <c r="D1167" s="85" t="s">
        <v>3167</v>
      </c>
      <c r="E1167" s="84" t="s">
        <v>2468</v>
      </c>
      <c r="F1167" s="86">
        <v>602318</v>
      </c>
      <c r="G1167" s="86">
        <v>5100200</v>
      </c>
      <c r="H1167" s="87"/>
      <c r="I1167" s="85" t="s">
        <v>7296</v>
      </c>
      <c r="J1167" s="88" t="str">
        <f t="shared" si="18"/>
        <v>重复</v>
      </c>
      <c r="K1167" s="88" t="str">
        <f t="shared" si="18"/>
        <v>不重复</v>
      </c>
    </row>
    <row r="1168" spans="1:11" ht="20.25" customHeight="1">
      <c r="A1168" s="84" t="s">
        <v>3187</v>
      </c>
      <c r="B1168" s="85" t="s">
        <v>3188</v>
      </c>
      <c r="C1168" s="85" t="s">
        <v>905</v>
      </c>
      <c r="D1168" s="85" t="s">
        <v>1369</v>
      </c>
      <c r="E1168" s="84" t="s">
        <v>2468</v>
      </c>
      <c r="F1168" s="86">
        <v>602319</v>
      </c>
      <c r="G1168" s="86">
        <v>5100200</v>
      </c>
      <c r="H1168" s="87"/>
      <c r="I1168" s="85" t="s">
        <v>25</v>
      </c>
      <c r="J1168" s="88" t="str">
        <f t="shared" si="18"/>
        <v>重复</v>
      </c>
      <c r="K1168" s="88" t="str">
        <f t="shared" si="18"/>
        <v>不重复</v>
      </c>
    </row>
    <row r="1169" spans="1:11" ht="20.25" customHeight="1">
      <c r="A1169" s="84" t="s">
        <v>3179</v>
      </c>
      <c r="B1169" s="85" t="s">
        <v>3180</v>
      </c>
      <c r="C1169" s="85" t="s">
        <v>3181</v>
      </c>
      <c r="D1169" s="85" t="s">
        <v>3182</v>
      </c>
      <c r="E1169" s="84" t="s">
        <v>2468</v>
      </c>
      <c r="F1169" s="86">
        <v>602320</v>
      </c>
      <c r="G1169" s="86">
        <v>5100200</v>
      </c>
      <c r="H1169" s="87"/>
      <c r="I1169" s="85" t="s">
        <v>7294</v>
      </c>
      <c r="J1169" s="88" t="str">
        <f t="shared" si="18"/>
        <v>重复</v>
      </c>
      <c r="K1169" s="88" t="str">
        <f t="shared" si="18"/>
        <v>不重复</v>
      </c>
    </row>
    <row r="1170" spans="1:11" ht="20.25" customHeight="1">
      <c r="A1170" s="84" t="s">
        <v>3172</v>
      </c>
      <c r="B1170" s="85" t="s">
        <v>3173</v>
      </c>
      <c r="C1170" s="85" t="s">
        <v>1263</v>
      </c>
      <c r="D1170" s="85" t="s">
        <v>3174</v>
      </c>
      <c r="E1170" s="84" t="s">
        <v>2468</v>
      </c>
      <c r="F1170" s="86">
        <v>602321</v>
      </c>
      <c r="G1170" s="86">
        <v>5100200</v>
      </c>
      <c r="H1170" s="87"/>
      <c r="I1170" s="85" t="s">
        <v>7628</v>
      </c>
      <c r="J1170" s="88" t="str">
        <f t="shared" si="18"/>
        <v>重复</v>
      </c>
      <c r="K1170" s="88" t="str">
        <f t="shared" si="18"/>
        <v>不重复</v>
      </c>
    </row>
    <row r="1171" spans="1:11" ht="20.25" customHeight="1">
      <c r="A1171" s="84" t="s">
        <v>3168</v>
      </c>
      <c r="B1171" s="85" t="s">
        <v>3169</v>
      </c>
      <c r="C1171" s="85" t="s">
        <v>3170</v>
      </c>
      <c r="D1171" s="85" t="s">
        <v>3171</v>
      </c>
      <c r="E1171" s="84" t="s">
        <v>2468</v>
      </c>
      <c r="F1171" s="86">
        <v>602322</v>
      </c>
      <c r="G1171" s="86">
        <v>5100200</v>
      </c>
      <c r="H1171" s="87"/>
      <c r="I1171" s="85" t="s">
        <v>7286</v>
      </c>
      <c r="J1171" s="88" t="str">
        <f t="shared" si="18"/>
        <v>不重复</v>
      </c>
      <c r="K1171" s="88" t="str">
        <f t="shared" si="18"/>
        <v>不重复</v>
      </c>
    </row>
    <row r="1172" spans="1:11" ht="20.25" customHeight="1">
      <c r="A1172" s="84" t="s">
        <v>3183</v>
      </c>
      <c r="B1172" s="85" t="s">
        <v>3184</v>
      </c>
      <c r="C1172" s="85" t="s">
        <v>3185</v>
      </c>
      <c r="D1172" s="85" t="s">
        <v>3186</v>
      </c>
      <c r="E1172" s="84" t="s">
        <v>2468</v>
      </c>
      <c r="F1172" s="86">
        <v>602323</v>
      </c>
      <c r="G1172" s="86">
        <v>5100200</v>
      </c>
      <c r="H1172" s="87"/>
      <c r="I1172" s="85" t="s">
        <v>7286</v>
      </c>
      <c r="J1172" s="88" t="str">
        <f t="shared" si="18"/>
        <v>重复</v>
      </c>
      <c r="K1172" s="88" t="str">
        <f t="shared" si="18"/>
        <v>不重复</v>
      </c>
    </row>
    <row r="1173" spans="1:11" ht="20.25" customHeight="1">
      <c r="A1173" s="84" t="s">
        <v>3175</v>
      </c>
      <c r="B1173" s="85" t="s">
        <v>3176</v>
      </c>
      <c r="C1173" s="85" t="s">
        <v>3177</v>
      </c>
      <c r="D1173" s="85" t="s">
        <v>3178</v>
      </c>
      <c r="E1173" s="84" t="s">
        <v>2468</v>
      </c>
      <c r="F1173" s="86">
        <v>602324</v>
      </c>
      <c r="G1173" s="86">
        <v>5100200</v>
      </c>
      <c r="H1173" s="87"/>
      <c r="I1173" s="85" t="s">
        <v>7618</v>
      </c>
      <c r="J1173" s="88" t="str">
        <f t="shared" si="18"/>
        <v>重复</v>
      </c>
      <c r="K1173" s="88" t="str">
        <f t="shared" si="18"/>
        <v>不重复</v>
      </c>
    </row>
    <row r="1174" spans="1:11" ht="20.25" customHeight="1">
      <c r="A1174" s="89" t="s">
        <v>7629</v>
      </c>
      <c r="B1174" s="90" t="s">
        <v>5233</v>
      </c>
      <c r="C1174" s="90" t="s">
        <v>7630</v>
      </c>
      <c r="D1174" s="90" t="s">
        <v>7631</v>
      </c>
      <c r="E1174" s="89" t="s">
        <v>2468</v>
      </c>
      <c r="F1174" s="91">
        <v>602325</v>
      </c>
      <c r="G1174" s="91">
        <v>5100200</v>
      </c>
      <c r="H1174" s="87"/>
      <c r="I1174" s="90" t="s">
        <v>25</v>
      </c>
      <c r="J1174" s="88" t="str">
        <f t="shared" si="18"/>
        <v>不重复</v>
      </c>
      <c r="K1174" s="88" t="str">
        <f t="shared" si="18"/>
        <v>不重复</v>
      </c>
    </row>
    <row r="1175" spans="1:11" ht="20.25" customHeight="1">
      <c r="A1175" s="89" t="s">
        <v>3207</v>
      </c>
      <c r="B1175" s="90" t="s">
        <v>7632</v>
      </c>
      <c r="C1175" s="90" t="s">
        <v>7633</v>
      </c>
      <c r="D1175" s="90" t="s">
        <v>7634</v>
      </c>
      <c r="E1175" s="89" t="s">
        <v>2468</v>
      </c>
      <c r="F1175" s="91">
        <v>602326</v>
      </c>
      <c r="G1175" s="91">
        <v>5100200</v>
      </c>
      <c r="H1175" s="87"/>
      <c r="I1175" s="90" t="s">
        <v>7167</v>
      </c>
      <c r="J1175" s="88" t="str">
        <f t="shared" si="18"/>
        <v>不重复</v>
      </c>
      <c r="K1175" s="88" t="str">
        <f t="shared" si="18"/>
        <v>不重复</v>
      </c>
    </row>
    <row r="1176" spans="1:11" ht="20.25" customHeight="1">
      <c r="A1176" s="89" t="s">
        <v>3204</v>
      </c>
      <c r="B1176" s="90" t="s">
        <v>7635</v>
      </c>
      <c r="C1176" s="90" t="s">
        <v>7636</v>
      </c>
      <c r="D1176" s="90" t="s">
        <v>7637</v>
      </c>
      <c r="E1176" s="89" t="s">
        <v>2468</v>
      </c>
      <c r="F1176" s="91">
        <v>602327</v>
      </c>
      <c r="G1176" s="91">
        <v>5100200</v>
      </c>
      <c r="H1176" s="87"/>
      <c r="I1176" s="90" t="s">
        <v>7501</v>
      </c>
      <c r="J1176" s="88" t="str">
        <f t="shared" si="18"/>
        <v>不重复</v>
      </c>
      <c r="K1176" s="88" t="str">
        <f t="shared" si="18"/>
        <v>不重复</v>
      </c>
    </row>
    <row r="1177" spans="1:11" ht="20.25" customHeight="1">
      <c r="A1177" s="89" t="s">
        <v>3213</v>
      </c>
      <c r="B1177" s="90" t="s">
        <v>7638</v>
      </c>
      <c r="C1177" s="90" t="s">
        <v>7639</v>
      </c>
      <c r="D1177" s="90" t="s">
        <v>3214</v>
      </c>
      <c r="E1177" s="89" t="s">
        <v>2468</v>
      </c>
      <c r="F1177" s="91">
        <v>602328</v>
      </c>
      <c r="G1177" s="91">
        <v>5100200</v>
      </c>
      <c r="H1177" s="87"/>
      <c r="I1177" s="90" t="s">
        <v>7640</v>
      </c>
      <c r="J1177" s="88" t="str">
        <f t="shared" si="18"/>
        <v>不重复</v>
      </c>
      <c r="K1177" s="88" t="str">
        <f t="shared" si="18"/>
        <v>不重复</v>
      </c>
    </row>
    <row r="1178" spans="1:11" ht="20.25" customHeight="1">
      <c r="A1178" s="89" t="s">
        <v>3200</v>
      </c>
      <c r="B1178" s="90" t="s">
        <v>7641</v>
      </c>
      <c r="C1178" s="90" t="s">
        <v>5232</v>
      </c>
      <c r="D1178" s="90" t="s">
        <v>3201</v>
      </c>
      <c r="E1178" s="89" t="s">
        <v>2468</v>
      </c>
      <c r="F1178" s="91">
        <v>602329</v>
      </c>
      <c r="G1178" s="91">
        <v>5100200</v>
      </c>
      <c r="H1178" s="87"/>
      <c r="I1178" s="90" t="s">
        <v>7501</v>
      </c>
      <c r="J1178" s="88" t="str">
        <f t="shared" si="18"/>
        <v>不重复</v>
      </c>
      <c r="K1178" s="88" t="str">
        <f t="shared" si="18"/>
        <v>不重复</v>
      </c>
    </row>
    <row r="1179" spans="1:11" ht="20.25" customHeight="1">
      <c r="A1179" s="89" t="s">
        <v>3217</v>
      </c>
      <c r="B1179" s="90" t="s">
        <v>7642</v>
      </c>
      <c r="C1179" s="90" t="s">
        <v>7643</v>
      </c>
      <c r="D1179" s="90" t="s">
        <v>3218</v>
      </c>
      <c r="E1179" s="89" t="s">
        <v>2468</v>
      </c>
      <c r="F1179" s="91">
        <v>602330</v>
      </c>
      <c r="G1179" s="91">
        <v>5100200</v>
      </c>
      <c r="H1179" s="87"/>
      <c r="I1179" s="90" t="s">
        <v>7644</v>
      </c>
      <c r="J1179" s="88" t="str">
        <f t="shared" si="18"/>
        <v>不重复</v>
      </c>
      <c r="K1179" s="88" t="str">
        <f t="shared" si="18"/>
        <v>不重复</v>
      </c>
    </row>
    <row r="1180" spans="1:11" ht="20.25" customHeight="1">
      <c r="A1180" s="89" t="s">
        <v>3196</v>
      </c>
      <c r="B1180" s="90" t="s">
        <v>7645</v>
      </c>
      <c r="C1180" s="90" t="s">
        <v>3197</v>
      </c>
      <c r="D1180" s="90" t="s">
        <v>3198</v>
      </c>
      <c r="E1180" s="89" t="s">
        <v>2468</v>
      </c>
      <c r="F1180" s="91">
        <v>602331</v>
      </c>
      <c r="G1180" s="91">
        <v>5100200</v>
      </c>
      <c r="H1180" s="87"/>
      <c r="I1180" s="90" t="s">
        <v>7167</v>
      </c>
      <c r="J1180" s="88" t="str">
        <f t="shared" si="18"/>
        <v>不重复</v>
      </c>
      <c r="K1180" s="88" t="str">
        <f t="shared" si="18"/>
        <v>不重复</v>
      </c>
    </row>
    <row r="1181" spans="1:11" ht="20.25" customHeight="1">
      <c r="A1181" s="89" t="s">
        <v>3211</v>
      </c>
      <c r="B1181" s="90" t="s">
        <v>7646</v>
      </c>
      <c r="C1181" s="90" t="s">
        <v>7647</v>
      </c>
      <c r="D1181" s="90" t="s">
        <v>3212</v>
      </c>
      <c r="E1181" s="89" t="s">
        <v>2468</v>
      </c>
      <c r="F1181" s="91">
        <v>602332</v>
      </c>
      <c r="G1181" s="91">
        <v>5100200</v>
      </c>
      <c r="H1181" s="87"/>
      <c r="I1181" s="90" t="s">
        <v>7370</v>
      </c>
      <c r="J1181" s="88" t="str">
        <f t="shared" si="18"/>
        <v>不重复</v>
      </c>
      <c r="K1181" s="88" t="str">
        <f t="shared" si="18"/>
        <v>不重复</v>
      </c>
    </row>
    <row r="1182" spans="1:11" ht="20.25" customHeight="1">
      <c r="A1182" s="89" t="s">
        <v>3205</v>
      </c>
      <c r="B1182" s="90" t="s">
        <v>7648</v>
      </c>
      <c r="C1182" s="90" t="s">
        <v>7649</v>
      </c>
      <c r="D1182" s="90" t="s">
        <v>3206</v>
      </c>
      <c r="E1182" s="89" t="s">
        <v>2468</v>
      </c>
      <c r="F1182" s="91">
        <v>602333</v>
      </c>
      <c r="G1182" s="91">
        <v>5100200</v>
      </c>
      <c r="H1182" s="87"/>
      <c r="I1182" s="90" t="s">
        <v>7650</v>
      </c>
      <c r="J1182" s="88" t="str">
        <f t="shared" si="18"/>
        <v>不重复</v>
      </c>
      <c r="K1182" s="88" t="str">
        <f t="shared" si="18"/>
        <v>不重复</v>
      </c>
    </row>
    <row r="1183" spans="1:11" ht="20.25" customHeight="1">
      <c r="A1183" s="89" t="s">
        <v>3202</v>
      </c>
      <c r="B1183" s="90" t="s">
        <v>7651</v>
      </c>
      <c r="C1183" s="90" t="s">
        <v>7652</v>
      </c>
      <c r="D1183" s="90" t="s">
        <v>3203</v>
      </c>
      <c r="E1183" s="89" t="s">
        <v>2468</v>
      </c>
      <c r="F1183" s="91">
        <v>602334</v>
      </c>
      <c r="G1183" s="91">
        <v>5100200</v>
      </c>
      <c r="H1183" s="87"/>
      <c r="I1183" s="90" t="s">
        <v>7181</v>
      </c>
      <c r="J1183" s="88" t="str">
        <f t="shared" si="18"/>
        <v>不重复</v>
      </c>
      <c r="K1183" s="88" t="str">
        <f t="shared" si="18"/>
        <v>不重复</v>
      </c>
    </row>
    <row r="1184" spans="1:11" ht="20.25" customHeight="1">
      <c r="A1184" s="89" t="s">
        <v>3199</v>
      </c>
      <c r="B1184" s="90" t="s">
        <v>7653</v>
      </c>
      <c r="C1184" s="90" t="s">
        <v>7654</v>
      </c>
      <c r="D1184" s="90" t="s">
        <v>5231</v>
      </c>
      <c r="E1184" s="89" t="s">
        <v>2468</v>
      </c>
      <c r="F1184" s="91">
        <v>602335</v>
      </c>
      <c r="G1184" s="91">
        <v>5100200</v>
      </c>
      <c r="H1184" s="87"/>
      <c r="I1184" s="90" t="s">
        <v>7167</v>
      </c>
      <c r="J1184" s="88" t="str">
        <f t="shared" si="18"/>
        <v>不重复</v>
      </c>
      <c r="K1184" s="88" t="str">
        <f t="shared" si="18"/>
        <v>不重复</v>
      </c>
    </row>
    <row r="1185" spans="1:11" ht="20.25" customHeight="1">
      <c r="A1185" s="89" t="s">
        <v>3208</v>
      </c>
      <c r="B1185" s="90" t="s">
        <v>7655</v>
      </c>
      <c r="C1185" s="90" t="s">
        <v>3209</v>
      </c>
      <c r="D1185" s="90" t="s">
        <v>3210</v>
      </c>
      <c r="E1185" s="89" t="s">
        <v>2468</v>
      </c>
      <c r="F1185" s="91">
        <v>602336</v>
      </c>
      <c r="G1185" s="91">
        <v>5100200</v>
      </c>
      <c r="H1185" s="87"/>
      <c r="I1185" s="90" t="s">
        <v>7501</v>
      </c>
      <c r="J1185" s="88" t="str">
        <f t="shared" si="18"/>
        <v>不重复</v>
      </c>
      <c r="K1185" s="88" t="str">
        <f t="shared" si="18"/>
        <v>不重复</v>
      </c>
    </row>
    <row r="1186" spans="1:11" ht="20.25" customHeight="1">
      <c r="A1186" s="89" t="s">
        <v>3215</v>
      </c>
      <c r="B1186" s="90" t="s">
        <v>7656</v>
      </c>
      <c r="C1186" s="90" t="s">
        <v>7657</v>
      </c>
      <c r="D1186" s="90" t="s">
        <v>3216</v>
      </c>
      <c r="E1186" s="89" t="s">
        <v>2468</v>
      </c>
      <c r="F1186" s="91">
        <v>602337</v>
      </c>
      <c r="G1186" s="91">
        <v>5100200</v>
      </c>
      <c r="H1186" s="87"/>
      <c r="I1186" s="90" t="s">
        <v>7422</v>
      </c>
      <c r="J1186" s="88" t="str">
        <f t="shared" si="18"/>
        <v>不重复</v>
      </c>
      <c r="K1186" s="88" t="str">
        <f t="shared" si="18"/>
        <v>不重复</v>
      </c>
    </row>
    <row r="1187" spans="1:11" ht="20.25" customHeight="1">
      <c r="A1187" s="84" t="s">
        <v>7658</v>
      </c>
      <c r="B1187" s="85" t="s">
        <v>7659</v>
      </c>
      <c r="C1187" s="85" t="s">
        <v>7660</v>
      </c>
      <c r="D1187" s="85" t="s">
        <v>7661</v>
      </c>
      <c r="E1187" s="84" t="s">
        <v>2468</v>
      </c>
      <c r="F1187" s="86">
        <v>602338</v>
      </c>
      <c r="G1187" s="86">
        <v>5100200</v>
      </c>
      <c r="H1187" s="87"/>
      <c r="I1187" s="85" t="s">
        <v>25</v>
      </c>
      <c r="J1187" s="88" t="str">
        <f t="shared" si="18"/>
        <v>不重复</v>
      </c>
      <c r="K1187" s="88" t="str">
        <f t="shared" si="18"/>
        <v>不重复</v>
      </c>
    </row>
    <row r="1188" spans="1:11" ht="20.25" customHeight="1">
      <c r="A1188" s="84" t="s">
        <v>3191</v>
      </c>
      <c r="B1188" s="85" t="s">
        <v>7662</v>
      </c>
      <c r="C1188" s="85" t="s">
        <v>2082</v>
      </c>
      <c r="D1188" s="85" t="s">
        <v>601</v>
      </c>
      <c r="E1188" s="84" t="s">
        <v>2468</v>
      </c>
      <c r="F1188" s="86">
        <v>602339</v>
      </c>
      <c r="G1188" s="86">
        <v>5100200</v>
      </c>
      <c r="H1188" s="87"/>
      <c r="I1188" s="85" t="s">
        <v>7181</v>
      </c>
      <c r="J1188" s="88" t="str">
        <f t="shared" si="18"/>
        <v>重复</v>
      </c>
      <c r="K1188" s="88" t="str">
        <f t="shared" si="18"/>
        <v>不重复</v>
      </c>
    </row>
    <row r="1189" spans="1:11" ht="20.25" customHeight="1">
      <c r="A1189" s="84" t="s">
        <v>3192</v>
      </c>
      <c r="B1189" s="85" t="s">
        <v>7663</v>
      </c>
      <c r="C1189" s="85" t="s">
        <v>3193</v>
      </c>
      <c r="D1189" s="85" t="s">
        <v>2424</v>
      </c>
      <c r="E1189" s="84" t="s">
        <v>2468</v>
      </c>
      <c r="F1189" s="86">
        <v>602340</v>
      </c>
      <c r="G1189" s="86">
        <v>5100200</v>
      </c>
      <c r="H1189" s="87"/>
      <c r="I1189" s="85" t="s">
        <v>7501</v>
      </c>
      <c r="J1189" s="88" t="str">
        <f t="shared" si="18"/>
        <v>重复</v>
      </c>
      <c r="K1189" s="88" t="str">
        <f t="shared" si="18"/>
        <v>不重复</v>
      </c>
    </row>
    <row r="1190" spans="1:11" ht="20.25" customHeight="1">
      <c r="A1190" s="84" t="s">
        <v>3194</v>
      </c>
      <c r="B1190" s="85" t="s">
        <v>7664</v>
      </c>
      <c r="C1190" s="85" t="s">
        <v>3193</v>
      </c>
      <c r="D1190" s="85" t="s">
        <v>3195</v>
      </c>
      <c r="E1190" s="84" t="s">
        <v>2468</v>
      </c>
      <c r="F1190" s="86">
        <v>602341</v>
      </c>
      <c r="G1190" s="86">
        <v>5100200</v>
      </c>
      <c r="H1190" s="87"/>
      <c r="I1190" s="85" t="s">
        <v>7167</v>
      </c>
      <c r="J1190" s="88" t="str">
        <f t="shared" si="18"/>
        <v>重复</v>
      </c>
      <c r="K1190" s="88" t="str">
        <f t="shared" si="18"/>
        <v>不重复</v>
      </c>
    </row>
    <row r="1191" spans="1:11" ht="20.25" customHeight="1">
      <c r="A1191" s="89" t="s">
        <v>3221</v>
      </c>
      <c r="B1191" s="90" t="s">
        <v>7665</v>
      </c>
      <c r="C1191" s="90" t="s">
        <v>7666</v>
      </c>
      <c r="D1191" s="90" t="s">
        <v>3222</v>
      </c>
      <c r="E1191" s="89" t="s">
        <v>2468</v>
      </c>
      <c r="F1191" s="91">
        <v>602343</v>
      </c>
      <c r="G1191" s="91">
        <v>5100200</v>
      </c>
      <c r="H1191" s="87"/>
      <c r="I1191" s="90" t="s">
        <v>7667</v>
      </c>
      <c r="J1191" s="88" t="str">
        <f t="shared" si="18"/>
        <v>不重复</v>
      </c>
      <c r="K1191" s="88" t="str">
        <f t="shared" si="18"/>
        <v>不重复</v>
      </c>
    </row>
    <row r="1192" spans="1:11" ht="20.25" customHeight="1">
      <c r="A1192" s="89" t="s">
        <v>3223</v>
      </c>
      <c r="B1192" s="90" t="s">
        <v>7668</v>
      </c>
      <c r="C1192" s="90" t="s">
        <v>675</v>
      </c>
      <c r="D1192" s="90" t="s">
        <v>3224</v>
      </c>
      <c r="E1192" s="89" t="s">
        <v>2468</v>
      </c>
      <c r="F1192" s="91">
        <v>602344</v>
      </c>
      <c r="G1192" s="91">
        <v>5100200</v>
      </c>
      <c r="H1192" s="87"/>
      <c r="I1192" s="90" t="s">
        <v>7669</v>
      </c>
      <c r="J1192" s="88" t="str">
        <f t="shared" si="18"/>
        <v>重复</v>
      </c>
      <c r="K1192" s="88" t="str">
        <f t="shared" si="18"/>
        <v>不重复</v>
      </c>
    </row>
    <row r="1193" spans="1:11" ht="20.25" customHeight="1">
      <c r="A1193" s="89" t="s">
        <v>3219</v>
      </c>
      <c r="B1193" s="90" t="s">
        <v>7670</v>
      </c>
      <c r="C1193" s="90" t="s">
        <v>7671</v>
      </c>
      <c r="D1193" s="90" t="s">
        <v>3220</v>
      </c>
      <c r="E1193" s="89" t="s">
        <v>2468</v>
      </c>
      <c r="F1193" s="91">
        <v>602345</v>
      </c>
      <c r="G1193" s="91">
        <v>5100200</v>
      </c>
      <c r="H1193" s="87"/>
      <c r="I1193" s="90" t="s">
        <v>7430</v>
      </c>
      <c r="J1193" s="88" t="str">
        <f t="shared" si="18"/>
        <v>不重复</v>
      </c>
      <c r="K1193" s="88" t="str">
        <f t="shared" si="18"/>
        <v>不重复</v>
      </c>
    </row>
    <row r="1194" spans="1:11" ht="20.25" customHeight="1">
      <c r="A1194" s="89" t="s">
        <v>3252</v>
      </c>
      <c r="B1194" s="90" t="s">
        <v>3253</v>
      </c>
      <c r="C1194" s="90" t="s">
        <v>3254</v>
      </c>
      <c r="D1194" s="90" t="s">
        <v>3255</v>
      </c>
      <c r="E1194" s="89" t="s">
        <v>2468</v>
      </c>
      <c r="F1194" s="91">
        <v>602346</v>
      </c>
      <c r="G1194" s="91">
        <v>5100200</v>
      </c>
      <c r="H1194" s="87"/>
      <c r="I1194" s="90" t="s">
        <v>25</v>
      </c>
      <c r="J1194" s="88" t="str">
        <f t="shared" si="18"/>
        <v>重复</v>
      </c>
      <c r="K1194" s="88" t="str">
        <f t="shared" si="18"/>
        <v>不重复</v>
      </c>
    </row>
    <row r="1195" spans="1:11" ht="20.25" customHeight="1">
      <c r="A1195" s="89" t="s">
        <v>3230</v>
      </c>
      <c r="B1195" s="90" t="s">
        <v>7672</v>
      </c>
      <c r="C1195" s="90" t="s">
        <v>2432</v>
      </c>
      <c r="D1195" s="90" t="s">
        <v>3231</v>
      </c>
      <c r="E1195" s="89" t="s">
        <v>2468</v>
      </c>
      <c r="F1195" s="91">
        <v>602347</v>
      </c>
      <c r="G1195" s="91">
        <v>5100200</v>
      </c>
      <c r="H1195" s="87"/>
      <c r="I1195" s="90" t="s">
        <v>7167</v>
      </c>
      <c r="J1195" s="88" t="str">
        <f t="shared" si="18"/>
        <v>重复</v>
      </c>
      <c r="K1195" s="88" t="str">
        <f t="shared" si="18"/>
        <v>不重复</v>
      </c>
    </row>
    <row r="1196" spans="1:11" ht="20.25" customHeight="1">
      <c r="A1196" s="89" t="s">
        <v>3242</v>
      </c>
      <c r="B1196" s="90" t="s">
        <v>7673</v>
      </c>
      <c r="C1196" s="90" t="s">
        <v>3243</v>
      </c>
      <c r="D1196" s="90" t="s">
        <v>5236</v>
      </c>
      <c r="E1196" s="89" t="s">
        <v>2468</v>
      </c>
      <c r="F1196" s="91">
        <v>602348</v>
      </c>
      <c r="G1196" s="91">
        <v>5100200</v>
      </c>
      <c r="H1196" s="87"/>
      <c r="I1196" s="90" t="s">
        <v>7167</v>
      </c>
      <c r="J1196" s="88" t="str">
        <f t="shared" si="18"/>
        <v>不重复</v>
      </c>
      <c r="K1196" s="88" t="str">
        <f t="shared" si="18"/>
        <v>不重复</v>
      </c>
    </row>
    <row r="1197" spans="1:11" ht="20.25" customHeight="1">
      <c r="A1197" s="89" t="s">
        <v>3244</v>
      </c>
      <c r="B1197" s="90" t="s">
        <v>3245</v>
      </c>
      <c r="C1197" s="90" t="s">
        <v>1368</v>
      </c>
      <c r="D1197" s="90" t="s">
        <v>3246</v>
      </c>
      <c r="E1197" s="89" t="s">
        <v>2468</v>
      </c>
      <c r="F1197" s="91">
        <v>602349</v>
      </c>
      <c r="G1197" s="91">
        <v>5100200</v>
      </c>
      <c r="H1197" s="87"/>
      <c r="I1197" s="90" t="s">
        <v>7430</v>
      </c>
      <c r="J1197" s="88" t="str">
        <f t="shared" si="18"/>
        <v>不重复</v>
      </c>
      <c r="K1197" s="88" t="str">
        <f t="shared" si="18"/>
        <v>不重复</v>
      </c>
    </row>
    <row r="1198" spans="1:11" ht="20.25" customHeight="1">
      <c r="A1198" s="89" t="s">
        <v>3250</v>
      </c>
      <c r="B1198" s="90" t="s">
        <v>7674</v>
      </c>
      <c r="C1198" s="90" t="s">
        <v>1419</v>
      </c>
      <c r="D1198" s="90" t="s">
        <v>3251</v>
      </c>
      <c r="E1198" s="89" t="s">
        <v>2468</v>
      </c>
      <c r="F1198" s="91">
        <v>602350</v>
      </c>
      <c r="G1198" s="91">
        <v>5100200</v>
      </c>
      <c r="H1198" s="87"/>
      <c r="I1198" s="90" t="s">
        <v>7675</v>
      </c>
      <c r="J1198" s="88" t="str">
        <f t="shared" si="18"/>
        <v>重复</v>
      </c>
      <c r="K1198" s="88" t="str">
        <f t="shared" si="18"/>
        <v>不重复</v>
      </c>
    </row>
    <row r="1199" spans="1:11" ht="20.25" customHeight="1">
      <c r="A1199" s="89" t="s">
        <v>3240</v>
      </c>
      <c r="B1199" s="90" t="s">
        <v>7676</v>
      </c>
      <c r="C1199" s="90" t="s">
        <v>2586</v>
      </c>
      <c r="D1199" s="90" t="s">
        <v>3241</v>
      </c>
      <c r="E1199" s="89" t="s">
        <v>2468</v>
      </c>
      <c r="F1199" s="91">
        <v>602351</v>
      </c>
      <c r="G1199" s="91">
        <v>5100200</v>
      </c>
      <c r="H1199" s="87"/>
      <c r="I1199" s="90" t="s">
        <v>7167</v>
      </c>
      <c r="J1199" s="88" t="str">
        <f t="shared" si="18"/>
        <v>重复</v>
      </c>
      <c r="K1199" s="88" t="str">
        <f t="shared" si="18"/>
        <v>不重复</v>
      </c>
    </row>
    <row r="1200" spans="1:11" ht="20.25" customHeight="1">
      <c r="A1200" s="89" t="s">
        <v>3225</v>
      </c>
      <c r="B1200" s="90" t="s">
        <v>7677</v>
      </c>
      <c r="C1200" s="90" t="s">
        <v>1575</v>
      </c>
      <c r="D1200" s="90" t="s">
        <v>3226</v>
      </c>
      <c r="E1200" s="89" t="s">
        <v>2468</v>
      </c>
      <c r="F1200" s="91">
        <v>602352</v>
      </c>
      <c r="G1200" s="91">
        <v>5100200</v>
      </c>
      <c r="H1200" s="87"/>
      <c r="I1200" s="90" t="s">
        <v>7485</v>
      </c>
      <c r="J1200" s="88" t="str">
        <f t="shared" si="18"/>
        <v>不重复</v>
      </c>
      <c r="K1200" s="88" t="str">
        <f t="shared" si="18"/>
        <v>不重复</v>
      </c>
    </row>
    <row r="1201" spans="1:11" ht="20.25" customHeight="1">
      <c r="A1201" s="89" t="s">
        <v>3235</v>
      </c>
      <c r="B1201" s="90" t="s">
        <v>7678</v>
      </c>
      <c r="C1201" s="90" t="s">
        <v>562</v>
      </c>
      <c r="D1201" s="90" t="s">
        <v>3236</v>
      </c>
      <c r="E1201" s="89" t="s">
        <v>2468</v>
      </c>
      <c r="F1201" s="91">
        <v>602353</v>
      </c>
      <c r="G1201" s="91">
        <v>5100200</v>
      </c>
      <c r="H1201" s="87"/>
      <c r="I1201" s="90" t="s">
        <v>7303</v>
      </c>
      <c r="J1201" s="88" t="str">
        <f t="shared" si="18"/>
        <v>重复</v>
      </c>
      <c r="K1201" s="88" t="str">
        <f t="shared" si="18"/>
        <v>不重复</v>
      </c>
    </row>
    <row r="1202" spans="1:11" ht="20.25" customHeight="1">
      <c r="A1202" s="89" t="s">
        <v>3247</v>
      </c>
      <c r="B1202" s="90" t="s">
        <v>7679</v>
      </c>
      <c r="C1202" s="90" t="s">
        <v>3248</v>
      </c>
      <c r="D1202" s="90" t="s">
        <v>3249</v>
      </c>
      <c r="E1202" s="89" t="s">
        <v>2468</v>
      </c>
      <c r="F1202" s="91">
        <v>602354</v>
      </c>
      <c r="G1202" s="91">
        <v>5100200</v>
      </c>
      <c r="H1202" s="87"/>
      <c r="I1202" s="90" t="s">
        <v>7303</v>
      </c>
      <c r="J1202" s="88" t="str">
        <f t="shared" si="18"/>
        <v>不重复</v>
      </c>
      <c r="K1202" s="88" t="str">
        <f t="shared" si="18"/>
        <v>不重复</v>
      </c>
    </row>
    <row r="1203" spans="1:11" ht="20.25" customHeight="1">
      <c r="A1203" s="89" t="s">
        <v>3232</v>
      </c>
      <c r="B1203" s="90" t="s">
        <v>7680</v>
      </c>
      <c r="C1203" s="90" t="s">
        <v>3233</v>
      </c>
      <c r="D1203" s="90" t="s">
        <v>3234</v>
      </c>
      <c r="E1203" s="89" t="s">
        <v>2468</v>
      </c>
      <c r="F1203" s="91">
        <v>602355</v>
      </c>
      <c r="G1203" s="91">
        <v>5100200</v>
      </c>
      <c r="H1203" s="87"/>
      <c r="I1203" s="90" t="s">
        <v>7335</v>
      </c>
      <c r="J1203" s="88" t="str">
        <f t="shared" si="18"/>
        <v>重复</v>
      </c>
      <c r="K1203" s="88" t="str">
        <f t="shared" si="18"/>
        <v>不重复</v>
      </c>
    </row>
    <row r="1204" spans="1:11" ht="20.25" customHeight="1">
      <c r="A1204" s="89" t="s">
        <v>3227</v>
      </c>
      <c r="B1204" s="90" t="s">
        <v>7681</v>
      </c>
      <c r="C1204" s="90" t="s">
        <v>3228</v>
      </c>
      <c r="D1204" s="90" t="s">
        <v>3229</v>
      </c>
      <c r="E1204" s="89" t="s">
        <v>2468</v>
      </c>
      <c r="F1204" s="91">
        <v>602356</v>
      </c>
      <c r="G1204" s="91">
        <v>5100200</v>
      </c>
      <c r="H1204" s="87"/>
      <c r="I1204" s="90" t="s">
        <v>7485</v>
      </c>
      <c r="J1204" s="88" t="str">
        <f t="shared" si="18"/>
        <v>不重复</v>
      </c>
      <c r="K1204" s="88" t="str">
        <f t="shared" si="18"/>
        <v>不重复</v>
      </c>
    </row>
    <row r="1205" spans="1:11" ht="20.25" customHeight="1">
      <c r="A1205" s="89" t="s">
        <v>3237</v>
      </c>
      <c r="B1205" s="90" t="s">
        <v>3238</v>
      </c>
      <c r="C1205" s="90" t="s">
        <v>1548</v>
      </c>
      <c r="D1205" s="90" t="s">
        <v>3239</v>
      </c>
      <c r="E1205" s="89" t="s">
        <v>2468</v>
      </c>
      <c r="F1205" s="91">
        <v>602357</v>
      </c>
      <c r="G1205" s="91">
        <v>5100200</v>
      </c>
      <c r="H1205" s="87"/>
      <c r="I1205" s="90" t="s">
        <v>7504</v>
      </c>
      <c r="J1205" s="88" t="str">
        <f t="shared" si="18"/>
        <v>重复</v>
      </c>
      <c r="K1205" s="88" t="str">
        <f t="shared" si="18"/>
        <v>不重复</v>
      </c>
    </row>
    <row r="1206" spans="1:11" ht="20.25" customHeight="1">
      <c r="A1206" s="84" t="s">
        <v>7682</v>
      </c>
      <c r="B1206" s="85" t="s">
        <v>3285</v>
      </c>
      <c r="C1206" s="85" t="s">
        <v>2639</v>
      </c>
      <c r="D1206" s="85" t="s">
        <v>3257</v>
      </c>
      <c r="E1206" s="84" t="s">
        <v>2468</v>
      </c>
      <c r="F1206" s="86">
        <v>602358</v>
      </c>
      <c r="G1206" s="86">
        <v>5100200</v>
      </c>
      <c r="H1206" s="87"/>
      <c r="I1206" s="85" t="s">
        <v>25</v>
      </c>
      <c r="J1206" s="88" t="str">
        <f t="shared" si="18"/>
        <v>重复</v>
      </c>
      <c r="K1206" s="88" t="str">
        <f t="shared" si="18"/>
        <v>不重复</v>
      </c>
    </row>
    <row r="1207" spans="1:11" ht="20.25" customHeight="1">
      <c r="A1207" s="84" t="s">
        <v>3261</v>
      </c>
      <c r="B1207" s="85" t="s">
        <v>7683</v>
      </c>
      <c r="C1207" s="85" t="s">
        <v>658</v>
      </c>
      <c r="D1207" s="85" t="s">
        <v>3262</v>
      </c>
      <c r="E1207" s="84" t="s">
        <v>2468</v>
      </c>
      <c r="F1207" s="86">
        <v>602359</v>
      </c>
      <c r="G1207" s="86">
        <v>5100200</v>
      </c>
      <c r="H1207" s="87"/>
      <c r="I1207" s="85" t="s">
        <v>7485</v>
      </c>
      <c r="J1207" s="88" t="str">
        <f t="shared" si="18"/>
        <v>重复</v>
      </c>
      <c r="K1207" s="88" t="str">
        <f t="shared" si="18"/>
        <v>不重复</v>
      </c>
    </row>
    <row r="1208" spans="1:11" ht="20.25" customHeight="1">
      <c r="A1208" s="84" t="s">
        <v>3272</v>
      </c>
      <c r="B1208" s="85" t="s">
        <v>7684</v>
      </c>
      <c r="C1208" s="85" t="s">
        <v>593</v>
      </c>
      <c r="D1208" s="85" t="s">
        <v>3273</v>
      </c>
      <c r="E1208" s="84" t="s">
        <v>2468</v>
      </c>
      <c r="F1208" s="86">
        <v>602360</v>
      </c>
      <c r="G1208" s="86">
        <v>5100200</v>
      </c>
      <c r="H1208" s="87"/>
      <c r="I1208" s="85" t="s">
        <v>7335</v>
      </c>
      <c r="J1208" s="88" t="str">
        <f t="shared" si="18"/>
        <v>重复</v>
      </c>
      <c r="K1208" s="88" t="str">
        <f t="shared" si="18"/>
        <v>不重复</v>
      </c>
    </row>
    <row r="1209" spans="1:11" ht="20.25" customHeight="1">
      <c r="A1209" s="84" t="s">
        <v>3280</v>
      </c>
      <c r="B1209" s="85" t="s">
        <v>7685</v>
      </c>
      <c r="C1209" s="85" t="s">
        <v>2576</v>
      </c>
      <c r="D1209" s="85" t="s">
        <v>3281</v>
      </c>
      <c r="E1209" s="84" t="s">
        <v>2468</v>
      </c>
      <c r="F1209" s="86">
        <v>602361</v>
      </c>
      <c r="G1209" s="86">
        <v>5100200</v>
      </c>
      <c r="H1209" s="87"/>
      <c r="I1209" s="85" t="s">
        <v>7370</v>
      </c>
      <c r="J1209" s="88" t="str">
        <f t="shared" si="18"/>
        <v>重复</v>
      </c>
      <c r="K1209" s="88" t="str">
        <f t="shared" si="18"/>
        <v>不重复</v>
      </c>
    </row>
    <row r="1210" spans="1:11" ht="20.25" customHeight="1">
      <c r="A1210" s="84" t="s">
        <v>3263</v>
      </c>
      <c r="B1210" s="85" t="s">
        <v>7686</v>
      </c>
      <c r="C1210" s="85" t="s">
        <v>3264</v>
      </c>
      <c r="D1210" s="85" t="s">
        <v>3265</v>
      </c>
      <c r="E1210" s="84" t="s">
        <v>2468</v>
      </c>
      <c r="F1210" s="86">
        <v>602362</v>
      </c>
      <c r="G1210" s="86">
        <v>5100200</v>
      </c>
      <c r="H1210" s="87"/>
      <c r="I1210" s="85" t="s">
        <v>7084</v>
      </c>
      <c r="J1210" s="88" t="str">
        <f t="shared" si="18"/>
        <v>不重复</v>
      </c>
      <c r="K1210" s="88" t="str">
        <f t="shared" si="18"/>
        <v>不重复</v>
      </c>
    </row>
    <row r="1211" spans="1:11" ht="20.25" customHeight="1">
      <c r="A1211" s="84" t="s">
        <v>3282</v>
      </c>
      <c r="B1211" s="85" t="s">
        <v>7687</v>
      </c>
      <c r="C1211" s="85" t="s">
        <v>3283</v>
      </c>
      <c r="D1211" s="85" t="s">
        <v>3284</v>
      </c>
      <c r="E1211" s="84" t="s">
        <v>2468</v>
      </c>
      <c r="F1211" s="86">
        <v>602363</v>
      </c>
      <c r="G1211" s="86">
        <v>5100200</v>
      </c>
      <c r="H1211" s="87"/>
      <c r="I1211" s="85" t="s">
        <v>7688</v>
      </c>
      <c r="J1211" s="88" t="str">
        <f t="shared" si="18"/>
        <v>不重复</v>
      </c>
      <c r="K1211" s="88" t="str">
        <f t="shared" si="18"/>
        <v>不重复</v>
      </c>
    </row>
    <row r="1212" spans="1:11" ht="20.25" customHeight="1">
      <c r="A1212" s="84" t="s">
        <v>3269</v>
      </c>
      <c r="B1212" s="85" t="s">
        <v>7689</v>
      </c>
      <c r="C1212" s="85" t="s">
        <v>3270</v>
      </c>
      <c r="D1212" s="85" t="s">
        <v>7690</v>
      </c>
      <c r="E1212" s="84" t="s">
        <v>2468</v>
      </c>
      <c r="F1212" s="86">
        <v>602364</v>
      </c>
      <c r="G1212" s="86">
        <v>5100200</v>
      </c>
      <c r="H1212" s="87"/>
      <c r="I1212" s="85" t="s">
        <v>7266</v>
      </c>
      <c r="J1212" s="88" t="str">
        <f t="shared" si="18"/>
        <v>不重复</v>
      </c>
      <c r="K1212" s="88" t="str">
        <f t="shared" si="18"/>
        <v>不重复</v>
      </c>
    </row>
    <row r="1213" spans="1:11" ht="20.25" customHeight="1">
      <c r="A1213" s="84" t="s">
        <v>3277</v>
      </c>
      <c r="B1213" s="85" t="s">
        <v>7691</v>
      </c>
      <c r="C1213" s="85" t="s">
        <v>3278</v>
      </c>
      <c r="D1213" s="85" t="s">
        <v>3279</v>
      </c>
      <c r="E1213" s="84" t="s">
        <v>2468</v>
      </c>
      <c r="F1213" s="86">
        <v>602365</v>
      </c>
      <c r="G1213" s="86">
        <v>5100200</v>
      </c>
      <c r="H1213" s="87"/>
      <c r="I1213" s="85" t="s">
        <v>7084</v>
      </c>
      <c r="J1213" s="88" t="str">
        <f t="shared" si="18"/>
        <v>不重复</v>
      </c>
      <c r="K1213" s="88" t="str">
        <f t="shared" si="18"/>
        <v>不重复</v>
      </c>
    </row>
    <row r="1214" spans="1:11" ht="20.25" customHeight="1">
      <c r="A1214" s="84" t="s">
        <v>3258</v>
      </c>
      <c r="B1214" s="85" t="s">
        <v>7692</v>
      </c>
      <c r="C1214" s="85" t="s">
        <v>3259</v>
      </c>
      <c r="D1214" s="85" t="s">
        <v>3260</v>
      </c>
      <c r="E1214" s="84" t="s">
        <v>2468</v>
      </c>
      <c r="F1214" s="86">
        <v>602366</v>
      </c>
      <c r="G1214" s="86">
        <v>5100200</v>
      </c>
      <c r="H1214" s="87"/>
      <c r="I1214" s="85" t="s">
        <v>7628</v>
      </c>
      <c r="J1214" s="88" t="str">
        <f t="shared" si="18"/>
        <v>不重复</v>
      </c>
      <c r="K1214" s="88" t="str">
        <f t="shared" si="18"/>
        <v>不重复</v>
      </c>
    </row>
    <row r="1215" spans="1:11" ht="20.25" customHeight="1">
      <c r="A1215" s="84" t="s">
        <v>3266</v>
      </c>
      <c r="B1215" s="85" t="s">
        <v>7693</v>
      </c>
      <c r="C1215" s="85" t="s">
        <v>3267</v>
      </c>
      <c r="D1215" s="85" t="s">
        <v>3268</v>
      </c>
      <c r="E1215" s="84" t="s">
        <v>2468</v>
      </c>
      <c r="F1215" s="86">
        <v>602367</v>
      </c>
      <c r="G1215" s="86">
        <v>5100200</v>
      </c>
      <c r="H1215" s="87"/>
      <c r="I1215" s="85" t="s">
        <v>7266</v>
      </c>
      <c r="J1215" s="88" t="str">
        <f t="shared" si="18"/>
        <v>重复</v>
      </c>
      <c r="K1215" s="88" t="str">
        <f t="shared" si="18"/>
        <v>不重复</v>
      </c>
    </row>
    <row r="1216" spans="1:11" ht="20.25" customHeight="1">
      <c r="A1216" s="84" t="s">
        <v>3256</v>
      </c>
      <c r="B1216" s="85" t="s">
        <v>7694</v>
      </c>
      <c r="C1216" s="85" t="s">
        <v>2576</v>
      </c>
      <c r="D1216" s="85" t="s">
        <v>7695</v>
      </c>
      <c r="E1216" s="84" t="s">
        <v>2468</v>
      </c>
      <c r="F1216" s="86">
        <v>602368</v>
      </c>
      <c r="G1216" s="86">
        <v>5100200</v>
      </c>
      <c r="H1216" s="87"/>
      <c r="I1216" s="85" t="s">
        <v>7377</v>
      </c>
      <c r="J1216" s="88" t="str">
        <f t="shared" si="18"/>
        <v>重复</v>
      </c>
      <c r="K1216" s="88" t="str">
        <f t="shared" si="18"/>
        <v>不重复</v>
      </c>
    </row>
    <row r="1217" spans="1:11" ht="20.25" customHeight="1">
      <c r="A1217" s="84" t="s">
        <v>3274</v>
      </c>
      <c r="B1217" s="85" t="s">
        <v>7696</v>
      </c>
      <c r="C1217" s="85" t="s">
        <v>3275</v>
      </c>
      <c r="D1217" s="85" t="s">
        <v>3276</v>
      </c>
      <c r="E1217" s="84" t="s">
        <v>2468</v>
      </c>
      <c r="F1217" s="86">
        <v>602369</v>
      </c>
      <c r="G1217" s="86">
        <v>5100200</v>
      </c>
      <c r="H1217" s="87"/>
      <c r="I1217" s="85" t="s">
        <v>7504</v>
      </c>
      <c r="J1217" s="88" t="str">
        <f t="shared" si="18"/>
        <v>不重复</v>
      </c>
      <c r="K1217" s="88" t="str">
        <f t="shared" si="18"/>
        <v>不重复</v>
      </c>
    </row>
    <row r="1218" spans="1:11" ht="20.25" customHeight="1">
      <c r="A1218" s="84" t="s">
        <v>7697</v>
      </c>
      <c r="B1218" s="85" t="s">
        <v>7698</v>
      </c>
      <c r="C1218" s="85" t="s">
        <v>124</v>
      </c>
      <c r="D1218" s="85" t="s">
        <v>7699</v>
      </c>
      <c r="E1218" s="84" t="s">
        <v>2468</v>
      </c>
      <c r="F1218" s="86">
        <v>602370</v>
      </c>
      <c r="G1218" s="86">
        <v>5100200</v>
      </c>
      <c r="H1218" s="87"/>
      <c r="I1218" s="85" t="s">
        <v>25</v>
      </c>
      <c r="J1218" s="88" t="str">
        <f t="shared" si="18"/>
        <v>重复</v>
      </c>
      <c r="K1218" s="88" t="str">
        <f t="shared" si="18"/>
        <v>不重复</v>
      </c>
    </row>
    <row r="1219" spans="1:11" ht="20.25" customHeight="1">
      <c r="A1219" s="84" t="s">
        <v>3315</v>
      </c>
      <c r="B1219" s="85" t="s">
        <v>7700</v>
      </c>
      <c r="C1219" s="85" t="s">
        <v>3316</v>
      </c>
      <c r="D1219" s="85" t="s">
        <v>3317</v>
      </c>
      <c r="E1219" s="84" t="s">
        <v>2468</v>
      </c>
      <c r="F1219" s="86">
        <v>602371</v>
      </c>
      <c r="G1219" s="86">
        <v>5100200</v>
      </c>
      <c r="H1219" s="87"/>
      <c r="I1219" s="85" t="s">
        <v>7084</v>
      </c>
      <c r="J1219" s="88" t="str">
        <f t="shared" si="19" ref="J1219:K1282">IF(COUNTIF(C:C,C1219)&gt;=2,"重复","不重复")</f>
        <v>重复</v>
      </c>
      <c r="K1219" s="88" t="str">
        <f t="shared" si="19"/>
        <v>不重复</v>
      </c>
    </row>
    <row r="1220" spans="1:11" ht="20.25" customHeight="1">
      <c r="A1220" s="84" t="s">
        <v>3313</v>
      </c>
      <c r="B1220" s="85" t="s">
        <v>3314</v>
      </c>
      <c r="C1220" s="85" t="s">
        <v>1043</v>
      </c>
      <c r="D1220" s="85" t="s">
        <v>7701</v>
      </c>
      <c r="E1220" s="84" t="s">
        <v>2468</v>
      </c>
      <c r="F1220" s="86">
        <v>602372</v>
      </c>
      <c r="G1220" s="86">
        <v>5100200</v>
      </c>
      <c r="H1220" s="87"/>
      <c r="I1220" s="85" t="s">
        <v>25</v>
      </c>
      <c r="J1220" s="88" t="str">
        <f t="shared" si="19"/>
        <v>重复</v>
      </c>
      <c r="K1220" s="88" t="str">
        <f t="shared" si="19"/>
        <v>不重复</v>
      </c>
    </row>
    <row r="1221" spans="1:11" ht="20.25" customHeight="1">
      <c r="A1221" s="84" t="s">
        <v>3298</v>
      </c>
      <c r="B1221" s="85" t="s">
        <v>7702</v>
      </c>
      <c r="C1221" s="85" t="s">
        <v>3299</v>
      </c>
      <c r="D1221" s="85" t="s">
        <v>3300</v>
      </c>
      <c r="E1221" s="84" t="s">
        <v>2468</v>
      </c>
      <c r="F1221" s="86">
        <v>602373</v>
      </c>
      <c r="G1221" s="86">
        <v>5100200</v>
      </c>
      <c r="H1221" s="87"/>
      <c r="I1221" s="85" t="s">
        <v>7501</v>
      </c>
      <c r="J1221" s="88" t="str">
        <f t="shared" si="19"/>
        <v>重复</v>
      </c>
      <c r="K1221" s="88" t="str">
        <f t="shared" si="19"/>
        <v>不重复</v>
      </c>
    </row>
    <row r="1222" spans="1:11" ht="20.25" customHeight="1">
      <c r="A1222" s="84" t="s">
        <v>3310</v>
      </c>
      <c r="B1222" s="85" t="s">
        <v>7703</v>
      </c>
      <c r="C1222" s="85" t="s">
        <v>3311</v>
      </c>
      <c r="D1222" s="85" t="s">
        <v>3312</v>
      </c>
      <c r="E1222" s="84" t="s">
        <v>2468</v>
      </c>
      <c r="F1222" s="86">
        <v>602374</v>
      </c>
      <c r="G1222" s="86">
        <v>5100200</v>
      </c>
      <c r="H1222" s="87"/>
      <c r="I1222" s="85" t="s">
        <v>7704</v>
      </c>
      <c r="J1222" s="88" t="str">
        <f t="shared" si="19"/>
        <v>不重复</v>
      </c>
      <c r="K1222" s="88" t="str">
        <f t="shared" si="19"/>
        <v>不重复</v>
      </c>
    </row>
    <row r="1223" spans="1:11" ht="20.25" customHeight="1">
      <c r="A1223" s="84" t="s">
        <v>3304</v>
      </c>
      <c r="B1223" s="85" t="s">
        <v>7705</v>
      </c>
      <c r="C1223" s="85" t="s">
        <v>3305</v>
      </c>
      <c r="D1223" s="85" t="s">
        <v>3306</v>
      </c>
      <c r="E1223" s="84" t="s">
        <v>2468</v>
      </c>
      <c r="F1223" s="86">
        <v>602375</v>
      </c>
      <c r="G1223" s="86">
        <v>5100200</v>
      </c>
      <c r="H1223" s="87"/>
      <c r="I1223" s="85" t="s">
        <v>7706</v>
      </c>
      <c r="J1223" s="88" t="str">
        <f t="shared" si="19"/>
        <v>重复</v>
      </c>
      <c r="K1223" s="88" t="str">
        <f t="shared" si="19"/>
        <v>不重复</v>
      </c>
    </row>
    <row r="1224" spans="1:11" ht="20.25" customHeight="1">
      <c r="A1224" s="84" t="s">
        <v>3307</v>
      </c>
      <c r="B1224" s="85" t="s">
        <v>7707</v>
      </c>
      <c r="C1224" s="85" t="s">
        <v>3308</v>
      </c>
      <c r="D1224" s="85" t="s">
        <v>3309</v>
      </c>
      <c r="E1224" s="84" t="s">
        <v>2468</v>
      </c>
      <c r="F1224" s="86">
        <v>602376</v>
      </c>
      <c r="G1224" s="86">
        <v>5100200</v>
      </c>
      <c r="H1224" s="87"/>
      <c r="I1224" s="85" t="s">
        <v>7370</v>
      </c>
      <c r="J1224" s="88" t="str">
        <f t="shared" si="19"/>
        <v>重复</v>
      </c>
      <c r="K1224" s="88" t="str">
        <f t="shared" si="19"/>
        <v>不重复</v>
      </c>
    </row>
    <row r="1225" spans="1:11" ht="20.25" customHeight="1">
      <c r="A1225" s="84" t="s">
        <v>3292</v>
      </c>
      <c r="B1225" s="85" t="s">
        <v>7708</v>
      </c>
      <c r="C1225" s="85" t="s">
        <v>3293</v>
      </c>
      <c r="D1225" s="85" t="s">
        <v>3294</v>
      </c>
      <c r="E1225" s="84" t="s">
        <v>2468</v>
      </c>
      <c r="F1225" s="86">
        <v>602377</v>
      </c>
      <c r="G1225" s="86">
        <v>5100200</v>
      </c>
      <c r="H1225" s="87"/>
      <c r="I1225" s="85" t="s">
        <v>7167</v>
      </c>
      <c r="J1225" s="88" t="str">
        <f t="shared" si="19"/>
        <v>不重复</v>
      </c>
      <c r="K1225" s="88" t="str">
        <f t="shared" si="19"/>
        <v>不重复</v>
      </c>
    </row>
    <row r="1226" spans="1:11" ht="20.25" customHeight="1">
      <c r="A1226" s="84" t="s">
        <v>3301</v>
      </c>
      <c r="B1226" s="85" t="s">
        <v>7709</v>
      </c>
      <c r="C1226" s="85" t="s">
        <v>3302</v>
      </c>
      <c r="D1226" s="85" t="s">
        <v>3303</v>
      </c>
      <c r="E1226" s="84" t="s">
        <v>2468</v>
      </c>
      <c r="F1226" s="86">
        <v>602378</v>
      </c>
      <c r="G1226" s="86">
        <v>5100200</v>
      </c>
      <c r="H1226" s="87"/>
      <c r="I1226" s="85" t="s">
        <v>7167</v>
      </c>
      <c r="J1226" s="88" t="str">
        <f t="shared" si="19"/>
        <v>不重复</v>
      </c>
      <c r="K1226" s="88" t="str">
        <f t="shared" si="19"/>
        <v>不重复</v>
      </c>
    </row>
    <row r="1227" spans="1:11" ht="20.25" customHeight="1">
      <c r="A1227" s="84" t="s">
        <v>3286</v>
      </c>
      <c r="B1227" s="85" t="s">
        <v>7710</v>
      </c>
      <c r="C1227" s="85" t="s">
        <v>3287</v>
      </c>
      <c r="D1227" s="85" t="s">
        <v>3288</v>
      </c>
      <c r="E1227" s="84" t="s">
        <v>2468</v>
      </c>
      <c r="F1227" s="86">
        <v>602379</v>
      </c>
      <c r="G1227" s="86">
        <v>5100200</v>
      </c>
      <c r="H1227" s="87"/>
      <c r="I1227" s="85" t="s">
        <v>7501</v>
      </c>
      <c r="J1227" s="88" t="str">
        <f t="shared" si="19"/>
        <v>不重复</v>
      </c>
      <c r="K1227" s="88" t="str">
        <f t="shared" si="19"/>
        <v>不重复</v>
      </c>
    </row>
    <row r="1228" spans="1:11" ht="20.25" customHeight="1">
      <c r="A1228" s="84" t="s">
        <v>3295</v>
      </c>
      <c r="B1228" s="85" t="s">
        <v>7711</v>
      </c>
      <c r="C1228" s="85" t="s">
        <v>3296</v>
      </c>
      <c r="D1228" s="85" t="s">
        <v>3297</v>
      </c>
      <c r="E1228" s="84" t="s">
        <v>2468</v>
      </c>
      <c r="F1228" s="86">
        <v>602380</v>
      </c>
      <c r="G1228" s="86">
        <v>5100200</v>
      </c>
      <c r="H1228" s="87"/>
      <c r="I1228" s="85" t="s">
        <v>7628</v>
      </c>
      <c r="J1228" s="88" t="str">
        <f t="shared" si="19"/>
        <v>不重复</v>
      </c>
      <c r="K1228" s="88" t="str">
        <f t="shared" si="19"/>
        <v>不重复</v>
      </c>
    </row>
    <row r="1229" spans="1:11" ht="20.25" customHeight="1">
      <c r="A1229" s="84" t="s">
        <v>3289</v>
      </c>
      <c r="B1229" s="85" t="s">
        <v>7712</v>
      </c>
      <c r="C1229" s="85" t="s">
        <v>3290</v>
      </c>
      <c r="D1229" s="85" t="s">
        <v>3291</v>
      </c>
      <c r="E1229" s="84" t="s">
        <v>2468</v>
      </c>
      <c r="F1229" s="86">
        <v>602381</v>
      </c>
      <c r="G1229" s="86">
        <v>5100200</v>
      </c>
      <c r="H1229" s="87"/>
      <c r="I1229" s="85" t="s">
        <v>7377</v>
      </c>
      <c r="J1229" s="88" t="str">
        <f t="shared" si="19"/>
        <v>重复</v>
      </c>
      <c r="K1229" s="88" t="str">
        <f t="shared" si="19"/>
        <v>不重复</v>
      </c>
    </row>
    <row r="1230" spans="1:11" ht="20.25" customHeight="1">
      <c r="A1230" s="84" t="s">
        <v>3324</v>
      </c>
      <c r="B1230" s="85" t="s">
        <v>7713</v>
      </c>
      <c r="C1230" s="85" t="s">
        <v>120</v>
      </c>
      <c r="D1230" s="85" t="s">
        <v>7714</v>
      </c>
      <c r="E1230" s="84" t="s">
        <v>2468</v>
      </c>
      <c r="F1230" s="86">
        <v>602382</v>
      </c>
      <c r="G1230" s="86">
        <v>5100200</v>
      </c>
      <c r="H1230" s="87"/>
      <c r="I1230" s="85" t="s">
        <v>25</v>
      </c>
      <c r="J1230" s="88" t="str">
        <f t="shared" si="19"/>
        <v>重复</v>
      </c>
      <c r="K1230" s="88" t="str">
        <f t="shared" si="19"/>
        <v>不重复</v>
      </c>
    </row>
    <row r="1231" spans="1:11" ht="20.25" customHeight="1">
      <c r="A1231" s="84" t="s">
        <v>7715</v>
      </c>
      <c r="B1231" s="85" t="s">
        <v>2910</v>
      </c>
      <c r="C1231" s="85" t="s">
        <v>2911</v>
      </c>
      <c r="D1231" s="85" t="s">
        <v>2912</v>
      </c>
      <c r="E1231" s="84" t="s">
        <v>2468</v>
      </c>
      <c r="F1231" s="86">
        <v>602383</v>
      </c>
      <c r="G1231" s="86">
        <v>5100200</v>
      </c>
      <c r="H1231" s="87"/>
      <c r="I1231" s="85" t="s">
        <v>7442</v>
      </c>
      <c r="J1231" s="88" t="str">
        <f t="shared" si="19"/>
        <v>不重复</v>
      </c>
      <c r="K1231" s="88" t="str">
        <f t="shared" si="19"/>
        <v>不重复</v>
      </c>
    </row>
    <row r="1232" spans="1:11" ht="20.25" customHeight="1">
      <c r="A1232" s="84" t="s">
        <v>3318</v>
      </c>
      <c r="B1232" s="85" t="s">
        <v>7716</v>
      </c>
      <c r="C1232" s="85" t="s">
        <v>3254</v>
      </c>
      <c r="D1232" s="85" t="s">
        <v>7717</v>
      </c>
      <c r="E1232" s="84" t="s">
        <v>2468</v>
      </c>
      <c r="F1232" s="86">
        <v>602384</v>
      </c>
      <c r="G1232" s="86">
        <v>5100200</v>
      </c>
      <c r="H1232" s="87"/>
      <c r="I1232" s="85" t="s">
        <v>7718</v>
      </c>
      <c r="J1232" s="88" t="str">
        <f t="shared" si="19"/>
        <v>重复</v>
      </c>
      <c r="K1232" s="88" t="str">
        <f t="shared" si="19"/>
        <v>不重复</v>
      </c>
    </row>
    <row r="1233" spans="1:11" ht="20.25" customHeight="1">
      <c r="A1233" s="84" t="s">
        <v>3319</v>
      </c>
      <c r="B1233" s="85" t="s">
        <v>7719</v>
      </c>
      <c r="C1233" s="85" t="s">
        <v>849</v>
      </c>
      <c r="D1233" s="85" t="s">
        <v>7720</v>
      </c>
      <c r="E1233" s="84" t="s">
        <v>2468</v>
      </c>
      <c r="F1233" s="86">
        <v>602385</v>
      </c>
      <c r="G1233" s="86">
        <v>5100200</v>
      </c>
      <c r="H1233" s="87"/>
      <c r="I1233" s="85" t="s">
        <v>7721</v>
      </c>
      <c r="J1233" s="88" t="str">
        <f t="shared" si="19"/>
        <v>重复</v>
      </c>
      <c r="K1233" s="88" t="str">
        <f t="shared" si="19"/>
        <v>不重复</v>
      </c>
    </row>
    <row r="1234" spans="1:11" ht="20.25" customHeight="1">
      <c r="A1234" s="84" t="s">
        <v>3322</v>
      </c>
      <c r="B1234" s="85" t="s">
        <v>7722</v>
      </c>
      <c r="C1234" s="85" t="s">
        <v>3323</v>
      </c>
      <c r="D1234" s="85" t="s">
        <v>7723</v>
      </c>
      <c r="E1234" s="84" t="s">
        <v>2468</v>
      </c>
      <c r="F1234" s="86">
        <v>602386</v>
      </c>
      <c r="G1234" s="86">
        <v>5100200</v>
      </c>
      <c r="H1234" s="87"/>
      <c r="I1234" s="85" t="s">
        <v>7718</v>
      </c>
      <c r="J1234" s="88" t="str">
        <f t="shared" si="19"/>
        <v>不重复</v>
      </c>
      <c r="K1234" s="88" t="str">
        <f t="shared" si="19"/>
        <v>不重复</v>
      </c>
    </row>
    <row r="1235" spans="1:11" ht="20.25" customHeight="1">
      <c r="A1235" s="84" t="s">
        <v>3320</v>
      </c>
      <c r="B1235" s="85" t="s">
        <v>7724</v>
      </c>
      <c r="C1235" s="85" t="s">
        <v>3321</v>
      </c>
      <c r="D1235" s="85" t="s">
        <v>7725</v>
      </c>
      <c r="E1235" s="84" t="s">
        <v>2468</v>
      </c>
      <c r="F1235" s="86">
        <v>602387</v>
      </c>
      <c r="G1235" s="86">
        <v>5100200</v>
      </c>
      <c r="H1235" s="87"/>
      <c r="I1235" s="85" t="s">
        <v>7726</v>
      </c>
      <c r="J1235" s="88" t="str">
        <f t="shared" si="19"/>
        <v>重复</v>
      </c>
      <c r="K1235" s="88" t="str">
        <f t="shared" si="19"/>
        <v>不重复</v>
      </c>
    </row>
    <row r="1236" spans="1:11" ht="20.25" customHeight="1">
      <c r="A1236" s="89" t="s">
        <v>3325</v>
      </c>
      <c r="B1236" s="90" t="s">
        <v>7727</v>
      </c>
      <c r="C1236" s="90" t="s">
        <v>3326</v>
      </c>
      <c r="D1236" s="90" t="s">
        <v>3327</v>
      </c>
      <c r="E1236" s="89" t="s">
        <v>2468</v>
      </c>
      <c r="F1236" s="91">
        <v>602389</v>
      </c>
      <c r="G1236" s="91">
        <v>5100200</v>
      </c>
      <c r="H1236" s="87"/>
      <c r="I1236" s="90" t="s">
        <v>7335</v>
      </c>
      <c r="J1236" s="88" t="str">
        <f t="shared" si="19"/>
        <v>不重复</v>
      </c>
      <c r="K1236" s="88" t="str">
        <f t="shared" si="19"/>
        <v>不重复</v>
      </c>
    </row>
    <row r="1237" spans="1:11" ht="20.25" customHeight="1">
      <c r="A1237" s="89" t="s">
        <v>3335</v>
      </c>
      <c r="B1237" s="90" t="s">
        <v>7728</v>
      </c>
      <c r="C1237" s="90" t="s">
        <v>3336</v>
      </c>
      <c r="D1237" s="90" t="s">
        <v>3337</v>
      </c>
      <c r="E1237" s="89" t="s">
        <v>2468</v>
      </c>
      <c r="F1237" s="91">
        <v>602390</v>
      </c>
      <c r="G1237" s="91">
        <v>5100200</v>
      </c>
      <c r="H1237" s="87"/>
      <c r="I1237" s="90" t="s">
        <v>7485</v>
      </c>
      <c r="J1237" s="88" t="str">
        <f t="shared" si="19"/>
        <v>不重复</v>
      </c>
      <c r="K1237" s="88" t="str">
        <f t="shared" si="19"/>
        <v>不重复</v>
      </c>
    </row>
    <row r="1238" spans="1:11" ht="20.25" customHeight="1">
      <c r="A1238" s="89" t="s">
        <v>3332</v>
      </c>
      <c r="B1238" s="90" t="s">
        <v>7729</v>
      </c>
      <c r="C1238" s="90" t="s">
        <v>3333</v>
      </c>
      <c r="D1238" s="90" t="s">
        <v>3334</v>
      </c>
      <c r="E1238" s="89" t="s">
        <v>2468</v>
      </c>
      <c r="F1238" s="91">
        <v>602391</v>
      </c>
      <c r="G1238" s="91">
        <v>5100200</v>
      </c>
      <c r="H1238" s="87"/>
      <c r="I1238" s="90" t="s">
        <v>7335</v>
      </c>
      <c r="J1238" s="88" t="str">
        <f t="shared" si="19"/>
        <v>不重复</v>
      </c>
      <c r="K1238" s="88" t="str">
        <f t="shared" si="19"/>
        <v>不重复</v>
      </c>
    </row>
    <row r="1239" spans="1:11" ht="20.25" customHeight="1">
      <c r="A1239" s="89" t="s">
        <v>3347</v>
      </c>
      <c r="B1239" s="90" t="s">
        <v>7730</v>
      </c>
      <c r="C1239" s="90" t="s">
        <v>3348</v>
      </c>
      <c r="D1239" s="90" t="s">
        <v>3349</v>
      </c>
      <c r="E1239" s="89" t="s">
        <v>2468</v>
      </c>
      <c r="F1239" s="91">
        <v>602392</v>
      </c>
      <c r="G1239" s="91">
        <v>5100200</v>
      </c>
      <c r="H1239" s="87"/>
      <c r="I1239" s="90" t="s">
        <v>7377</v>
      </c>
      <c r="J1239" s="88" t="str">
        <f t="shared" si="19"/>
        <v>不重复</v>
      </c>
      <c r="K1239" s="88" t="str">
        <f t="shared" si="19"/>
        <v>不重复</v>
      </c>
    </row>
    <row r="1240" spans="1:11" ht="20.25" customHeight="1">
      <c r="A1240" s="89" t="s">
        <v>7731</v>
      </c>
      <c r="B1240" s="90" t="s">
        <v>7732</v>
      </c>
      <c r="C1240" s="90" t="s">
        <v>3328</v>
      </c>
      <c r="D1240" s="90" t="s">
        <v>3329</v>
      </c>
      <c r="E1240" s="89" t="s">
        <v>2468</v>
      </c>
      <c r="F1240" s="91">
        <v>602393</v>
      </c>
      <c r="G1240" s="91">
        <v>5100200</v>
      </c>
      <c r="H1240" s="87"/>
      <c r="I1240" s="90" t="s">
        <v>7733</v>
      </c>
      <c r="J1240" s="88" t="str">
        <f t="shared" si="19"/>
        <v>不重复</v>
      </c>
      <c r="K1240" s="88" t="str">
        <f t="shared" si="19"/>
        <v>不重复</v>
      </c>
    </row>
    <row r="1241" spans="1:11" ht="20.25" customHeight="1">
      <c r="A1241" s="89" t="s">
        <v>3338</v>
      </c>
      <c r="B1241" s="90" t="s">
        <v>7734</v>
      </c>
      <c r="C1241" s="90" t="s">
        <v>3339</v>
      </c>
      <c r="D1241" s="90" t="s">
        <v>3340</v>
      </c>
      <c r="E1241" s="89" t="s">
        <v>2468</v>
      </c>
      <c r="F1241" s="91">
        <v>602395</v>
      </c>
      <c r="G1241" s="91">
        <v>5100200</v>
      </c>
      <c r="H1241" s="87"/>
      <c r="I1241" s="90" t="s">
        <v>7084</v>
      </c>
      <c r="J1241" s="88" t="str">
        <f t="shared" si="19"/>
        <v>不重复</v>
      </c>
      <c r="K1241" s="88" t="str">
        <f t="shared" si="19"/>
        <v>不重复</v>
      </c>
    </row>
    <row r="1242" spans="1:11" ht="20.25" customHeight="1">
      <c r="A1242" s="89" t="s">
        <v>3330</v>
      </c>
      <c r="B1242" s="90" t="s">
        <v>7735</v>
      </c>
      <c r="C1242" s="90" t="s">
        <v>1556</v>
      </c>
      <c r="D1242" s="90" t="s">
        <v>3331</v>
      </c>
      <c r="E1242" s="89" t="s">
        <v>2468</v>
      </c>
      <c r="F1242" s="91">
        <v>602396</v>
      </c>
      <c r="G1242" s="91">
        <v>5100200</v>
      </c>
      <c r="H1242" s="87"/>
      <c r="I1242" s="90" t="s">
        <v>7736</v>
      </c>
      <c r="J1242" s="88" t="str">
        <f t="shared" si="19"/>
        <v>重复</v>
      </c>
      <c r="K1242" s="88" t="str">
        <f t="shared" si="19"/>
        <v>不重复</v>
      </c>
    </row>
    <row r="1243" spans="1:11" ht="20.25" customHeight="1">
      <c r="A1243" s="89" t="s">
        <v>3343</v>
      </c>
      <c r="B1243" s="90" t="s">
        <v>7737</v>
      </c>
      <c r="C1243" s="90" t="s">
        <v>3344</v>
      </c>
      <c r="D1243" s="90" t="s">
        <v>3345</v>
      </c>
      <c r="E1243" s="89" t="s">
        <v>2468</v>
      </c>
      <c r="F1243" s="91">
        <v>602397</v>
      </c>
      <c r="G1243" s="91">
        <v>5100200</v>
      </c>
      <c r="H1243" s="87"/>
      <c r="I1243" s="90" t="s">
        <v>7738</v>
      </c>
      <c r="J1243" s="88" t="str">
        <f t="shared" si="19"/>
        <v>不重复</v>
      </c>
      <c r="K1243" s="88" t="str">
        <f t="shared" si="19"/>
        <v>不重复</v>
      </c>
    </row>
    <row r="1244" spans="1:11" ht="20.25" customHeight="1">
      <c r="A1244" s="89" t="s">
        <v>3341</v>
      </c>
      <c r="B1244" s="90" t="s">
        <v>7739</v>
      </c>
      <c r="C1244" s="90" t="s">
        <v>1459</v>
      </c>
      <c r="D1244" s="90" t="s">
        <v>7740</v>
      </c>
      <c r="E1244" s="89" t="s">
        <v>2468</v>
      </c>
      <c r="F1244" s="91">
        <v>602398</v>
      </c>
      <c r="G1244" s="91">
        <v>5100200</v>
      </c>
      <c r="H1244" s="87"/>
      <c r="I1244" s="90" t="s">
        <v>7335</v>
      </c>
      <c r="J1244" s="88" t="str">
        <f t="shared" si="19"/>
        <v>重复</v>
      </c>
      <c r="K1244" s="88" t="str">
        <f t="shared" si="19"/>
        <v>不重复</v>
      </c>
    </row>
    <row r="1245" spans="1:11" ht="20.25" customHeight="1">
      <c r="A1245" s="89" t="s">
        <v>3718</v>
      </c>
      <c r="B1245" s="90" t="s">
        <v>7741</v>
      </c>
      <c r="C1245" s="90" t="s">
        <v>7742</v>
      </c>
      <c r="D1245" s="90" t="s">
        <v>3352</v>
      </c>
      <c r="E1245" s="89" t="s">
        <v>2468</v>
      </c>
      <c r="F1245" s="91">
        <v>602400</v>
      </c>
      <c r="G1245" s="91">
        <v>5100200</v>
      </c>
      <c r="H1245" s="87"/>
      <c r="I1245" s="90" t="s">
        <v>7743</v>
      </c>
      <c r="J1245" s="88" t="str">
        <f t="shared" si="19"/>
        <v>不重复</v>
      </c>
      <c r="K1245" s="88" t="str">
        <f t="shared" si="19"/>
        <v>不重复</v>
      </c>
    </row>
    <row r="1246" spans="1:11" ht="20.25" customHeight="1">
      <c r="A1246" s="84" t="s">
        <v>3381</v>
      </c>
      <c r="B1246" s="85" t="s">
        <v>3382</v>
      </c>
      <c r="C1246" s="85" t="s">
        <v>1558</v>
      </c>
      <c r="D1246" s="85" t="s">
        <v>3360</v>
      </c>
      <c r="E1246" s="84" t="s">
        <v>2468</v>
      </c>
      <c r="F1246" s="86">
        <v>602401</v>
      </c>
      <c r="G1246" s="86">
        <v>5100200</v>
      </c>
      <c r="H1246" s="87"/>
      <c r="I1246" s="85" t="s">
        <v>25</v>
      </c>
      <c r="J1246" s="88" t="str">
        <f t="shared" si="19"/>
        <v>重复</v>
      </c>
      <c r="K1246" s="88" t="str">
        <f t="shared" si="19"/>
        <v>不重复</v>
      </c>
    </row>
    <row r="1247" spans="1:11" ht="20.25" customHeight="1">
      <c r="A1247" s="84" t="s">
        <v>3378</v>
      </c>
      <c r="B1247" s="85" t="s">
        <v>7744</v>
      </c>
      <c r="C1247" s="85" t="s">
        <v>3379</v>
      </c>
      <c r="D1247" s="85" t="s">
        <v>3380</v>
      </c>
      <c r="E1247" s="84" t="s">
        <v>2468</v>
      </c>
      <c r="F1247" s="86">
        <v>602402</v>
      </c>
      <c r="G1247" s="86">
        <v>5100200</v>
      </c>
      <c r="H1247" s="87"/>
      <c r="I1247" s="85" t="s">
        <v>7303</v>
      </c>
      <c r="J1247" s="88" t="str">
        <f t="shared" si="19"/>
        <v>不重复</v>
      </c>
      <c r="K1247" s="88" t="str">
        <f t="shared" si="19"/>
        <v>不重复</v>
      </c>
    </row>
    <row r="1248" spans="1:11" ht="20.25" customHeight="1">
      <c r="A1248" s="84" t="s">
        <v>3353</v>
      </c>
      <c r="B1248" s="85" t="s">
        <v>7745</v>
      </c>
      <c r="C1248" s="85" t="s">
        <v>3354</v>
      </c>
      <c r="D1248" s="85" t="s">
        <v>3355</v>
      </c>
      <c r="E1248" s="84" t="s">
        <v>2468</v>
      </c>
      <c r="F1248" s="86">
        <v>602403</v>
      </c>
      <c r="G1248" s="86">
        <v>5100200</v>
      </c>
      <c r="H1248" s="87"/>
      <c r="I1248" s="85" t="s">
        <v>7746</v>
      </c>
      <c r="J1248" s="88" t="str">
        <f t="shared" si="19"/>
        <v>不重复</v>
      </c>
      <c r="K1248" s="88" t="str">
        <f t="shared" si="19"/>
        <v>不重复</v>
      </c>
    </row>
    <row r="1249" spans="1:11" ht="20.25" customHeight="1">
      <c r="A1249" s="84" t="s">
        <v>3367</v>
      </c>
      <c r="B1249" s="85" t="s">
        <v>7747</v>
      </c>
      <c r="C1249" s="85" t="s">
        <v>3368</v>
      </c>
      <c r="D1249" s="85" t="s">
        <v>7748</v>
      </c>
      <c r="E1249" s="84" t="s">
        <v>2468</v>
      </c>
      <c r="F1249" s="86">
        <v>602404</v>
      </c>
      <c r="G1249" s="86">
        <v>5100200</v>
      </c>
      <c r="H1249" s="87"/>
      <c r="I1249" s="85" t="s">
        <v>7266</v>
      </c>
      <c r="J1249" s="88" t="str">
        <f t="shared" si="19"/>
        <v>不重复</v>
      </c>
      <c r="K1249" s="88" t="str">
        <f t="shared" si="19"/>
        <v>不重复</v>
      </c>
    </row>
    <row r="1250" spans="1:11" ht="20.25" customHeight="1">
      <c r="A1250" s="84" t="s">
        <v>3356</v>
      </c>
      <c r="B1250" s="85" t="s">
        <v>7749</v>
      </c>
      <c r="C1250" s="85" t="s">
        <v>3357</v>
      </c>
      <c r="D1250" s="85" t="s">
        <v>3358</v>
      </c>
      <c r="E1250" s="84" t="s">
        <v>2468</v>
      </c>
      <c r="F1250" s="86">
        <v>602405</v>
      </c>
      <c r="G1250" s="86">
        <v>5100200</v>
      </c>
      <c r="H1250" s="87"/>
      <c r="I1250" s="85" t="s">
        <v>7501</v>
      </c>
      <c r="J1250" s="88" t="str">
        <f t="shared" si="19"/>
        <v>不重复</v>
      </c>
      <c r="K1250" s="88" t="str">
        <f t="shared" si="19"/>
        <v>不重复</v>
      </c>
    </row>
    <row r="1251" spans="1:11" ht="20.25" customHeight="1">
      <c r="A1251" s="84" t="s">
        <v>3364</v>
      </c>
      <c r="B1251" s="85" t="s">
        <v>7750</v>
      </c>
      <c r="C1251" s="85" t="s">
        <v>3365</v>
      </c>
      <c r="D1251" s="85" t="s">
        <v>3366</v>
      </c>
      <c r="E1251" s="84" t="s">
        <v>2468</v>
      </c>
      <c r="F1251" s="86">
        <v>602406</v>
      </c>
      <c r="G1251" s="86">
        <v>5100200</v>
      </c>
      <c r="H1251" s="87"/>
      <c r="I1251" s="85" t="s">
        <v>7303</v>
      </c>
      <c r="J1251" s="88" t="str">
        <f t="shared" si="19"/>
        <v>重复</v>
      </c>
      <c r="K1251" s="88" t="str">
        <f t="shared" si="19"/>
        <v>不重复</v>
      </c>
    </row>
    <row r="1252" spans="1:11" ht="20.25" customHeight="1">
      <c r="A1252" s="84" t="s">
        <v>3372</v>
      </c>
      <c r="B1252" s="85" t="s">
        <v>7751</v>
      </c>
      <c r="C1252" s="85" t="s">
        <v>3373</v>
      </c>
      <c r="D1252" s="85" t="s">
        <v>3374</v>
      </c>
      <c r="E1252" s="84" t="s">
        <v>2468</v>
      </c>
      <c r="F1252" s="86">
        <v>602407</v>
      </c>
      <c r="G1252" s="86">
        <v>5100200</v>
      </c>
      <c r="H1252" s="87"/>
      <c r="I1252" s="85" t="s">
        <v>7370</v>
      </c>
      <c r="J1252" s="88" t="str">
        <f t="shared" si="19"/>
        <v>不重复</v>
      </c>
      <c r="K1252" s="88" t="str">
        <f t="shared" si="19"/>
        <v>不重复</v>
      </c>
    </row>
    <row r="1253" spans="1:11" ht="20.25" customHeight="1">
      <c r="A1253" s="84" t="s">
        <v>3369</v>
      </c>
      <c r="B1253" s="85" t="s">
        <v>7752</v>
      </c>
      <c r="C1253" s="85" t="s">
        <v>3370</v>
      </c>
      <c r="D1253" s="85" t="s">
        <v>3371</v>
      </c>
      <c r="E1253" s="84" t="s">
        <v>2468</v>
      </c>
      <c r="F1253" s="86">
        <v>602408</v>
      </c>
      <c r="G1253" s="86">
        <v>5100200</v>
      </c>
      <c r="H1253" s="87"/>
      <c r="I1253" s="85" t="s">
        <v>7753</v>
      </c>
      <c r="J1253" s="88" t="str">
        <f t="shared" si="19"/>
        <v>不重复</v>
      </c>
      <c r="K1253" s="88" t="str">
        <f t="shared" si="19"/>
        <v>不重复</v>
      </c>
    </row>
    <row r="1254" spans="1:11" ht="20.25" customHeight="1">
      <c r="A1254" s="84" t="s">
        <v>7754</v>
      </c>
      <c r="B1254" s="85" t="s">
        <v>7755</v>
      </c>
      <c r="C1254" s="85" t="s">
        <v>1717</v>
      </c>
      <c r="D1254" s="85" t="s">
        <v>7756</v>
      </c>
      <c r="E1254" s="84" t="s">
        <v>2468</v>
      </c>
      <c r="F1254" s="86">
        <v>602409</v>
      </c>
      <c r="G1254" s="86">
        <v>5100200</v>
      </c>
      <c r="H1254" s="87"/>
      <c r="I1254" s="85" t="s">
        <v>7757</v>
      </c>
      <c r="J1254" s="88" t="str">
        <f t="shared" si="19"/>
        <v>重复</v>
      </c>
      <c r="K1254" s="88" t="str">
        <f t="shared" si="19"/>
        <v>不重复</v>
      </c>
    </row>
    <row r="1255" spans="1:11" ht="20.25" customHeight="1">
      <c r="A1255" s="84" t="s">
        <v>3375</v>
      </c>
      <c r="B1255" s="85" t="s">
        <v>7758</v>
      </c>
      <c r="C1255" s="85" t="s">
        <v>3376</v>
      </c>
      <c r="D1255" s="85" t="s">
        <v>3377</v>
      </c>
      <c r="E1255" s="84" t="s">
        <v>2468</v>
      </c>
      <c r="F1255" s="86">
        <v>602410</v>
      </c>
      <c r="G1255" s="86">
        <v>5100200</v>
      </c>
      <c r="H1255" s="87"/>
      <c r="I1255" s="85" t="s">
        <v>7759</v>
      </c>
      <c r="J1255" s="88" t="str">
        <f t="shared" si="19"/>
        <v>不重复</v>
      </c>
      <c r="K1255" s="88" t="str">
        <f t="shared" si="19"/>
        <v>不重复</v>
      </c>
    </row>
    <row r="1256" spans="1:11" ht="20.25" customHeight="1">
      <c r="A1256" s="84" t="s">
        <v>3359</v>
      </c>
      <c r="B1256" s="85" t="s">
        <v>7760</v>
      </c>
      <c r="C1256" s="85" t="s">
        <v>1593</v>
      </c>
      <c r="D1256" s="85" t="s">
        <v>7761</v>
      </c>
      <c r="E1256" s="84" t="s">
        <v>2468</v>
      </c>
      <c r="F1256" s="86">
        <v>602411</v>
      </c>
      <c r="G1256" s="86">
        <v>5100200</v>
      </c>
      <c r="H1256" s="87"/>
      <c r="I1256" s="85" t="s">
        <v>7762</v>
      </c>
      <c r="J1256" s="88" t="str">
        <f t="shared" si="19"/>
        <v>重复</v>
      </c>
      <c r="K1256" s="88" t="str">
        <f t="shared" si="19"/>
        <v>不重复</v>
      </c>
    </row>
    <row r="1257" spans="1:11" ht="20.25" customHeight="1">
      <c r="A1257" s="84" t="s">
        <v>3361</v>
      </c>
      <c r="B1257" s="85" t="s">
        <v>7763</v>
      </c>
      <c r="C1257" s="85" t="s">
        <v>3362</v>
      </c>
      <c r="D1257" s="85" t="s">
        <v>3363</v>
      </c>
      <c r="E1257" s="84" t="s">
        <v>2468</v>
      </c>
      <c r="F1257" s="86">
        <v>602412</v>
      </c>
      <c r="G1257" s="86">
        <v>5100200</v>
      </c>
      <c r="H1257" s="87"/>
      <c r="I1257" s="85" t="s">
        <v>7542</v>
      </c>
      <c r="J1257" s="88" t="str">
        <f t="shared" si="19"/>
        <v>不重复</v>
      </c>
      <c r="K1257" s="88" t="str">
        <f t="shared" si="19"/>
        <v>不重复</v>
      </c>
    </row>
    <row r="1258" spans="1:11" ht="20.25" customHeight="1">
      <c r="A1258" s="84" t="s">
        <v>3416</v>
      </c>
      <c r="B1258" s="85" t="s">
        <v>3417</v>
      </c>
      <c r="C1258" s="85" t="s">
        <v>3418</v>
      </c>
      <c r="D1258" s="85" t="s">
        <v>3419</v>
      </c>
      <c r="E1258" s="84" t="s">
        <v>2468</v>
      </c>
      <c r="F1258" s="86">
        <v>602416</v>
      </c>
      <c r="G1258" s="86">
        <v>5100200</v>
      </c>
      <c r="H1258" s="87"/>
      <c r="I1258" s="85" t="s">
        <v>25</v>
      </c>
      <c r="J1258" s="88" t="str">
        <f t="shared" si="19"/>
        <v>不重复</v>
      </c>
      <c r="K1258" s="88" t="str">
        <f t="shared" si="19"/>
        <v>不重复</v>
      </c>
    </row>
    <row r="1259" spans="1:11" ht="20.25" customHeight="1">
      <c r="A1259" s="84" t="s">
        <v>3394</v>
      </c>
      <c r="B1259" s="85" t="s">
        <v>7764</v>
      </c>
      <c r="C1259" s="85" t="s">
        <v>2216</v>
      </c>
      <c r="D1259" s="85" t="s">
        <v>3395</v>
      </c>
      <c r="E1259" s="84" t="s">
        <v>2468</v>
      </c>
      <c r="F1259" s="86">
        <v>602417</v>
      </c>
      <c r="G1259" s="86">
        <v>5100200</v>
      </c>
      <c r="H1259" s="87"/>
      <c r="I1259" s="85" t="s">
        <v>7765</v>
      </c>
      <c r="J1259" s="88" t="str">
        <f t="shared" si="19"/>
        <v>重复</v>
      </c>
      <c r="K1259" s="88" t="str">
        <f t="shared" si="19"/>
        <v>不重复</v>
      </c>
    </row>
    <row r="1260" spans="1:11" ht="20.25" customHeight="1">
      <c r="A1260" s="84" t="s">
        <v>3398</v>
      </c>
      <c r="B1260" s="85" t="s">
        <v>7766</v>
      </c>
      <c r="C1260" s="85" t="s">
        <v>1870</v>
      </c>
      <c r="D1260" s="85" t="s">
        <v>3399</v>
      </c>
      <c r="E1260" s="84" t="s">
        <v>2468</v>
      </c>
      <c r="F1260" s="86">
        <v>602418</v>
      </c>
      <c r="G1260" s="86">
        <v>5100200</v>
      </c>
      <c r="H1260" s="87"/>
      <c r="I1260" s="85" t="s">
        <v>7767</v>
      </c>
      <c r="J1260" s="88" t="str">
        <f t="shared" si="19"/>
        <v>重复</v>
      </c>
      <c r="K1260" s="88" t="str">
        <f t="shared" si="19"/>
        <v>不重复</v>
      </c>
    </row>
    <row r="1261" spans="1:11" ht="20.25" customHeight="1">
      <c r="A1261" s="84" t="s">
        <v>3389</v>
      </c>
      <c r="B1261" s="85" t="s">
        <v>7768</v>
      </c>
      <c r="C1261" s="85" t="s">
        <v>3390</v>
      </c>
      <c r="D1261" s="85" t="s">
        <v>3391</v>
      </c>
      <c r="E1261" s="84" t="s">
        <v>2468</v>
      </c>
      <c r="F1261" s="86">
        <v>602419</v>
      </c>
      <c r="G1261" s="86">
        <v>5100200</v>
      </c>
      <c r="H1261" s="87"/>
      <c r="I1261" s="85" t="s">
        <v>7765</v>
      </c>
      <c r="J1261" s="88" t="str">
        <f t="shared" si="19"/>
        <v>重复</v>
      </c>
      <c r="K1261" s="88" t="str">
        <f t="shared" si="19"/>
        <v>不重复</v>
      </c>
    </row>
    <row r="1262" spans="1:11" ht="20.25" customHeight="1">
      <c r="A1262" s="84" t="s">
        <v>3386</v>
      </c>
      <c r="B1262" s="85" t="s">
        <v>7769</v>
      </c>
      <c r="C1262" s="85" t="s">
        <v>3387</v>
      </c>
      <c r="D1262" s="85" t="s">
        <v>3388</v>
      </c>
      <c r="E1262" s="84" t="s">
        <v>2468</v>
      </c>
      <c r="F1262" s="86">
        <v>602420</v>
      </c>
      <c r="G1262" s="86">
        <v>5100200</v>
      </c>
      <c r="H1262" s="87"/>
      <c r="I1262" s="85" t="s">
        <v>7765</v>
      </c>
      <c r="J1262" s="88" t="str">
        <f t="shared" si="19"/>
        <v>不重复</v>
      </c>
      <c r="K1262" s="88" t="str">
        <f t="shared" si="19"/>
        <v>不重复</v>
      </c>
    </row>
    <row r="1263" spans="1:11" ht="20.25" customHeight="1">
      <c r="A1263" s="84" t="s">
        <v>3408</v>
      </c>
      <c r="B1263" s="85" t="s">
        <v>7770</v>
      </c>
      <c r="C1263" s="85" t="s">
        <v>2361</v>
      </c>
      <c r="D1263" s="85" t="s">
        <v>3409</v>
      </c>
      <c r="E1263" s="84" t="s">
        <v>2468</v>
      </c>
      <c r="F1263" s="86">
        <v>602421</v>
      </c>
      <c r="G1263" s="86">
        <v>5100200</v>
      </c>
      <c r="H1263" s="87"/>
      <c r="I1263" s="85" t="s">
        <v>3410</v>
      </c>
      <c r="J1263" s="88" t="str">
        <f t="shared" si="19"/>
        <v>重复</v>
      </c>
      <c r="K1263" s="88" t="str">
        <f t="shared" si="19"/>
        <v>不重复</v>
      </c>
    </row>
    <row r="1264" spans="1:11" ht="20.25" customHeight="1">
      <c r="A1264" s="84" t="s">
        <v>3392</v>
      </c>
      <c r="B1264" s="85" t="s">
        <v>7771</v>
      </c>
      <c r="C1264" s="85" t="s">
        <v>2216</v>
      </c>
      <c r="D1264" s="85" t="s">
        <v>3393</v>
      </c>
      <c r="E1264" s="84" t="s">
        <v>2468</v>
      </c>
      <c r="F1264" s="86">
        <v>602422</v>
      </c>
      <c r="G1264" s="86">
        <v>5100200</v>
      </c>
      <c r="H1264" s="87"/>
      <c r="I1264" s="85" t="s">
        <v>7335</v>
      </c>
      <c r="J1264" s="88" t="str">
        <f t="shared" si="19"/>
        <v>重复</v>
      </c>
      <c r="K1264" s="88" t="str">
        <f t="shared" si="19"/>
        <v>不重复</v>
      </c>
    </row>
    <row r="1265" spans="1:11" ht="20.25" customHeight="1">
      <c r="A1265" s="84" t="s">
        <v>3400</v>
      </c>
      <c r="B1265" s="85" t="s">
        <v>7772</v>
      </c>
      <c r="C1265" s="85" t="s">
        <v>3390</v>
      </c>
      <c r="D1265" s="85" t="s">
        <v>3401</v>
      </c>
      <c r="E1265" s="84" t="s">
        <v>2468</v>
      </c>
      <c r="F1265" s="86">
        <v>602423</v>
      </c>
      <c r="G1265" s="86">
        <v>5100200</v>
      </c>
      <c r="H1265" s="87"/>
      <c r="I1265" s="85" t="s">
        <v>7773</v>
      </c>
      <c r="J1265" s="88" t="str">
        <f t="shared" si="19"/>
        <v>重复</v>
      </c>
      <c r="K1265" s="88" t="str">
        <f t="shared" si="19"/>
        <v>不重复</v>
      </c>
    </row>
    <row r="1266" spans="1:11" ht="20.25" customHeight="1">
      <c r="A1266" s="84" t="s">
        <v>7774</v>
      </c>
      <c r="B1266" s="85" t="s">
        <v>7775</v>
      </c>
      <c r="C1266" s="85" t="s">
        <v>3397</v>
      </c>
      <c r="D1266" s="85" t="s">
        <v>7776</v>
      </c>
      <c r="E1266" s="84" t="s">
        <v>2468</v>
      </c>
      <c r="F1266" s="86">
        <v>602424</v>
      </c>
      <c r="G1266" s="86">
        <v>5100200</v>
      </c>
      <c r="H1266" s="87"/>
      <c r="I1266" s="85" t="s">
        <v>7777</v>
      </c>
      <c r="J1266" s="88" t="str">
        <f t="shared" si="19"/>
        <v>重复</v>
      </c>
      <c r="K1266" s="88" t="str">
        <f t="shared" si="19"/>
        <v>不重复</v>
      </c>
    </row>
    <row r="1267" spans="1:11" ht="20.25" customHeight="1">
      <c r="A1267" s="84" t="s">
        <v>3414</v>
      </c>
      <c r="B1267" s="85" t="s">
        <v>7778</v>
      </c>
      <c r="C1267" s="85" t="s">
        <v>3403</v>
      </c>
      <c r="D1267" s="85" t="s">
        <v>3415</v>
      </c>
      <c r="E1267" s="84" t="s">
        <v>2468</v>
      </c>
      <c r="F1267" s="86">
        <v>602425</v>
      </c>
      <c r="G1267" s="86">
        <v>5100200</v>
      </c>
      <c r="H1267" s="87"/>
      <c r="I1267" s="85" t="s">
        <v>7335</v>
      </c>
      <c r="J1267" s="88" t="str">
        <f t="shared" si="19"/>
        <v>重复</v>
      </c>
      <c r="K1267" s="88" t="str">
        <f t="shared" si="19"/>
        <v>不重复</v>
      </c>
    </row>
    <row r="1268" spans="1:11" ht="20.25" customHeight="1">
      <c r="A1268" s="84" t="s">
        <v>3402</v>
      </c>
      <c r="B1268" s="85" t="s">
        <v>7779</v>
      </c>
      <c r="C1268" s="85" t="s">
        <v>3403</v>
      </c>
      <c r="D1268" s="85" t="s">
        <v>3404</v>
      </c>
      <c r="E1268" s="84" t="s">
        <v>2468</v>
      </c>
      <c r="F1268" s="86">
        <v>602426</v>
      </c>
      <c r="G1268" s="86">
        <v>5100200</v>
      </c>
      <c r="H1268" s="87"/>
      <c r="I1268" s="85" t="s">
        <v>7084</v>
      </c>
      <c r="J1268" s="88" t="str">
        <f t="shared" si="19"/>
        <v>重复</v>
      </c>
      <c r="K1268" s="88" t="str">
        <f t="shared" si="19"/>
        <v>不重复</v>
      </c>
    </row>
    <row r="1269" spans="1:11" ht="20.25" customHeight="1">
      <c r="A1269" s="84" t="s">
        <v>3383</v>
      </c>
      <c r="B1269" s="85" t="s">
        <v>7780</v>
      </c>
      <c r="C1269" s="85" t="s">
        <v>3384</v>
      </c>
      <c r="D1269" s="85" t="s">
        <v>3385</v>
      </c>
      <c r="E1269" s="84" t="s">
        <v>2468</v>
      </c>
      <c r="F1269" s="86">
        <v>602427</v>
      </c>
      <c r="G1269" s="86">
        <v>5100200</v>
      </c>
      <c r="H1269" s="87"/>
      <c r="I1269" s="85" t="s">
        <v>7781</v>
      </c>
      <c r="J1269" s="88" t="str">
        <f t="shared" si="19"/>
        <v>不重复</v>
      </c>
      <c r="K1269" s="88" t="str">
        <f t="shared" si="19"/>
        <v>不重复</v>
      </c>
    </row>
    <row r="1270" spans="1:11" ht="20.25" customHeight="1">
      <c r="A1270" s="84" t="s">
        <v>3396</v>
      </c>
      <c r="B1270" s="85" t="s">
        <v>7782</v>
      </c>
      <c r="C1270" s="85" t="s">
        <v>3397</v>
      </c>
      <c r="D1270" s="85" t="s">
        <v>5237</v>
      </c>
      <c r="E1270" s="84" t="s">
        <v>2468</v>
      </c>
      <c r="F1270" s="86">
        <v>602428</v>
      </c>
      <c r="G1270" s="86">
        <v>5100200</v>
      </c>
      <c r="H1270" s="87"/>
      <c r="I1270" s="85" t="s">
        <v>7765</v>
      </c>
      <c r="J1270" s="88" t="str">
        <f t="shared" si="19"/>
        <v>重复</v>
      </c>
      <c r="K1270" s="88" t="str">
        <f t="shared" si="19"/>
        <v>不重复</v>
      </c>
    </row>
    <row r="1271" spans="1:11" ht="20.25" customHeight="1">
      <c r="A1271" s="84" t="s">
        <v>3405</v>
      </c>
      <c r="B1271" s="85" t="s">
        <v>7783</v>
      </c>
      <c r="C1271" s="85" t="s">
        <v>3406</v>
      </c>
      <c r="D1271" s="85" t="s">
        <v>3407</v>
      </c>
      <c r="E1271" s="84" t="s">
        <v>2468</v>
      </c>
      <c r="F1271" s="86">
        <v>602429</v>
      </c>
      <c r="G1271" s="86">
        <v>5100200</v>
      </c>
      <c r="H1271" s="87"/>
      <c r="I1271" s="85" t="s">
        <v>7784</v>
      </c>
      <c r="J1271" s="88" t="str">
        <f t="shared" si="19"/>
        <v>不重复</v>
      </c>
      <c r="K1271" s="88" t="str">
        <f t="shared" si="19"/>
        <v>不重复</v>
      </c>
    </row>
    <row r="1272" spans="1:11" ht="20.25" customHeight="1">
      <c r="A1272" s="84" t="s">
        <v>3411</v>
      </c>
      <c r="B1272" s="85" t="s">
        <v>7785</v>
      </c>
      <c r="C1272" s="85" t="s">
        <v>3412</v>
      </c>
      <c r="D1272" s="85" t="s">
        <v>3413</v>
      </c>
      <c r="E1272" s="84" t="s">
        <v>2468</v>
      </c>
      <c r="F1272" s="86">
        <v>602430</v>
      </c>
      <c r="G1272" s="86">
        <v>5100200</v>
      </c>
      <c r="H1272" s="87"/>
      <c r="I1272" s="85" t="s">
        <v>7765</v>
      </c>
      <c r="J1272" s="88" t="str">
        <f t="shared" si="19"/>
        <v>不重复</v>
      </c>
      <c r="K1272" s="88" t="str">
        <f t="shared" si="19"/>
        <v>不重复</v>
      </c>
    </row>
    <row r="1273" spans="1:11" ht="20.25" customHeight="1">
      <c r="A1273" s="89" t="s">
        <v>3603</v>
      </c>
      <c r="B1273" s="90" t="s">
        <v>7786</v>
      </c>
      <c r="C1273" s="90" t="s">
        <v>3604</v>
      </c>
      <c r="D1273" s="90" t="s">
        <v>3605</v>
      </c>
      <c r="E1273" s="89" t="s">
        <v>2468</v>
      </c>
      <c r="F1273" s="91">
        <v>602431</v>
      </c>
      <c r="G1273" s="91">
        <v>5100200</v>
      </c>
      <c r="H1273" s="87"/>
      <c r="I1273" s="90" t="s">
        <v>7762</v>
      </c>
      <c r="J1273" s="88" t="str">
        <f t="shared" si="19"/>
        <v>重复</v>
      </c>
      <c r="K1273" s="88" t="str">
        <f t="shared" si="19"/>
        <v>不重复</v>
      </c>
    </row>
    <row r="1274" spans="1:11" ht="20.25" customHeight="1">
      <c r="A1274" s="89" t="s">
        <v>7787</v>
      </c>
      <c r="B1274" s="90" t="s">
        <v>7788</v>
      </c>
      <c r="C1274" s="90" t="s">
        <v>7789</v>
      </c>
      <c r="D1274" s="90" t="s">
        <v>7790</v>
      </c>
      <c r="E1274" s="89" t="s">
        <v>2468</v>
      </c>
      <c r="F1274" s="91">
        <v>602432</v>
      </c>
      <c r="G1274" s="91">
        <v>5100200</v>
      </c>
      <c r="H1274" s="87"/>
      <c r="I1274" s="90" t="s">
        <v>25</v>
      </c>
      <c r="J1274" s="88" t="str">
        <f t="shared" si="19"/>
        <v>不重复</v>
      </c>
      <c r="K1274" s="88" t="str">
        <f t="shared" si="19"/>
        <v>不重复</v>
      </c>
    </row>
    <row r="1275" spans="1:11" ht="20.25" customHeight="1">
      <c r="A1275" s="89" t="s">
        <v>3606</v>
      </c>
      <c r="B1275" s="90" t="s">
        <v>7791</v>
      </c>
      <c r="C1275" s="90" t="s">
        <v>3607</v>
      </c>
      <c r="D1275" s="90" t="s">
        <v>7792</v>
      </c>
      <c r="E1275" s="89" t="s">
        <v>2468</v>
      </c>
      <c r="F1275" s="91">
        <v>602433</v>
      </c>
      <c r="G1275" s="91">
        <v>5100200</v>
      </c>
      <c r="H1275" s="87"/>
      <c r="I1275" s="90" t="s">
        <v>7793</v>
      </c>
      <c r="J1275" s="88" t="str">
        <f t="shared" si="19"/>
        <v>不重复</v>
      </c>
      <c r="K1275" s="88" t="str">
        <f t="shared" si="19"/>
        <v>不重复</v>
      </c>
    </row>
    <row r="1276" spans="1:11" ht="20.25" customHeight="1">
      <c r="A1276" s="89" t="s">
        <v>7794</v>
      </c>
      <c r="B1276" s="90" t="s">
        <v>7795</v>
      </c>
      <c r="C1276" s="90" t="s">
        <v>849</v>
      </c>
      <c r="D1276" s="90" t="s">
        <v>7796</v>
      </c>
      <c r="E1276" s="89" t="s">
        <v>2468</v>
      </c>
      <c r="F1276" s="91">
        <v>602434</v>
      </c>
      <c r="G1276" s="91">
        <v>5100200</v>
      </c>
      <c r="H1276" s="87"/>
      <c r="I1276" s="90" t="s">
        <v>25</v>
      </c>
      <c r="J1276" s="88" t="str">
        <f t="shared" si="19"/>
        <v>重复</v>
      </c>
      <c r="K1276" s="88" t="str">
        <f t="shared" si="19"/>
        <v>不重复</v>
      </c>
    </row>
    <row r="1277" spans="1:11" ht="20.25" customHeight="1">
      <c r="A1277" s="89" t="s">
        <v>3608</v>
      </c>
      <c r="B1277" s="90" t="s">
        <v>7797</v>
      </c>
      <c r="C1277" s="90" t="s">
        <v>668</v>
      </c>
      <c r="D1277" s="90" t="s">
        <v>3609</v>
      </c>
      <c r="E1277" s="89" t="s">
        <v>2468</v>
      </c>
      <c r="F1277" s="91">
        <v>602435</v>
      </c>
      <c r="G1277" s="91">
        <v>5100200</v>
      </c>
      <c r="H1277" s="87"/>
      <c r="I1277" s="90" t="s">
        <v>7798</v>
      </c>
      <c r="J1277" s="88" t="str">
        <f t="shared" si="19"/>
        <v>重复</v>
      </c>
      <c r="K1277" s="88" t="str">
        <f t="shared" si="19"/>
        <v>不重复</v>
      </c>
    </row>
    <row r="1278" spans="1:11" ht="20.25" customHeight="1">
      <c r="A1278" s="89" t="s">
        <v>7799</v>
      </c>
      <c r="B1278" s="90" t="s">
        <v>3620</v>
      </c>
      <c r="C1278" s="90" t="s">
        <v>2700</v>
      </c>
      <c r="D1278" s="90" t="s">
        <v>1543</v>
      </c>
      <c r="E1278" s="89" t="s">
        <v>2468</v>
      </c>
      <c r="F1278" s="91">
        <v>602436</v>
      </c>
      <c r="G1278" s="91">
        <v>5100200</v>
      </c>
      <c r="H1278" s="87"/>
      <c r="I1278" s="90" t="s">
        <v>25</v>
      </c>
      <c r="J1278" s="88" t="str">
        <f t="shared" si="19"/>
        <v>重复</v>
      </c>
      <c r="K1278" s="88" t="str">
        <f t="shared" si="19"/>
        <v>不重复</v>
      </c>
    </row>
    <row r="1279" spans="1:11" ht="20.25" customHeight="1">
      <c r="A1279" s="89" t="s">
        <v>3614</v>
      </c>
      <c r="B1279" s="90" t="s">
        <v>7800</v>
      </c>
      <c r="C1279" s="90" t="s">
        <v>634</v>
      </c>
      <c r="D1279" s="90" t="s">
        <v>3615</v>
      </c>
      <c r="E1279" s="89" t="s">
        <v>2468</v>
      </c>
      <c r="F1279" s="91">
        <v>602437</v>
      </c>
      <c r="G1279" s="91">
        <v>5100200</v>
      </c>
      <c r="H1279" s="87"/>
      <c r="I1279" s="90" t="s">
        <v>2729</v>
      </c>
      <c r="J1279" s="88" t="str">
        <f t="shared" si="19"/>
        <v>重复</v>
      </c>
      <c r="K1279" s="88" t="str">
        <f t="shared" si="19"/>
        <v>不重复</v>
      </c>
    </row>
    <row r="1280" spans="1:11" ht="20.25" customHeight="1">
      <c r="A1280" s="89" t="s">
        <v>3616</v>
      </c>
      <c r="B1280" s="90" t="s">
        <v>7801</v>
      </c>
      <c r="C1280" s="90" t="s">
        <v>3617</v>
      </c>
      <c r="D1280" s="90" t="s">
        <v>3618</v>
      </c>
      <c r="E1280" s="89" t="s">
        <v>2468</v>
      </c>
      <c r="F1280" s="91">
        <v>602438</v>
      </c>
      <c r="G1280" s="91">
        <v>5100200</v>
      </c>
      <c r="H1280" s="87"/>
      <c r="I1280" s="90" t="s">
        <v>2729</v>
      </c>
      <c r="J1280" s="88" t="str">
        <f t="shared" si="19"/>
        <v>不重复</v>
      </c>
      <c r="K1280" s="88" t="str">
        <f t="shared" si="19"/>
        <v>不重复</v>
      </c>
    </row>
    <row r="1281" spans="1:11" ht="20.25" customHeight="1">
      <c r="A1281" s="89" t="s">
        <v>7802</v>
      </c>
      <c r="B1281" s="90" t="s">
        <v>7803</v>
      </c>
      <c r="C1281" s="90" t="s">
        <v>7804</v>
      </c>
      <c r="D1281" s="90" t="s">
        <v>7805</v>
      </c>
      <c r="E1281" s="89" t="s">
        <v>2468</v>
      </c>
      <c r="F1281" s="91">
        <v>602439</v>
      </c>
      <c r="G1281" s="91">
        <v>5100200</v>
      </c>
      <c r="H1281" s="87"/>
      <c r="I1281" s="90" t="s">
        <v>25</v>
      </c>
      <c r="J1281" s="88" t="str">
        <f t="shared" si="19"/>
        <v>不重复</v>
      </c>
      <c r="K1281" s="88" t="str">
        <f t="shared" si="19"/>
        <v>不重复</v>
      </c>
    </row>
    <row r="1282" spans="1:11" ht="20.25" customHeight="1">
      <c r="A1282" s="89" t="s">
        <v>3621</v>
      </c>
      <c r="B1282" s="90" t="s">
        <v>7806</v>
      </c>
      <c r="C1282" s="90" t="s">
        <v>3622</v>
      </c>
      <c r="D1282" s="90" t="s">
        <v>3623</v>
      </c>
      <c r="E1282" s="89" t="s">
        <v>2468</v>
      </c>
      <c r="F1282" s="91">
        <v>602440</v>
      </c>
      <c r="G1282" s="91">
        <v>5100200</v>
      </c>
      <c r="H1282" s="87"/>
      <c r="I1282" s="90" t="s">
        <v>7807</v>
      </c>
      <c r="J1282" s="88" t="str">
        <f t="shared" si="19"/>
        <v>不重复</v>
      </c>
      <c r="K1282" s="88" t="str">
        <f t="shared" si="19"/>
        <v>不重复</v>
      </c>
    </row>
    <row r="1283" spans="1:11" ht="20.25" customHeight="1">
      <c r="A1283" s="89" t="s">
        <v>3624</v>
      </c>
      <c r="B1283" s="90" t="s">
        <v>7808</v>
      </c>
      <c r="C1283" s="90" t="s">
        <v>3625</v>
      </c>
      <c r="D1283" s="90" t="s">
        <v>3626</v>
      </c>
      <c r="E1283" s="89" t="s">
        <v>2468</v>
      </c>
      <c r="F1283" s="91">
        <v>602441</v>
      </c>
      <c r="G1283" s="91">
        <v>5100200</v>
      </c>
      <c r="H1283" s="87"/>
      <c r="I1283" s="90" t="s">
        <v>7809</v>
      </c>
      <c r="J1283" s="88" t="str">
        <f t="shared" si="20" ref="J1283:K1346">IF(COUNTIF(C:C,C1283)&gt;=2,"重复","不重复")</f>
        <v>不重复</v>
      </c>
      <c r="K1283" s="88" t="str">
        <f t="shared" si="20"/>
        <v>不重复</v>
      </c>
    </row>
    <row r="1284" spans="1:11" ht="20.25" customHeight="1">
      <c r="A1284" s="84" t="s">
        <v>7810</v>
      </c>
      <c r="B1284" s="85" t="s">
        <v>7811</v>
      </c>
      <c r="C1284" s="85" t="s">
        <v>7812</v>
      </c>
      <c r="D1284" s="85" t="s">
        <v>669</v>
      </c>
      <c r="E1284" s="84" t="s">
        <v>2468</v>
      </c>
      <c r="F1284" s="86">
        <v>602442</v>
      </c>
      <c r="G1284" s="86">
        <v>5100200</v>
      </c>
      <c r="H1284" s="87"/>
      <c r="I1284" s="85" t="s">
        <v>25</v>
      </c>
      <c r="J1284" s="88" t="str">
        <f t="shared" si="20"/>
        <v>不重复</v>
      </c>
      <c r="K1284" s="88" t="str">
        <f t="shared" si="20"/>
        <v>不重复</v>
      </c>
    </row>
    <row r="1285" spans="1:11" ht="20.25" customHeight="1">
      <c r="A1285" s="84" t="s">
        <v>5251</v>
      </c>
      <c r="B1285" s="85" t="s">
        <v>7813</v>
      </c>
      <c r="C1285" s="85" t="s">
        <v>2824</v>
      </c>
      <c r="D1285" s="85" t="s">
        <v>7814</v>
      </c>
      <c r="E1285" s="84" t="s">
        <v>2468</v>
      </c>
      <c r="F1285" s="86">
        <v>602443</v>
      </c>
      <c r="G1285" s="86">
        <v>5100200</v>
      </c>
      <c r="H1285" s="87"/>
      <c r="I1285" s="85" t="s">
        <v>7815</v>
      </c>
      <c r="J1285" s="88" t="str">
        <f t="shared" si="20"/>
        <v>重复</v>
      </c>
      <c r="K1285" s="88" t="str">
        <f t="shared" si="20"/>
        <v>不重复</v>
      </c>
    </row>
    <row r="1286" spans="1:11" ht="20.25" customHeight="1">
      <c r="A1286" s="89" t="s">
        <v>7816</v>
      </c>
      <c r="B1286" s="90" t="s">
        <v>7817</v>
      </c>
      <c r="C1286" s="90" t="s">
        <v>5457</v>
      </c>
      <c r="D1286" s="90" t="s">
        <v>557</v>
      </c>
      <c r="E1286" s="89" t="s">
        <v>2468</v>
      </c>
      <c r="F1286" s="91">
        <v>602444</v>
      </c>
      <c r="G1286" s="91">
        <v>5100200</v>
      </c>
      <c r="H1286" s="87"/>
      <c r="I1286" s="90" t="s">
        <v>25</v>
      </c>
      <c r="J1286" s="88" t="str">
        <f t="shared" si="20"/>
        <v>重复</v>
      </c>
      <c r="K1286" s="88" t="str">
        <f t="shared" si="20"/>
        <v>不重复</v>
      </c>
    </row>
    <row r="1287" spans="1:11" ht="20.25" customHeight="1">
      <c r="A1287" s="89" t="s">
        <v>3627</v>
      </c>
      <c r="B1287" s="90" t="s">
        <v>7818</v>
      </c>
      <c r="C1287" s="90" t="s">
        <v>3628</v>
      </c>
      <c r="D1287" s="90" t="s">
        <v>3629</v>
      </c>
      <c r="E1287" s="89" t="s">
        <v>2468</v>
      </c>
      <c r="F1287" s="91">
        <v>602445</v>
      </c>
      <c r="G1287" s="91">
        <v>5100200</v>
      </c>
      <c r="H1287" s="87"/>
      <c r="I1287" s="90" t="s">
        <v>7809</v>
      </c>
      <c r="J1287" s="88" t="str">
        <f t="shared" si="20"/>
        <v>不重复</v>
      </c>
      <c r="K1287" s="88" t="str">
        <f t="shared" si="20"/>
        <v>不重复</v>
      </c>
    </row>
    <row r="1288" spans="1:11" ht="20.25" customHeight="1">
      <c r="A1288" s="89" t="s">
        <v>3630</v>
      </c>
      <c r="B1288" s="90" t="s">
        <v>7819</v>
      </c>
      <c r="C1288" s="90" t="s">
        <v>645</v>
      </c>
      <c r="D1288" s="90" t="s">
        <v>3631</v>
      </c>
      <c r="E1288" s="89" t="s">
        <v>2468</v>
      </c>
      <c r="F1288" s="91">
        <v>602446</v>
      </c>
      <c r="G1288" s="91">
        <v>5100200</v>
      </c>
      <c r="H1288" s="87"/>
      <c r="I1288" s="90" t="s">
        <v>3632</v>
      </c>
      <c r="J1288" s="88" t="str">
        <f t="shared" si="20"/>
        <v>不重复</v>
      </c>
      <c r="K1288" s="88" t="str">
        <f t="shared" si="20"/>
        <v>不重复</v>
      </c>
    </row>
    <row r="1289" spans="1:11" ht="20.25" customHeight="1">
      <c r="A1289" s="89" t="s">
        <v>3635</v>
      </c>
      <c r="B1289" s="90" t="s">
        <v>7820</v>
      </c>
      <c r="C1289" s="90" t="s">
        <v>3636</v>
      </c>
      <c r="D1289" s="90" t="s">
        <v>3637</v>
      </c>
      <c r="E1289" s="89" t="s">
        <v>2468</v>
      </c>
      <c r="F1289" s="91">
        <v>602448</v>
      </c>
      <c r="G1289" s="91">
        <v>5100200</v>
      </c>
      <c r="H1289" s="87"/>
      <c r="I1289" s="90" t="s">
        <v>7303</v>
      </c>
      <c r="J1289" s="88" t="str">
        <f t="shared" si="20"/>
        <v>不重复</v>
      </c>
      <c r="K1289" s="88" t="str">
        <f t="shared" si="20"/>
        <v>不重复</v>
      </c>
    </row>
    <row r="1290" spans="1:11" ht="20.25" customHeight="1">
      <c r="A1290" s="89" t="s">
        <v>7821</v>
      </c>
      <c r="B1290" s="90" t="s">
        <v>7822</v>
      </c>
      <c r="C1290" s="90" t="s">
        <v>3633</v>
      </c>
      <c r="D1290" s="90" t="s">
        <v>3634</v>
      </c>
      <c r="E1290" s="89" t="s">
        <v>2468</v>
      </c>
      <c r="F1290" s="91">
        <v>602449</v>
      </c>
      <c r="G1290" s="91">
        <v>5100200</v>
      </c>
      <c r="H1290" s="87"/>
      <c r="I1290" s="90" t="s">
        <v>7815</v>
      </c>
      <c r="J1290" s="88" t="str">
        <f t="shared" si="20"/>
        <v>不重复</v>
      </c>
      <c r="K1290" s="88" t="str">
        <f t="shared" si="20"/>
        <v>不重复</v>
      </c>
    </row>
    <row r="1291" spans="1:11" ht="20.25" customHeight="1">
      <c r="A1291" s="89" t="s">
        <v>3641</v>
      </c>
      <c r="B1291" s="90" t="s">
        <v>7823</v>
      </c>
      <c r="C1291" s="90" t="s">
        <v>3604</v>
      </c>
      <c r="D1291" s="90" t="s">
        <v>3642</v>
      </c>
      <c r="E1291" s="89" t="s">
        <v>2468</v>
      </c>
      <c r="F1291" s="91">
        <v>602450</v>
      </c>
      <c r="G1291" s="91">
        <v>5100200</v>
      </c>
      <c r="H1291" s="87"/>
      <c r="I1291" s="90" t="s">
        <v>2499</v>
      </c>
      <c r="J1291" s="88" t="str">
        <f t="shared" si="20"/>
        <v>重复</v>
      </c>
      <c r="K1291" s="88" t="str">
        <f t="shared" si="20"/>
        <v>不重复</v>
      </c>
    </row>
    <row r="1292" spans="1:11" ht="20.25" customHeight="1">
      <c r="A1292" s="89" t="s">
        <v>3638</v>
      </c>
      <c r="B1292" s="90" t="s">
        <v>7824</v>
      </c>
      <c r="C1292" s="90" t="s">
        <v>3639</v>
      </c>
      <c r="D1292" s="90" t="s">
        <v>3640</v>
      </c>
      <c r="E1292" s="89" t="s">
        <v>2468</v>
      </c>
      <c r="F1292" s="91">
        <v>602451</v>
      </c>
      <c r="G1292" s="91">
        <v>5100200</v>
      </c>
      <c r="H1292" s="87"/>
      <c r="I1292" s="90" t="s">
        <v>2499</v>
      </c>
      <c r="J1292" s="88" t="str">
        <f t="shared" si="20"/>
        <v>不重复</v>
      </c>
      <c r="K1292" s="88" t="str">
        <f t="shared" si="20"/>
        <v>不重复</v>
      </c>
    </row>
    <row r="1293" spans="1:11" ht="20.25" customHeight="1">
      <c r="A1293" s="84" t="s">
        <v>3646</v>
      </c>
      <c r="B1293" s="85" t="s">
        <v>7825</v>
      </c>
      <c r="C1293" s="85" t="s">
        <v>1321</v>
      </c>
      <c r="D1293" s="85" t="s">
        <v>3647</v>
      </c>
      <c r="E1293" s="84" t="s">
        <v>2468</v>
      </c>
      <c r="F1293" s="86">
        <v>602452</v>
      </c>
      <c r="G1293" s="86">
        <v>5100200</v>
      </c>
      <c r="H1293" s="87"/>
      <c r="I1293" s="85" t="s">
        <v>2729</v>
      </c>
      <c r="J1293" s="88" t="str">
        <f t="shared" si="20"/>
        <v>重复</v>
      </c>
      <c r="K1293" s="88" t="str">
        <f t="shared" si="20"/>
        <v>不重复</v>
      </c>
    </row>
    <row r="1294" spans="1:11" ht="20.25" customHeight="1">
      <c r="A1294" s="84" t="s">
        <v>3643</v>
      </c>
      <c r="B1294" s="85" t="s">
        <v>3644</v>
      </c>
      <c r="C1294" s="85" t="s">
        <v>1321</v>
      </c>
      <c r="D1294" s="85" t="s">
        <v>3645</v>
      </c>
      <c r="E1294" s="84" t="s">
        <v>2468</v>
      </c>
      <c r="F1294" s="86">
        <v>602453</v>
      </c>
      <c r="G1294" s="86">
        <v>5100200</v>
      </c>
      <c r="H1294" s="87"/>
      <c r="I1294" s="85" t="s">
        <v>2949</v>
      </c>
      <c r="J1294" s="88" t="str">
        <f t="shared" si="20"/>
        <v>重复</v>
      </c>
      <c r="K1294" s="88" t="str">
        <f t="shared" si="20"/>
        <v>不重复</v>
      </c>
    </row>
    <row r="1295" spans="1:11" ht="20.25" customHeight="1">
      <c r="A1295" s="89" t="s">
        <v>3648</v>
      </c>
      <c r="B1295" s="90" t="s">
        <v>7826</v>
      </c>
      <c r="C1295" s="90" t="s">
        <v>3649</v>
      </c>
      <c r="D1295" s="90" t="s">
        <v>3650</v>
      </c>
      <c r="E1295" s="89" t="s">
        <v>2468</v>
      </c>
      <c r="F1295" s="91">
        <v>602454</v>
      </c>
      <c r="G1295" s="91">
        <v>5100200</v>
      </c>
      <c r="H1295" s="87"/>
      <c r="I1295" s="90" t="s">
        <v>7827</v>
      </c>
      <c r="J1295" s="88" t="str">
        <f t="shared" si="20"/>
        <v>不重复</v>
      </c>
      <c r="K1295" s="88" t="str">
        <f t="shared" si="20"/>
        <v>不重复</v>
      </c>
    </row>
    <row r="1296" spans="1:11" ht="20.25" customHeight="1">
      <c r="A1296" s="89" t="s">
        <v>3651</v>
      </c>
      <c r="B1296" s="90" t="s">
        <v>7828</v>
      </c>
      <c r="C1296" s="90" t="s">
        <v>3652</v>
      </c>
      <c r="D1296" s="90" t="s">
        <v>3653</v>
      </c>
      <c r="E1296" s="89" t="s">
        <v>2468</v>
      </c>
      <c r="F1296" s="91">
        <v>602455</v>
      </c>
      <c r="G1296" s="91">
        <v>5100200</v>
      </c>
      <c r="H1296" s="87"/>
      <c r="I1296" s="90" t="s">
        <v>7829</v>
      </c>
      <c r="J1296" s="88" t="str">
        <f t="shared" si="20"/>
        <v>不重复</v>
      </c>
      <c r="K1296" s="88" t="str">
        <f t="shared" si="20"/>
        <v>不重复</v>
      </c>
    </row>
    <row r="1297" spans="1:11" ht="20.25" customHeight="1">
      <c r="A1297" s="84" t="s">
        <v>3654</v>
      </c>
      <c r="B1297" s="85" t="s">
        <v>7830</v>
      </c>
      <c r="C1297" s="85" t="s">
        <v>3655</v>
      </c>
      <c r="D1297" s="85" t="s">
        <v>3656</v>
      </c>
      <c r="E1297" s="84" t="s">
        <v>2468</v>
      </c>
      <c r="F1297" s="86">
        <v>602456</v>
      </c>
      <c r="G1297" s="86">
        <v>5100200</v>
      </c>
      <c r="H1297" s="87"/>
      <c r="I1297" s="85" t="s">
        <v>2949</v>
      </c>
      <c r="J1297" s="88" t="str">
        <f t="shared" si="20"/>
        <v>不重复</v>
      </c>
      <c r="K1297" s="88" t="str">
        <f t="shared" si="20"/>
        <v>不重复</v>
      </c>
    </row>
    <row r="1298" spans="1:11" ht="20.25" customHeight="1">
      <c r="A1298" s="84" t="s">
        <v>3657</v>
      </c>
      <c r="B1298" s="85" t="s">
        <v>3658</v>
      </c>
      <c r="C1298" s="85" t="s">
        <v>372</v>
      </c>
      <c r="D1298" s="85" t="s">
        <v>3659</v>
      </c>
      <c r="E1298" s="84" t="s">
        <v>2468</v>
      </c>
      <c r="F1298" s="86">
        <v>602457</v>
      </c>
      <c r="G1298" s="86">
        <v>5100200</v>
      </c>
      <c r="H1298" s="87"/>
      <c r="I1298" s="85" t="s">
        <v>3660</v>
      </c>
      <c r="J1298" s="88" t="str">
        <f t="shared" si="20"/>
        <v>重复</v>
      </c>
      <c r="K1298" s="88" t="str">
        <f t="shared" si="20"/>
        <v>不重复</v>
      </c>
    </row>
    <row r="1299" spans="1:11" ht="20.25" customHeight="1">
      <c r="A1299" s="89" t="s">
        <v>3661</v>
      </c>
      <c r="B1299" s="90" t="s">
        <v>7831</v>
      </c>
      <c r="C1299" s="90" t="s">
        <v>3662</v>
      </c>
      <c r="D1299" s="90" t="s">
        <v>3663</v>
      </c>
      <c r="E1299" s="89" t="s">
        <v>2468</v>
      </c>
      <c r="F1299" s="91">
        <v>602458</v>
      </c>
      <c r="G1299" s="91">
        <v>5100200</v>
      </c>
      <c r="H1299" s="87"/>
      <c r="I1299" s="90" t="s">
        <v>7832</v>
      </c>
      <c r="J1299" s="88" t="str">
        <f t="shared" si="20"/>
        <v>重复</v>
      </c>
      <c r="K1299" s="88" t="str">
        <f t="shared" si="20"/>
        <v>不重复</v>
      </c>
    </row>
    <row r="1300" spans="1:11" ht="20.25" customHeight="1">
      <c r="A1300" s="89" t="s">
        <v>3665</v>
      </c>
      <c r="B1300" s="90" t="s">
        <v>7833</v>
      </c>
      <c r="C1300" s="90" t="s">
        <v>523</v>
      </c>
      <c r="D1300" s="90" t="s">
        <v>3666</v>
      </c>
      <c r="E1300" s="89" t="s">
        <v>2468</v>
      </c>
      <c r="F1300" s="91">
        <v>602459</v>
      </c>
      <c r="G1300" s="91">
        <v>5100200</v>
      </c>
      <c r="H1300" s="87"/>
      <c r="I1300" s="90" t="s">
        <v>1914</v>
      </c>
      <c r="J1300" s="88" t="str">
        <f t="shared" si="20"/>
        <v>重复</v>
      </c>
      <c r="K1300" s="88" t="str">
        <f t="shared" si="20"/>
        <v>不重复</v>
      </c>
    </row>
    <row r="1301" spans="1:11" ht="20.25" customHeight="1">
      <c r="A1301" s="89" t="s">
        <v>3667</v>
      </c>
      <c r="B1301" s="90" t="s">
        <v>7834</v>
      </c>
      <c r="C1301" s="90" t="s">
        <v>1593</v>
      </c>
      <c r="D1301" s="90" t="s">
        <v>3668</v>
      </c>
      <c r="E1301" s="89" t="s">
        <v>2468</v>
      </c>
      <c r="F1301" s="91">
        <v>602460</v>
      </c>
      <c r="G1301" s="91">
        <v>5100200</v>
      </c>
      <c r="H1301" s="87"/>
      <c r="I1301" s="90" t="s">
        <v>3669</v>
      </c>
      <c r="J1301" s="88" t="str">
        <f t="shared" si="20"/>
        <v>重复</v>
      </c>
      <c r="K1301" s="88" t="str">
        <f t="shared" si="20"/>
        <v>不重复</v>
      </c>
    </row>
    <row r="1302" spans="1:11" ht="20.25" customHeight="1">
      <c r="A1302" s="84" t="s">
        <v>3670</v>
      </c>
      <c r="B1302" s="85" t="s">
        <v>7835</v>
      </c>
      <c r="C1302" s="85" t="s">
        <v>3671</v>
      </c>
      <c r="D1302" s="85" t="s">
        <v>7836</v>
      </c>
      <c r="E1302" s="84" t="s">
        <v>2468</v>
      </c>
      <c r="F1302" s="86">
        <v>602461</v>
      </c>
      <c r="G1302" s="86">
        <v>5100200</v>
      </c>
      <c r="H1302" s="87"/>
      <c r="I1302" s="85" t="s">
        <v>879</v>
      </c>
      <c r="J1302" s="88" t="str">
        <f t="shared" si="20"/>
        <v>不重复</v>
      </c>
      <c r="K1302" s="88" t="str">
        <f t="shared" si="20"/>
        <v>不重复</v>
      </c>
    </row>
    <row r="1303" spans="1:11" ht="20.25" customHeight="1">
      <c r="A1303" s="84" t="s">
        <v>3672</v>
      </c>
      <c r="B1303" s="85" t="s">
        <v>7837</v>
      </c>
      <c r="C1303" s="85" t="s">
        <v>3673</v>
      </c>
      <c r="D1303" s="85" t="s">
        <v>3674</v>
      </c>
      <c r="E1303" s="84" t="s">
        <v>2468</v>
      </c>
      <c r="F1303" s="86">
        <v>602462</v>
      </c>
      <c r="G1303" s="86">
        <v>5100200</v>
      </c>
      <c r="H1303" s="87"/>
      <c r="I1303" s="85" t="s">
        <v>3675</v>
      </c>
      <c r="J1303" s="88" t="str">
        <f t="shared" si="20"/>
        <v>不重复</v>
      </c>
      <c r="K1303" s="88" t="str">
        <f t="shared" si="20"/>
        <v>不重复</v>
      </c>
    </row>
    <row r="1304" spans="1:11" ht="20.25" customHeight="1">
      <c r="A1304" s="89" t="s">
        <v>3676</v>
      </c>
      <c r="B1304" s="90" t="s">
        <v>7838</v>
      </c>
      <c r="C1304" s="90" t="s">
        <v>3677</v>
      </c>
      <c r="D1304" s="90" t="s">
        <v>3678</v>
      </c>
      <c r="E1304" s="89" t="s">
        <v>2468</v>
      </c>
      <c r="F1304" s="91">
        <v>602463</v>
      </c>
      <c r="G1304" s="91">
        <v>5100200</v>
      </c>
      <c r="H1304" s="87"/>
      <c r="I1304" s="90" t="s">
        <v>3679</v>
      </c>
      <c r="J1304" s="88" t="str">
        <f t="shared" si="20"/>
        <v>不重复</v>
      </c>
      <c r="K1304" s="88" t="str">
        <f t="shared" si="20"/>
        <v>不重复</v>
      </c>
    </row>
    <row r="1305" spans="1:11" ht="20.25" customHeight="1">
      <c r="A1305" s="89" t="s">
        <v>3680</v>
      </c>
      <c r="B1305" s="90" t="s">
        <v>7839</v>
      </c>
      <c r="C1305" s="90" t="s">
        <v>3681</v>
      </c>
      <c r="D1305" s="90" t="s">
        <v>3682</v>
      </c>
      <c r="E1305" s="89" t="s">
        <v>2468</v>
      </c>
      <c r="F1305" s="91">
        <v>602464</v>
      </c>
      <c r="G1305" s="91">
        <v>5100200</v>
      </c>
      <c r="H1305" s="87"/>
      <c r="I1305" s="90" t="s">
        <v>1065</v>
      </c>
      <c r="J1305" s="88" t="str">
        <f t="shared" si="20"/>
        <v>不重复</v>
      </c>
      <c r="K1305" s="88" t="str">
        <f t="shared" si="20"/>
        <v>不重复</v>
      </c>
    </row>
    <row r="1306" spans="1:11" ht="20.25" customHeight="1">
      <c r="A1306" s="89" t="s">
        <v>3683</v>
      </c>
      <c r="B1306" s="90" t="s">
        <v>3684</v>
      </c>
      <c r="C1306" s="90" t="s">
        <v>3685</v>
      </c>
      <c r="D1306" s="90" t="s">
        <v>3686</v>
      </c>
      <c r="E1306" s="89" t="s">
        <v>2468</v>
      </c>
      <c r="F1306" s="91">
        <v>602465</v>
      </c>
      <c r="G1306" s="91">
        <v>5100200</v>
      </c>
      <c r="H1306" s="87"/>
      <c r="I1306" s="90" t="s">
        <v>3687</v>
      </c>
      <c r="J1306" s="88" t="str">
        <f t="shared" si="20"/>
        <v>重复</v>
      </c>
      <c r="K1306" s="88" t="str">
        <f t="shared" si="20"/>
        <v>重复</v>
      </c>
    </row>
    <row r="1307" spans="1:11" ht="20.25" customHeight="1">
      <c r="A1307" s="84" t="s">
        <v>3688</v>
      </c>
      <c r="B1307" s="85" t="s">
        <v>7840</v>
      </c>
      <c r="C1307" s="85" t="s">
        <v>3689</v>
      </c>
      <c r="D1307" s="85" t="s">
        <v>3690</v>
      </c>
      <c r="E1307" s="84" t="s">
        <v>2468</v>
      </c>
      <c r="F1307" s="86">
        <v>602466</v>
      </c>
      <c r="G1307" s="86">
        <v>5100200</v>
      </c>
      <c r="H1307" s="87"/>
      <c r="I1307" s="85" t="s">
        <v>1987</v>
      </c>
      <c r="J1307" s="88" t="str">
        <f t="shared" si="20"/>
        <v>不重复</v>
      </c>
      <c r="K1307" s="88" t="str">
        <f t="shared" si="20"/>
        <v>不重复</v>
      </c>
    </row>
    <row r="1308" spans="1:11" ht="20.25" customHeight="1">
      <c r="A1308" s="89" t="s">
        <v>3691</v>
      </c>
      <c r="B1308" s="90" t="s">
        <v>7841</v>
      </c>
      <c r="C1308" s="90" t="s">
        <v>2093</v>
      </c>
      <c r="D1308" s="90" t="s">
        <v>3692</v>
      </c>
      <c r="E1308" s="89" t="s">
        <v>2468</v>
      </c>
      <c r="F1308" s="91">
        <v>602467</v>
      </c>
      <c r="G1308" s="91">
        <v>5100200</v>
      </c>
      <c r="H1308" s="87"/>
      <c r="I1308" s="90" t="s">
        <v>1065</v>
      </c>
      <c r="J1308" s="88" t="str">
        <f t="shared" si="20"/>
        <v>重复</v>
      </c>
      <c r="K1308" s="88" t="str">
        <f t="shared" si="20"/>
        <v>不重复</v>
      </c>
    </row>
    <row r="1309" spans="1:11" ht="20.25" customHeight="1">
      <c r="A1309" s="84" t="s">
        <v>3693</v>
      </c>
      <c r="B1309" s="85" t="s">
        <v>7842</v>
      </c>
      <c r="C1309" s="85" t="s">
        <v>3694</v>
      </c>
      <c r="D1309" s="85" t="s">
        <v>7843</v>
      </c>
      <c r="E1309" s="84" t="s">
        <v>2468</v>
      </c>
      <c r="F1309" s="86">
        <v>602468</v>
      </c>
      <c r="G1309" s="86">
        <v>5100200</v>
      </c>
      <c r="H1309" s="87"/>
      <c r="I1309" s="85" t="s">
        <v>879</v>
      </c>
      <c r="J1309" s="88" t="str">
        <f t="shared" si="20"/>
        <v>不重复</v>
      </c>
      <c r="K1309" s="88" t="str">
        <f t="shared" si="20"/>
        <v>不重复</v>
      </c>
    </row>
    <row r="1310" spans="1:11" ht="20.25" customHeight="1">
      <c r="A1310" s="89" t="s">
        <v>3695</v>
      </c>
      <c r="B1310" s="90" t="s">
        <v>7844</v>
      </c>
      <c r="C1310" s="90" t="s">
        <v>3696</v>
      </c>
      <c r="D1310" s="90" t="s">
        <v>3697</v>
      </c>
      <c r="E1310" s="89" t="s">
        <v>2468</v>
      </c>
      <c r="F1310" s="91">
        <v>602469</v>
      </c>
      <c r="G1310" s="91">
        <v>5100200</v>
      </c>
      <c r="H1310" s="87"/>
      <c r="I1310" s="90" t="s">
        <v>3698</v>
      </c>
      <c r="J1310" s="88" t="str">
        <f t="shared" si="20"/>
        <v>不重复</v>
      </c>
      <c r="K1310" s="88" t="str">
        <f t="shared" si="20"/>
        <v>不重复</v>
      </c>
    </row>
    <row r="1311" spans="1:11" ht="20.25" customHeight="1">
      <c r="A1311" s="89" t="s">
        <v>3699</v>
      </c>
      <c r="B1311" s="90" t="s">
        <v>7845</v>
      </c>
      <c r="C1311" s="90" t="s">
        <v>3700</v>
      </c>
      <c r="D1311" s="90" t="s">
        <v>3701</v>
      </c>
      <c r="E1311" s="89" t="s">
        <v>2468</v>
      </c>
      <c r="F1311" s="91">
        <v>602470</v>
      </c>
      <c r="G1311" s="91">
        <v>5100200</v>
      </c>
      <c r="H1311" s="87"/>
      <c r="I1311" s="90" t="s">
        <v>2949</v>
      </c>
      <c r="J1311" s="88" t="str">
        <f t="shared" si="20"/>
        <v>不重复</v>
      </c>
      <c r="K1311" s="88" t="str">
        <f t="shared" si="20"/>
        <v>不重复</v>
      </c>
    </row>
    <row r="1312" spans="1:11" ht="20.25" customHeight="1">
      <c r="A1312" s="89" t="s">
        <v>3702</v>
      </c>
      <c r="B1312" s="90" t="s">
        <v>7846</v>
      </c>
      <c r="C1312" s="90" t="s">
        <v>1535</v>
      </c>
      <c r="D1312" s="90" t="s">
        <v>3703</v>
      </c>
      <c r="E1312" s="89" t="s">
        <v>2468</v>
      </c>
      <c r="F1312" s="91">
        <v>602471</v>
      </c>
      <c r="G1312" s="91">
        <v>5100200</v>
      </c>
      <c r="H1312" s="87"/>
      <c r="I1312" s="90" t="s">
        <v>3664</v>
      </c>
      <c r="J1312" s="88" t="str">
        <f t="shared" si="20"/>
        <v>重复</v>
      </c>
      <c r="K1312" s="88" t="str">
        <f t="shared" si="20"/>
        <v>不重复</v>
      </c>
    </row>
    <row r="1313" spans="1:11" ht="20.25" customHeight="1">
      <c r="A1313" s="89" t="s">
        <v>3704</v>
      </c>
      <c r="B1313" s="90" t="s">
        <v>7847</v>
      </c>
      <c r="C1313" s="90" t="s">
        <v>3705</v>
      </c>
      <c r="D1313" s="90" t="s">
        <v>3706</v>
      </c>
      <c r="E1313" s="89" t="s">
        <v>2468</v>
      </c>
      <c r="F1313" s="91">
        <v>602472</v>
      </c>
      <c r="G1313" s="91">
        <v>5100200</v>
      </c>
      <c r="H1313" s="87"/>
      <c r="I1313" s="90" t="s">
        <v>3632</v>
      </c>
      <c r="J1313" s="88" t="str">
        <f t="shared" si="20"/>
        <v>重复</v>
      </c>
      <c r="K1313" s="88" t="str">
        <f t="shared" si="20"/>
        <v>不重复</v>
      </c>
    </row>
    <row r="1314" spans="1:11" ht="20.25" customHeight="1">
      <c r="A1314" s="84" t="s">
        <v>3707</v>
      </c>
      <c r="B1314" s="85" t="s">
        <v>7848</v>
      </c>
      <c r="C1314" s="85" t="s">
        <v>3708</v>
      </c>
      <c r="D1314" s="85" t="s">
        <v>3709</v>
      </c>
      <c r="E1314" s="84" t="s">
        <v>2468</v>
      </c>
      <c r="F1314" s="86">
        <v>602473</v>
      </c>
      <c r="G1314" s="86">
        <v>5100200</v>
      </c>
      <c r="H1314" s="87"/>
      <c r="I1314" s="85" t="s">
        <v>7762</v>
      </c>
      <c r="J1314" s="88" t="str">
        <f t="shared" si="20"/>
        <v>不重复</v>
      </c>
      <c r="K1314" s="88" t="str">
        <f t="shared" si="20"/>
        <v>不重复</v>
      </c>
    </row>
    <row r="1315" spans="1:11" ht="20.25" customHeight="1">
      <c r="A1315" s="84" t="s">
        <v>3710</v>
      </c>
      <c r="B1315" s="85" t="s">
        <v>7849</v>
      </c>
      <c r="C1315" s="85" t="s">
        <v>3711</v>
      </c>
      <c r="D1315" s="85" t="s">
        <v>7850</v>
      </c>
      <c r="E1315" s="84" t="s">
        <v>2468</v>
      </c>
      <c r="F1315" s="86">
        <v>602474</v>
      </c>
      <c r="G1315" s="86">
        <v>5100200</v>
      </c>
      <c r="H1315" s="87"/>
      <c r="I1315" s="85" t="s">
        <v>7762</v>
      </c>
      <c r="J1315" s="88" t="str">
        <f t="shared" si="20"/>
        <v>不重复</v>
      </c>
      <c r="K1315" s="88" t="str">
        <f t="shared" si="20"/>
        <v>不重复</v>
      </c>
    </row>
    <row r="1316" spans="1:11" ht="20.25" customHeight="1">
      <c r="A1316" s="84" t="s">
        <v>3713</v>
      </c>
      <c r="B1316" s="85" t="s">
        <v>7851</v>
      </c>
      <c r="C1316" s="85" t="s">
        <v>2087</v>
      </c>
      <c r="D1316" s="85" t="s">
        <v>3714</v>
      </c>
      <c r="E1316" s="84" t="s">
        <v>2468</v>
      </c>
      <c r="F1316" s="86">
        <v>602475</v>
      </c>
      <c r="G1316" s="86">
        <v>5100200</v>
      </c>
      <c r="H1316" s="87"/>
      <c r="I1316" s="85" t="s">
        <v>1842</v>
      </c>
      <c r="J1316" s="88" t="str">
        <f t="shared" si="20"/>
        <v>重复</v>
      </c>
      <c r="K1316" s="88" t="str">
        <f t="shared" si="20"/>
        <v>不重复</v>
      </c>
    </row>
    <row r="1317" spans="1:11" ht="20.25" customHeight="1">
      <c r="A1317" s="89" t="s">
        <v>7852</v>
      </c>
      <c r="B1317" s="90" t="s">
        <v>7853</v>
      </c>
      <c r="C1317" s="90" t="s">
        <v>120</v>
      </c>
      <c r="D1317" s="90" t="s">
        <v>7854</v>
      </c>
      <c r="E1317" s="89" t="s">
        <v>2468</v>
      </c>
      <c r="F1317" s="91">
        <v>602476</v>
      </c>
      <c r="G1317" s="91">
        <v>5100200</v>
      </c>
      <c r="H1317" s="87"/>
      <c r="I1317" s="90" t="s">
        <v>25</v>
      </c>
      <c r="J1317" s="88" t="str">
        <f t="shared" si="20"/>
        <v>重复</v>
      </c>
      <c r="K1317" s="88" t="str">
        <f t="shared" si="20"/>
        <v>不重复</v>
      </c>
    </row>
    <row r="1318" spans="1:11" ht="20.25" customHeight="1">
      <c r="A1318" s="89" t="s">
        <v>3448</v>
      </c>
      <c r="B1318" s="90" t="s">
        <v>7855</v>
      </c>
      <c r="C1318" s="90" t="s">
        <v>631</v>
      </c>
      <c r="D1318" s="90" t="s">
        <v>3449</v>
      </c>
      <c r="E1318" s="89" t="s">
        <v>2468</v>
      </c>
      <c r="F1318" s="91">
        <v>602477</v>
      </c>
      <c r="G1318" s="91">
        <v>5100200</v>
      </c>
      <c r="H1318" s="87"/>
      <c r="I1318" s="90" t="s">
        <v>7767</v>
      </c>
      <c r="J1318" s="88" t="str">
        <f t="shared" si="20"/>
        <v>重复</v>
      </c>
      <c r="K1318" s="88" t="str">
        <f t="shared" si="20"/>
        <v>不重复</v>
      </c>
    </row>
    <row r="1319" spans="1:11" ht="20.25" customHeight="1">
      <c r="A1319" s="89" t="s">
        <v>3450</v>
      </c>
      <c r="B1319" s="90" t="s">
        <v>7856</v>
      </c>
      <c r="C1319" s="90" t="s">
        <v>144</v>
      </c>
      <c r="D1319" s="90" t="s">
        <v>3451</v>
      </c>
      <c r="E1319" s="89" t="s">
        <v>2468</v>
      </c>
      <c r="F1319" s="91">
        <v>602478</v>
      </c>
      <c r="G1319" s="91">
        <v>5100200</v>
      </c>
      <c r="H1319" s="87"/>
      <c r="I1319" s="90" t="s">
        <v>2737</v>
      </c>
      <c r="J1319" s="88" t="str">
        <f t="shared" si="20"/>
        <v>重复</v>
      </c>
      <c r="K1319" s="88" t="str">
        <f t="shared" si="20"/>
        <v>不重复</v>
      </c>
    </row>
    <row r="1320" spans="1:11" ht="20.25" customHeight="1">
      <c r="A1320" s="89" t="s">
        <v>3446</v>
      </c>
      <c r="B1320" s="90" t="s">
        <v>7857</v>
      </c>
      <c r="C1320" s="90" t="s">
        <v>631</v>
      </c>
      <c r="D1320" s="90" t="s">
        <v>3447</v>
      </c>
      <c r="E1320" s="89" t="s">
        <v>2468</v>
      </c>
      <c r="F1320" s="91">
        <v>602479</v>
      </c>
      <c r="G1320" s="91">
        <v>5100200</v>
      </c>
      <c r="H1320" s="87"/>
      <c r="I1320" s="90" t="s">
        <v>7402</v>
      </c>
      <c r="J1320" s="88" t="str">
        <f t="shared" si="20"/>
        <v>重复</v>
      </c>
      <c r="K1320" s="88" t="str">
        <f t="shared" si="20"/>
        <v>不重复</v>
      </c>
    </row>
    <row r="1321" spans="1:11" ht="20.25" customHeight="1">
      <c r="A1321" s="84" t="s">
        <v>3442</v>
      </c>
      <c r="B1321" s="85" t="s">
        <v>3443</v>
      </c>
      <c r="C1321" s="85" t="s">
        <v>3444</v>
      </c>
      <c r="D1321" s="85" t="s">
        <v>3445</v>
      </c>
      <c r="E1321" s="84" t="s">
        <v>2468</v>
      </c>
      <c r="F1321" s="86">
        <v>602480</v>
      </c>
      <c r="G1321" s="86">
        <v>5100200</v>
      </c>
      <c r="H1321" s="87"/>
      <c r="I1321" s="85" t="s">
        <v>25</v>
      </c>
      <c r="J1321" s="88" t="str">
        <f t="shared" si="20"/>
        <v>不重复</v>
      </c>
      <c r="K1321" s="88" t="str">
        <f t="shared" si="20"/>
        <v>不重复</v>
      </c>
    </row>
    <row r="1322" spans="1:11" ht="20.25" customHeight="1">
      <c r="A1322" s="84" t="s">
        <v>3430</v>
      </c>
      <c r="B1322" s="85" t="s">
        <v>7858</v>
      </c>
      <c r="C1322" s="85" t="s">
        <v>3431</v>
      </c>
      <c r="D1322" s="85" t="s">
        <v>3432</v>
      </c>
      <c r="E1322" s="84" t="s">
        <v>2468</v>
      </c>
      <c r="F1322" s="86">
        <v>602481</v>
      </c>
      <c r="G1322" s="86">
        <v>5100200</v>
      </c>
      <c r="H1322" s="87"/>
      <c r="I1322" s="85" t="s">
        <v>7859</v>
      </c>
      <c r="J1322" s="88" t="str">
        <f t="shared" si="20"/>
        <v>重复</v>
      </c>
      <c r="K1322" s="88" t="str">
        <f t="shared" si="20"/>
        <v>不重复</v>
      </c>
    </row>
    <row r="1323" spans="1:11" ht="20.25" customHeight="1">
      <c r="A1323" s="84" t="s">
        <v>7860</v>
      </c>
      <c r="B1323" s="85" t="s">
        <v>7861</v>
      </c>
      <c r="C1323" s="85" t="s">
        <v>4246</v>
      </c>
      <c r="D1323" s="85" t="s">
        <v>7862</v>
      </c>
      <c r="E1323" s="84" t="s">
        <v>2468</v>
      </c>
      <c r="F1323" s="86">
        <v>602482</v>
      </c>
      <c r="G1323" s="86">
        <v>5100200</v>
      </c>
      <c r="H1323" s="87"/>
      <c r="I1323" s="85" t="s">
        <v>7767</v>
      </c>
      <c r="J1323" s="88" t="str">
        <f t="shared" si="20"/>
        <v>重复</v>
      </c>
      <c r="K1323" s="88" t="str">
        <f t="shared" si="20"/>
        <v>不重复</v>
      </c>
    </row>
    <row r="1324" spans="1:11" ht="20.25" customHeight="1">
      <c r="A1324" s="84" t="s">
        <v>7863</v>
      </c>
      <c r="B1324" s="85" t="s">
        <v>7864</v>
      </c>
      <c r="C1324" s="85" t="s">
        <v>1116</v>
      </c>
      <c r="D1324" s="85" t="s">
        <v>7865</v>
      </c>
      <c r="E1324" s="84" t="s">
        <v>2468</v>
      </c>
      <c r="F1324" s="86">
        <v>602483</v>
      </c>
      <c r="G1324" s="86">
        <v>5100200</v>
      </c>
      <c r="H1324" s="87"/>
      <c r="I1324" s="85" t="s">
        <v>7767</v>
      </c>
      <c r="J1324" s="88" t="str">
        <f t="shared" si="20"/>
        <v>重复</v>
      </c>
      <c r="K1324" s="88" t="str">
        <f t="shared" si="20"/>
        <v>不重复</v>
      </c>
    </row>
    <row r="1325" spans="1:11" ht="20.25" customHeight="1">
      <c r="A1325" s="84" t="s">
        <v>3427</v>
      </c>
      <c r="B1325" s="85" t="s">
        <v>7866</v>
      </c>
      <c r="C1325" s="85" t="s">
        <v>670</v>
      </c>
      <c r="D1325" s="85" t="s">
        <v>3428</v>
      </c>
      <c r="E1325" s="84" t="s">
        <v>2468</v>
      </c>
      <c r="F1325" s="86">
        <v>602484</v>
      </c>
      <c r="G1325" s="86">
        <v>5100200</v>
      </c>
      <c r="H1325" s="87"/>
      <c r="I1325" s="85" t="s">
        <v>7767</v>
      </c>
      <c r="J1325" s="88" t="str">
        <f t="shared" si="20"/>
        <v>不重复</v>
      </c>
      <c r="K1325" s="88" t="str">
        <f t="shared" si="20"/>
        <v>不重复</v>
      </c>
    </row>
    <row r="1326" spans="1:11" ht="20.25" customHeight="1">
      <c r="A1326" s="84" t="s">
        <v>3429</v>
      </c>
      <c r="B1326" s="85" t="s">
        <v>7867</v>
      </c>
      <c r="C1326" s="85" t="s">
        <v>1591</v>
      </c>
      <c r="D1326" s="85" t="s">
        <v>7868</v>
      </c>
      <c r="E1326" s="84" t="s">
        <v>2468</v>
      </c>
      <c r="F1326" s="86">
        <v>602485</v>
      </c>
      <c r="G1326" s="86">
        <v>5100200</v>
      </c>
      <c r="H1326" s="87"/>
      <c r="I1326" s="85" t="s">
        <v>7181</v>
      </c>
      <c r="J1326" s="88" t="str">
        <f t="shared" si="20"/>
        <v>重复</v>
      </c>
      <c r="K1326" s="88" t="str">
        <f t="shared" si="20"/>
        <v>不重复</v>
      </c>
    </row>
    <row r="1327" spans="1:11" ht="20.25" customHeight="1">
      <c r="A1327" s="84" t="s">
        <v>3433</v>
      </c>
      <c r="B1327" s="85" t="s">
        <v>7869</v>
      </c>
      <c r="C1327" s="85" t="s">
        <v>3434</v>
      </c>
      <c r="D1327" s="85" t="s">
        <v>3435</v>
      </c>
      <c r="E1327" s="84" t="s">
        <v>2468</v>
      </c>
      <c r="F1327" s="86">
        <v>602486</v>
      </c>
      <c r="G1327" s="86">
        <v>5100200</v>
      </c>
      <c r="H1327" s="87"/>
      <c r="I1327" s="85" t="s">
        <v>7335</v>
      </c>
      <c r="J1327" s="88" t="str">
        <f t="shared" si="20"/>
        <v>不重复</v>
      </c>
      <c r="K1327" s="88" t="str">
        <f t="shared" si="20"/>
        <v>不重复</v>
      </c>
    </row>
    <row r="1328" spans="1:11" ht="20.25" customHeight="1">
      <c r="A1328" s="84" t="s">
        <v>3439</v>
      </c>
      <c r="B1328" s="85" t="s">
        <v>7870</v>
      </c>
      <c r="C1328" s="85" t="s">
        <v>3440</v>
      </c>
      <c r="D1328" s="85" t="s">
        <v>3441</v>
      </c>
      <c r="E1328" s="84" t="s">
        <v>2468</v>
      </c>
      <c r="F1328" s="86">
        <v>602487</v>
      </c>
      <c r="G1328" s="86">
        <v>5100200</v>
      </c>
      <c r="H1328" s="87"/>
      <c r="I1328" s="85" t="s">
        <v>7767</v>
      </c>
      <c r="J1328" s="88" t="str">
        <f t="shared" si="20"/>
        <v>不重复</v>
      </c>
      <c r="K1328" s="88" t="str">
        <f t="shared" si="20"/>
        <v>不重复</v>
      </c>
    </row>
    <row r="1329" spans="1:11" ht="20.25" customHeight="1">
      <c r="A1329" s="84" t="s">
        <v>3436</v>
      </c>
      <c r="B1329" s="85" t="s">
        <v>7871</v>
      </c>
      <c r="C1329" s="85" t="s">
        <v>3437</v>
      </c>
      <c r="D1329" s="85" t="s">
        <v>3438</v>
      </c>
      <c r="E1329" s="84" t="s">
        <v>2468</v>
      </c>
      <c r="F1329" s="86">
        <v>602488</v>
      </c>
      <c r="G1329" s="86">
        <v>5100200</v>
      </c>
      <c r="H1329" s="87"/>
      <c r="I1329" s="85" t="s">
        <v>7872</v>
      </c>
      <c r="J1329" s="88" t="str">
        <f t="shared" si="20"/>
        <v>不重复</v>
      </c>
      <c r="K1329" s="88" t="str">
        <f t="shared" si="20"/>
        <v>不重复</v>
      </c>
    </row>
    <row r="1330" spans="1:11" ht="20.25" customHeight="1">
      <c r="A1330" s="84" t="s">
        <v>3424</v>
      </c>
      <c r="B1330" s="85" t="s">
        <v>7873</v>
      </c>
      <c r="C1330" s="85" t="s">
        <v>3425</v>
      </c>
      <c r="D1330" s="85" t="s">
        <v>3426</v>
      </c>
      <c r="E1330" s="84" t="s">
        <v>2468</v>
      </c>
      <c r="F1330" s="86">
        <v>602489</v>
      </c>
      <c r="G1330" s="86">
        <v>5100200</v>
      </c>
      <c r="H1330" s="87"/>
      <c r="I1330" s="85" t="s">
        <v>7874</v>
      </c>
      <c r="J1330" s="88" t="str">
        <f t="shared" si="20"/>
        <v>不重复</v>
      </c>
      <c r="K1330" s="88" t="str">
        <f t="shared" si="20"/>
        <v>不重复</v>
      </c>
    </row>
    <row r="1331" spans="1:11" ht="20.25" customHeight="1">
      <c r="A1331" s="84" t="s">
        <v>3455</v>
      </c>
      <c r="B1331" s="85" t="s">
        <v>3456</v>
      </c>
      <c r="C1331" s="85" t="s">
        <v>1157</v>
      </c>
      <c r="D1331" s="85" t="s">
        <v>3457</v>
      </c>
      <c r="E1331" s="84" t="s">
        <v>2468</v>
      </c>
      <c r="F1331" s="86">
        <v>602490</v>
      </c>
      <c r="G1331" s="86">
        <v>5100200</v>
      </c>
      <c r="H1331" s="87"/>
      <c r="I1331" s="85" t="s">
        <v>25</v>
      </c>
      <c r="J1331" s="88" t="str">
        <f t="shared" si="20"/>
        <v>重复</v>
      </c>
      <c r="K1331" s="88" t="str">
        <f t="shared" si="20"/>
        <v>不重复</v>
      </c>
    </row>
    <row r="1332" spans="1:11" ht="20.25" customHeight="1">
      <c r="A1332" s="84" t="s">
        <v>3452</v>
      </c>
      <c r="B1332" s="85" t="s">
        <v>7875</v>
      </c>
      <c r="C1332" s="85" t="s">
        <v>3453</v>
      </c>
      <c r="D1332" s="85" t="s">
        <v>3454</v>
      </c>
      <c r="E1332" s="84" t="s">
        <v>2468</v>
      </c>
      <c r="F1332" s="86">
        <v>602491</v>
      </c>
      <c r="G1332" s="86">
        <v>5100200</v>
      </c>
      <c r="H1332" s="87"/>
      <c r="I1332" s="85" t="s">
        <v>2737</v>
      </c>
      <c r="J1332" s="88" t="str">
        <f t="shared" si="20"/>
        <v>不重复</v>
      </c>
      <c r="K1332" s="88" t="str">
        <f t="shared" si="20"/>
        <v>不重复</v>
      </c>
    </row>
    <row r="1333" spans="1:11" ht="20.25" customHeight="1">
      <c r="A1333" s="84" t="s">
        <v>3458</v>
      </c>
      <c r="B1333" s="85" t="s">
        <v>7876</v>
      </c>
      <c r="C1333" s="85" t="s">
        <v>3459</v>
      </c>
      <c r="D1333" s="85" t="s">
        <v>3460</v>
      </c>
      <c r="E1333" s="84" t="s">
        <v>2468</v>
      </c>
      <c r="F1333" s="86">
        <v>602492</v>
      </c>
      <c r="G1333" s="86">
        <v>5100200</v>
      </c>
      <c r="H1333" s="87"/>
      <c r="I1333" s="85" t="s">
        <v>7402</v>
      </c>
      <c r="J1333" s="88" t="str">
        <f t="shared" si="20"/>
        <v>不重复</v>
      </c>
      <c r="K1333" s="88" t="str">
        <f t="shared" si="20"/>
        <v>不重复</v>
      </c>
    </row>
    <row r="1334" spans="1:11" ht="20.25" customHeight="1">
      <c r="A1334" s="84" t="s">
        <v>3508</v>
      </c>
      <c r="B1334" s="85" t="s">
        <v>3509</v>
      </c>
      <c r="C1334" s="85" t="s">
        <v>122</v>
      </c>
      <c r="D1334" s="85" t="s">
        <v>3510</v>
      </c>
      <c r="E1334" s="84" t="s">
        <v>2468</v>
      </c>
      <c r="F1334" s="86">
        <v>602493</v>
      </c>
      <c r="G1334" s="86">
        <v>5100200</v>
      </c>
      <c r="H1334" s="87"/>
      <c r="I1334" s="85" t="s">
        <v>25</v>
      </c>
      <c r="J1334" s="88" t="str">
        <f t="shared" si="20"/>
        <v>重复</v>
      </c>
      <c r="K1334" s="88" t="str">
        <f t="shared" si="20"/>
        <v>不重复</v>
      </c>
    </row>
    <row r="1335" spans="1:11" ht="20.25" customHeight="1">
      <c r="A1335" s="84" t="s">
        <v>3461</v>
      </c>
      <c r="B1335" s="85" t="s">
        <v>7877</v>
      </c>
      <c r="C1335" s="85" t="s">
        <v>1796</v>
      </c>
      <c r="D1335" s="85" t="s">
        <v>3462</v>
      </c>
      <c r="E1335" s="84" t="s">
        <v>2468</v>
      </c>
      <c r="F1335" s="86">
        <v>602494</v>
      </c>
      <c r="G1335" s="86">
        <v>5100200</v>
      </c>
      <c r="H1335" s="87"/>
      <c r="I1335" s="85" t="s">
        <v>7084</v>
      </c>
      <c r="J1335" s="88" t="str">
        <f t="shared" si="20"/>
        <v>重复</v>
      </c>
      <c r="K1335" s="88" t="str">
        <f t="shared" si="20"/>
        <v>不重复</v>
      </c>
    </row>
    <row r="1336" spans="1:11" ht="20.25" customHeight="1">
      <c r="A1336" s="84" t="s">
        <v>3489</v>
      </c>
      <c r="B1336" s="85" t="s">
        <v>7878</v>
      </c>
      <c r="C1336" s="85" t="s">
        <v>3490</v>
      </c>
      <c r="D1336" s="85" t="s">
        <v>3491</v>
      </c>
      <c r="E1336" s="84" t="s">
        <v>2468</v>
      </c>
      <c r="F1336" s="86">
        <v>602495</v>
      </c>
      <c r="G1336" s="86">
        <v>5100200</v>
      </c>
      <c r="H1336" s="87"/>
      <c r="I1336" s="85" t="s">
        <v>7402</v>
      </c>
      <c r="J1336" s="88" t="str">
        <f t="shared" si="20"/>
        <v>不重复</v>
      </c>
      <c r="K1336" s="88" t="str">
        <f t="shared" si="20"/>
        <v>不重复</v>
      </c>
    </row>
    <row r="1337" spans="1:11" ht="20.25" customHeight="1">
      <c r="A1337" s="84" t="s">
        <v>3492</v>
      </c>
      <c r="B1337" s="85" t="s">
        <v>7879</v>
      </c>
      <c r="C1337" s="85" t="s">
        <v>1121</v>
      </c>
      <c r="D1337" s="85" t="s">
        <v>3493</v>
      </c>
      <c r="E1337" s="84" t="s">
        <v>2468</v>
      </c>
      <c r="F1337" s="86">
        <v>602496</v>
      </c>
      <c r="G1337" s="86">
        <v>5100200</v>
      </c>
      <c r="H1337" s="87"/>
      <c r="I1337" s="85" t="s">
        <v>7767</v>
      </c>
      <c r="J1337" s="88" t="str">
        <f t="shared" si="20"/>
        <v>重复</v>
      </c>
      <c r="K1337" s="88" t="str">
        <f t="shared" si="20"/>
        <v>不重复</v>
      </c>
    </row>
    <row r="1338" spans="1:11" ht="20.25" customHeight="1">
      <c r="A1338" s="84" t="s">
        <v>3475</v>
      </c>
      <c r="B1338" s="85" t="s">
        <v>7880</v>
      </c>
      <c r="C1338" s="85" t="s">
        <v>3476</v>
      </c>
      <c r="D1338" s="85" t="s">
        <v>3477</v>
      </c>
      <c r="E1338" s="84" t="s">
        <v>2468</v>
      </c>
      <c r="F1338" s="86">
        <v>602497</v>
      </c>
      <c r="G1338" s="86">
        <v>5100200</v>
      </c>
      <c r="H1338" s="87"/>
      <c r="I1338" s="85" t="s">
        <v>7881</v>
      </c>
      <c r="J1338" s="88" t="str">
        <f t="shared" si="20"/>
        <v>不重复</v>
      </c>
      <c r="K1338" s="88" t="str">
        <f t="shared" si="20"/>
        <v>不重复</v>
      </c>
    </row>
    <row r="1339" spans="1:11" ht="20.25" customHeight="1">
      <c r="A1339" s="84" t="s">
        <v>3494</v>
      </c>
      <c r="B1339" s="85" t="s">
        <v>7882</v>
      </c>
      <c r="C1339" s="85" t="s">
        <v>3495</v>
      </c>
      <c r="D1339" s="85" t="s">
        <v>3496</v>
      </c>
      <c r="E1339" s="84" t="s">
        <v>2468</v>
      </c>
      <c r="F1339" s="86">
        <v>602498</v>
      </c>
      <c r="G1339" s="86">
        <v>5100200</v>
      </c>
      <c r="H1339" s="87"/>
      <c r="I1339" s="85" t="s">
        <v>7335</v>
      </c>
      <c r="J1339" s="88" t="str">
        <f t="shared" si="20"/>
        <v>不重复</v>
      </c>
      <c r="K1339" s="88" t="str">
        <f t="shared" si="20"/>
        <v>不重复</v>
      </c>
    </row>
    <row r="1340" spans="1:11" ht="20.25" customHeight="1">
      <c r="A1340" s="84" t="s">
        <v>3466</v>
      </c>
      <c r="B1340" s="85" t="s">
        <v>7883</v>
      </c>
      <c r="C1340" s="85" t="s">
        <v>3467</v>
      </c>
      <c r="D1340" s="85" t="s">
        <v>3468</v>
      </c>
      <c r="E1340" s="84" t="s">
        <v>2468</v>
      </c>
      <c r="F1340" s="86">
        <v>602499</v>
      </c>
      <c r="G1340" s="86">
        <v>5100200</v>
      </c>
      <c r="H1340" s="87"/>
      <c r="I1340" s="85" t="s">
        <v>7084</v>
      </c>
      <c r="J1340" s="88" t="str">
        <f t="shared" si="20"/>
        <v>不重复</v>
      </c>
      <c r="K1340" s="88" t="str">
        <f t="shared" si="20"/>
        <v>不重复</v>
      </c>
    </row>
    <row r="1341" spans="1:11" ht="20.25" customHeight="1">
      <c r="A1341" s="84" t="s">
        <v>3483</v>
      </c>
      <c r="B1341" s="85" t="s">
        <v>7884</v>
      </c>
      <c r="C1341" s="85" t="s">
        <v>3484</v>
      </c>
      <c r="D1341" s="85" t="s">
        <v>3485</v>
      </c>
      <c r="E1341" s="84" t="s">
        <v>2468</v>
      </c>
      <c r="F1341" s="86">
        <v>602500</v>
      </c>
      <c r="G1341" s="86">
        <v>5100200</v>
      </c>
      <c r="H1341" s="87"/>
      <c r="I1341" s="85" t="s">
        <v>7767</v>
      </c>
      <c r="J1341" s="88" t="str">
        <f t="shared" si="20"/>
        <v>不重复</v>
      </c>
      <c r="K1341" s="88" t="str">
        <f t="shared" si="20"/>
        <v>不重复</v>
      </c>
    </row>
    <row r="1342" spans="1:11" ht="20.25" customHeight="1">
      <c r="A1342" s="84" t="s">
        <v>3469</v>
      </c>
      <c r="B1342" s="85" t="s">
        <v>7885</v>
      </c>
      <c r="C1342" s="85" t="s">
        <v>3470</v>
      </c>
      <c r="D1342" s="85" t="s">
        <v>3471</v>
      </c>
      <c r="E1342" s="84" t="s">
        <v>2468</v>
      </c>
      <c r="F1342" s="86">
        <v>602501</v>
      </c>
      <c r="G1342" s="86">
        <v>5100200</v>
      </c>
      <c r="H1342" s="87"/>
      <c r="I1342" s="85" t="s">
        <v>1821</v>
      </c>
      <c r="J1342" s="88" t="str">
        <f t="shared" si="20"/>
        <v>重复</v>
      </c>
      <c r="K1342" s="88" t="str">
        <f t="shared" si="20"/>
        <v>不重复</v>
      </c>
    </row>
    <row r="1343" spans="1:11" ht="20.25" customHeight="1">
      <c r="A1343" s="84" t="s">
        <v>3500</v>
      </c>
      <c r="B1343" s="85" t="s">
        <v>7886</v>
      </c>
      <c r="C1343" s="85" t="s">
        <v>3501</v>
      </c>
      <c r="D1343" s="85" t="s">
        <v>3502</v>
      </c>
      <c r="E1343" s="84" t="s">
        <v>2468</v>
      </c>
      <c r="F1343" s="86">
        <v>602502</v>
      </c>
      <c r="G1343" s="86">
        <v>5100200</v>
      </c>
      <c r="H1343" s="87"/>
      <c r="I1343" s="85" t="s">
        <v>2499</v>
      </c>
      <c r="J1343" s="88" t="str">
        <f t="shared" si="20"/>
        <v>重复</v>
      </c>
      <c r="K1343" s="88" t="str">
        <f t="shared" si="20"/>
        <v>不重复</v>
      </c>
    </row>
    <row r="1344" spans="1:11" ht="20.25" customHeight="1">
      <c r="A1344" s="84" t="s">
        <v>3486</v>
      </c>
      <c r="B1344" s="85" t="s">
        <v>7887</v>
      </c>
      <c r="C1344" s="85" t="s">
        <v>3487</v>
      </c>
      <c r="D1344" s="85" t="s">
        <v>3488</v>
      </c>
      <c r="E1344" s="84" t="s">
        <v>2468</v>
      </c>
      <c r="F1344" s="86">
        <v>602503</v>
      </c>
      <c r="G1344" s="86">
        <v>5100200</v>
      </c>
      <c r="H1344" s="87"/>
      <c r="I1344" s="85" t="s">
        <v>7335</v>
      </c>
      <c r="J1344" s="88" t="str">
        <f t="shared" si="20"/>
        <v>不重复</v>
      </c>
      <c r="K1344" s="88" t="str">
        <f t="shared" si="20"/>
        <v>不重复</v>
      </c>
    </row>
    <row r="1345" spans="1:11" ht="20.25" customHeight="1">
      <c r="A1345" s="84" t="s">
        <v>3497</v>
      </c>
      <c r="B1345" s="85" t="s">
        <v>7888</v>
      </c>
      <c r="C1345" s="85" t="s">
        <v>3498</v>
      </c>
      <c r="D1345" s="85" t="s">
        <v>3499</v>
      </c>
      <c r="E1345" s="84" t="s">
        <v>2468</v>
      </c>
      <c r="F1345" s="86">
        <v>602504</v>
      </c>
      <c r="G1345" s="86">
        <v>5100200</v>
      </c>
      <c r="H1345" s="87"/>
      <c r="I1345" s="85" t="s">
        <v>7084</v>
      </c>
      <c r="J1345" s="88" t="str">
        <f t="shared" si="20"/>
        <v>不重复</v>
      </c>
      <c r="K1345" s="88" t="str">
        <f t="shared" si="20"/>
        <v>不重复</v>
      </c>
    </row>
    <row r="1346" spans="1:11" ht="20.25" customHeight="1">
      <c r="A1346" s="84" t="s">
        <v>3505</v>
      </c>
      <c r="B1346" s="85" t="s">
        <v>7889</v>
      </c>
      <c r="C1346" s="85" t="s">
        <v>3506</v>
      </c>
      <c r="D1346" s="85" t="s">
        <v>3507</v>
      </c>
      <c r="E1346" s="84" t="s">
        <v>2468</v>
      </c>
      <c r="F1346" s="86">
        <v>602505</v>
      </c>
      <c r="G1346" s="86">
        <v>5100200</v>
      </c>
      <c r="H1346" s="87"/>
      <c r="I1346" s="85" t="s">
        <v>7402</v>
      </c>
      <c r="J1346" s="88" t="str">
        <f t="shared" si="20"/>
        <v>重复</v>
      </c>
      <c r="K1346" s="88" t="str">
        <f t="shared" si="20"/>
        <v>不重复</v>
      </c>
    </row>
    <row r="1347" spans="1:11" ht="20.25" customHeight="1">
      <c r="A1347" s="84" t="s">
        <v>3472</v>
      </c>
      <c r="B1347" s="85" t="s">
        <v>7890</v>
      </c>
      <c r="C1347" s="85" t="s">
        <v>3473</v>
      </c>
      <c r="D1347" s="85" t="s">
        <v>3474</v>
      </c>
      <c r="E1347" s="84" t="s">
        <v>2468</v>
      </c>
      <c r="F1347" s="86">
        <v>602506</v>
      </c>
      <c r="G1347" s="86">
        <v>5100200</v>
      </c>
      <c r="H1347" s="87"/>
      <c r="I1347" s="85" t="s">
        <v>7084</v>
      </c>
      <c r="J1347" s="88" t="str">
        <f t="shared" si="21" ref="J1347:K1410">IF(COUNTIF(C:C,C1347)&gt;=2,"重复","不重复")</f>
        <v>不重复</v>
      </c>
      <c r="K1347" s="88" t="str">
        <f t="shared" si="21"/>
        <v>不重复</v>
      </c>
    </row>
    <row r="1348" spans="1:11" ht="20.25" customHeight="1">
      <c r="A1348" s="84" t="s">
        <v>3463</v>
      </c>
      <c r="B1348" s="85" t="s">
        <v>7891</v>
      </c>
      <c r="C1348" s="85" t="s">
        <v>3464</v>
      </c>
      <c r="D1348" s="85" t="s">
        <v>3465</v>
      </c>
      <c r="E1348" s="84" t="s">
        <v>2468</v>
      </c>
      <c r="F1348" s="86">
        <v>602507</v>
      </c>
      <c r="G1348" s="86">
        <v>5100200</v>
      </c>
      <c r="H1348" s="87"/>
      <c r="I1348" s="85" t="s">
        <v>7084</v>
      </c>
      <c r="J1348" s="88" t="str">
        <f t="shared" si="21"/>
        <v>不重复</v>
      </c>
      <c r="K1348" s="88" t="str">
        <f t="shared" si="21"/>
        <v>不重复</v>
      </c>
    </row>
    <row r="1349" spans="1:11" ht="20.25" customHeight="1">
      <c r="A1349" s="84" t="s">
        <v>3503</v>
      </c>
      <c r="B1349" s="85" t="s">
        <v>7892</v>
      </c>
      <c r="C1349" s="85" t="s">
        <v>3470</v>
      </c>
      <c r="D1349" s="85" t="s">
        <v>3504</v>
      </c>
      <c r="E1349" s="84" t="s">
        <v>2468</v>
      </c>
      <c r="F1349" s="86">
        <v>602508</v>
      </c>
      <c r="G1349" s="86">
        <v>5100200</v>
      </c>
      <c r="H1349" s="87"/>
      <c r="I1349" s="85" t="s">
        <v>7767</v>
      </c>
      <c r="J1349" s="88" t="str">
        <f t="shared" si="21"/>
        <v>重复</v>
      </c>
      <c r="K1349" s="88" t="str">
        <f t="shared" si="21"/>
        <v>不重复</v>
      </c>
    </row>
    <row r="1350" spans="1:11" ht="20.25" customHeight="1">
      <c r="A1350" s="84" t="s">
        <v>3478</v>
      </c>
      <c r="B1350" s="85" t="s">
        <v>7893</v>
      </c>
      <c r="C1350" s="85" t="s">
        <v>3479</v>
      </c>
      <c r="D1350" s="85" t="s">
        <v>3480</v>
      </c>
      <c r="E1350" s="84" t="s">
        <v>2468</v>
      </c>
      <c r="F1350" s="86">
        <v>602509</v>
      </c>
      <c r="G1350" s="86">
        <v>5100200</v>
      </c>
      <c r="H1350" s="87"/>
      <c r="I1350" s="85" t="s">
        <v>7628</v>
      </c>
      <c r="J1350" s="88" t="str">
        <f t="shared" si="21"/>
        <v>不重复</v>
      </c>
      <c r="K1350" s="88" t="str">
        <f t="shared" si="21"/>
        <v>不重复</v>
      </c>
    </row>
    <row r="1351" spans="1:11" ht="20.25" customHeight="1">
      <c r="A1351" s="84" t="s">
        <v>3481</v>
      </c>
      <c r="B1351" s="85" t="s">
        <v>7894</v>
      </c>
      <c r="C1351" s="85" t="s">
        <v>1796</v>
      </c>
      <c r="D1351" s="85" t="s">
        <v>3482</v>
      </c>
      <c r="E1351" s="84" t="s">
        <v>2468</v>
      </c>
      <c r="F1351" s="86">
        <v>602510</v>
      </c>
      <c r="G1351" s="86">
        <v>5100200</v>
      </c>
      <c r="H1351" s="87"/>
      <c r="I1351" s="85" t="s">
        <v>7767</v>
      </c>
      <c r="J1351" s="88" t="str">
        <f t="shared" si="21"/>
        <v>重复</v>
      </c>
      <c r="K1351" s="88" t="str">
        <f t="shared" si="21"/>
        <v>不重复</v>
      </c>
    </row>
    <row r="1352" spans="1:11" ht="20.25" customHeight="1">
      <c r="A1352" s="89" t="s">
        <v>3526</v>
      </c>
      <c r="B1352" s="90" t="s">
        <v>7895</v>
      </c>
      <c r="C1352" s="90" t="s">
        <v>3527</v>
      </c>
      <c r="D1352" s="90" t="s">
        <v>3528</v>
      </c>
      <c r="E1352" s="89" t="s">
        <v>2468</v>
      </c>
      <c r="F1352" s="91">
        <v>602512</v>
      </c>
      <c r="G1352" s="91">
        <v>5100200</v>
      </c>
      <c r="H1352" s="87"/>
      <c r="I1352" s="90" t="s">
        <v>7767</v>
      </c>
      <c r="J1352" s="88" t="str">
        <f t="shared" si="21"/>
        <v>不重复</v>
      </c>
      <c r="K1352" s="88" t="str">
        <f t="shared" si="21"/>
        <v>不重复</v>
      </c>
    </row>
    <row r="1353" spans="1:11" ht="20.25" customHeight="1">
      <c r="A1353" s="89" t="s">
        <v>3529</v>
      </c>
      <c r="B1353" s="90" t="s">
        <v>3530</v>
      </c>
      <c r="C1353" s="90" t="s">
        <v>1043</v>
      </c>
      <c r="D1353" s="90" t="s">
        <v>3531</v>
      </c>
      <c r="E1353" s="89" t="s">
        <v>2468</v>
      </c>
      <c r="F1353" s="91">
        <v>602513</v>
      </c>
      <c r="G1353" s="91">
        <v>5100200</v>
      </c>
      <c r="H1353" s="87"/>
      <c r="I1353" s="90" t="s">
        <v>25</v>
      </c>
      <c r="J1353" s="88" t="str">
        <f t="shared" si="21"/>
        <v>重复</v>
      </c>
      <c r="K1353" s="88" t="str">
        <f t="shared" si="21"/>
        <v>不重复</v>
      </c>
    </row>
    <row r="1354" spans="1:11" ht="20.25" customHeight="1">
      <c r="A1354" s="89" t="s">
        <v>3519</v>
      </c>
      <c r="B1354" s="90" t="s">
        <v>7896</v>
      </c>
      <c r="C1354" s="90" t="s">
        <v>3290</v>
      </c>
      <c r="D1354" s="90" t="s">
        <v>7897</v>
      </c>
      <c r="E1354" s="89" t="s">
        <v>2468</v>
      </c>
      <c r="F1354" s="91">
        <v>602514</v>
      </c>
      <c r="G1354" s="91">
        <v>5100200</v>
      </c>
      <c r="H1354" s="87"/>
      <c r="I1354" s="90" t="s">
        <v>7335</v>
      </c>
      <c r="J1354" s="88" t="str">
        <f t="shared" si="21"/>
        <v>重复</v>
      </c>
      <c r="K1354" s="88" t="str">
        <f t="shared" si="21"/>
        <v>不重复</v>
      </c>
    </row>
    <row r="1355" spans="1:11" ht="20.25" customHeight="1">
      <c r="A1355" s="89" t="s">
        <v>3520</v>
      </c>
      <c r="B1355" s="90" t="s">
        <v>7898</v>
      </c>
      <c r="C1355" s="90" t="s">
        <v>3521</v>
      </c>
      <c r="D1355" s="90" t="s">
        <v>3522</v>
      </c>
      <c r="E1355" s="89" t="s">
        <v>2468</v>
      </c>
      <c r="F1355" s="91">
        <v>602515</v>
      </c>
      <c r="G1355" s="91">
        <v>5100200</v>
      </c>
      <c r="H1355" s="87"/>
      <c r="I1355" s="90" t="s">
        <v>7899</v>
      </c>
      <c r="J1355" s="88" t="str">
        <f t="shared" si="21"/>
        <v>重复</v>
      </c>
      <c r="K1355" s="88" t="str">
        <f t="shared" si="21"/>
        <v>不重复</v>
      </c>
    </row>
    <row r="1356" spans="1:11" ht="20.25" customHeight="1">
      <c r="A1356" s="89" t="s">
        <v>3511</v>
      </c>
      <c r="B1356" s="90" t="s">
        <v>7900</v>
      </c>
      <c r="C1356" s="90" t="s">
        <v>1344</v>
      </c>
      <c r="D1356" s="90" t="s">
        <v>3512</v>
      </c>
      <c r="E1356" s="89" t="s">
        <v>2468</v>
      </c>
      <c r="F1356" s="91">
        <v>602516</v>
      </c>
      <c r="G1356" s="91">
        <v>5100200</v>
      </c>
      <c r="H1356" s="87"/>
      <c r="I1356" s="90" t="s">
        <v>7084</v>
      </c>
      <c r="J1356" s="88" t="str">
        <f t="shared" si="21"/>
        <v>重复</v>
      </c>
      <c r="K1356" s="88" t="str">
        <f t="shared" si="21"/>
        <v>不重复</v>
      </c>
    </row>
    <row r="1357" spans="1:11" ht="20.25" customHeight="1">
      <c r="A1357" s="89" t="s">
        <v>3516</v>
      </c>
      <c r="B1357" s="90" t="s">
        <v>7901</v>
      </c>
      <c r="C1357" s="90" t="s">
        <v>3517</v>
      </c>
      <c r="D1357" s="90" t="s">
        <v>3518</v>
      </c>
      <c r="E1357" s="89" t="s">
        <v>2468</v>
      </c>
      <c r="F1357" s="91">
        <v>602517</v>
      </c>
      <c r="G1357" s="91">
        <v>5100200</v>
      </c>
      <c r="H1357" s="87"/>
      <c r="I1357" s="90" t="s">
        <v>7902</v>
      </c>
      <c r="J1357" s="88" t="str">
        <f t="shared" si="21"/>
        <v>不重复</v>
      </c>
      <c r="K1357" s="88" t="str">
        <f t="shared" si="21"/>
        <v>不重复</v>
      </c>
    </row>
    <row r="1358" spans="1:11" ht="20.25" customHeight="1">
      <c r="A1358" s="89" t="s">
        <v>3513</v>
      </c>
      <c r="B1358" s="90" t="s">
        <v>7903</v>
      </c>
      <c r="C1358" s="90" t="s">
        <v>3514</v>
      </c>
      <c r="D1358" s="90" t="s">
        <v>3515</v>
      </c>
      <c r="E1358" s="89" t="s">
        <v>2468</v>
      </c>
      <c r="F1358" s="91">
        <v>602518</v>
      </c>
      <c r="G1358" s="91">
        <v>5100200</v>
      </c>
      <c r="H1358" s="87"/>
      <c r="I1358" s="90" t="s">
        <v>7767</v>
      </c>
      <c r="J1358" s="88" t="str">
        <f t="shared" si="21"/>
        <v>不重复</v>
      </c>
      <c r="K1358" s="88" t="str">
        <f t="shared" si="21"/>
        <v>不重复</v>
      </c>
    </row>
    <row r="1359" spans="1:11" ht="20.25" customHeight="1">
      <c r="A1359" s="89" t="s">
        <v>3523</v>
      </c>
      <c r="B1359" s="90" t="s">
        <v>7904</v>
      </c>
      <c r="C1359" s="90" t="s">
        <v>3524</v>
      </c>
      <c r="D1359" s="90" t="s">
        <v>3525</v>
      </c>
      <c r="E1359" s="89" t="s">
        <v>2468</v>
      </c>
      <c r="F1359" s="91">
        <v>602519</v>
      </c>
      <c r="G1359" s="91">
        <v>5100200</v>
      </c>
      <c r="H1359" s="87"/>
      <c r="I1359" s="90" t="s">
        <v>6106</v>
      </c>
      <c r="J1359" s="88" t="str">
        <f t="shared" si="21"/>
        <v>不重复</v>
      </c>
      <c r="K1359" s="88" t="str">
        <f t="shared" si="21"/>
        <v>不重复</v>
      </c>
    </row>
    <row r="1360" spans="1:11" ht="20.25" customHeight="1">
      <c r="A1360" s="89" t="s">
        <v>3601</v>
      </c>
      <c r="B1360" s="90" t="s">
        <v>3602</v>
      </c>
      <c r="C1360" s="90" t="s">
        <v>2113</v>
      </c>
      <c r="D1360" s="90" t="s">
        <v>3534</v>
      </c>
      <c r="E1360" s="89" t="s">
        <v>2468</v>
      </c>
      <c r="F1360" s="91">
        <v>602520</v>
      </c>
      <c r="G1360" s="91">
        <v>5100200</v>
      </c>
      <c r="H1360" s="87"/>
      <c r="I1360" s="90" t="s">
        <v>25</v>
      </c>
      <c r="J1360" s="88" t="str">
        <f t="shared" si="21"/>
        <v>重复</v>
      </c>
      <c r="K1360" s="88" t="str">
        <f t="shared" si="21"/>
        <v>不重复</v>
      </c>
    </row>
    <row r="1361" spans="1:11" ht="20.25" customHeight="1">
      <c r="A1361" s="89" t="s">
        <v>3597</v>
      </c>
      <c r="B1361" s="90" t="s">
        <v>7905</v>
      </c>
      <c r="C1361" s="90" t="s">
        <v>3598</v>
      </c>
      <c r="D1361" s="90" t="s">
        <v>3599</v>
      </c>
      <c r="E1361" s="89" t="s">
        <v>2468</v>
      </c>
      <c r="F1361" s="91">
        <v>602521</v>
      </c>
      <c r="G1361" s="91">
        <v>5100200</v>
      </c>
      <c r="H1361" s="87"/>
      <c r="I1361" s="90" t="s">
        <v>3600</v>
      </c>
      <c r="J1361" s="88" t="str">
        <f t="shared" si="21"/>
        <v>不重复</v>
      </c>
      <c r="K1361" s="88" t="str">
        <f t="shared" si="21"/>
        <v>不重复</v>
      </c>
    </row>
    <row r="1362" spans="1:11" ht="20.25" customHeight="1">
      <c r="A1362" s="89" t="s">
        <v>3560</v>
      </c>
      <c r="B1362" s="90" t="s">
        <v>7906</v>
      </c>
      <c r="C1362" s="90" t="s">
        <v>3561</v>
      </c>
      <c r="D1362" s="90" t="s">
        <v>3562</v>
      </c>
      <c r="E1362" s="89" t="s">
        <v>2468</v>
      </c>
      <c r="F1362" s="91">
        <v>602522</v>
      </c>
      <c r="G1362" s="91">
        <v>5100200</v>
      </c>
      <c r="H1362" s="87"/>
      <c r="I1362" s="90" t="s">
        <v>7907</v>
      </c>
      <c r="J1362" s="88" t="str">
        <f t="shared" si="21"/>
        <v>不重复</v>
      </c>
      <c r="K1362" s="88" t="str">
        <f t="shared" si="21"/>
        <v>不重复</v>
      </c>
    </row>
    <row r="1363" spans="1:11" ht="20.25" customHeight="1">
      <c r="A1363" s="89" t="s">
        <v>3583</v>
      </c>
      <c r="B1363" s="90" t="s">
        <v>7908</v>
      </c>
      <c r="C1363" s="90" t="s">
        <v>3584</v>
      </c>
      <c r="D1363" s="90" t="s">
        <v>3585</v>
      </c>
      <c r="E1363" s="89" t="s">
        <v>2468</v>
      </c>
      <c r="F1363" s="91">
        <v>602523</v>
      </c>
      <c r="G1363" s="91">
        <v>5100200</v>
      </c>
      <c r="H1363" s="87"/>
      <c r="I1363" s="90" t="s">
        <v>7084</v>
      </c>
      <c r="J1363" s="88" t="str">
        <f t="shared" si="21"/>
        <v>不重复</v>
      </c>
      <c r="K1363" s="88" t="str">
        <f t="shared" si="21"/>
        <v>不重复</v>
      </c>
    </row>
    <row r="1364" spans="1:11" ht="20.25" customHeight="1">
      <c r="A1364" s="89" t="s">
        <v>3572</v>
      </c>
      <c r="B1364" s="90" t="s">
        <v>7909</v>
      </c>
      <c r="C1364" s="90" t="s">
        <v>3541</v>
      </c>
      <c r="D1364" s="90" t="s">
        <v>3573</v>
      </c>
      <c r="E1364" s="89" t="s">
        <v>2468</v>
      </c>
      <c r="F1364" s="91">
        <v>602524</v>
      </c>
      <c r="G1364" s="91">
        <v>5100200</v>
      </c>
      <c r="H1364" s="87"/>
      <c r="I1364" s="90" t="s">
        <v>7910</v>
      </c>
      <c r="J1364" s="88" t="str">
        <f t="shared" si="21"/>
        <v>重复</v>
      </c>
      <c r="K1364" s="88" t="str">
        <f t="shared" si="21"/>
        <v>不重复</v>
      </c>
    </row>
    <row r="1365" spans="1:11" ht="20.25" customHeight="1">
      <c r="A1365" s="89" t="s">
        <v>3578</v>
      </c>
      <c r="B1365" s="90" t="s">
        <v>7911</v>
      </c>
      <c r="C1365" s="90" t="s">
        <v>3579</v>
      </c>
      <c r="D1365" s="90" t="s">
        <v>3580</v>
      </c>
      <c r="E1365" s="89" t="s">
        <v>2468</v>
      </c>
      <c r="F1365" s="91">
        <v>602525</v>
      </c>
      <c r="G1365" s="91">
        <v>5100200</v>
      </c>
      <c r="H1365" s="87"/>
      <c r="I1365" s="90" t="s">
        <v>7912</v>
      </c>
      <c r="J1365" s="88" t="str">
        <f t="shared" si="21"/>
        <v>不重复</v>
      </c>
      <c r="K1365" s="88" t="str">
        <f t="shared" si="21"/>
        <v>不重复</v>
      </c>
    </row>
    <row r="1366" spans="1:11" ht="20.25" customHeight="1">
      <c r="A1366" s="89" t="s">
        <v>3575</v>
      </c>
      <c r="B1366" s="90" t="s">
        <v>7913</v>
      </c>
      <c r="C1366" s="90" t="s">
        <v>3576</v>
      </c>
      <c r="D1366" s="90" t="s">
        <v>7914</v>
      </c>
      <c r="E1366" s="89" t="s">
        <v>2468</v>
      </c>
      <c r="F1366" s="91">
        <v>602526</v>
      </c>
      <c r="G1366" s="91">
        <v>5100200</v>
      </c>
      <c r="H1366" s="87"/>
      <c r="I1366" s="90" t="s">
        <v>1065</v>
      </c>
      <c r="J1366" s="88" t="str">
        <f t="shared" si="21"/>
        <v>不重复</v>
      </c>
      <c r="K1366" s="88" t="str">
        <f t="shared" si="21"/>
        <v>不重复</v>
      </c>
    </row>
    <row r="1367" spans="1:11" ht="20.25" customHeight="1">
      <c r="A1367" s="89" t="s">
        <v>3593</v>
      </c>
      <c r="B1367" s="90" t="s">
        <v>7915</v>
      </c>
      <c r="C1367" s="90" t="s">
        <v>3594</v>
      </c>
      <c r="D1367" s="90" t="s">
        <v>7916</v>
      </c>
      <c r="E1367" s="89" t="s">
        <v>2468</v>
      </c>
      <c r="F1367" s="91">
        <v>602527</v>
      </c>
      <c r="G1367" s="91">
        <v>5100200</v>
      </c>
      <c r="H1367" s="87"/>
      <c r="I1367" s="90" t="s">
        <v>7767</v>
      </c>
      <c r="J1367" s="88" t="str">
        <f t="shared" si="21"/>
        <v>不重复</v>
      </c>
      <c r="K1367" s="88" t="str">
        <f t="shared" si="21"/>
        <v>不重复</v>
      </c>
    </row>
    <row r="1368" spans="1:11" ht="20.25" customHeight="1">
      <c r="A1368" s="89" t="s">
        <v>3591</v>
      </c>
      <c r="B1368" s="90" t="s">
        <v>7917</v>
      </c>
      <c r="C1368" s="90" t="s">
        <v>7918</v>
      </c>
      <c r="D1368" s="90" t="s">
        <v>3577</v>
      </c>
      <c r="E1368" s="89" t="s">
        <v>2468</v>
      </c>
      <c r="F1368" s="91">
        <v>602528</v>
      </c>
      <c r="G1368" s="91">
        <v>5100200</v>
      </c>
      <c r="H1368" s="87"/>
      <c r="I1368" s="90" t="s">
        <v>7912</v>
      </c>
      <c r="J1368" s="88" t="str">
        <f t="shared" si="21"/>
        <v>不重复</v>
      </c>
      <c r="K1368" s="88" t="str">
        <f t="shared" si="21"/>
        <v>不重复</v>
      </c>
    </row>
    <row r="1369" spans="1:11" ht="20.25" customHeight="1">
      <c r="A1369" s="89" t="s">
        <v>3536</v>
      </c>
      <c r="B1369" s="90" t="s">
        <v>7919</v>
      </c>
      <c r="C1369" s="90" t="s">
        <v>3537</v>
      </c>
      <c r="D1369" s="90" t="s">
        <v>3538</v>
      </c>
      <c r="E1369" s="89" t="s">
        <v>2468</v>
      </c>
      <c r="F1369" s="91">
        <v>602529</v>
      </c>
      <c r="G1369" s="91">
        <v>5100200</v>
      </c>
      <c r="H1369" s="87"/>
      <c r="I1369" s="90" t="s">
        <v>3539</v>
      </c>
      <c r="J1369" s="88" t="str">
        <f t="shared" si="21"/>
        <v>不重复</v>
      </c>
      <c r="K1369" s="88" t="str">
        <f t="shared" si="21"/>
        <v>不重复</v>
      </c>
    </row>
    <row r="1370" spans="1:11" ht="20.25" customHeight="1">
      <c r="A1370" s="89" t="s">
        <v>3535</v>
      </c>
      <c r="B1370" s="90" t="s">
        <v>7920</v>
      </c>
      <c r="C1370" s="90" t="s">
        <v>7921</v>
      </c>
      <c r="D1370" s="90" t="s">
        <v>264</v>
      </c>
      <c r="E1370" s="89" t="s">
        <v>2468</v>
      </c>
      <c r="F1370" s="91">
        <v>602531</v>
      </c>
      <c r="G1370" s="91">
        <v>5100200</v>
      </c>
      <c r="H1370" s="87"/>
      <c r="I1370" s="90" t="s">
        <v>7084</v>
      </c>
      <c r="J1370" s="88" t="str">
        <f t="shared" si="21"/>
        <v>不重复</v>
      </c>
      <c r="K1370" s="88" t="str">
        <f t="shared" si="21"/>
        <v>不重复</v>
      </c>
    </row>
    <row r="1371" spans="1:11" ht="20.25" customHeight="1">
      <c r="A1371" s="89" t="s">
        <v>3563</v>
      </c>
      <c r="B1371" s="90" t="s">
        <v>7922</v>
      </c>
      <c r="C1371" s="90" t="s">
        <v>3564</v>
      </c>
      <c r="D1371" s="90" t="s">
        <v>3565</v>
      </c>
      <c r="E1371" s="89" t="s">
        <v>2468</v>
      </c>
      <c r="F1371" s="91">
        <v>602532</v>
      </c>
      <c r="G1371" s="91">
        <v>5100200</v>
      </c>
      <c r="H1371" s="87"/>
      <c r="I1371" s="90" t="s">
        <v>7923</v>
      </c>
      <c r="J1371" s="88" t="str">
        <f t="shared" si="21"/>
        <v>不重复</v>
      </c>
      <c r="K1371" s="88" t="str">
        <f t="shared" si="21"/>
        <v>不重复</v>
      </c>
    </row>
    <row r="1372" spans="1:11" ht="20.25" customHeight="1">
      <c r="A1372" s="89" t="s">
        <v>3581</v>
      </c>
      <c r="B1372" s="90" t="s">
        <v>7924</v>
      </c>
      <c r="C1372" s="90" t="s">
        <v>3506</v>
      </c>
      <c r="D1372" s="90" t="s">
        <v>3582</v>
      </c>
      <c r="E1372" s="89" t="s">
        <v>2468</v>
      </c>
      <c r="F1372" s="91">
        <v>602533</v>
      </c>
      <c r="G1372" s="91">
        <v>5100200</v>
      </c>
      <c r="H1372" s="87"/>
      <c r="I1372" s="90" t="s">
        <v>7623</v>
      </c>
      <c r="J1372" s="88" t="str">
        <f t="shared" si="21"/>
        <v>重复</v>
      </c>
      <c r="K1372" s="88" t="str">
        <f t="shared" si="21"/>
        <v>不重复</v>
      </c>
    </row>
    <row r="1373" spans="1:11" ht="20.25" customHeight="1">
      <c r="A1373" s="89" t="s">
        <v>3545</v>
      </c>
      <c r="B1373" s="90" t="s">
        <v>7925</v>
      </c>
      <c r="C1373" s="90" t="s">
        <v>3546</v>
      </c>
      <c r="D1373" s="90" t="s">
        <v>3547</v>
      </c>
      <c r="E1373" s="89" t="s">
        <v>2468</v>
      </c>
      <c r="F1373" s="91">
        <v>602534</v>
      </c>
      <c r="G1373" s="91">
        <v>5100200</v>
      </c>
      <c r="H1373" s="87"/>
      <c r="I1373" s="90" t="s">
        <v>7767</v>
      </c>
      <c r="J1373" s="88" t="str">
        <f t="shared" si="21"/>
        <v>不重复</v>
      </c>
      <c r="K1373" s="88" t="str">
        <f t="shared" si="21"/>
        <v>不重复</v>
      </c>
    </row>
    <row r="1374" spans="1:11" ht="20.25" customHeight="1">
      <c r="A1374" s="89" t="s">
        <v>3558</v>
      </c>
      <c r="B1374" s="90" t="s">
        <v>7926</v>
      </c>
      <c r="C1374" s="90" t="s">
        <v>1338</v>
      </c>
      <c r="D1374" s="90" t="s">
        <v>3559</v>
      </c>
      <c r="E1374" s="89" t="s">
        <v>2468</v>
      </c>
      <c r="F1374" s="91">
        <v>602535</v>
      </c>
      <c r="G1374" s="91">
        <v>5100200</v>
      </c>
      <c r="H1374" s="87"/>
      <c r="I1374" s="90" t="s">
        <v>7402</v>
      </c>
      <c r="J1374" s="88" t="str">
        <f t="shared" si="21"/>
        <v>重复</v>
      </c>
      <c r="K1374" s="88" t="str">
        <f t="shared" si="21"/>
        <v>不重复</v>
      </c>
    </row>
    <row r="1375" spans="1:11" ht="20.25" customHeight="1">
      <c r="A1375" s="89" t="s">
        <v>3586</v>
      </c>
      <c r="B1375" s="90" t="s">
        <v>7927</v>
      </c>
      <c r="C1375" s="90" t="s">
        <v>3587</v>
      </c>
      <c r="D1375" s="90" t="s">
        <v>3588</v>
      </c>
      <c r="E1375" s="89" t="s">
        <v>2468</v>
      </c>
      <c r="F1375" s="91">
        <v>602537</v>
      </c>
      <c r="G1375" s="91">
        <v>5100200</v>
      </c>
      <c r="H1375" s="87"/>
      <c r="I1375" s="90" t="s">
        <v>7912</v>
      </c>
      <c r="J1375" s="88" t="str">
        <f t="shared" si="21"/>
        <v>不重复</v>
      </c>
      <c r="K1375" s="88" t="str">
        <f t="shared" si="21"/>
        <v>不重复</v>
      </c>
    </row>
    <row r="1376" spans="1:11" ht="20.25" customHeight="1">
      <c r="A1376" s="89" t="s">
        <v>3555</v>
      </c>
      <c r="B1376" s="90" t="s">
        <v>7928</v>
      </c>
      <c r="C1376" s="90" t="s">
        <v>3556</v>
      </c>
      <c r="D1376" s="90" t="s">
        <v>3557</v>
      </c>
      <c r="E1376" s="89" t="s">
        <v>2468</v>
      </c>
      <c r="F1376" s="91">
        <v>602538</v>
      </c>
      <c r="G1376" s="91">
        <v>5100200</v>
      </c>
      <c r="H1376" s="87"/>
      <c r="I1376" s="90" t="s">
        <v>7084</v>
      </c>
      <c r="J1376" s="88" t="str">
        <f t="shared" si="21"/>
        <v>不重复</v>
      </c>
      <c r="K1376" s="88" t="str">
        <f t="shared" si="21"/>
        <v>不重复</v>
      </c>
    </row>
    <row r="1377" spans="1:11" ht="20.25" customHeight="1">
      <c r="A1377" s="89" t="s">
        <v>3550</v>
      </c>
      <c r="B1377" s="90" t="s">
        <v>7929</v>
      </c>
      <c r="C1377" s="90" t="s">
        <v>3042</v>
      </c>
      <c r="D1377" s="90" t="s">
        <v>3551</v>
      </c>
      <c r="E1377" s="89" t="s">
        <v>2468</v>
      </c>
      <c r="F1377" s="91">
        <v>602539</v>
      </c>
      <c r="G1377" s="91">
        <v>5100200</v>
      </c>
      <c r="H1377" s="87"/>
      <c r="I1377" s="90" t="s">
        <v>7628</v>
      </c>
      <c r="J1377" s="88" t="str">
        <f t="shared" si="21"/>
        <v>重复</v>
      </c>
      <c r="K1377" s="88" t="str">
        <f t="shared" si="21"/>
        <v>不重复</v>
      </c>
    </row>
    <row r="1378" spans="1:11" ht="20.25" customHeight="1">
      <c r="A1378" s="89" t="s">
        <v>3595</v>
      </c>
      <c r="B1378" s="90" t="s">
        <v>7930</v>
      </c>
      <c r="C1378" s="90" t="s">
        <v>3596</v>
      </c>
      <c r="D1378" s="90" t="s">
        <v>3554</v>
      </c>
      <c r="E1378" s="89" t="s">
        <v>2468</v>
      </c>
      <c r="F1378" s="91">
        <v>602540</v>
      </c>
      <c r="G1378" s="91">
        <v>5100200</v>
      </c>
      <c r="H1378" s="87"/>
      <c r="I1378" s="90" t="s">
        <v>7084</v>
      </c>
      <c r="J1378" s="88" t="str">
        <f t="shared" si="21"/>
        <v>重复</v>
      </c>
      <c r="K1378" s="88" t="str">
        <f t="shared" si="21"/>
        <v>不重复</v>
      </c>
    </row>
    <row r="1379" spans="1:11" ht="20.25" customHeight="1">
      <c r="A1379" s="89" t="s">
        <v>3552</v>
      </c>
      <c r="B1379" s="90" t="s">
        <v>7931</v>
      </c>
      <c r="C1379" s="90" t="s">
        <v>3553</v>
      </c>
      <c r="D1379" s="90" t="s">
        <v>7932</v>
      </c>
      <c r="E1379" s="89" t="s">
        <v>2468</v>
      </c>
      <c r="F1379" s="91">
        <v>602541</v>
      </c>
      <c r="G1379" s="91">
        <v>5100200</v>
      </c>
      <c r="H1379" s="87"/>
      <c r="I1379" s="90" t="s">
        <v>7084</v>
      </c>
      <c r="J1379" s="88" t="str">
        <f t="shared" si="21"/>
        <v>不重复</v>
      </c>
      <c r="K1379" s="88" t="str">
        <f t="shared" si="21"/>
        <v>不重复</v>
      </c>
    </row>
    <row r="1380" spans="1:11" ht="20.25" customHeight="1">
      <c r="A1380" s="89" t="s">
        <v>3569</v>
      </c>
      <c r="B1380" s="90" t="s">
        <v>7933</v>
      </c>
      <c r="C1380" s="90" t="s">
        <v>3570</v>
      </c>
      <c r="D1380" s="90" t="s">
        <v>3571</v>
      </c>
      <c r="E1380" s="89" t="s">
        <v>2468</v>
      </c>
      <c r="F1380" s="91">
        <v>602542</v>
      </c>
      <c r="G1380" s="91">
        <v>5100200</v>
      </c>
      <c r="H1380" s="87"/>
      <c r="I1380" s="90" t="s">
        <v>7767</v>
      </c>
      <c r="J1380" s="88" t="str">
        <f t="shared" si="21"/>
        <v>不重复</v>
      </c>
      <c r="K1380" s="88" t="str">
        <f t="shared" si="21"/>
        <v>不重复</v>
      </c>
    </row>
    <row r="1381" spans="1:11" ht="20.25" customHeight="1">
      <c r="A1381" s="89" t="s">
        <v>3574</v>
      </c>
      <c r="B1381" s="90" t="s">
        <v>7934</v>
      </c>
      <c r="C1381" s="90" t="s">
        <v>3541</v>
      </c>
      <c r="D1381" s="90" t="s">
        <v>5242</v>
      </c>
      <c r="E1381" s="89" t="s">
        <v>2468</v>
      </c>
      <c r="F1381" s="91">
        <v>602543</v>
      </c>
      <c r="G1381" s="91">
        <v>5100200</v>
      </c>
      <c r="H1381" s="87"/>
      <c r="I1381" s="90" t="s">
        <v>7402</v>
      </c>
      <c r="J1381" s="88" t="str">
        <f t="shared" si="21"/>
        <v>重复</v>
      </c>
      <c r="K1381" s="88" t="str">
        <f t="shared" si="21"/>
        <v>不重复</v>
      </c>
    </row>
    <row r="1382" spans="1:11" ht="20.25" customHeight="1">
      <c r="A1382" s="89" t="s">
        <v>3589</v>
      </c>
      <c r="B1382" s="90" t="s">
        <v>7935</v>
      </c>
      <c r="C1382" s="90" t="s">
        <v>1556</v>
      </c>
      <c r="D1382" s="90" t="s">
        <v>3590</v>
      </c>
      <c r="E1382" s="89" t="s">
        <v>2468</v>
      </c>
      <c r="F1382" s="91">
        <v>602544</v>
      </c>
      <c r="G1382" s="91">
        <v>5100200</v>
      </c>
      <c r="H1382" s="87"/>
      <c r="I1382" s="90" t="s">
        <v>7936</v>
      </c>
      <c r="J1382" s="88" t="str">
        <f t="shared" si="21"/>
        <v>重复</v>
      </c>
      <c r="K1382" s="88" t="str">
        <f t="shared" si="21"/>
        <v>不重复</v>
      </c>
    </row>
    <row r="1383" spans="1:11" ht="20.25" customHeight="1">
      <c r="A1383" s="89" t="s">
        <v>3592</v>
      </c>
      <c r="B1383" s="90" t="s">
        <v>7937</v>
      </c>
      <c r="C1383" s="90" t="s">
        <v>402</v>
      </c>
      <c r="D1383" s="90" t="s">
        <v>265</v>
      </c>
      <c r="E1383" s="89" t="s">
        <v>2468</v>
      </c>
      <c r="F1383" s="91">
        <v>602545</v>
      </c>
      <c r="G1383" s="91">
        <v>5100200</v>
      </c>
      <c r="H1383" s="87"/>
      <c r="I1383" s="90" t="s">
        <v>7938</v>
      </c>
      <c r="J1383" s="88" t="str">
        <f t="shared" si="21"/>
        <v>重复</v>
      </c>
      <c r="K1383" s="88" t="str">
        <f t="shared" si="21"/>
        <v>不重复</v>
      </c>
    </row>
    <row r="1384" spans="1:11" ht="20.25" customHeight="1">
      <c r="A1384" s="89" t="s">
        <v>3543</v>
      </c>
      <c r="B1384" s="90" t="s">
        <v>7939</v>
      </c>
      <c r="C1384" s="90" t="s">
        <v>1338</v>
      </c>
      <c r="D1384" s="90" t="s">
        <v>3544</v>
      </c>
      <c r="E1384" s="89" t="s">
        <v>2468</v>
      </c>
      <c r="F1384" s="91">
        <v>602546</v>
      </c>
      <c r="G1384" s="91">
        <v>5100200</v>
      </c>
      <c r="H1384" s="87"/>
      <c r="I1384" s="90" t="s">
        <v>7767</v>
      </c>
      <c r="J1384" s="88" t="str">
        <f t="shared" si="21"/>
        <v>重复</v>
      </c>
      <c r="K1384" s="88" t="str">
        <f t="shared" si="21"/>
        <v>不重复</v>
      </c>
    </row>
    <row r="1385" spans="1:11" ht="20.25" customHeight="1">
      <c r="A1385" s="89" t="s">
        <v>3532</v>
      </c>
      <c r="B1385" s="90" t="s">
        <v>7940</v>
      </c>
      <c r="C1385" s="90" t="s">
        <v>3533</v>
      </c>
      <c r="D1385" s="90" t="s">
        <v>7941</v>
      </c>
      <c r="E1385" s="89" t="s">
        <v>2468</v>
      </c>
      <c r="F1385" s="91">
        <v>602548</v>
      </c>
      <c r="G1385" s="91">
        <v>5100200</v>
      </c>
      <c r="H1385" s="87"/>
      <c r="I1385" s="90" t="s">
        <v>7084</v>
      </c>
      <c r="J1385" s="88" t="str">
        <f t="shared" si="21"/>
        <v>不重复</v>
      </c>
      <c r="K1385" s="88" t="str">
        <f t="shared" si="21"/>
        <v>不重复</v>
      </c>
    </row>
    <row r="1386" spans="1:11" ht="20.25" customHeight="1">
      <c r="A1386" s="89" t="s">
        <v>3566</v>
      </c>
      <c r="B1386" s="90" t="s">
        <v>7942</v>
      </c>
      <c r="C1386" s="90" t="s">
        <v>3567</v>
      </c>
      <c r="D1386" s="90" t="s">
        <v>3568</v>
      </c>
      <c r="E1386" s="89" t="s">
        <v>2468</v>
      </c>
      <c r="F1386" s="91">
        <v>602549</v>
      </c>
      <c r="G1386" s="91">
        <v>5100200</v>
      </c>
      <c r="H1386" s="87"/>
      <c r="I1386" s="90" t="s">
        <v>7938</v>
      </c>
      <c r="J1386" s="88" t="str">
        <f t="shared" si="21"/>
        <v>不重复</v>
      </c>
      <c r="K1386" s="88" t="str">
        <f t="shared" si="21"/>
        <v>不重复</v>
      </c>
    </row>
    <row r="1387" spans="1:11" ht="20.25" customHeight="1">
      <c r="A1387" s="89" t="s">
        <v>3548</v>
      </c>
      <c r="B1387" s="90" t="s">
        <v>7943</v>
      </c>
      <c r="C1387" s="90" t="s">
        <v>399</v>
      </c>
      <c r="D1387" s="90" t="s">
        <v>3549</v>
      </c>
      <c r="E1387" s="89" t="s">
        <v>2468</v>
      </c>
      <c r="F1387" s="91">
        <v>602550</v>
      </c>
      <c r="G1387" s="91">
        <v>5100200</v>
      </c>
      <c r="H1387" s="87"/>
      <c r="I1387" s="90" t="s">
        <v>7944</v>
      </c>
      <c r="J1387" s="88" t="str">
        <f t="shared" si="21"/>
        <v>重复</v>
      </c>
      <c r="K1387" s="88" t="str">
        <f t="shared" si="21"/>
        <v>不重复</v>
      </c>
    </row>
    <row r="1388" spans="1:11" ht="20.25" customHeight="1">
      <c r="A1388" s="89" t="s">
        <v>3540</v>
      </c>
      <c r="B1388" s="90" t="s">
        <v>7945</v>
      </c>
      <c r="C1388" s="90" t="s">
        <v>3541</v>
      </c>
      <c r="D1388" s="90" t="s">
        <v>3542</v>
      </c>
      <c r="E1388" s="89" t="s">
        <v>2468</v>
      </c>
      <c r="F1388" s="91">
        <v>602551</v>
      </c>
      <c r="G1388" s="91">
        <v>5100200</v>
      </c>
      <c r="H1388" s="87"/>
      <c r="I1388" s="90" t="s">
        <v>7084</v>
      </c>
      <c r="J1388" s="88" t="str">
        <f t="shared" si="21"/>
        <v>重复</v>
      </c>
      <c r="K1388" s="88" t="str">
        <f t="shared" si="21"/>
        <v>不重复</v>
      </c>
    </row>
    <row r="1389" spans="1:11" ht="20.25" customHeight="1">
      <c r="A1389" s="84" t="s">
        <v>7946</v>
      </c>
      <c r="B1389" s="85" t="s">
        <v>7947</v>
      </c>
      <c r="C1389" s="85" t="s">
        <v>7474</v>
      </c>
      <c r="D1389" s="85" t="s">
        <v>7948</v>
      </c>
      <c r="E1389" s="84" t="s">
        <v>2468</v>
      </c>
      <c r="F1389" s="86">
        <v>602552</v>
      </c>
      <c r="G1389" s="86">
        <v>5100200</v>
      </c>
      <c r="H1389" s="87"/>
      <c r="I1389" s="85" t="s">
        <v>25</v>
      </c>
      <c r="J1389" s="88" t="str">
        <f t="shared" si="21"/>
        <v>重复</v>
      </c>
      <c r="K1389" s="88" t="str">
        <f t="shared" si="21"/>
        <v>不重复</v>
      </c>
    </row>
    <row r="1390" spans="1:11" ht="20.25" customHeight="1">
      <c r="A1390" s="84" t="s">
        <v>3715</v>
      </c>
      <c r="B1390" s="85" t="s">
        <v>7949</v>
      </c>
      <c r="C1390" s="85" t="s">
        <v>3716</v>
      </c>
      <c r="D1390" s="85" t="s">
        <v>3717</v>
      </c>
      <c r="E1390" s="84" t="s">
        <v>2468</v>
      </c>
      <c r="F1390" s="86">
        <v>602553</v>
      </c>
      <c r="G1390" s="86">
        <v>5100200</v>
      </c>
      <c r="H1390" s="87"/>
      <c r="I1390" s="85" t="s">
        <v>7335</v>
      </c>
      <c r="J1390" s="88" t="str">
        <f t="shared" si="21"/>
        <v>不重复</v>
      </c>
      <c r="K1390" s="88" t="str">
        <f t="shared" si="21"/>
        <v>不重复</v>
      </c>
    </row>
    <row r="1391" spans="1:11" ht="20.25" customHeight="1">
      <c r="A1391" s="84" t="s">
        <v>7950</v>
      </c>
      <c r="B1391" s="85" t="s">
        <v>7951</v>
      </c>
      <c r="C1391" s="85" t="s">
        <v>553</v>
      </c>
      <c r="D1391" s="85" t="s">
        <v>7952</v>
      </c>
      <c r="E1391" s="84" t="s">
        <v>2468</v>
      </c>
      <c r="F1391" s="86">
        <v>602554</v>
      </c>
      <c r="G1391" s="86">
        <v>5100200</v>
      </c>
      <c r="H1391" s="87"/>
      <c r="I1391" s="85" t="s">
        <v>25</v>
      </c>
      <c r="J1391" s="88" t="str">
        <f t="shared" si="21"/>
        <v>重复</v>
      </c>
      <c r="K1391" s="88" t="str">
        <f t="shared" si="21"/>
        <v>不重复</v>
      </c>
    </row>
    <row r="1392" spans="1:11" ht="20.25" customHeight="1">
      <c r="A1392" s="84" t="s">
        <v>3718</v>
      </c>
      <c r="B1392" s="85" t="s">
        <v>3719</v>
      </c>
      <c r="C1392" s="85" t="s">
        <v>3720</v>
      </c>
      <c r="D1392" s="85" t="s">
        <v>3721</v>
      </c>
      <c r="E1392" s="84" t="s">
        <v>2468</v>
      </c>
      <c r="F1392" s="86">
        <v>602555</v>
      </c>
      <c r="G1392" s="86">
        <v>5100200</v>
      </c>
      <c r="H1392" s="87"/>
      <c r="I1392" s="85" t="s">
        <v>3722</v>
      </c>
      <c r="J1392" s="88" t="str">
        <f t="shared" si="21"/>
        <v>不重复</v>
      </c>
      <c r="K1392" s="88" t="str">
        <f t="shared" si="21"/>
        <v>不重复</v>
      </c>
    </row>
    <row r="1393" spans="1:11" ht="20.25" customHeight="1">
      <c r="A1393" s="84" t="s">
        <v>7953</v>
      </c>
      <c r="B1393" s="85" t="s">
        <v>3420</v>
      </c>
      <c r="C1393" s="85" t="s">
        <v>7954</v>
      </c>
      <c r="D1393" s="85" t="s">
        <v>3421</v>
      </c>
      <c r="E1393" s="84" t="s">
        <v>2468</v>
      </c>
      <c r="F1393" s="86">
        <v>602556</v>
      </c>
      <c r="G1393" s="86">
        <v>5100200</v>
      </c>
      <c r="H1393" s="87"/>
      <c r="I1393" s="85" t="s">
        <v>25</v>
      </c>
      <c r="J1393" s="88" t="str">
        <f t="shared" si="21"/>
        <v>不重复</v>
      </c>
      <c r="K1393" s="88" t="str">
        <f t="shared" si="21"/>
        <v>不重复</v>
      </c>
    </row>
    <row r="1394" spans="1:11" ht="20.25" customHeight="1">
      <c r="A1394" s="84" t="s">
        <v>7955</v>
      </c>
      <c r="B1394" s="85" t="s">
        <v>7956</v>
      </c>
      <c r="C1394" s="85" t="s">
        <v>2482</v>
      </c>
      <c r="D1394" s="85" t="s">
        <v>7957</v>
      </c>
      <c r="E1394" s="84" t="s">
        <v>2468</v>
      </c>
      <c r="F1394" s="86">
        <v>602558</v>
      </c>
      <c r="G1394" s="86">
        <v>5100200</v>
      </c>
      <c r="H1394" s="87"/>
      <c r="I1394" s="85" t="s">
        <v>25</v>
      </c>
      <c r="J1394" s="88" t="str">
        <f t="shared" si="21"/>
        <v>重复</v>
      </c>
      <c r="K1394" s="88" t="str">
        <f t="shared" si="21"/>
        <v>不重复</v>
      </c>
    </row>
    <row r="1395" spans="1:11" ht="20.25" customHeight="1">
      <c r="A1395" s="84" t="s">
        <v>7958</v>
      </c>
      <c r="B1395" s="85" t="s">
        <v>7959</v>
      </c>
      <c r="C1395" s="85" t="s">
        <v>1043</v>
      </c>
      <c r="D1395" s="85" t="s">
        <v>3271</v>
      </c>
      <c r="E1395" s="84" t="s">
        <v>2468</v>
      </c>
      <c r="F1395" s="86">
        <v>602560</v>
      </c>
      <c r="G1395" s="86">
        <v>5100200</v>
      </c>
      <c r="H1395" s="87"/>
      <c r="I1395" s="85" t="s">
        <v>25</v>
      </c>
      <c r="J1395" s="88" t="str">
        <f t="shared" si="21"/>
        <v>重复</v>
      </c>
      <c r="K1395" s="88" t="str">
        <f t="shared" si="21"/>
        <v>不重复</v>
      </c>
    </row>
    <row r="1396" spans="1:11" ht="20.25" customHeight="1">
      <c r="A1396" s="84" t="s">
        <v>7960</v>
      </c>
      <c r="B1396" s="85" t="s">
        <v>7961</v>
      </c>
      <c r="C1396" s="85" t="s">
        <v>1043</v>
      </c>
      <c r="D1396" s="85" t="s">
        <v>7962</v>
      </c>
      <c r="E1396" s="84" t="s">
        <v>2468</v>
      </c>
      <c r="F1396" s="86">
        <v>602561</v>
      </c>
      <c r="G1396" s="86">
        <v>5100200</v>
      </c>
      <c r="H1396" s="87"/>
      <c r="I1396" s="85" t="s">
        <v>25</v>
      </c>
      <c r="J1396" s="88" t="str">
        <f t="shared" si="21"/>
        <v>重复</v>
      </c>
      <c r="K1396" s="88" t="str">
        <f t="shared" si="21"/>
        <v>不重复</v>
      </c>
    </row>
    <row r="1397" spans="1:11" ht="20.25" customHeight="1">
      <c r="A1397" s="89" t="s">
        <v>7963</v>
      </c>
      <c r="B1397" s="90" t="s">
        <v>7964</v>
      </c>
      <c r="C1397" s="90" t="s">
        <v>7965</v>
      </c>
      <c r="D1397" s="90" t="s">
        <v>7966</v>
      </c>
      <c r="E1397" s="89" t="s">
        <v>2468</v>
      </c>
      <c r="F1397" s="91">
        <v>602562</v>
      </c>
      <c r="G1397" s="91">
        <v>5100200</v>
      </c>
      <c r="H1397" s="87"/>
      <c r="I1397" s="90" t="s">
        <v>25</v>
      </c>
      <c r="J1397" s="88" t="str">
        <f t="shared" si="21"/>
        <v>重复</v>
      </c>
      <c r="K1397" s="88" t="str">
        <f t="shared" si="21"/>
        <v>不重复</v>
      </c>
    </row>
    <row r="1398" spans="1:11" ht="20.25" customHeight="1">
      <c r="A1398" s="89" t="s">
        <v>7967</v>
      </c>
      <c r="B1398" s="90" t="s">
        <v>7968</v>
      </c>
      <c r="C1398" s="90" t="s">
        <v>2639</v>
      </c>
      <c r="D1398" s="90" t="s">
        <v>7969</v>
      </c>
      <c r="E1398" s="89" t="s">
        <v>2468</v>
      </c>
      <c r="F1398" s="91">
        <v>602563</v>
      </c>
      <c r="G1398" s="91">
        <v>5100200</v>
      </c>
      <c r="H1398" s="87"/>
      <c r="I1398" s="90" t="s">
        <v>25</v>
      </c>
      <c r="J1398" s="88" t="str">
        <f t="shared" si="21"/>
        <v>重复</v>
      </c>
      <c r="K1398" s="88" t="str">
        <f t="shared" si="21"/>
        <v>不重复</v>
      </c>
    </row>
    <row r="1399" spans="1:11" ht="20.25" customHeight="1">
      <c r="A1399" s="89" t="s">
        <v>7970</v>
      </c>
      <c r="B1399" s="90" t="s">
        <v>7971</v>
      </c>
      <c r="C1399" s="90" t="s">
        <v>1497</v>
      </c>
      <c r="D1399" s="90" t="s">
        <v>7972</v>
      </c>
      <c r="E1399" s="89" t="s">
        <v>2468</v>
      </c>
      <c r="F1399" s="91">
        <v>602564</v>
      </c>
      <c r="G1399" s="91">
        <v>5100200</v>
      </c>
      <c r="H1399" s="87"/>
      <c r="I1399" s="90" t="s">
        <v>25</v>
      </c>
      <c r="J1399" s="88" t="str">
        <f t="shared" si="21"/>
        <v>不重复</v>
      </c>
      <c r="K1399" s="88" t="str">
        <f t="shared" si="21"/>
        <v>不重复</v>
      </c>
    </row>
    <row r="1400" spans="1:11" ht="20.25" customHeight="1">
      <c r="A1400" s="89" t="s">
        <v>7973</v>
      </c>
      <c r="B1400" s="90" t="s">
        <v>7974</v>
      </c>
      <c r="C1400" s="90" t="s">
        <v>3056</v>
      </c>
      <c r="D1400" s="90" t="s">
        <v>7975</v>
      </c>
      <c r="E1400" s="89" t="s">
        <v>2468</v>
      </c>
      <c r="F1400" s="91">
        <v>602567</v>
      </c>
      <c r="G1400" s="91">
        <v>5100200</v>
      </c>
      <c r="H1400" s="87"/>
      <c r="I1400" s="90" t="s">
        <v>25</v>
      </c>
      <c r="J1400" s="88" t="str">
        <f t="shared" si="21"/>
        <v>重复</v>
      </c>
      <c r="K1400" s="88" t="str">
        <f t="shared" si="21"/>
        <v>不重复</v>
      </c>
    </row>
    <row r="1401" spans="1:11" ht="20.25" customHeight="1">
      <c r="A1401" s="89" t="s">
        <v>7976</v>
      </c>
      <c r="B1401" s="90" t="s">
        <v>7977</v>
      </c>
      <c r="C1401" s="90" t="s">
        <v>25</v>
      </c>
      <c r="D1401" s="90" t="s">
        <v>7978</v>
      </c>
      <c r="E1401" s="89" t="s">
        <v>2468</v>
      </c>
      <c r="F1401" s="91">
        <v>602568</v>
      </c>
      <c r="G1401" s="91">
        <v>5100200</v>
      </c>
      <c r="H1401" s="87"/>
      <c r="I1401" s="90" t="s">
        <v>25</v>
      </c>
      <c r="J1401" s="88" t="str">
        <f t="shared" si="21"/>
        <v>重复</v>
      </c>
      <c r="K1401" s="88" t="str">
        <f t="shared" si="21"/>
        <v>不重复</v>
      </c>
    </row>
    <row r="1402" spans="1:11" ht="20.25" customHeight="1">
      <c r="A1402" s="89" t="s">
        <v>7979</v>
      </c>
      <c r="B1402" s="90" t="s">
        <v>7980</v>
      </c>
      <c r="C1402" s="90" t="s">
        <v>7981</v>
      </c>
      <c r="D1402" s="90" t="s">
        <v>7982</v>
      </c>
      <c r="E1402" s="89" t="s">
        <v>2468</v>
      </c>
      <c r="F1402" s="91">
        <v>602571</v>
      </c>
      <c r="G1402" s="91">
        <v>5100200</v>
      </c>
      <c r="H1402" s="87"/>
      <c r="I1402" s="90" t="s">
        <v>25</v>
      </c>
      <c r="J1402" s="88" t="str">
        <f t="shared" si="21"/>
        <v>不重复</v>
      </c>
      <c r="K1402" s="88" t="str">
        <f t="shared" si="21"/>
        <v>不重复</v>
      </c>
    </row>
    <row r="1403" spans="1:11" ht="20.25" customHeight="1">
      <c r="A1403" s="89" t="s">
        <v>7983</v>
      </c>
      <c r="B1403" s="90" t="s">
        <v>7984</v>
      </c>
      <c r="C1403" s="90" t="s">
        <v>7985</v>
      </c>
      <c r="D1403" s="90" t="s">
        <v>7986</v>
      </c>
      <c r="E1403" s="89" t="s">
        <v>2468</v>
      </c>
      <c r="F1403" s="91">
        <v>602573</v>
      </c>
      <c r="G1403" s="91">
        <v>5100200</v>
      </c>
      <c r="H1403" s="87"/>
      <c r="I1403" s="90" t="s">
        <v>25</v>
      </c>
      <c r="J1403" s="88" t="str">
        <f t="shared" si="21"/>
        <v>不重复</v>
      </c>
      <c r="K1403" s="88" t="str">
        <f t="shared" si="21"/>
        <v>不重复</v>
      </c>
    </row>
    <row r="1404" spans="1:11" ht="20.25" customHeight="1">
      <c r="A1404" s="84" t="s">
        <v>7987</v>
      </c>
      <c r="B1404" s="85" t="s">
        <v>7988</v>
      </c>
      <c r="C1404" s="85" t="s">
        <v>1558</v>
      </c>
      <c r="D1404" s="85" t="s">
        <v>7989</v>
      </c>
      <c r="E1404" s="84" t="s">
        <v>2468</v>
      </c>
      <c r="F1404" s="86">
        <v>602576</v>
      </c>
      <c r="G1404" s="86">
        <v>5100200</v>
      </c>
      <c r="H1404" s="87"/>
      <c r="I1404" s="85" t="s">
        <v>25</v>
      </c>
      <c r="J1404" s="88" t="str">
        <f t="shared" si="21"/>
        <v>重复</v>
      </c>
      <c r="K1404" s="88" t="str">
        <f t="shared" si="21"/>
        <v>不重复</v>
      </c>
    </row>
    <row r="1405" spans="1:11" ht="20.25" customHeight="1">
      <c r="A1405" s="84" t="s">
        <v>7990</v>
      </c>
      <c r="B1405" s="85" t="s">
        <v>7991</v>
      </c>
      <c r="C1405" s="85" t="s">
        <v>7992</v>
      </c>
      <c r="D1405" s="85" t="s">
        <v>7993</v>
      </c>
      <c r="E1405" s="84" t="s">
        <v>2468</v>
      </c>
      <c r="F1405" s="86">
        <v>602577</v>
      </c>
      <c r="G1405" s="86">
        <v>5100200</v>
      </c>
      <c r="H1405" s="87"/>
      <c r="I1405" s="85" t="s">
        <v>25</v>
      </c>
      <c r="J1405" s="88" t="str">
        <f t="shared" si="21"/>
        <v>不重复</v>
      </c>
      <c r="K1405" s="88" t="str">
        <f t="shared" si="21"/>
        <v>不重复</v>
      </c>
    </row>
    <row r="1406" spans="1:11" ht="20.25" customHeight="1">
      <c r="A1406" s="89" t="s">
        <v>7994</v>
      </c>
      <c r="B1406" s="90" t="s">
        <v>7995</v>
      </c>
      <c r="C1406" s="90" t="s">
        <v>2978</v>
      </c>
      <c r="D1406" s="90" t="s">
        <v>7996</v>
      </c>
      <c r="E1406" s="89" t="s">
        <v>2468</v>
      </c>
      <c r="F1406" s="91">
        <v>602578</v>
      </c>
      <c r="G1406" s="91">
        <v>5100200</v>
      </c>
      <c r="H1406" s="87"/>
      <c r="I1406" s="90" t="s">
        <v>25</v>
      </c>
      <c r="J1406" s="88" t="str">
        <f t="shared" si="21"/>
        <v>重复</v>
      </c>
      <c r="K1406" s="88" t="str">
        <f t="shared" si="21"/>
        <v>不重复</v>
      </c>
    </row>
    <row r="1407" spans="1:11" ht="20.25" customHeight="1">
      <c r="A1407" s="89" t="s">
        <v>7997</v>
      </c>
      <c r="B1407" s="90" t="s">
        <v>7998</v>
      </c>
      <c r="C1407" s="90" t="s">
        <v>7965</v>
      </c>
      <c r="D1407" s="90" t="s">
        <v>7999</v>
      </c>
      <c r="E1407" s="89" t="s">
        <v>2468</v>
      </c>
      <c r="F1407" s="91">
        <v>602579</v>
      </c>
      <c r="G1407" s="91">
        <v>5100200</v>
      </c>
      <c r="H1407" s="87"/>
      <c r="I1407" s="90" t="s">
        <v>25</v>
      </c>
      <c r="J1407" s="88" t="str">
        <f t="shared" si="21"/>
        <v>重复</v>
      </c>
      <c r="K1407" s="88" t="str">
        <f t="shared" si="21"/>
        <v>不重复</v>
      </c>
    </row>
    <row r="1408" spans="1:11" ht="20.25" customHeight="1">
      <c r="A1408" s="89" t="s">
        <v>3610</v>
      </c>
      <c r="B1408" s="90" t="s">
        <v>8000</v>
      </c>
      <c r="C1408" s="90" t="s">
        <v>2373</v>
      </c>
      <c r="D1408" s="90" t="s">
        <v>3611</v>
      </c>
      <c r="E1408" s="89" t="s">
        <v>2468</v>
      </c>
      <c r="F1408" s="91">
        <v>602580</v>
      </c>
      <c r="G1408" s="91">
        <v>5100200</v>
      </c>
      <c r="H1408" s="87"/>
      <c r="I1408" s="90" t="s">
        <v>25</v>
      </c>
      <c r="J1408" s="88" t="str">
        <f t="shared" si="21"/>
        <v>重复</v>
      </c>
      <c r="K1408" s="88" t="str">
        <f t="shared" si="21"/>
        <v>不重复</v>
      </c>
    </row>
    <row r="1409" spans="1:11" ht="20.25" customHeight="1">
      <c r="A1409" s="84" t="s">
        <v>8001</v>
      </c>
      <c r="B1409" s="85" t="s">
        <v>8002</v>
      </c>
      <c r="C1409" s="85" t="s">
        <v>4333</v>
      </c>
      <c r="D1409" s="85" t="s">
        <v>8003</v>
      </c>
      <c r="E1409" s="84" t="s">
        <v>2468</v>
      </c>
      <c r="F1409" s="86">
        <v>602581</v>
      </c>
      <c r="G1409" s="86">
        <v>5100200</v>
      </c>
      <c r="H1409" s="87"/>
      <c r="I1409" s="85" t="s">
        <v>25</v>
      </c>
      <c r="J1409" s="88" t="str">
        <f t="shared" si="21"/>
        <v>重复</v>
      </c>
      <c r="K1409" s="88" t="str">
        <f t="shared" si="21"/>
        <v>不重复</v>
      </c>
    </row>
    <row r="1410" spans="1:11" ht="20.25" customHeight="1">
      <c r="A1410" s="89" t="s">
        <v>8004</v>
      </c>
      <c r="B1410" s="90" t="s">
        <v>8005</v>
      </c>
      <c r="C1410" s="90" t="s">
        <v>8006</v>
      </c>
      <c r="D1410" s="90" t="s">
        <v>8007</v>
      </c>
      <c r="E1410" s="89" t="s">
        <v>2468</v>
      </c>
      <c r="F1410" s="91">
        <v>602582</v>
      </c>
      <c r="G1410" s="91">
        <v>5100200</v>
      </c>
      <c r="H1410" s="87"/>
      <c r="I1410" s="90" t="s">
        <v>8008</v>
      </c>
      <c r="J1410" s="88" t="str">
        <f t="shared" si="21"/>
        <v>不重复</v>
      </c>
      <c r="K1410" s="88" t="str">
        <f t="shared" si="21"/>
        <v>不重复</v>
      </c>
    </row>
    <row r="1411" spans="1:11" ht="20.25" customHeight="1">
      <c r="A1411" s="89" t="s">
        <v>8009</v>
      </c>
      <c r="B1411" s="90" t="s">
        <v>8010</v>
      </c>
      <c r="C1411" s="90" t="s">
        <v>25</v>
      </c>
      <c r="D1411" s="90" t="s">
        <v>8011</v>
      </c>
      <c r="E1411" s="89" t="s">
        <v>2468</v>
      </c>
      <c r="F1411" s="91">
        <v>602584</v>
      </c>
      <c r="G1411" s="91">
        <v>5100200</v>
      </c>
      <c r="H1411" s="87"/>
      <c r="I1411" s="90" t="s">
        <v>25</v>
      </c>
      <c r="J1411" s="88" t="str">
        <f t="shared" si="22" ref="J1411:K1474">IF(COUNTIF(C:C,C1411)&gt;=2,"重复","不重复")</f>
        <v>重复</v>
      </c>
      <c r="K1411" s="88" t="str">
        <f t="shared" si="22"/>
        <v>不重复</v>
      </c>
    </row>
    <row r="1412" spans="1:11" ht="20.25" customHeight="1">
      <c r="A1412" s="89" t="s">
        <v>8012</v>
      </c>
      <c r="B1412" s="90" t="s">
        <v>8013</v>
      </c>
      <c r="C1412" s="90" t="s">
        <v>8014</v>
      </c>
      <c r="D1412" s="90" t="s">
        <v>8015</v>
      </c>
      <c r="E1412" s="89" t="s">
        <v>2468</v>
      </c>
      <c r="F1412" s="91">
        <v>602590</v>
      </c>
      <c r="G1412" s="91">
        <v>5100200</v>
      </c>
      <c r="H1412" s="87"/>
      <c r="I1412" s="90" t="s">
        <v>8016</v>
      </c>
      <c r="J1412" s="88" t="str">
        <f t="shared" si="22"/>
        <v>不重复</v>
      </c>
      <c r="K1412" s="88" t="str">
        <f t="shared" si="22"/>
        <v>不重复</v>
      </c>
    </row>
    <row r="1413" spans="1:11" ht="20.25" customHeight="1">
      <c r="A1413" s="84" t="s">
        <v>8017</v>
      </c>
      <c r="B1413" s="85" t="s">
        <v>8018</v>
      </c>
      <c r="C1413" s="85" t="s">
        <v>3390</v>
      </c>
      <c r="D1413" s="85" t="s">
        <v>8019</v>
      </c>
      <c r="E1413" s="84" t="s">
        <v>2468</v>
      </c>
      <c r="F1413" s="86">
        <v>602591</v>
      </c>
      <c r="G1413" s="86">
        <v>5100200</v>
      </c>
      <c r="H1413" s="87"/>
      <c r="I1413" s="85" t="s">
        <v>8020</v>
      </c>
      <c r="J1413" s="88" t="str">
        <f t="shared" si="22"/>
        <v>重复</v>
      </c>
      <c r="K1413" s="88" t="str">
        <f t="shared" si="22"/>
        <v>不重复</v>
      </c>
    </row>
    <row r="1414" spans="1:11" ht="20.25" customHeight="1">
      <c r="A1414" s="89" t="s">
        <v>8021</v>
      </c>
      <c r="B1414" s="90" t="s">
        <v>7857</v>
      </c>
      <c r="C1414" s="90" t="s">
        <v>631</v>
      </c>
      <c r="D1414" s="90" t="s">
        <v>8022</v>
      </c>
      <c r="E1414" s="89" t="s">
        <v>2468</v>
      </c>
      <c r="F1414" s="91">
        <v>602592</v>
      </c>
      <c r="G1414" s="91">
        <v>5100200</v>
      </c>
      <c r="H1414" s="87"/>
      <c r="I1414" s="90" t="s">
        <v>8023</v>
      </c>
      <c r="J1414" s="88" t="str">
        <f t="shared" si="22"/>
        <v>重复</v>
      </c>
      <c r="K1414" s="88" t="str">
        <f t="shared" si="22"/>
        <v>不重复</v>
      </c>
    </row>
    <row r="1415" spans="1:11" ht="20.25" customHeight="1">
      <c r="A1415" s="84" t="s">
        <v>3422</v>
      </c>
      <c r="B1415" s="85" t="s">
        <v>8024</v>
      </c>
      <c r="C1415" s="85" t="s">
        <v>3423</v>
      </c>
      <c r="D1415" s="85" t="s">
        <v>8025</v>
      </c>
      <c r="E1415" s="84" t="s">
        <v>2468</v>
      </c>
      <c r="F1415" s="86">
        <v>602594</v>
      </c>
      <c r="G1415" s="86">
        <v>5100200</v>
      </c>
      <c r="H1415" s="87"/>
      <c r="I1415" s="85" t="s">
        <v>8026</v>
      </c>
      <c r="J1415" s="88" t="str">
        <f t="shared" si="22"/>
        <v>不重复</v>
      </c>
      <c r="K1415" s="88" t="str">
        <f t="shared" si="22"/>
        <v>不重复</v>
      </c>
    </row>
    <row r="1416" spans="1:11" ht="20.25" customHeight="1">
      <c r="A1416" s="84" t="s">
        <v>8027</v>
      </c>
      <c r="B1416" s="85" t="s">
        <v>8028</v>
      </c>
      <c r="C1416" s="85" t="s">
        <v>8029</v>
      </c>
      <c r="D1416" s="85" t="s">
        <v>8030</v>
      </c>
      <c r="E1416" s="84" t="s">
        <v>2468</v>
      </c>
      <c r="F1416" s="86">
        <v>602595</v>
      </c>
      <c r="G1416" s="86">
        <v>5100200</v>
      </c>
      <c r="H1416" s="87"/>
      <c r="I1416" s="85" t="s">
        <v>25</v>
      </c>
      <c r="J1416" s="88" t="str">
        <f t="shared" si="22"/>
        <v>不重复</v>
      </c>
      <c r="K1416" s="88" t="str">
        <f t="shared" si="22"/>
        <v>不重复</v>
      </c>
    </row>
    <row r="1417" spans="1:11" ht="20.25" customHeight="1">
      <c r="A1417" s="89" t="s">
        <v>8031</v>
      </c>
      <c r="B1417" s="90" t="s">
        <v>8032</v>
      </c>
      <c r="C1417" s="90" t="s">
        <v>3596</v>
      </c>
      <c r="D1417" s="90" t="s">
        <v>8033</v>
      </c>
      <c r="E1417" s="89" t="s">
        <v>2468</v>
      </c>
      <c r="F1417" s="91">
        <v>602596</v>
      </c>
      <c r="G1417" s="91">
        <v>5100200</v>
      </c>
      <c r="H1417" s="87"/>
      <c r="I1417" s="90" t="s">
        <v>8016</v>
      </c>
      <c r="J1417" s="88" t="str">
        <f t="shared" si="22"/>
        <v>重复</v>
      </c>
      <c r="K1417" s="88" t="str">
        <f t="shared" si="22"/>
        <v>不重复</v>
      </c>
    </row>
    <row r="1418" spans="1:11" ht="20.25" customHeight="1">
      <c r="A1418" s="89" t="s">
        <v>8034</v>
      </c>
      <c r="B1418" s="90" t="s">
        <v>8035</v>
      </c>
      <c r="C1418" s="90" t="s">
        <v>8036</v>
      </c>
      <c r="D1418" s="90" t="s">
        <v>8037</v>
      </c>
      <c r="E1418" s="89" t="s">
        <v>2468</v>
      </c>
      <c r="F1418" s="91">
        <v>602597</v>
      </c>
      <c r="G1418" s="91">
        <v>5100200</v>
      </c>
      <c r="H1418" s="87"/>
      <c r="I1418" s="90" t="s">
        <v>8038</v>
      </c>
      <c r="J1418" s="88" t="str">
        <f t="shared" si="22"/>
        <v>不重复</v>
      </c>
      <c r="K1418" s="88" t="str">
        <f t="shared" si="22"/>
        <v>不重复</v>
      </c>
    </row>
    <row r="1419" spans="1:11" ht="20.25" customHeight="1">
      <c r="A1419" s="89" t="s">
        <v>5227</v>
      </c>
      <c r="B1419" s="90" t="s">
        <v>8039</v>
      </c>
      <c r="C1419" s="90" t="s">
        <v>8040</v>
      </c>
      <c r="D1419" s="90" t="s">
        <v>8041</v>
      </c>
      <c r="E1419" s="89" t="s">
        <v>2468</v>
      </c>
      <c r="F1419" s="91">
        <v>602598</v>
      </c>
      <c r="G1419" s="91">
        <v>5100200</v>
      </c>
      <c r="H1419" s="87"/>
      <c r="I1419" s="90" t="s">
        <v>8042</v>
      </c>
      <c r="J1419" s="88" t="str">
        <f t="shared" si="22"/>
        <v>不重复</v>
      </c>
      <c r="K1419" s="88" t="str">
        <f t="shared" si="22"/>
        <v>不重复</v>
      </c>
    </row>
    <row r="1420" spans="1:11" ht="20.25" customHeight="1">
      <c r="A1420" s="89" t="s">
        <v>8043</v>
      </c>
      <c r="B1420" s="90" t="s">
        <v>8044</v>
      </c>
      <c r="C1420" s="90" t="s">
        <v>8045</v>
      </c>
      <c r="D1420" s="90" t="s">
        <v>8046</v>
      </c>
      <c r="E1420" s="89" t="s">
        <v>2468</v>
      </c>
      <c r="F1420" s="91">
        <v>602599</v>
      </c>
      <c r="G1420" s="91">
        <v>5100200</v>
      </c>
      <c r="H1420" s="87"/>
      <c r="I1420" s="90" t="s">
        <v>25</v>
      </c>
      <c r="J1420" s="88" t="str">
        <f t="shared" si="22"/>
        <v>不重复</v>
      </c>
      <c r="K1420" s="88" t="str">
        <f t="shared" si="22"/>
        <v>不重复</v>
      </c>
    </row>
    <row r="1421" spans="1:11" ht="20.25" customHeight="1">
      <c r="A1421" s="84" t="s">
        <v>8047</v>
      </c>
      <c r="B1421" s="85" t="s">
        <v>8048</v>
      </c>
      <c r="C1421" s="85" t="s">
        <v>2709</v>
      </c>
      <c r="D1421" s="85" t="s">
        <v>8049</v>
      </c>
      <c r="E1421" s="84" t="s">
        <v>2468</v>
      </c>
      <c r="F1421" s="86">
        <v>602600</v>
      </c>
      <c r="G1421" s="86">
        <v>5100200</v>
      </c>
      <c r="H1421" s="87"/>
      <c r="I1421" s="85" t="s">
        <v>25</v>
      </c>
      <c r="J1421" s="88" t="str">
        <f t="shared" si="22"/>
        <v>重复</v>
      </c>
      <c r="K1421" s="88" t="str">
        <f t="shared" si="22"/>
        <v>不重复</v>
      </c>
    </row>
    <row r="1422" spans="1:11" ht="20.25" customHeight="1">
      <c r="A1422" s="84" t="s">
        <v>8050</v>
      </c>
      <c r="B1422" s="85" t="s">
        <v>8051</v>
      </c>
      <c r="C1422" s="85" t="s">
        <v>4385</v>
      </c>
      <c r="D1422" s="85" t="s">
        <v>8052</v>
      </c>
      <c r="E1422" s="84" t="s">
        <v>2468</v>
      </c>
      <c r="F1422" s="86">
        <v>602601</v>
      </c>
      <c r="G1422" s="86">
        <v>5100200</v>
      </c>
      <c r="H1422" s="87"/>
      <c r="I1422" s="85" t="s">
        <v>8053</v>
      </c>
      <c r="J1422" s="88" t="str">
        <f t="shared" si="22"/>
        <v>不重复</v>
      </c>
      <c r="K1422" s="88" t="str">
        <f t="shared" si="22"/>
        <v>不重复</v>
      </c>
    </row>
    <row r="1423" spans="1:11" ht="20.25" customHeight="1">
      <c r="A1423" s="84" t="s">
        <v>8054</v>
      </c>
      <c r="B1423" s="85" t="s">
        <v>8055</v>
      </c>
      <c r="C1423" s="85" t="s">
        <v>8056</v>
      </c>
      <c r="D1423" s="85" t="s">
        <v>8057</v>
      </c>
      <c r="E1423" s="84" t="s">
        <v>2468</v>
      </c>
      <c r="F1423" s="86">
        <v>602602</v>
      </c>
      <c r="G1423" s="86">
        <v>5100200</v>
      </c>
      <c r="H1423" s="87"/>
      <c r="I1423" s="85" t="s">
        <v>8058</v>
      </c>
      <c r="J1423" s="88" t="str">
        <f t="shared" si="22"/>
        <v>不重复</v>
      </c>
      <c r="K1423" s="88" t="str">
        <f t="shared" si="22"/>
        <v>不重复</v>
      </c>
    </row>
    <row r="1424" spans="1:11" ht="20.25" customHeight="1">
      <c r="A1424" s="89" t="s">
        <v>8059</v>
      </c>
      <c r="B1424" s="90" t="s">
        <v>8060</v>
      </c>
      <c r="C1424" s="90" t="s">
        <v>8061</v>
      </c>
      <c r="D1424" s="90" t="s">
        <v>8062</v>
      </c>
      <c r="E1424" s="89" t="s">
        <v>2468</v>
      </c>
      <c r="F1424" s="91">
        <v>602603</v>
      </c>
      <c r="G1424" s="91">
        <v>5100200</v>
      </c>
      <c r="H1424" s="87"/>
      <c r="I1424" s="90" t="s">
        <v>2775</v>
      </c>
      <c r="J1424" s="88" t="str">
        <f t="shared" si="22"/>
        <v>不重复</v>
      </c>
      <c r="K1424" s="88" t="str">
        <f t="shared" si="22"/>
        <v>不重复</v>
      </c>
    </row>
    <row r="1425" spans="1:11" ht="20.25" customHeight="1">
      <c r="A1425" s="84" t="s">
        <v>8063</v>
      </c>
      <c r="B1425" s="85" t="s">
        <v>8064</v>
      </c>
      <c r="C1425" s="85" t="s">
        <v>2749</v>
      </c>
      <c r="D1425" s="85" t="s">
        <v>8065</v>
      </c>
      <c r="E1425" s="84" t="s">
        <v>2468</v>
      </c>
      <c r="F1425" s="86">
        <v>602604</v>
      </c>
      <c r="G1425" s="86">
        <v>5100200</v>
      </c>
      <c r="H1425" s="87"/>
      <c r="I1425" s="85" t="s">
        <v>3136</v>
      </c>
      <c r="J1425" s="88" t="str">
        <f t="shared" si="22"/>
        <v>重复</v>
      </c>
      <c r="K1425" s="88" t="str">
        <f t="shared" si="22"/>
        <v>不重复</v>
      </c>
    </row>
    <row r="1426" spans="1:11" ht="20.25" customHeight="1">
      <c r="A1426" s="89" t="s">
        <v>8066</v>
      </c>
      <c r="B1426" s="90" t="s">
        <v>8067</v>
      </c>
      <c r="C1426" s="90" t="s">
        <v>2689</v>
      </c>
      <c r="D1426" s="90" t="s">
        <v>8068</v>
      </c>
      <c r="E1426" s="89" t="s">
        <v>2468</v>
      </c>
      <c r="F1426" s="91">
        <v>602605</v>
      </c>
      <c r="G1426" s="91">
        <v>5100200</v>
      </c>
      <c r="H1426" s="87"/>
      <c r="I1426" s="90" t="s">
        <v>8069</v>
      </c>
      <c r="J1426" s="88" t="str">
        <f t="shared" si="22"/>
        <v>重复</v>
      </c>
      <c r="K1426" s="88" t="str">
        <f t="shared" si="22"/>
        <v>不重复</v>
      </c>
    </row>
    <row r="1427" spans="1:11" ht="20.25" customHeight="1">
      <c r="A1427" s="89" t="s">
        <v>8070</v>
      </c>
      <c r="B1427" s="90" t="s">
        <v>8071</v>
      </c>
      <c r="C1427" s="90" t="s">
        <v>1739</v>
      </c>
      <c r="D1427" s="90" t="s">
        <v>8072</v>
      </c>
      <c r="E1427" s="89" t="s">
        <v>2468</v>
      </c>
      <c r="F1427" s="91">
        <v>602606</v>
      </c>
      <c r="G1427" s="91">
        <v>5100200</v>
      </c>
      <c r="H1427" s="87"/>
      <c r="I1427" s="90" t="s">
        <v>8073</v>
      </c>
      <c r="J1427" s="88" t="str">
        <f t="shared" si="22"/>
        <v>重复</v>
      </c>
      <c r="K1427" s="88" t="str">
        <f t="shared" si="22"/>
        <v>不重复</v>
      </c>
    </row>
    <row r="1428" spans="1:11" ht="20.25" customHeight="1">
      <c r="A1428" s="89" t="s">
        <v>8074</v>
      </c>
      <c r="B1428" s="90" t="s">
        <v>8075</v>
      </c>
      <c r="C1428" s="90" t="s">
        <v>426</v>
      </c>
      <c r="D1428" s="90" t="s">
        <v>8076</v>
      </c>
      <c r="E1428" s="89" t="s">
        <v>2468</v>
      </c>
      <c r="F1428" s="91">
        <v>602608</v>
      </c>
      <c r="G1428" s="91">
        <v>5100200</v>
      </c>
      <c r="H1428" s="87"/>
      <c r="I1428" s="90" t="s">
        <v>8077</v>
      </c>
      <c r="J1428" s="88" t="str">
        <f t="shared" si="22"/>
        <v>重复</v>
      </c>
      <c r="K1428" s="88" t="str">
        <f t="shared" si="22"/>
        <v>不重复</v>
      </c>
    </row>
    <row r="1429" spans="1:11" ht="20.25" customHeight="1">
      <c r="A1429" s="89" t="s">
        <v>8078</v>
      </c>
      <c r="B1429" s="90" t="s">
        <v>8079</v>
      </c>
      <c r="C1429" s="90" t="s">
        <v>3299</v>
      </c>
      <c r="D1429" s="90" t="s">
        <v>8080</v>
      </c>
      <c r="E1429" s="89" t="s">
        <v>2468</v>
      </c>
      <c r="F1429" s="91">
        <v>602609</v>
      </c>
      <c r="G1429" s="91">
        <v>5100200</v>
      </c>
      <c r="H1429" s="87"/>
      <c r="I1429" s="90" t="s">
        <v>25</v>
      </c>
      <c r="J1429" s="88" t="str">
        <f t="shared" si="22"/>
        <v>重复</v>
      </c>
      <c r="K1429" s="88" t="str">
        <f t="shared" si="22"/>
        <v>不重复</v>
      </c>
    </row>
    <row r="1430" spans="1:11" ht="20.25" customHeight="1">
      <c r="A1430" s="89" t="s">
        <v>5228</v>
      </c>
      <c r="B1430" s="90" t="s">
        <v>8081</v>
      </c>
      <c r="C1430" s="90" t="s">
        <v>5229</v>
      </c>
      <c r="D1430" s="90" t="s">
        <v>8082</v>
      </c>
      <c r="E1430" s="89" t="s">
        <v>2468</v>
      </c>
      <c r="F1430" s="91">
        <v>602610</v>
      </c>
      <c r="G1430" s="91">
        <v>5100200</v>
      </c>
      <c r="H1430" s="87"/>
      <c r="I1430" s="90" t="s">
        <v>25</v>
      </c>
      <c r="J1430" s="88" t="str">
        <f t="shared" si="22"/>
        <v>重复</v>
      </c>
      <c r="K1430" s="88" t="str">
        <f t="shared" si="22"/>
        <v>不重复</v>
      </c>
    </row>
    <row r="1431" spans="1:11" ht="20.25" customHeight="1">
      <c r="A1431" s="89" t="s">
        <v>8083</v>
      </c>
      <c r="B1431" s="90" t="s">
        <v>8084</v>
      </c>
      <c r="C1431" s="90" t="s">
        <v>8085</v>
      </c>
      <c r="D1431" s="90" t="s">
        <v>8086</v>
      </c>
      <c r="E1431" s="89" t="s">
        <v>2468</v>
      </c>
      <c r="F1431" s="91">
        <v>602611</v>
      </c>
      <c r="G1431" s="91">
        <v>5100200</v>
      </c>
      <c r="H1431" s="87"/>
      <c r="I1431" s="90" t="s">
        <v>25</v>
      </c>
      <c r="J1431" s="88" t="str">
        <f t="shared" si="22"/>
        <v>不重复</v>
      </c>
      <c r="K1431" s="88" t="str">
        <f t="shared" si="22"/>
        <v>不重复</v>
      </c>
    </row>
    <row r="1432" spans="1:11" ht="20.25" customHeight="1">
      <c r="A1432" s="84" t="s">
        <v>8087</v>
      </c>
      <c r="B1432" s="85" t="s">
        <v>8088</v>
      </c>
      <c r="C1432" s="85" t="s">
        <v>350</v>
      </c>
      <c r="D1432" s="85" t="s">
        <v>8089</v>
      </c>
      <c r="E1432" s="84" t="s">
        <v>2468</v>
      </c>
      <c r="F1432" s="86">
        <v>602612</v>
      </c>
      <c r="G1432" s="86">
        <v>5100200</v>
      </c>
      <c r="H1432" s="87"/>
      <c r="I1432" s="85" t="s">
        <v>25</v>
      </c>
      <c r="J1432" s="88" t="str">
        <f t="shared" si="22"/>
        <v>重复</v>
      </c>
      <c r="K1432" s="88" t="str">
        <f t="shared" si="22"/>
        <v>不重复</v>
      </c>
    </row>
    <row r="1433" spans="1:11" ht="20.25" customHeight="1">
      <c r="A1433" s="84" t="s">
        <v>8090</v>
      </c>
      <c r="B1433" s="85" t="s">
        <v>8091</v>
      </c>
      <c r="C1433" s="85" t="s">
        <v>3403</v>
      </c>
      <c r="D1433" s="85" t="s">
        <v>8092</v>
      </c>
      <c r="E1433" s="84" t="s">
        <v>2468</v>
      </c>
      <c r="F1433" s="86">
        <v>602613</v>
      </c>
      <c r="G1433" s="86">
        <v>5100200</v>
      </c>
      <c r="H1433" s="87"/>
      <c r="I1433" s="85" t="s">
        <v>25</v>
      </c>
      <c r="J1433" s="88" t="str">
        <f t="shared" si="22"/>
        <v>重复</v>
      </c>
      <c r="K1433" s="88" t="str">
        <f t="shared" si="22"/>
        <v>不重复</v>
      </c>
    </row>
    <row r="1434" spans="1:11" ht="20.25" customHeight="1">
      <c r="A1434" s="89" t="s">
        <v>8093</v>
      </c>
      <c r="B1434" s="90" t="s">
        <v>8094</v>
      </c>
      <c r="C1434" s="90" t="s">
        <v>3181</v>
      </c>
      <c r="D1434" s="90" t="s">
        <v>8095</v>
      </c>
      <c r="E1434" s="89" t="s">
        <v>2468</v>
      </c>
      <c r="F1434" s="91">
        <v>602614</v>
      </c>
      <c r="G1434" s="91">
        <v>5100200</v>
      </c>
      <c r="H1434" s="87"/>
      <c r="I1434" s="90" t="s">
        <v>25</v>
      </c>
      <c r="J1434" s="88" t="str">
        <f t="shared" si="22"/>
        <v>重复</v>
      </c>
      <c r="K1434" s="88" t="str">
        <f t="shared" si="22"/>
        <v>不重复</v>
      </c>
    </row>
    <row r="1435" spans="1:11" ht="20.25" customHeight="1">
      <c r="A1435" s="84" t="s">
        <v>2521</v>
      </c>
      <c r="B1435" s="85" t="s">
        <v>8096</v>
      </c>
      <c r="C1435" s="85" t="s">
        <v>2522</v>
      </c>
      <c r="D1435" s="85" t="s">
        <v>8097</v>
      </c>
      <c r="E1435" s="84" t="s">
        <v>2468</v>
      </c>
      <c r="F1435" s="86">
        <v>602615</v>
      </c>
      <c r="G1435" s="86">
        <v>5100200</v>
      </c>
      <c r="H1435" s="87"/>
      <c r="I1435" s="85" t="s">
        <v>25</v>
      </c>
      <c r="J1435" s="88" t="str">
        <f t="shared" si="22"/>
        <v>重复</v>
      </c>
      <c r="K1435" s="88" t="str">
        <f t="shared" si="22"/>
        <v>不重复</v>
      </c>
    </row>
    <row r="1436" spans="1:11" ht="20.25" customHeight="1">
      <c r="A1436" s="84" t="s">
        <v>8098</v>
      </c>
      <c r="B1436" s="85" t="s">
        <v>8099</v>
      </c>
      <c r="C1436" s="85" t="s">
        <v>4805</v>
      </c>
      <c r="D1436" s="85" t="s">
        <v>8100</v>
      </c>
      <c r="E1436" s="84" t="s">
        <v>2468</v>
      </c>
      <c r="F1436" s="86">
        <v>602616</v>
      </c>
      <c r="G1436" s="86">
        <v>5100200</v>
      </c>
      <c r="H1436" s="87"/>
      <c r="I1436" s="85" t="s">
        <v>25</v>
      </c>
      <c r="J1436" s="88" t="str">
        <f t="shared" si="22"/>
        <v>重复</v>
      </c>
      <c r="K1436" s="88" t="str">
        <f t="shared" si="22"/>
        <v>不重复</v>
      </c>
    </row>
    <row r="1437" spans="1:11" ht="20.25" customHeight="1">
      <c r="A1437" s="84" t="s">
        <v>8101</v>
      </c>
      <c r="B1437" s="85" t="s">
        <v>8102</v>
      </c>
      <c r="C1437" s="85" t="s">
        <v>2984</v>
      </c>
      <c r="D1437" s="85" t="s">
        <v>8103</v>
      </c>
      <c r="E1437" s="84" t="s">
        <v>2468</v>
      </c>
      <c r="F1437" s="86">
        <v>602617</v>
      </c>
      <c r="G1437" s="86">
        <v>5100200</v>
      </c>
      <c r="H1437" s="87"/>
      <c r="I1437" s="85" t="s">
        <v>25</v>
      </c>
      <c r="J1437" s="88" t="str">
        <f t="shared" si="22"/>
        <v>重复</v>
      </c>
      <c r="K1437" s="88" t="str">
        <f t="shared" si="22"/>
        <v>不重复</v>
      </c>
    </row>
    <row r="1438" spans="1:11" ht="20.25" customHeight="1">
      <c r="A1438" s="89" t="s">
        <v>8104</v>
      </c>
      <c r="B1438" s="90" t="s">
        <v>8105</v>
      </c>
      <c r="C1438" s="90" t="s">
        <v>2683</v>
      </c>
      <c r="D1438" s="90" t="s">
        <v>8106</v>
      </c>
      <c r="E1438" s="89" t="s">
        <v>2468</v>
      </c>
      <c r="F1438" s="91">
        <v>602618</v>
      </c>
      <c r="G1438" s="91">
        <v>5100200</v>
      </c>
      <c r="H1438" s="87"/>
      <c r="I1438" s="90" t="s">
        <v>25</v>
      </c>
      <c r="J1438" s="88" t="str">
        <f t="shared" si="22"/>
        <v>重复</v>
      </c>
      <c r="K1438" s="88" t="str">
        <f t="shared" si="22"/>
        <v>不重复</v>
      </c>
    </row>
    <row r="1439" spans="1:11" ht="20.25" customHeight="1">
      <c r="A1439" s="84" t="s">
        <v>8107</v>
      </c>
      <c r="B1439" s="85" t="s">
        <v>8108</v>
      </c>
      <c r="C1439" s="85" t="s">
        <v>5638</v>
      </c>
      <c r="D1439" s="85" t="s">
        <v>8109</v>
      </c>
      <c r="E1439" s="84" t="s">
        <v>2468</v>
      </c>
      <c r="F1439" s="86">
        <v>602619</v>
      </c>
      <c r="G1439" s="86">
        <v>5100200</v>
      </c>
      <c r="H1439" s="87"/>
      <c r="I1439" s="85" t="s">
        <v>25</v>
      </c>
      <c r="J1439" s="88" t="str">
        <f t="shared" si="22"/>
        <v>重复</v>
      </c>
      <c r="K1439" s="88" t="str">
        <f t="shared" si="22"/>
        <v>不重复</v>
      </c>
    </row>
    <row r="1440" spans="1:11" ht="20.25" customHeight="1">
      <c r="A1440" s="89" t="s">
        <v>1929</v>
      </c>
      <c r="B1440" s="90" t="s">
        <v>1930</v>
      </c>
      <c r="C1440" s="90" t="s">
        <v>1931</v>
      </c>
      <c r="D1440" s="90" t="s">
        <v>1932</v>
      </c>
      <c r="E1440" s="89" t="s">
        <v>1918</v>
      </c>
      <c r="F1440" s="91">
        <v>603000</v>
      </c>
      <c r="G1440" s="91">
        <v>5100300</v>
      </c>
      <c r="H1440" s="87"/>
      <c r="I1440" s="90" t="s">
        <v>25</v>
      </c>
      <c r="J1440" s="88" t="str">
        <f t="shared" si="22"/>
        <v>不重复</v>
      </c>
      <c r="K1440" s="88" t="str">
        <f t="shared" si="22"/>
        <v>不重复</v>
      </c>
    </row>
    <row r="1441" spans="1:11" ht="20.25" customHeight="1">
      <c r="A1441" s="89" t="s">
        <v>1915</v>
      </c>
      <c r="B1441" s="90" t="s">
        <v>8110</v>
      </c>
      <c r="C1441" s="90" t="s">
        <v>1916</v>
      </c>
      <c r="D1441" s="90" t="s">
        <v>1917</v>
      </c>
      <c r="E1441" s="89" t="s">
        <v>1918</v>
      </c>
      <c r="F1441" s="91">
        <v>603001</v>
      </c>
      <c r="G1441" s="91">
        <v>5100300</v>
      </c>
      <c r="H1441" s="87"/>
      <c r="I1441" s="90" t="s">
        <v>1340</v>
      </c>
      <c r="J1441" s="88" t="str">
        <f t="shared" si="22"/>
        <v>不重复</v>
      </c>
      <c r="K1441" s="88" t="str">
        <f t="shared" si="22"/>
        <v>不重复</v>
      </c>
    </row>
    <row r="1442" spans="1:11" ht="20.25" customHeight="1">
      <c r="A1442" s="89" t="s">
        <v>1919</v>
      </c>
      <c r="B1442" s="90" t="s">
        <v>8111</v>
      </c>
      <c r="C1442" s="90" t="s">
        <v>1920</v>
      </c>
      <c r="D1442" s="90" t="s">
        <v>1921</v>
      </c>
      <c r="E1442" s="89" t="s">
        <v>1918</v>
      </c>
      <c r="F1442" s="91">
        <v>603002</v>
      </c>
      <c r="G1442" s="91">
        <v>5100300</v>
      </c>
      <c r="H1442" s="87"/>
      <c r="I1442" s="90" t="s">
        <v>8112</v>
      </c>
      <c r="J1442" s="88" t="str">
        <f t="shared" si="22"/>
        <v>重复</v>
      </c>
      <c r="K1442" s="88" t="str">
        <f t="shared" si="22"/>
        <v>不重复</v>
      </c>
    </row>
    <row r="1443" spans="1:11" ht="20.25" customHeight="1">
      <c r="A1443" s="89" t="s">
        <v>1923</v>
      </c>
      <c r="B1443" s="90" t="s">
        <v>8113</v>
      </c>
      <c r="C1443" s="90" t="s">
        <v>1924</v>
      </c>
      <c r="D1443" s="90" t="s">
        <v>1925</v>
      </c>
      <c r="E1443" s="89" t="s">
        <v>1918</v>
      </c>
      <c r="F1443" s="91">
        <v>603003</v>
      </c>
      <c r="G1443" s="91">
        <v>5100300</v>
      </c>
      <c r="H1443" s="87"/>
      <c r="I1443" s="90" t="s">
        <v>1922</v>
      </c>
      <c r="J1443" s="88" t="str">
        <f t="shared" si="22"/>
        <v>不重复</v>
      </c>
      <c r="K1443" s="88" t="str">
        <f t="shared" si="22"/>
        <v>不重复</v>
      </c>
    </row>
    <row r="1444" spans="1:11" ht="20.25" customHeight="1">
      <c r="A1444" s="89" t="s">
        <v>1926</v>
      </c>
      <c r="B1444" s="90" t="s">
        <v>8114</v>
      </c>
      <c r="C1444" s="90" t="s">
        <v>1927</v>
      </c>
      <c r="D1444" s="90" t="s">
        <v>1928</v>
      </c>
      <c r="E1444" s="89" t="s">
        <v>1918</v>
      </c>
      <c r="F1444" s="91">
        <v>603004</v>
      </c>
      <c r="G1444" s="91">
        <v>5100300</v>
      </c>
      <c r="H1444" s="87"/>
      <c r="I1444" s="90" t="s">
        <v>8115</v>
      </c>
      <c r="J1444" s="88" t="str">
        <f t="shared" si="22"/>
        <v>不重复</v>
      </c>
      <c r="K1444" s="88" t="str">
        <f t="shared" si="22"/>
        <v>不重复</v>
      </c>
    </row>
    <row r="1445" spans="1:11" ht="20.25" customHeight="1">
      <c r="A1445" s="89" t="s">
        <v>1933</v>
      </c>
      <c r="B1445" s="90" t="s">
        <v>8116</v>
      </c>
      <c r="C1445" s="90" t="s">
        <v>673</v>
      </c>
      <c r="D1445" s="90" t="s">
        <v>1934</v>
      </c>
      <c r="E1445" s="89" t="s">
        <v>1918</v>
      </c>
      <c r="F1445" s="91">
        <v>603006</v>
      </c>
      <c r="G1445" s="91">
        <v>5100300</v>
      </c>
      <c r="H1445" s="87"/>
      <c r="I1445" s="90" t="s">
        <v>8112</v>
      </c>
      <c r="J1445" s="88" t="str">
        <f t="shared" si="22"/>
        <v>重复</v>
      </c>
      <c r="K1445" s="88" t="str">
        <f t="shared" si="22"/>
        <v>不重复</v>
      </c>
    </row>
    <row r="1446" spans="1:11" ht="20.25" customHeight="1">
      <c r="A1446" s="84" t="s">
        <v>1935</v>
      </c>
      <c r="B1446" s="85" t="s">
        <v>8117</v>
      </c>
      <c r="C1446" s="85" t="s">
        <v>1936</v>
      </c>
      <c r="D1446" s="85" t="s">
        <v>1937</v>
      </c>
      <c r="E1446" s="84" t="s">
        <v>1918</v>
      </c>
      <c r="F1446" s="86">
        <v>603007</v>
      </c>
      <c r="G1446" s="86">
        <v>5100300</v>
      </c>
      <c r="H1446" s="87"/>
      <c r="I1446" s="85" t="s">
        <v>1327</v>
      </c>
      <c r="J1446" s="88" t="str">
        <f t="shared" si="22"/>
        <v>不重复</v>
      </c>
      <c r="K1446" s="88" t="str">
        <f t="shared" si="22"/>
        <v>不重复</v>
      </c>
    </row>
    <row r="1447" spans="1:11" ht="20.25" customHeight="1">
      <c r="A1447" s="84" t="s">
        <v>8118</v>
      </c>
      <c r="B1447" s="85" t="s">
        <v>8119</v>
      </c>
      <c r="C1447" s="85" t="s">
        <v>1907</v>
      </c>
      <c r="D1447" s="85" t="s">
        <v>8120</v>
      </c>
      <c r="E1447" s="84" t="s">
        <v>1918</v>
      </c>
      <c r="F1447" s="86">
        <v>603008</v>
      </c>
      <c r="G1447" s="86">
        <v>5100300</v>
      </c>
      <c r="H1447" s="87"/>
      <c r="I1447" s="85" t="s">
        <v>25</v>
      </c>
      <c r="J1447" s="88" t="str">
        <f t="shared" si="22"/>
        <v>重复</v>
      </c>
      <c r="K1447" s="88" t="str">
        <f t="shared" si="22"/>
        <v>不重复</v>
      </c>
    </row>
    <row r="1448" spans="1:11" ht="20.25" customHeight="1">
      <c r="A1448" s="84" t="s">
        <v>1938</v>
      </c>
      <c r="B1448" s="85" t="s">
        <v>8121</v>
      </c>
      <c r="C1448" s="85" t="s">
        <v>1939</v>
      </c>
      <c r="D1448" s="85" t="s">
        <v>1940</v>
      </c>
      <c r="E1448" s="84" t="s">
        <v>1918</v>
      </c>
      <c r="F1448" s="86">
        <v>603009</v>
      </c>
      <c r="G1448" s="86">
        <v>5100300</v>
      </c>
      <c r="H1448" s="87"/>
      <c r="I1448" s="85" t="s">
        <v>8112</v>
      </c>
      <c r="J1448" s="88" t="str">
        <f t="shared" si="22"/>
        <v>重复</v>
      </c>
      <c r="K1448" s="88" t="str">
        <f t="shared" si="22"/>
        <v>不重复</v>
      </c>
    </row>
    <row r="1449" spans="1:11" ht="20.25" customHeight="1">
      <c r="A1449" s="84" t="s">
        <v>1941</v>
      </c>
      <c r="B1449" s="85" t="s">
        <v>8122</v>
      </c>
      <c r="C1449" s="85" t="s">
        <v>1942</v>
      </c>
      <c r="D1449" s="85" t="s">
        <v>1943</v>
      </c>
      <c r="E1449" s="84" t="s">
        <v>1918</v>
      </c>
      <c r="F1449" s="86">
        <v>603010</v>
      </c>
      <c r="G1449" s="86">
        <v>5100300</v>
      </c>
      <c r="H1449" s="87"/>
      <c r="I1449" s="85" t="s">
        <v>1922</v>
      </c>
      <c r="J1449" s="88" t="str">
        <f t="shared" si="22"/>
        <v>不重复</v>
      </c>
      <c r="K1449" s="88" t="str">
        <f t="shared" si="22"/>
        <v>不重复</v>
      </c>
    </row>
    <row r="1450" spans="1:11" ht="20.25" customHeight="1">
      <c r="A1450" s="84" t="s">
        <v>1944</v>
      </c>
      <c r="B1450" s="85" t="s">
        <v>8123</v>
      </c>
      <c r="C1450" s="85" t="s">
        <v>1945</v>
      </c>
      <c r="D1450" s="85" t="s">
        <v>1946</v>
      </c>
      <c r="E1450" s="84" t="s">
        <v>1918</v>
      </c>
      <c r="F1450" s="86">
        <v>603011</v>
      </c>
      <c r="G1450" s="86">
        <v>5100300</v>
      </c>
      <c r="H1450" s="87"/>
      <c r="I1450" s="85" t="s">
        <v>1922</v>
      </c>
      <c r="J1450" s="88" t="str">
        <f t="shared" si="22"/>
        <v>重复</v>
      </c>
      <c r="K1450" s="88" t="str">
        <f t="shared" si="22"/>
        <v>不重复</v>
      </c>
    </row>
    <row r="1451" spans="1:11" ht="20.25" customHeight="1">
      <c r="A1451" s="84" t="s">
        <v>8124</v>
      </c>
      <c r="B1451" s="85" t="s">
        <v>8125</v>
      </c>
      <c r="C1451" s="85" t="s">
        <v>191</v>
      </c>
      <c r="D1451" s="85" t="s">
        <v>1951</v>
      </c>
      <c r="E1451" s="84" t="s">
        <v>1918</v>
      </c>
      <c r="F1451" s="86">
        <v>603012</v>
      </c>
      <c r="G1451" s="86">
        <v>5100300</v>
      </c>
      <c r="H1451" s="87"/>
      <c r="I1451" s="85" t="s">
        <v>25</v>
      </c>
      <c r="J1451" s="88" t="str">
        <f t="shared" si="22"/>
        <v>重复</v>
      </c>
      <c r="K1451" s="88" t="str">
        <f t="shared" si="22"/>
        <v>不重复</v>
      </c>
    </row>
    <row r="1452" spans="1:11" ht="20.25" customHeight="1">
      <c r="A1452" s="84" t="s">
        <v>1947</v>
      </c>
      <c r="B1452" s="85" t="s">
        <v>8126</v>
      </c>
      <c r="C1452" s="85" t="s">
        <v>968</v>
      </c>
      <c r="D1452" s="85" t="s">
        <v>1948</v>
      </c>
      <c r="E1452" s="84" t="s">
        <v>1918</v>
      </c>
      <c r="F1452" s="86">
        <v>603013</v>
      </c>
      <c r="G1452" s="86">
        <v>5100300</v>
      </c>
      <c r="H1452" s="87"/>
      <c r="I1452" s="85" t="s">
        <v>8127</v>
      </c>
      <c r="J1452" s="88" t="str">
        <f t="shared" si="22"/>
        <v>不重复</v>
      </c>
      <c r="K1452" s="88" t="str">
        <f t="shared" si="22"/>
        <v>不重复</v>
      </c>
    </row>
    <row r="1453" spans="1:11" ht="20.25" customHeight="1">
      <c r="A1453" s="84" t="s">
        <v>1949</v>
      </c>
      <c r="B1453" s="85" t="s">
        <v>8128</v>
      </c>
      <c r="C1453" s="85" t="s">
        <v>1950</v>
      </c>
      <c r="D1453" s="85" t="s">
        <v>8129</v>
      </c>
      <c r="E1453" s="84" t="s">
        <v>1918</v>
      </c>
      <c r="F1453" s="86">
        <v>603014</v>
      </c>
      <c r="G1453" s="86">
        <v>5100300</v>
      </c>
      <c r="H1453" s="87"/>
      <c r="I1453" s="85" t="s">
        <v>1922</v>
      </c>
      <c r="J1453" s="88" t="str">
        <f t="shared" si="22"/>
        <v>不重复</v>
      </c>
      <c r="K1453" s="88" t="str">
        <f t="shared" si="22"/>
        <v>不重复</v>
      </c>
    </row>
    <row r="1454" spans="1:11" ht="20.25" customHeight="1">
      <c r="A1454" s="84" t="s">
        <v>8130</v>
      </c>
      <c r="B1454" s="85" t="s">
        <v>8131</v>
      </c>
      <c r="C1454" s="85" t="s">
        <v>8132</v>
      </c>
      <c r="D1454" s="85" t="s">
        <v>8133</v>
      </c>
      <c r="E1454" s="84" t="s">
        <v>1918</v>
      </c>
      <c r="F1454" s="86">
        <v>603015</v>
      </c>
      <c r="G1454" s="86">
        <v>5100300</v>
      </c>
      <c r="H1454" s="87"/>
      <c r="I1454" s="85" t="s">
        <v>25</v>
      </c>
      <c r="J1454" s="88" t="str">
        <f t="shared" si="22"/>
        <v>不重复</v>
      </c>
      <c r="K1454" s="88" t="str">
        <f t="shared" si="22"/>
        <v>不重复</v>
      </c>
    </row>
    <row r="1455" spans="1:11" ht="20.25" customHeight="1">
      <c r="A1455" s="84" t="s">
        <v>1952</v>
      </c>
      <c r="B1455" s="85" t="s">
        <v>8134</v>
      </c>
      <c r="C1455" s="85" t="s">
        <v>1953</v>
      </c>
      <c r="D1455" s="85" t="s">
        <v>1954</v>
      </c>
      <c r="E1455" s="84" t="s">
        <v>1918</v>
      </c>
      <c r="F1455" s="86">
        <v>603016</v>
      </c>
      <c r="G1455" s="86">
        <v>5100300</v>
      </c>
      <c r="H1455" s="87"/>
      <c r="I1455" s="85" t="s">
        <v>1955</v>
      </c>
      <c r="J1455" s="88" t="str">
        <f t="shared" si="22"/>
        <v>重复</v>
      </c>
      <c r="K1455" s="88" t="str">
        <f t="shared" si="22"/>
        <v>不重复</v>
      </c>
    </row>
    <row r="1456" spans="1:11" ht="20.25" customHeight="1">
      <c r="A1456" s="84" t="s">
        <v>1956</v>
      </c>
      <c r="B1456" s="85" t="s">
        <v>8135</v>
      </c>
      <c r="C1456" s="85" t="s">
        <v>1957</v>
      </c>
      <c r="D1456" s="85" t="s">
        <v>1958</v>
      </c>
      <c r="E1456" s="84" t="s">
        <v>1918</v>
      </c>
      <c r="F1456" s="86">
        <v>603017</v>
      </c>
      <c r="G1456" s="86">
        <v>5100300</v>
      </c>
      <c r="H1456" s="87"/>
      <c r="I1456" s="85" t="s">
        <v>8136</v>
      </c>
      <c r="J1456" s="88" t="str">
        <f t="shared" si="22"/>
        <v>重复</v>
      </c>
      <c r="K1456" s="88" t="str">
        <f t="shared" si="22"/>
        <v>不重复</v>
      </c>
    </row>
    <row r="1457" spans="1:11" ht="20.25" customHeight="1">
      <c r="A1457" s="84" t="s">
        <v>1959</v>
      </c>
      <c r="B1457" s="85" t="s">
        <v>8137</v>
      </c>
      <c r="C1457" s="85" t="s">
        <v>1960</v>
      </c>
      <c r="D1457" s="85" t="s">
        <v>1961</v>
      </c>
      <c r="E1457" s="84" t="s">
        <v>1918</v>
      </c>
      <c r="F1457" s="86">
        <v>603018</v>
      </c>
      <c r="G1457" s="86">
        <v>5100300</v>
      </c>
      <c r="H1457" s="87"/>
      <c r="I1457" s="85" t="s">
        <v>8138</v>
      </c>
      <c r="J1457" s="88" t="str">
        <f t="shared" si="22"/>
        <v>重复</v>
      </c>
      <c r="K1457" s="88" t="str">
        <f t="shared" si="22"/>
        <v>不重复</v>
      </c>
    </row>
    <row r="1458" spans="1:11" ht="20.25" customHeight="1">
      <c r="A1458" s="89" t="s">
        <v>1962</v>
      </c>
      <c r="B1458" s="90" t="s">
        <v>8139</v>
      </c>
      <c r="C1458" s="90" t="s">
        <v>1795</v>
      </c>
      <c r="D1458" s="90" t="s">
        <v>1963</v>
      </c>
      <c r="E1458" s="89" t="s">
        <v>1918</v>
      </c>
      <c r="F1458" s="91">
        <v>603019</v>
      </c>
      <c r="G1458" s="91">
        <v>5100300</v>
      </c>
      <c r="H1458" s="87"/>
      <c r="I1458" s="90" t="s">
        <v>1922</v>
      </c>
      <c r="J1458" s="88" t="str">
        <f t="shared" si="22"/>
        <v>重复</v>
      </c>
      <c r="K1458" s="88" t="str">
        <f t="shared" si="22"/>
        <v>不重复</v>
      </c>
    </row>
    <row r="1459" spans="1:11" ht="20.25" customHeight="1">
      <c r="A1459" s="89" t="s">
        <v>1994</v>
      </c>
      <c r="B1459" s="90" t="s">
        <v>1995</v>
      </c>
      <c r="C1459" s="90" t="s">
        <v>1208</v>
      </c>
      <c r="D1459" s="90" t="s">
        <v>1996</v>
      </c>
      <c r="E1459" s="89" t="s">
        <v>1918</v>
      </c>
      <c r="F1459" s="91">
        <v>603020</v>
      </c>
      <c r="G1459" s="91">
        <v>5100300</v>
      </c>
      <c r="H1459" s="87"/>
      <c r="I1459" s="90" t="s">
        <v>25</v>
      </c>
      <c r="J1459" s="88" t="str">
        <f t="shared" si="22"/>
        <v>重复</v>
      </c>
      <c r="K1459" s="88" t="str">
        <f t="shared" si="22"/>
        <v>不重复</v>
      </c>
    </row>
    <row r="1460" spans="1:11" ht="20.25" customHeight="1">
      <c r="A1460" s="89" t="s">
        <v>1964</v>
      </c>
      <c r="B1460" s="90" t="s">
        <v>8140</v>
      </c>
      <c r="C1460" s="90" t="s">
        <v>1965</v>
      </c>
      <c r="D1460" s="90" t="s">
        <v>1966</v>
      </c>
      <c r="E1460" s="89" t="s">
        <v>1918</v>
      </c>
      <c r="F1460" s="91">
        <v>603021</v>
      </c>
      <c r="G1460" s="91">
        <v>5100300</v>
      </c>
      <c r="H1460" s="87"/>
      <c r="I1460" s="90" t="s">
        <v>8136</v>
      </c>
      <c r="J1460" s="88" t="str">
        <f t="shared" si="22"/>
        <v>不重复</v>
      </c>
      <c r="K1460" s="88" t="str">
        <f t="shared" si="22"/>
        <v>不重复</v>
      </c>
    </row>
    <row r="1461" spans="1:11" ht="20.25" customHeight="1">
      <c r="A1461" s="89" t="s">
        <v>1967</v>
      </c>
      <c r="B1461" s="90" t="s">
        <v>8141</v>
      </c>
      <c r="C1461" s="90" t="s">
        <v>1793</v>
      </c>
      <c r="D1461" s="90" t="s">
        <v>1968</v>
      </c>
      <c r="E1461" s="89" t="s">
        <v>1918</v>
      </c>
      <c r="F1461" s="91">
        <v>603022</v>
      </c>
      <c r="G1461" s="91">
        <v>5100300</v>
      </c>
      <c r="H1461" s="87"/>
      <c r="I1461" s="90" t="s">
        <v>8136</v>
      </c>
      <c r="J1461" s="88" t="str">
        <f t="shared" si="22"/>
        <v>不重复</v>
      </c>
      <c r="K1461" s="88" t="str">
        <f t="shared" si="22"/>
        <v>不重复</v>
      </c>
    </row>
    <row r="1462" spans="1:11" ht="20.25" customHeight="1">
      <c r="A1462" s="89" t="s">
        <v>1969</v>
      </c>
      <c r="B1462" s="90" t="s">
        <v>8142</v>
      </c>
      <c r="C1462" s="90" t="s">
        <v>1970</v>
      </c>
      <c r="D1462" s="90" t="s">
        <v>1971</v>
      </c>
      <c r="E1462" s="89" t="s">
        <v>1918</v>
      </c>
      <c r="F1462" s="91">
        <v>603023</v>
      </c>
      <c r="G1462" s="91">
        <v>5100300</v>
      </c>
      <c r="H1462" s="87"/>
      <c r="I1462" s="90" t="s">
        <v>8136</v>
      </c>
      <c r="J1462" s="88" t="str">
        <f t="shared" si="22"/>
        <v>重复</v>
      </c>
      <c r="K1462" s="88" t="str">
        <f t="shared" si="22"/>
        <v>不重复</v>
      </c>
    </row>
    <row r="1463" spans="1:11" ht="20.25" customHeight="1">
      <c r="A1463" s="89" t="s">
        <v>1972</v>
      </c>
      <c r="B1463" s="90" t="s">
        <v>8143</v>
      </c>
      <c r="C1463" s="90" t="s">
        <v>1973</v>
      </c>
      <c r="D1463" s="90" t="s">
        <v>1974</v>
      </c>
      <c r="E1463" s="89" t="s">
        <v>1918</v>
      </c>
      <c r="F1463" s="91">
        <v>603024</v>
      </c>
      <c r="G1463" s="91">
        <v>5100300</v>
      </c>
      <c r="H1463" s="87"/>
      <c r="I1463" s="90" t="s">
        <v>1340</v>
      </c>
      <c r="J1463" s="88" t="str">
        <f t="shared" si="22"/>
        <v>不重复</v>
      </c>
      <c r="K1463" s="88" t="str">
        <f t="shared" si="22"/>
        <v>不重复</v>
      </c>
    </row>
    <row r="1464" spans="1:11" ht="20.25" customHeight="1">
      <c r="A1464" s="89" t="s">
        <v>1975</v>
      </c>
      <c r="B1464" s="90" t="s">
        <v>8144</v>
      </c>
      <c r="C1464" s="90" t="s">
        <v>1795</v>
      </c>
      <c r="D1464" s="90" t="s">
        <v>1976</v>
      </c>
      <c r="E1464" s="89" t="s">
        <v>1918</v>
      </c>
      <c r="F1464" s="91">
        <v>603025</v>
      </c>
      <c r="G1464" s="91">
        <v>5100300</v>
      </c>
      <c r="H1464" s="87"/>
      <c r="I1464" s="90" t="s">
        <v>1327</v>
      </c>
      <c r="J1464" s="88" t="str">
        <f t="shared" si="22"/>
        <v>重复</v>
      </c>
      <c r="K1464" s="88" t="str">
        <f t="shared" si="22"/>
        <v>不重复</v>
      </c>
    </row>
    <row r="1465" spans="1:11" ht="20.25" customHeight="1">
      <c r="A1465" s="89" t="s">
        <v>8145</v>
      </c>
      <c r="B1465" s="90" t="s">
        <v>8146</v>
      </c>
      <c r="C1465" s="90" t="s">
        <v>1535</v>
      </c>
      <c r="D1465" s="90" t="s">
        <v>8147</v>
      </c>
      <c r="E1465" s="89" t="s">
        <v>1918</v>
      </c>
      <c r="F1465" s="91">
        <v>603026</v>
      </c>
      <c r="G1465" s="91">
        <v>5100300</v>
      </c>
      <c r="H1465" s="87"/>
      <c r="I1465" s="90" t="s">
        <v>8112</v>
      </c>
      <c r="J1465" s="88" t="str">
        <f t="shared" si="22"/>
        <v>重复</v>
      </c>
      <c r="K1465" s="88" t="str">
        <f t="shared" si="22"/>
        <v>不重复</v>
      </c>
    </row>
    <row r="1466" spans="1:11" ht="20.25" customHeight="1">
      <c r="A1466" s="89" t="s">
        <v>1977</v>
      </c>
      <c r="B1466" s="90" t="s">
        <v>8148</v>
      </c>
      <c r="C1466" s="90" t="s">
        <v>1978</v>
      </c>
      <c r="D1466" s="90" t="s">
        <v>1979</v>
      </c>
      <c r="E1466" s="89" t="s">
        <v>1918</v>
      </c>
      <c r="F1466" s="91">
        <v>603027</v>
      </c>
      <c r="G1466" s="91">
        <v>5100300</v>
      </c>
      <c r="H1466" s="87"/>
      <c r="I1466" s="90" t="s">
        <v>8149</v>
      </c>
      <c r="J1466" s="88" t="str">
        <f t="shared" si="22"/>
        <v>不重复</v>
      </c>
      <c r="K1466" s="88" t="str">
        <f t="shared" si="22"/>
        <v>不重复</v>
      </c>
    </row>
    <row r="1467" spans="1:11" ht="20.25" customHeight="1">
      <c r="A1467" s="89" t="s">
        <v>1980</v>
      </c>
      <c r="B1467" s="90" t="s">
        <v>1981</v>
      </c>
      <c r="C1467" s="90" t="s">
        <v>499</v>
      </c>
      <c r="D1467" s="90" t="s">
        <v>8150</v>
      </c>
      <c r="E1467" s="89" t="s">
        <v>1918</v>
      </c>
      <c r="F1467" s="91">
        <v>603028</v>
      </c>
      <c r="G1467" s="91">
        <v>5100300</v>
      </c>
      <c r="H1467" s="87"/>
      <c r="I1467" s="90" t="s">
        <v>8112</v>
      </c>
      <c r="J1467" s="88" t="str">
        <f t="shared" si="22"/>
        <v>重复</v>
      </c>
      <c r="K1467" s="88" t="str">
        <f t="shared" si="22"/>
        <v>不重复</v>
      </c>
    </row>
    <row r="1468" spans="1:11" ht="20.25" customHeight="1">
      <c r="A1468" s="89" t="s">
        <v>1985</v>
      </c>
      <c r="B1468" s="90" t="s">
        <v>8151</v>
      </c>
      <c r="C1468" s="90" t="s">
        <v>1986</v>
      </c>
      <c r="D1468" s="90" t="s">
        <v>8152</v>
      </c>
      <c r="E1468" s="89" t="s">
        <v>1918</v>
      </c>
      <c r="F1468" s="91">
        <v>603029</v>
      </c>
      <c r="G1468" s="91">
        <v>5100300</v>
      </c>
      <c r="H1468" s="87"/>
      <c r="I1468" s="90" t="s">
        <v>1987</v>
      </c>
      <c r="J1468" s="88" t="str">
        <f t="shared" si="22"/>
        <v>不重复</v>
      </c>
      <c r="K1468" s="88" t="str">
        <f t="shared" si="22"/>
        <v>不重复</v>
      </c>
    </row>
    <row r="1469" spans="1:11" ht="20.25" customHeight="1">
      <c r="A1469" s="89" t="s">
        <v>1982</v>
      </c>
      <c r="B1469" s="90" t="s">
        <v>8153</v>
      </c>
      <c r="C1469" s="90" t="s">
        <v>1983</v>
      </c>
      <c r="D1469" s="90" t="s">
        <v>1984</v>
      </c>
      <c r="E1469" s="89" t="s">
        <v>1918</v>
      </c>
      <c r="F1469" s="91">
        <v>603030</v>
      </c>
      <c r="G1469" s="91">
        <v>5100300</v>
      </c>
      <c r="H1469" s="87"/>
      <c r="I1469" s="90" t="s">
        <v>1327</v>
      </c>
      <c r="J1469" s="88" t="str">
        <f t="shared" si="22"/>
        <v>不重复</v>
      </c>
      <c r="K1469" s="88" t="str">
        <f t="shared" si="22"/>
        <v>不重复</v>
      </c>
    </row>
    <row r="1470" spans="1:11" ht="20.25" customHeight="1">
      <c r="A1470" s="89" t="s">
        <v>1988</v>
      </c>
      <c r="B1470" s="90" t="s">
        <v>8154</v>
      </c>
      <c r="C1470" s="90" t="s">
        <v>1989</v>
      </c>
      <c r="D1470" s="90" t="s">
        <v>1990</v>
      </c>
      <c r="E1470" s="89" t="s">
        <v>1918</v>
      </c>
      <c r="F1470" s="91">
        <v>603031</v>
      </c>
      <c r="G1470" s="91">
        <v>5100300</v>
      </c>
      <c r="H1470" s="87"/>
      <c r="I1470" s="90" t="s">
        <v>8136</v>
      </c>
      <c r="J1470" s="88" t="str">
        <f t="shared" si="22"/>
        <v>不重复</v>
      </c>
      <c r="K1470" s="88" t="str">
        <f t="shared" si="22"/>
        <v>不重复</v>
      </c>
    </row>
    <row r="1471" spans="1:11" ht="20.25" customHeight="1">
      <c r="A1471" s="89" t="s">
        <v>1991</v>
      </c>
      <c r="B1471" s="90" t="s">
        <v>8155</v>
      </c>
      <c r="C1471" s="90" t="s">
        <v>1992</v>
      </c>
      <c r="D1471" s="90" t="s">
        <v>1993</v>
      </c>
      <c r="E1471" s="89" t="s">
        <v>1918</v>
      </c>
      <c r="F1471" s="91">
        <v>603032</v>
      </c>
      <c r="G1471" s="91">
        <v>5100300</v>
      </c>
      <c r="H1471" s="87"/>
      <c r="I1471" s="90" t="s">
        <v>8136</v>
      </c>
      <c r="J1471" s="88" t="str">
        <f t="shared" si="22"/>
        <v>不重复</v>
      </c>
      <c r="K1471" s="88" t="str">
        <f t="shared" si="22"/>
        <v>不重复</v>
      </c>
    </row>
    <row r="1472" spans="1:11" ht="20.25" customHeight="1">
      <c r="A1472" s="89" t="s">
        <v>1997</v>
      </c>
      <c r="B1472" s="90" t="s">
        <v>8156</v>
      </c>
      <c r="C1472" s="90" t="s">
        <v>1998</v>
      </c>
      <c r="D1472" s="90" t="s">
        <v>1999</v>
      </c>
      <c r="E1472" s="89" t="s">
        <v>1918</v>
      </c>
      <c r="F1472" s="91">
        <v>603033</v>
      </c>
      <c r="G1472" s="91">
        <v>5100300</v>
      </c>
      <c r="H1472" s="87"/>
      <c r="I1472" s="90" t="s">
        <v>1922</v>
      </c>
      <c r="J1472" s="88" t="str">
        <f t="shared" si="22"/>
        <v>不重复</v>
      </c>
      <c r="K1472" s="88" t="str">
        <f t="shared" si="22"/>
        <v>不重复</v>
      </c>
    </row>
    <row r="1473" spans="1:11" ht="20.25" customHeight="1">
      <c r="A1473" s="89" t="s">
        <v>2000</v>
      </c>
      <c r="B1473" s="90" t="s">
        <v>8157</v>
      </c>
      <c r="C1473" s="90" t="s">
        <v>2001</v>
      </c>
      <c r="D1473" s="90" t="s">
        <v>2002</v>
      </c>
      <c r="E1473" s="89" t="s">
        <v>1918</v>
      </c>
      <c r="F1473" s="91">
        <v>603034</v>
      </c>
      <c r="G1473" s="91">
        <v>5100300</v>
      </c>
      <c r="H1473" s="87"/>
      <c r="I1473" s="90" t="s">
        <v>8158</v>
      </c>
      <c r="J1473" s="88" t="str">
        <f t="shared" si="22"/>
        <v>不重复</v>
      </c>
      <c r="K1473" s="88" t="str">
        <f t="shared" si="22"/>
        <v>不重复</v>
      </c>
    </row>
    <row r="1474" spans="1:11" ht="20.25" customHeight="1">
      <c r="A1474" s="84" t="s">
        <v>2003</v>
      </c>
      <c r="B1474" s="85" t="s">
        <v>8159</v>
      </c>
      <c r="C1474" s="85" t="s">
        <v>2004</v>
      </c>
      <c r="D1474" s="85" t="s">
        <v>2005</v>
      </c>
      <c r="E1474" s="84" t="s">
        <v>1918</v>
      </c>
      <c r="F1474" s="86">
        <v>603035</v>
      </c>
      <c r="G1474" s="86">
        <v>5100300</v>
      </c>
      <c r="H1474" s="87"/>
      <c r="I1474" s="85" t="s">
        <v>1922</v>
      </c>
      <c r="J1474" s="88" t="str">
        <f t="shared" si="22"/>
        <v>不重复</v>
      </c>
      <c r="K1474" s="88" t="str">
        <f t="shared" si="22"/>
        <v>不重复</v>
      </c>
    </row>
    <row r="1475" spans="1:11" ht="20.25" customHeight="1">
      <c r="A1475" s="89" t="s">
        <v>2006</v>
      </c>
      <c r="B1475" s="90" t="s">
        <v>8160</v>
      </c>
      <c r="C1475" s="90" t="s">
        <v>2007</v>
      </c>
      <c r="D1475" s="90" t="s">
        <v>2008</v>
      </c>
      <c r="E1475" s="89" t="s">
        <v>1918</v>
      </c>
      <c r="F1475" s="91">
        <v>603037</v>
      </c>
      <c r="G1475" s="91">
        <v>5100300</v>
      </c>
      <c r="H1475" s="87"/>
      <c r="I1475" s="90" t="s">
        <v>8136</v>
      </c>
      <c r="J1475" s="88" t="str">
        <f t="shared" si="23" ref="J1475:K1538">IF(COUNTIF(C:C,C1475)&gt;=2,"重复","不重复")</f>
        <v>不重复</v>
      </c>
      <c r="K1475" s="88" t="str">
        <f t="shared" si="23"/>
        <v>不重复</v>
      </c>
    </row>
    <row r="1476" spans="1:11" ht="20.25" customHeight="1">
      <c r="A1476" s="89" t="s">
        <v>2012</v>
      </c>
      <c r="B1476" s="90" t="s">
        <v>8161</v>
      </c>
      <c r="C1476" s="90" t="s">
        <v>2013</v>
      </c>
      <c r="D1476" s="90" t="s">
        <v>2014</v>
      </c>
      <c r="E1476" s="89" t="s">
        <v>1918</v>
      </c>
      <c r="F1476" s="91">
        <v>603038</v>
      </c>
      <c r="G1476" s="91">
        <v>5100300</v>
      </c>
      <c r="H1476" s="87"/>
      <c r="I1476" s="90" t="s">
        <v>1955</v>
      </c>
      <c r="J1476" s="88" t="str">
        <f t="shared" si="23"/>
        <v>不重复</v>
      </c>
      <c r="K1476" s="88" t="str">
        <f t="shared" si="23"/>
        <v>不重复</v>
      </c>
    </row>
    <row r="1477" spans="1:11" ht="20.25" customHeight="1">
      <c r="A1477" s="89" t="s">
        <v>2009</v>
      </c>
      <c r="B1477" s="90" t="s">
        <v>8162</v>
      </c>
      <c r="C1477" s="90" t="s">
        <v>2010</v>
      </c>
      <c r="D1477" s="90" t="s">
        <v>2011</v>
      </c>
      <c r="E1477" s="89" t="s">
        <v>1918</v>
      </c>
      <c r="F1477" s="91">
        <v>603039</v>
      </c>
      <c r="G1477" s="91">
        <v>5100300</v>
      </c>
      <c r="H1477" s="87"/>
      <c r="I1477" s="90" t="s">
        <v>1987</v>
      </c>
      <c r="J1477" s="88" t="str">
        <f t="shared" si="23"/>
        <v>不重复</v>
      </c>
      <c r="K1477" s="88" t="str">
        <f t="shared" si="23"/>
        <v>不重复</v>
      </c>
    </row>
    <row r="1478" spans="1:11" ht="20.25" customHeight="1">
      <c r="A1478" s="89" t="s">
        <v>2015</v>
      </c>
      <c r="B1478" s="90" t="s">
        <v>8163</v>
      </c>
      <c r="C1478" s="90" t="s">
        <v>2016</v>
      </c>
      <c r="D1478" s="90" t="s">
        <v>2017</v>
      </c>
      <c r="E1478" s="89" t="s">
        <v>1918</v>
      </c>
      <c r="F1478" s="91">
        <v>603040</v>
      </c>
      <c r="G1478" s="91">
        <v>5100300</v>
      </c>
      <c r="H1478" s="87"/>
      <c r="I1478" s="90" t="s">
        <v>1955</v>
      </c>
      <c r="J1478" s="88" t="str">
        <f t="shared" si="23"/>
        <v>不重复</v>
      </c>
      <c r="K1478" s="88" t="str">
        <f t="shared" si="23"/>
        <v>不重复</v>
      </c>
    </row>
    <row r="1479" spans="1:11" ht="20.25" customHeight="1">
      <c r="A1479" s="89" t="s">
        <v>2018</v>
      </c>
      <c r="B1479" s="90" t="s">
        <v>8164</v>
      </c>
      <c r="C1479" s="90" t="s">
        <v>2019</v>
      </c>
      <c r="D1479" s="90" t="s">
        <v>2020</v>
      </c>
      <c r="E1479" s="89" t="s">
        <v>1918</v>
      </c>
      <c r="F1479" s="91">
        <v>603041</v>
      </c>
      <c r="G1479" s="91">
        <v>5100300</v>
      </c>
      <c r="H1479" s="87"/>
      <c r="I1479" s="90" t="s">
        <v>8112</v>
      </c>
      <c r="J1479" s="88" t="str">
        <f t="shared" si="23"/>
        <v>不重复</v>
      </c>
      <c r="K1479" s="88" t="str">
        <f t="shared" si="23"/>
        <v>不重复</v>
      </c>
    </row>
    <row r="1480" spans="1:11" ht="20.25" customHeight="1">
      <c r="A1480" s="89" t="s">
        <v>2021</v>
      </c>
      <c r="B1480" s="90" t="s">
        <v>8165</v>
      </c>
      <c r="C1480" s="90" t="s">
        <v>253</v>
      </c>
      <c r="D1480" s="90" t="s">
        <v>2022</v>
      </c>
      <c r="E1480" s="89" t="s">
        <v>1918</v>
      </c>
      <c r="F1480" s="91">
        <v>603042</v>
      </c>
      <c r="G1480" s="91">
        <v>5100300</v>
      </c>
      <c r="H1480" s="87"/>
      <c r="I1480" s="90" t="s">
        <v>8112</v>
      </c>
      <c r="J1480" s="88" t="str">
        <f t="shared" si="23"/>
        <v>重复</v>
      </c>
      <c r="K1480" s="88" t="str">
        <f t="shared" si="23"/>
        <v>不重复</v>
      </c>
    </row>
    <row r="1481" spans="1:11" ht="20.25" customHeight="1">
      <c r="A1481" s="89" t="s">
        <v>2041</v>
      </c>
      <c r="B1481" s="90" t="s">
        <v>2042</v>
      </c>
      <c r="C1481" s="90" t="s">
        <v>2043</v>
      </c>
      <c r="D1481" s="90" t="s">
        <v>2044</v>
      </c>
      <c r="E1481" s="89" t="s">
        <v>1918</v>
      </c>
      <c r="F1481" s="91">
        <v>603043</v>
      </c>
      <c r="G1481" s="91">
        <v>5100300</v>
      </c>
      <c r="H1481" s="87"/>
      <c r="I1481" s="90" t="s">
        <v>25</v>
      </c>
      <c r="J1481" s="88" t="str">
        <f t="shared" si="23"/>
        <v>不重复</v>
      </c>
      <c r="K1481" s="88" t="str">
        <f t="shared" si="23"/>
        <v>不重复</v>
      </c>
    </row>
    <row r="1482" spans="1:11" ht="20.25" customHeight="1">
      <c r="A1482" s="89" t="s">
        <v>2024</v>
      </c>
      <c r="B1482" s="90" t="s">
        <v>8166</v>
      </c>
      <c r="C1482" s="90" t="s">
        <v>2025</v>
      </c>
      <c r="D1482" s="90" t="s">
        <v>2026</v>
      </c>
      <c r="E1482" s="89" t="s">
        <v>1918</v>
      </c>
      <c r="F1482" s="91">
        <v>603044</v>
      </c>
      <c r="G1482" s="91">
        <v>5100300</v>
      </c>
      <c r="H1482" s="87"/>
      <c r="I1482" s="90" t="s">
        <v>8112</v>
      </c>
      <c r="J1482" s="88" t="str">
        <f t="shared" si="23"/>
        <v>重复</v>
      </c>
      <c r="K1482" s="88" t="str">
        <f t="shared" si="23"/>
        <v>不重复</v>
      </c>
    </row>
    <row r="1483" spans="1:11" ht="20.25" customHeight="1">
      <c r="A1483" s="89" t="s">
        <v>2027</v>
      </c>
      <c r="B1483" s="90" t="s">
        <v>8167</v>
      </c>
      <c r="C1483" s="90" t="s">
        <v>2028</v>
      </c>
      <c r="D1483" s="90" t="s">
        <v>2029</v>
      </c>
      <c r="E1483" s="89" t="s">
        <v>1918</v>
      </c>
      <c r="F1483" s="91">
        <v>603045</v>
      </c>
      <c r="G1483" s="91">
        <v>5100300</v>
      </c>
      <c r="H1483" s="87"/>
      <c r="I1483" s="90" t="s">
        <v>8168</v>
      </c>
      <c r="J1483" s="88" t="str">
        <f t="shared" si="23"/>
        <v>不重复</v>
      </c>
      <c r="K1483" s="88" t="str">
        <f t="shared" si="23"/>
        <v>不重复</v>
      </c>
    </row>
    <row r="1484" spans="1:11" ht="20.25" customHeight="1">
      <c r="A1484" s="89" t="s">
        <v>2030</v>
      </c>
      <c r="B1484" s="90" t="s">
        <v>8169</v>
      </c>
      <c r="C1484" s="90" t="s">
        <v>2031</v>
      </c>
      <c r="D1484" s="90" t="s">
        <v>2032</v>
      </c>
      <c r="E1484" s="89" t="s">
        <v>1918</v>
      </c>
      <c r="F1484" s="91">
        <v>603046</v>
      </c>
      <c r="G1484" s="91">
        <v>5100300</v>
      </c>
      <c r="H1484" s="87"/>
      <c r="I1484" s="90" t="s">
        <v>1922</v>
      </c>
      <c r="J1484" s="88" t="str">
        <f t="shared" si="23"/>
        <v>不重复</v>
      </c>
      <c r="K1484" s="88" t="str">
        <f t="shared" si="23"/>
        <v>不重复</v>
      </c>
    </row>
    <row r="1485" spans="1:11" ht="20.25" customHeight="1">
      <c r="A1485" s="89" t="s">
        <v>2033</v>
      </c>
      <c r="B1485" s="90" t="s">
        <v>8170</v>
      </c>
      <c r="C1485" s="90" t="s">
        <v>2034</v>
      </c>
      <c r="D1485" s="90" t="s">
        <v>2035</v>
      </c>
      <c r="E1485" s="89" t="s">
        <v>1918</v>
      </c>
      <c r="F1485" s="91">
        <v>603047</v>
      </c>
      <c r="G1485" s="91">
        <v>5100300</v>
      </c>
      <c r="H1485" s="87"/>
      <c r="I1485" s="90" t="s">
        <v>1327</v>
      </c>
      <c r="J1485" s="88" t="str">
        <f t="shared" si="23"/>
        <v>不重复</v>
      </c>
      <c r="K1485" s="88" t="str">
        <f t="shared" si="23"/>
        <v>不重复</v>
      </c>
    </row>
    <row r="1486" spans="1:11" ht="20.25" customHeight="1">
      <c r="A1486" s="89" t="s">
        <v>2036</v>
      </c>
      <c r="B1486" s="90" t="s">
        <v>8171</v>
      </c>
      <c r="C1486" s="90" t="s">
        <v>2037</v>
      </c>
      <c r="D1486" s="90" t="s">
        <v>2038</v>
      </c>
      <c r="E1486" s="89" t="s">
        <v>1918</v>
      </c>
      <c r="F1486" s="91">
        <v>603048</v>
      </c>
      <c r="G1486" s="91">
        <v>5100300</v>
      </c>
      <c r="H1486" s="87"/>
      <c r="I1486" s="90" t="s">
        <v>8136</v>
      </c>
      <c r="J1486" s="88" t="str">
        <f t="shared" si="23"/>
        <v>不重复</v>
      </c>
      <c r="K1486" s="88" t="str">
        <f t="shared" si="23"/>
        <v>不重复</v>
      </c>
    </row>
    <row r="1487" spans="1:11" ht="20.25" customHeight="1">
      <c r="A1487" s="89" t="s">
        <v>2039</v>
      </c>
      <c r="B1487" s="90" t="s">
        <v>8172</v>
      </c>
      <c r="C1487" s="90" t="s">
        <v>1592</v>
      </c>
      <c r="D1487" s="90" t="s">
        <v>2040</v>
      </c>
      <c r="E1487" s="89" t="s">
        <v>1918</v>
      </c>
      <c r="F1487" s="91">
        <v>603049</v>
      </c>
      <c r="G1487" s="91">
        <v>5100300</v>
      </c>
      <c r="H1487" s="87"/>
      <c r="I1487" s="90" t="s">
        <v>8173</v>
      </c>
      <c r="J1487" s="88" t="str">
        <f t="shared" si="23"/>
        <v>不重复</v>
      </c>
      <c r="K1487" s="88" t="str">
        <f t="shared" si="23"/>
        <v>不重复</v>
      </c>
    </row>
    <row r="1488" spans="1:11" ht="20.25" customHeight="1">
      <c r="A1488" s="84" t="s">
        <v>8174</v>
      </c>
      <c r="B1488" s="85" t="s">
        <v>8175</v>
      </c>
      <c r="C1488" s="85" t="s">
        <v>8176</v>
      </c>
      <c r="D1488" s="85" t="s">
        <v>8177</v>
      </c>
      <c r="E1488" s="84" t="s">
        <v>1918</v>
      </c>
      <c r="F1488" s="86">
        <v>603050</v>
      </c>
      <c r="G1488" s="86">
        <v>5100300</v>
      </c>
      <c r="H1488" s="87"/>
      <c r="I1488" s="85" t="s">
        <v>25</v>
      </c>
      <c r="J1488" s="88" t="str">
        <f t="shared" si="23"/>
        <v>不重复</v>
      </c>
      <c r="K1488" s="88" t="str">
        <f t="shared" si="23"/>
        <v>不重复</v>
      </c>
    </row>
    <row r="1489" spans="1:11" ht="20.25" customHeight="1">
      <c r="A1489" s="84" t="s">
        <v>2045</v>
      </c>
      <c r="B1489" s="85" t="s">
        <v>8178</v>
      </c>
      <c r="C1489" s="85" t="s">
        <v>813</v>
      </c>
      <c r="D1489" s="85" t="s">
        <v>2046</v>
      </c>
      <c r="E1489" s="84" t="s">
        <v>1918</v>
      </c>
      <c r="F1489" s="86">
        <v>603051</v>
      </c>
      <c r="G1489" s="86">
        <v>5100300</v>
      </c>
      <c r="H1489" s="87"/>
      <c r="I1489" s="85" t="s">
        <v>8179</v>
      </c>
      <c r="J1489" s="88" t="str">
        <f t="shared" si="23"/>
        <v>重复</v>
      </c>
      <c r="K1489" s="88" t="str">
        <f t="shared" si="23"/>
        <v>不重复</v>
      </c>
    </row>
    <row r="1490" spans="1:11" ht="20.25" customHeight="1">
      <c r="A1490" s="84" t="s">
        <v>2047</v>
      </c>
      <c r="B1490" s="85" t="s">
        <v>8180</v>
      </c>
      <c r="C1490" s="85" t="s">
        <v>2048</v>
      </c>
      <c r="D1490" s="85" t="s">
        <v>2049</v>
      </c>
      <c r="E1490" s="84" t="s">
        <v>1918</v>
      </c>
      <c r="F1490" s="86">
        <v>603052</v>
      </c>
      <c r="G1490" s="86">
        <v>5100300</v>
      </c>
      <c r="H1490" s="87"/>
      <c r="I1490" s="85" t="s">
        <v>8138</v>
      </c>
      <c r="J1490" s="88" t="str">
        <f t="shared" si="23"/>
        <v>不重复</v>
      </c>
      <c r="K1490" s="88" t="str">
        <f t="shared" si="23"/>
        <v>不重复</v>
      </c>
    </row>
    <row r="1491" spans="1:11" ht="20.25" customHeight="1">
      <c r="A1491" s="89" t="s">
        <v>2050</v>
      </c>
      <c r="B1491" s="90" t="s">
        <v>8181</v>
      </c>
      <c r="C1491" s="90" t="s">
        <v>2051</v>
      </c>
      <c r="D1491" s="90" t="s">
        <v>2052</v>
      </c>
      <c r="E1491" s="89" t="s">
        <v>1918</v>
      </c>
      <c r="F1491" s="91">
        <v>603053</v>
      </c>
      <c r="G1491" s="91">
        <v>5100300</v>
      </c>
      <c r="H1491" s="87"/>
      <c r="I1491" s="90" t="s">
        <v>2053</v>
      </c>
      <c r="J1491" s="88" t="str">
        <f t="shared" si="23"/>
        <v>不重复</v>
      </c>
      <c r="K1491" s="88" t="str">
        <f t="shared" si="23"/>
        <v>不重复</v>
      </c>
    </row>
    <row r="1492" spans="1:11" ht="20.25" customHeight="1">
      <c r="A1492" s="84" t="s">
        <v>8182</v>
      </c>
      <c r="B1492" s="85" t="s">
        <v>8183</v>
      </c>
      <c r="C1492" s="85" t="s">
        <v>8184</v>
      </c>
      <c r="D1492" s="85" t="s">
        <v>8185</v>
      </c>
      <c r="E1492" s="84" t="s">
        <v>1918</v>
      </c>
      <c r="F1492" s="86">
        <v>603054</v>
      </c>
      <c r="G1492" s="86">
        <v>5100300</v>
      </c>
      <c r="H1492" s="87"/>
      <c r="I1492" s="85" t="s">
        <v>25</v>
      </c>
      <c r="J1492" s="88" t="str">
        <f t="shared" si="23"/>
        <v>重复</v>
      </c>
      <c r="K1492" s="88" t="str">
        <f t="shared" si="23"/>
        <v>不重复</v>
      </c>
    </row>
    <row r="1493" spans="1:11" ht="20.25" customHeight="1">
      <c r="A1493" s="84" t="s">
        <v>2054</v>
      </c>
      <c r="B1493" s="85" t="s">
        <v>8186</v>
      </c>
      <c r="C1493" s="85" t="s">
        <v>782</v>
      </c>
      <c r="D1493" s="85" t="s">
        <v>2055</v>
      </c>
      <c r="E1493" s="84" t="s">
        <v>1918</v>
      </c>
      <c r="F1493" s="86">
        <v>603055</v>
      </c>
      <c r="G1493" s="86">
        <v>5100300</v>
      </c>
      <c r="H1493" s="87"/>
      <c r="I1493" s="85" t="s">
        <v>8187</v>
      </c>
      <c r="J1493" s="88" t="str">
        <f t="shared" si="23"/>
        <v>重复</v>
      </c>
      <c r="K1493" s="88" t="str">
        <f t="shared" si="23"/>
        <v>不重复</v>
      </c>
    </row>
    <row r="1494" spans="1:11" ht="20.25" customHeight="1">
      <c r="A1494" s="84" t="s">
        <v>2056</v>
      </c>
      <c r="B1494" s="85" t="s">
        <v>8188</v>
      </c>
      <c r="C1494" s="85" t="s">
        <v>1366</v>
      </c>
      <c r="D1494" s="85" t="s">
        <v>2057</v>
      </c>
      <c r="E1494" s="84" t="s">
        <v>1918</v>
      </c>
      <c r="F1494" s="86">
        <v>603056</v>
      </c>
      <c r="G1494" s="86">
        <v>5100300</v>
      </c>
      <c r="H1494" s="87"/>
      <c r="I1494" s="85" t="s">
        <v>879</v>
      </c>
      <c r="J1494" s="88" t="str">
        <f t="shared" si="23"/>
        <v>重复</v>
      </c>
      <c r="K1494" s="88" t="str">
        <f t="shared" si="23"/>
        <v>不重复</v>
      </c>
    </row>
    <row r="1495" spans="1:11" ht="20.25" customHeight="1">
      <c r="A1495" s="89" t="s">
        <v>2075</v>
      </c>
      <c r="B1495" s="90" t="s">
        <v>2076</v>
      </c>
      <c r="C1495" s="90" t="s">
        <v>2077</v>
      </c>
      <c r="D1495" s="90" t="s">
        <v>8189</v>
      </c>
      <c r="E1495" s="89" t="s">
        <v>1918</v>
      </c>
      <c r="F1495" s="91">
        <v>603057</v>
      </c>
      <c r="G1495" s="91">
        <v>5100300</v>
      </c>
      <c r="H1495" s="87"/>
      <c r="I1495" s="90" t="s">
        <v>25</v>
      </c>
      <c r="J1495" s="88" t="str">
        <f t="shared" si="23"/>
        <v>重复</v>
      </c>
      <c r="K1495" s="88" t="str">
        <f t="shared" si="23"/>
        <v>不重复</v>
      </c>
    </row>
    <row r="1496" spans="1:11" ht="20.25" customHeight="1">
      <c r="A1496" s="89" t="s">
        <v>2058</v>
      </c>
      <c r="B1496" s="90" t="s">
        <v>2059</v>
      </c>
      <c r="C1496" s="90" t="s">
        <v>2060</v>
      </c>
      <c r="D1496" s="90" t="s">
        <v>2061</v>
      </c>
      <c r="E1496" s="89" t="s">
        <v>1918</v>
      </c>
      <c r="F1496" s="91">
        <v>603058</v>
      </c>
      <c r="G1496" s="91">
        <v>5100300</v>
      </c>
      <c r="H1496" s="87"/>
      <c r="I1496" s="90" t="s">
        <v>8190</v>
      </c>
      <c r="J1496" s="88" t="str">
        <f t="shared" si="23"/>
        <v>不重复</v>
      </c>
      <c r="K1496" s="88" t="str">
        <f t="shared" si="23"/>
        <v>不重复</v>
      </c>
    </row>
    <row r="1497" spans="1:11" ht="20.25" customHeight="1">
      <c r="A1497" s="89" t="s">
        <v>2062</v>
      </c>
      <c r="B1497" s="90" t="s">
        <v>8191</v>
      </c>
      <c r="C1497" s="90" t="s">
        <v>108</v>
      </c>
      <c r="D1497" s="90" t="s">
        <v>2063</v>
      </c>
      <c r="E1497" s="89" t="s">
        <v>1918</v>
      </c>
      <c r="F1497" s="91">
        <v>603059</v>
      </c>
      <c r="G1497" s="91">
        <v>5100300</v>
      </c>
      <c r="H1497" s="87"/>
      <c r="I1497" s="90" t="s">
        <v>1987</v>
      </c>
      <c r="J1497" s="88" t="str">
        <f t="shared" si="23"/>
        <v>不重复</v>
      </c>
      <c r="K1497" s="88" t="str">
        <f t="shared" si="23"/>
        <v>不重复</v>
      </c>
    </row>
    <row r="1498" spans="1:11" ht="20.25" customHeight="1">
      <c r="A1498" s="89" t="s">
        <v>2065</v>
      </c>
      <c r="B1498" s="90" t="s">
        <v>8192</v>
      </c>
      <c r="C1498" s="90" t="s">
        <v>535</v>
      </c>
      <c r="D1498" s="90" t="s">
        <v>2066</v>
      </c>
      <c r="E1498" s="89" t="s">
        <v>1918</v>
      </c>
      <c r="F1498" s="91">
        <v>603061</v>
      </c>
      <c r="G1498" s="91">
        <v>5100300</v>
      </c>
      <c r="H1498" s="87"/>
      <c r="I1498" s="90" t="s">
        <v>1327</v>
      </c>
      <c r="J1498" s="88" t="str">
        <f t="shared" si="23"/>
        <v>重复</v>
      </c>
      <c r="K1498" s="88" t="str">
        <f t="shared" si="23"/>
        <v>不重复</v>
      </c>
    </row>
    <row r="1499" spans="1:11" ht="20.25" customHeight="1">
      <c r="A1499" s="89" t="s">
        <v>2067</v>
      </c>
      <c r="B1499" s="90" t="s">
        <v>8193</v>
      </c>
      <c r="C1499" s="90" t="s">
        <v>1546</v>
      </c>
      <c r="D1499" s="90" t="s">
        <v>2068</v>
      </c>
      <c r="E1499" s="89" t="s">
        <v>1918</v>
      </c>
      <c r="F1499" s="91">
        <v>603062</v>
      </c>
      <c r="G1499" s="91">
        <v>5100300</v>
      </c>
      <c r="H1499" s="87"/>
      <c r="I1499" s="90" t="s">
        <v>2069</v>
      </c>
      <c r="J1499" s="88" t="str">
        <f t="shared" si="23"/>
        <v>重复</v>
      </c>
      <c r="K1499" s="88" t="str">
        <f t="shared" si="23"/>
        <v>不重复</v>
      </c>
    </row>
    <row r="1500" spans="1:11" ht="20.25" customHeight="1">
      <c r="A1500" s="89" t="s">
        <v>2070</v>
      </c>
      <c r="B1500" s="90" t="s">
        <v>8194</v>
      </c>
      <c r="C1500" s="90" t="s">
        <v>1055</v>
      </c>
      <c r="D1500" s="90" t="s">
        <v>2071</v>
      </c>
      <c r="E1500" s="89" t="s">
        <v>1918</v>
      </c>
      <c r="F1500" s="91">
        <v>603063</v>
      </c>
      <c r="G1500" s="91">
        <v>5100300</v>
      </c>
      <c r="H1500" s="87"/>
      <c r="I1500" s="90" t="s">
        <v>1922</v>
      </c>
      <c r="J1500" s="88" t="str">
        <f t="shared" si="23"/>
        <v>重复</v>
      </c>
      <c r="K1500" s="88" t="str">
        <f t="shared" si="23"/>
        <v>不重复</v>
      </c>
    </row>
    <row r="1501" spans="1:11" ht="20.25" customHeight="1">
      <c r="A1501" s="89" t="s">
        <v>2072</v>
      </c>
      <c r="B1501" s="90" t="s">
        <v>8195</v>
      </c>
      <c r="C1501" s="90" t="s">
        <v>2073</v>
      </c>
      <c r="D1501" s="90" t="s">
        <v>8196</v>
      </c>
      <c r="E1501" s="89" t="s">
        <v>1918</v>
      </c>
      <c r="F1501" s="91">
        <v>603064</v>
      </c>
      <c r="G1501" s="91">
        <v>5100300</v>
      </c>
      <c r="H1501" s="87"/>
      <c r="I1501" s="90" t="s">
        <v>1327</v>
      </c>
      <c r="J1501" s="88" t="str">
        <f t="shared" si="23"/>
        <v>不重复</v>
      </c>
      <c r="K1501" s="88" t="str">
        <f t="shared" si="23"/>
        <v>不重复</v>
      </c>
    </row>
    <row r="1502" spans="1:11" ht="20.25" customHeight="1">
      <c r="A1502" s="84" t="s">
        <v>2079</v>
      </c>
      <c r="B1502" s="85" t="s">
        <v>8197</v>
      </c>
      <c r="C1502" s="85" t="s">
        <v>931</v>
      </c>
      <c r="D1502" s="85" t="s">
        <v>2080</v>
      </c>
      <c r="E1502" s="84" t="s">
        <v>1918</v>
      </c>
      <c r="F1502" s="86">
        <v>603065</v>
      </c>
      <c r="G1502" s="86">
        <v>5100300</v>
      </c>
      <c r="H1502" s="87"/>
      <c r="I1502" s="85" t="s">
        <v>1922</v>
      </c>
      <c r="J1502" s="88" t="str">
        <f t="shared" si="23"/>
        <v>重复</v>
      </c>
      <c r="K1502" s="88" t="str">
        <f t="shared" si="23"/>
        <v>不重复</v>
      </c>
    </row>
    <row r="1503" spans="1:11" ht="20.25" customHeight="1">
      <c r="A1503" s="84" t="s">
        <v>2081</v>
      </c>
      <c r="B1503" s="85" t="s">
        <v>8198</v>
      </c>
      <c r="C1503" s="85" t="s">
        <v>2082</v>
      </c>
      <c r="D1503" s="85" t="s">
        <v>8199</v>
      </c>
      <c r="E1503" s="84" t="s">
        <v>1918</v>
      </c>
      <c r="F1503" s="86">
        <v>603066</v>
      </c>
      <c r="G1503" s="86">
        <v>5100300</v>
      </c>
      <c r="H1503" s="87"/>
      <c r="I1503" s="85" t="s">
        <v>1922</v>
      </c>
      <c r="J1503" s="88" t="str">
        <f t="shared" si="23"/>
        <v>重复</v>
      </c>
      <c r="K1503" s="88" t="str">
        <f t="shared" si="23"/>
        <v>不重复</v>
      </c>
    </row>
    <row r="1504" spans="1:11" ht="20.25" customHeight="1">
      <c r="A1504" s="84" t="s">
        <v>8200</v>
      </c>
      <c r="B1504" s="85" t="s">
        <v>8201</v>
      </c>
      <c r="C1504" s="85" t="s">
        <v>8202</v>
      </c>
      <c r="D1504" s="85" t="s">
        <v>8203</v>
      </c>
      <c r="E1504" s="84" t="s">
        <v>1918</v>
      </c>
      <c r="F1504" s="86">
        <v>603067</v>
      </c>
      <c r="G1504" s="86">
        <v>5100300</v>
      </c>
      <c r="H1504" s="87"/>
      <c r="I1504" s="85" t="s">
        <v>25</v>
      </c>
      <c r="J1504" s="88" t="str">
        <f t="shared" si="23"/>
        <v>不重复</v>
      </c>
      <c r="K1504" s="88" t="str">
        <f t="shared" si="23"/>
        <v>不重复</v>
      </c>
    </row>
    <row r="1505" spans="1:11" ht="20.25" customHeight="1">
      <c r="A1505" s="84" t="s">
        <v>2083</v>
      </c>
      <c r="B1505" s="85" t="s">
        <v>8204</v>
      </c>
      <c r="C1505" s="85" t="s">
        <v>2084</v>
      </c>
      <c r="D1505" s="85" t="s">
        <v>2085</v>
      </c>
      <c r="E1505" s="84" t="s">
        <v>1918</v>
      </c>
      <c r="F1505" s="86">
        <v>603068</v>
      </c>
      <c r="G1505" s="86">
        <v>5100300</v>
      </c>
      <c r="H1505" s="87"/>
      <c r="I1505" s="85" t="s">
        <v>8205</v>
      </c>
      <c r="J1505" s="88" t="str">
        <f t="shared" si="23"/>
        <v>不重复</v>
      </c>
      <c r="K1505" s="88" t="str">
        <f t="shared" si="23"/>
        <v>不重复</v>
      </c>
    </row>
    <row r="1506" spans="1:11" ht="20.25" customHeight="1">
      <c r="A1506" s="89" t="s">
        <v>2099</v>
      </c>
      <c r="B1506" s="90" t="s">
        <v>2100</v>
      </c>
      <c r="C1506" s="90" t="s">
        <v>2101</v>
      </c>
      <c r="D1506" s="90" t="s">
        <v>2094</v>
      </c>
      <c r="E1506" s="89" t="s">
        <v>1918</v>
      </c>
      <c r="F1506" s="91">
        <v>603070</v>
      </c>
      <c r="G1506" s="91">
        <v>5100300</v>
      </c>
      <c r="H1506" s="87"/>
      <c r="I1506" s="90" t="s">
        <v>25</v>
      </c>
      <c r="J1506" s="88" t="str">
        <f t="shared" si="23"/>
        <v>重复</v>
      </c>
      <c r="K1506" s="88" t="str">
        <f t="shared" si="23"/>
        <v>不重复</v>
      </c>
    </row>
    <row r="1507" spans="1:11" ht="20.25" customHeight="1">
      <c r="A1507" s="89" t="s">
        <v>2086</v>
      </c>
      <c r="B1507" s="90" t="s">
        <v>8206</v>
      </c>
      <c r="C1507" s="90" t="s">
        <v>2087</v>
      </c>
      <c r="D1507" s="90" t="s">
        <v>2088</v>
      </c>
      <c r="E1507" s="89" t="s">
        <v>1918</v>
      </c>
      <c r="F1507" s="91">
        <v>603071</v>
      </c>
      <c r="G1507" s="91">
        <v>5100300</v>
      </c>
      <c r="H1507" s="87"/>
      <c r="I1507" s="90" t="s">
        <v>8207</v>
      </c>
      <c r="J1507" s="88" t="str">
        <f t="shared" si="23"/>
        <v>重复</v>
      </c>
      <c r="K1507" s="88" t="str">
        <f t="shared" si="23"/>
        <v>不重复</v>
      </c>
    </row>
    <row r="1508" spans="1:11" ht="20.25" customHeight="1">
      <c r="A1508" s="89" t="s">
        <v>2089</v>
      </c>
      <c r="B1508" s="90" t="s">
        <v>8208</v>
      </c>
      <c r="C1508" s="90" t="s">
        <v>2090</v>
      </c>
      <c r="D1508" s="90" t="s">
        <v>2091</v>
      </c>
      <c r="E1508" s="89" t="s">
        <v>1918</v>
      </c>
      <c r="F1508" s="91">
        <v>603072</v>
      </c>
      <c r="G1508" s="91">
        <v>5100300</v>
      </c>
      <c r="H1508" s="87"/>
      <c r="I1508" s="90" t="s">
        <v>8207</v>
      </c>
      <c r="J1508" s="88" t="str">
        <f t="shared" si="23"/>
        <v>重复</v>
      </c>
      <c r="K1508" s="88" t="str">
        <f t="shared" si="23"/>
        <v>不重复</v>
      </c>
    </row>
    <row r="1509" spans="1:11" ht="20.25" customHeight="1">
      <c r="A1509" s="89" t="s">
        <v>2092</v>
      </c>
      <c r="B1509" s="90" t="s">
        <v>8209</v>
      </c>
      <c r="C1509" s="90" t="s">
        <v>2093</v>
      </c>
      <c r="D1509" s="90" t="s">
        <v>8210</v>
      </c>
      <c r="E1509" s="89" t="s">
        <v>1918</v>
      </c>
      <c r="F1509" s="91">
        <v>603073</v>
      </c>
      <c r="G1509" s="91">
        <v>5100300</v>
      </c>
      <c r="H1509" s="87"/>
      <c r="I1509" s="90" t="s">
        <v>1922</v>
      </c>
      <c r="J1509" s="88" t="str">
        <f t="shared" si="23"/>
        <v>重复</v>
      </c>
      <c r="K1509" s="88" t="str">
        <f t="shared" si="23"/>
        <v>不重复</v>
      </c>
    </row>
    <row r="1510" spans="1:11" ht="20.25" customHeight="1">
      <c r="A1510" s="89" t="s">
        <v>2095</v>
      </c>
      <c r="B1510" s="90" t="s">
        <v>8211</v>
      </c>
      <c r="C1510" s="90" t="s">
        <v>2096</v>
      </c>
      <c r="D1510" s="90" t="s">
        <v>2097</v>
      </c>
      <c r="E1510" s="89" t="s">
        <v>1918</v>
      </c>
      <c r="F1510" s="91">
        <v>603074</v>
      </c>
      <c r="G1510" s="91">
        <v>5100300</v>
      </c>
      <c r="H1510" s="87"/>
      <c r="I1510" s="90" t="s">
        <v>2098</v>
      </c>
      <c r="J1510" s="88" t="str">
        <f t="shared" si="23"/>
        <v>重复</v>
      </c>
      <c r="K1510" s="88" t="str">
        <f t="shared" si="23"/>
        <v>不重复</v>
      </c>
    </row>
    <row r="1511" spans="1:11" ht="20.25" customHeight="1">
      <c r="A1511" s="84" t="s">
        <v>2102</v>
      </c>
      <c r="B1511" s="85" t="s">
        <v>8212</v>
      </c>
      <c r="C1511" s="85" t="s">
        <v>2103</v>
      </c>
      <c r="D1511" s="85" t="s">
        <v>2104</v>
      </c>
      <c r="E1511" s="84" t="s">
        <v>1918</v>
      </c>
      <c r="F1511" s="86">
        <v>603075</v>
      </c>
      <c r="G1511" s="86">
        <v>5100300</v>
      </c>
      <c r="H1511" s="87"/>
      <c r="I1511" s="85" t="s">
        <v>2098</v>
      </c>
      <c r="J1511" s="88" t="str">
        <f t="shared" si="23"/>
        <v>不重复</v>
      </c>
      <c r="K1511" s="88" t="str">
        <f t="shared" si="23"/>
        <v>不重复</v>
      </c>
    </row>
    <row r="1512" spans="1:11" ht="20.25" customHeight="1">
      <c r="A1512" s="89" t="s">
        <v>2105</v>
      </c>
      <c r="B1512" s="90" t="s">
        <v>8213</v>
      </c>
      <c r="C1512" s="90" t="s">
        <v>2106</v>
      </c>
      <c r="D1512" s="90" t="s">
        <v>2107</v>
      </c>
      <c r="E1512" s="89" t="s">
        <v>1918</v>
      </c>
      <c r="F1512" s="91">
        <v>603078</v>
      </c>
      <c r="G1512" s="91">
        <v>5100300</v>
      </c>
      <c r="H1512" s="87"/>
      <c r="I1512" s="90" t="s">
        <v>1327</v>
      </c>
      <c r="J1512" s="88" t="str">
        <f t="shared" si="23"/>
        <v>重复</v>
      </c>
      <c r="K1512" s="88" t="str">
        <f t="shared" si="23"/>
        <v>不重复</v>
      </c>
    </row>
    <row r="1513" spans="1:11" ht="20.25" customHeight="1">
      <c r="A1513" s="89" t="s">
        <v>2108</v>
      </c>
      <c r="B1513" s="90" t="s">
        <v>8214</v>
      </c>
      <c r="C1513" s="90" t="s">
        <v>2109</v>
      </c>
      <c r="D1513" s="90" t="s">
        <v>8215</v>
      </c>
      <c r="E1513" s="89" t="s">
        <v>1918</v>
      </c>
      <c r="F1513" s="91">
        <v>603079</v>
      </c>
      <c r="G1513" s="91">
        <v>5100300</v>
      </c>
      <c r="H1513" s="87"/>
      <c r="I1513" s="90" t="s">
        <v>2111</v>
      </c>
      <c r="J1513" s="88" t="str">
        <f t="shared" si="23"/>
        <v>不重复</v>
      </c>
      <c r="K1513" s="88" t="str">
        <f t="shared" si="23"/>
        <v>不重复</v>
      </c>
    </row>
    <row r="1514" spans="1:11" ht="20.25" customHeight="1">
      <c r="A1514" s="89" t="s">
        <v>2121</v>
      </c>
      <c r="B1514" s="90" t="s">
        <v>8216</v>
      </c>
      <c r="C1514" s="90" t="s">
        <v>2116</v>
      </c>
      <c r="D1514" s="90" t="s">
        <v>2114</v>
      </c>
      <c r="E1514" s="89" t="s">
        <v>1918</v>
      </c>
      <c r="F1514" s="91">
        <v>603080</v>
      </c>
      <c r="G1514" s="91">
        <v>5100300</v>
      </c>
      <c r="H1514" s="87"/>
      <c r="I1514" s="90" t="s">
        <v>1922</v>
      </c>
      <c r="J1514" s="88" t="str">
        <f t="shared" si="23"/>
        <v>重复</v>
      </c>
      <c r="K1514" s="88" t="str">
        <f t="shared" si="23"/>
        <v>不重复</v>
      </c>
    </row>
    <row r="1515" spans="1:11" ht="20.25" customHeight="1">
      <c r="A1515" s="89" t="s">
        <v>2112</v>
      </c>
      <c r="B1515" s="90" t="s">
        <v>8217</v>
      </c>
      <c r="C1515" s="90" t="s">
        <v>2113</v>
      </c>
      <c r="D1515" s="90" t="s">
        <v>8218</v>
      </c>
      <c r="E1515" s="89" t="s">
        <v>1918</v>
      </c>
      <c r="F1515" s="91">
        <v>603081</v>
      </c>
      <c r="G1515" s="91">
        <v>5100300</v>
      </c>
      <c r="H1515" s="87"/>
      <c r="I1515" s="90" t="s">
        <v>8127</v>
      </c>
      <c r="J1515" s="88" t="str">
        <f t="shared" si="23"/>
        <v>重复</v>
      </c>
      <c r="K1515" s="88" t="str">
        <f t="shared" si="23"/>
        <v>不重复</v>
      </c>
    </row>
    <row r="1516" spans="1:11" ht="20.25" customHeight="1">
      <c r="A1516" s="89" t="s">
        <v>2115</v>
      </c>
      <c r="B1516" s="90" t="s">
        <v>8219</v>
      </c>
      <c r="C1516" s="90" t="s">
        <v>2116</v>
      </c>
      <c r="D1516" s="90" t="s">
        <v>2117</v>
      </c>
      <c r="E1516" s="89" t="s">
        <v>1918</v>
      </c>
      <c r="F1516" s="91">
        <v>603082</v>
      </c>
      <c r="G1516" s="91">
        <v>5100300</v>
      </c>
      <c r="H1516" s="87"/>
      <c r="I1516" s="90" t="s">
        <v>1955</v>
      </c>
      <c r="J1516" s="88" t="str">
        <f t="shared" si="23"/>
        <v>重复</v>
      </c>
      <c r="K1516" s="88" t="str">
        <f t="shared" si="23"/>
        <v>不重复</v>
      </c>
    </row>
    <row r="1517" spans="1:11" ht="20.25" customHeight="1">
      <c r="A1517" s="89" t="s">
        <v>2118</v>
      </c>
      <c r="B1517" s="90" t="s">
        <v>8220</v>
      </c>
      <c r="C1517" s="90" t="s">
        <v>2119</v>
      </c>
      <c r="D1517" s="90" t="s">
        <v>2120</v>
      </c>
      <c r="E1517" s="89" t="s">
        <v>1918</v>
      </c>
      <c r="F1517" s="91">
        <v>603083</v>
      </c>
      <c r="G1517" s="91">
        <v>5100300</v>
      </c>
      <c r="H1517" s="87"/>
      <c r="I1517" s="90" t="s">
        <v>8221</v>
      </c>
      <c r="J1517" s="88" t="str">
        <f t="shared" si="23"/>
        <v>不重复</v>
      </c>
      <c r="K1517" s="88" t="str">
        <f t="shared" si="23"/>
        <v>不重复</v>
      </c>
    </row>
    <row r="1518" spans="1:11" ht="20.25" customHeight="1">
      <c r="A1518" s="89" t="s">
        <v>2123</v>
      </c>
      <c r="B1518" s="90" t="s">
        <v>8222</v>
      </c>
      <c r="C1518" s="90" t="s">
        <v>2124</v>
      </c>
      <c r="D1518" s="90" t="s">
        <v>2110</v>
      </c>
      <c r="E1518" s="89" t="s">
        <v>1918</v>
      </c>
      <c r="F1518" s="91">
        <v>603085</v>
      </c>
      <c r="G1518" s="91">
        <v>5100300</v>
      </c>
      <c r="H1518" s="87"/>
      <c r="I1518" s="90" t="s">
        <v>8207</v>
      </c>
      <c r="J1518" s="88" t="str">
        <f t="shared" si="23"/>
        <v>重复</v>
      </c>
      <c r="K1518" s="88" t="str">
        <f t="shared" si="23"/>
        <v>不重复</v>
      </c>
    </row>
    <row r="1519" spans="1:11" ht="20.25" customHeight="1">
      <c r="A1519" s="89" t="s">
        <v>2125</v>
      </c>
      <c r="B1519" s="90" t="s">
        <v>8223</v>
      </c>
      <c r="C1519" s="90" t="s">
        <v>2126</v>
      </c>
      <c r="D1519" s="90" t="s">
        <v>2127</v>
      </c>
      <c r="E1519" s="89" t="s">
        <v>1918</v>
      </c>
      <c r="F1519" s="91">
        <v>603086</v>
      </c>
      <c r="G1519" s="91">
        <v>5100300</v>
      </c>
      <c r="H1519" s="87"/>
      <c r="I1519" s="90" t="s">
        <v>8224</v>
      </c>
      <c r="J1519" s="88" t="str">
        <f t="shared" si="23"/>
        <v>不重复</v>
      </c>
      <c r="K1519" s="88" t="str">
        <f t="shared" si="23"/>
        <v>不重复</v>
      </c>
    </row>
    <row r="1520" spans="1:11" ht="20.25" customHeight="1">
      <c r="A1520" s="89" t="s">
        <v>2128</v>
      </c>
      <c r="B1520" s="90" t="s">
        <v>8225</v>
      </c>
      <c r="C1520" s="90" t="s">
        <v>1798</v>
      </c>
      <c r="D1520" s="90" t="s">
        <v>2129</v>
      </c>
      <c r="E1520" s="89" t="s">
        <v>1918</v>
      </c>
      <c r="F1520" s="91">
        <v>603087</v>
      </c>
      <c r="G1520" s="91">
        <v>5100300</v>
      </c>
      <c r="H1520" s="87"/>
      <c r="I1520" s="90" t="s">
        <v>1340</v>
      </c>
      <c r="J1520" s="88" t="str">
        <f t="shared" si="23"/>
        <v>不重复</v>
      </c>
      <c r="K1520" s="88" t="str">
        <f t="shared" si="23"/>
        <v>不重复</v>
      </c>
    </row>
    <row r="1521" spans="1:11" ht="20.25" customHeight="1">
      <c r="A1521" s="89" t="s">
        <v>2130</v>
      </c>
      <c r="B1521" s="90" t="s">
        <v>8226</v>
      </c>
      <c r="C1521" s="90" t="s">
        <v>2131</v>
      </c>
      <c r="D1521" s="90" t="s">
        <v>2132</v>
      </c>
      <c r="E1521" s="89" t="s">
        <v>1918</v>
      </c>
      <c r="F1521" s="91">
        <v>603088</v>
      </c>
      <c r="G1521" s="91">
        <v>5100300</v>
      </c>
      <c r="H1521" s="87"/>
      <c r="I1521" s="90" t="s">
        <v>1340</v>
      </c>
      <c r="J1521" s="88" t="str">
        <f t="shared" si="23"/>
        <v>不重复</v>
      </c>
      <c r="K1521" s="88" t="str">
        <f t="shared" si="23"/>
        <v>不重复</v>
      </c>
    </row>
    <row r="1522" spans="1:11" ht="20.25" customHeight="1">
      <c r="A1522" s="84" t="s">
        <v>2133</v>
      </c>
      <c r="B1522" s="85" t="s">
        <v>8227</v>
      </c>
      <c r="C1522" s="85" t="s">
        <v>2134</v>
      </c>
      <c r="D1522" s="85" t="s">
        <v>2135</v>
      </c>
      <c r="E1522" s="84" t="s">
        <v>1918</v>
      </c>
      <c r="F1522" s="86">
        <v>603089</v>
      </c>
      <c r="G1522" s="86">
        <v>5100300</v>
      </c>
      <c r="H1522" s="87"/>
      <c r="I1522" s="85" t="s">
        <v>1922</v>
      </c>
      <c r="J1522" s="88" t="str">
        <f t="shared" si="23"/>
        <v>不重复</v>
      </c>
      <c r="K1522" s="88" t="str">
        <f t="shared" si="23"/>
        <v>不重复</v>
      </c>
    </row>
    <row r="1523" spans="1:11" ht="20.25" customHeight="1">
      <c r="A1523" s="89" t="s">
        <v>8228</v>
      </c>
      <c r="B1523" s="90" t="s">
        <v>8229</v>
      </c>
      <c r="C1523" s="90" t="s">
        <v>8184</v>
      </c>
      <c r="D1523" s="90" t="s">
        <v>8230</v>
      </c>
      <c r="E1523" s="89" t="s">
        <v>1918</v>
      </c>
      <c r="F1523" s="91">
        <v>603090</v>
      </c>
      <c r="G1523" s="91">
        <v>5100300</v>
      </c>
      <c r="H1523" s="87"/>
      <c r="I1523" s="90" t="s">
        <v>25</v>
      </c>
      <c r="J1523" s="88" t="str">
        <f t="shared" si="23"/>
        <v>重复</v>
      </c>
      <c r="K1523" s="88" t="str">
        <f t="shared" si="23"/>
        <v>不重复</v>
      </c>
    </row>
    <row r="1524" spans="1:11" ht="20.25" customHeight="1">
      <c r="A1524" s="89" t="s">
        <v>2136</v>
      </c>
      <c r="B1524" s="90" t="s">
        <v>8231</v>
      </c>
      <c r="C1524" s="90" t="s">
        <v>666</v>
      </c>
      <c r="D1524" s="90" t="s">
        <v>2137</v>
      </c>
      <c r="E1524" s="89" t="s">
        <v>1918</v>
      </c>
      <c r="F1524" s="91">
        <v>603091</v>
      </c>
      <c r="G1524" s="91">
        <v>5100300</v>
      </c>
      <c r="H1524" s="87"/>
      <c r="I1524" s="90" t="s">
        <v>8232</v>
      </c>
      <c r="J1524" s="88" t="str">
        <f t="shared" si="23"/>
        <v>不重复</v>
      </c>
      <c r="K1524" s="88" t="str">
        <f t="shared" si="23"/>
        <v>不重复</v>
      </c>
    </row>
    <row r="1525" spans="1:11" ht="20.25" customHeight="1">
      <c r="A1525" s="89" t="s">
        <v>2138</v>
      </c>
      <c r="B1525" s="90" t="s">
        <v>8233</v>
      </c>
      <c r="C1525" s="90" t="s">
        <v>2139</v>
      </c>
      <c r="D1525" s="90" t="s">
        <v>2140</v>
      </c>
      <c r="E1525" s="89" t="s">
        <v>1918</v>
      </c>
      <c r="F1525" s="91">
        <v>603092</v>
      </c>
      <c r="G1525" s="91">
        <v>5100300</v>
      </c>
      <c r="H1525" s="87"/>
      <c r="I1525" s="90" t="s">
        <v>1922</v>
      </c>
      <c r="J1525" s="88" t="str">
        <f t="shared" si="23"/>
        <v>不重复</v>
      </c>
      <c r="K1525" s="88" t="str">
        <f t="shared" si="23"/>
        <v>不重复</v>
      </c>
    </row>
    <row r="1526" spans="1:11" ht="20.25" customHeight="1">
      <c r="A1526" s="89" t="s">
        <v>2147</v>
      </c>
      <c r="B1526" s="90" t="s">
        <v>2148</v>
      </c>
      <c r="C1526" s="90" t="s">
        <v>2149</v>
      </c>
      <c r="D1526" s="90" t="s">
        <v>2150</v>
      </c>
      <c r="E1526" s="89" t="s">
        <v>1918</v>
      </c>
      <c r="F1526" s="91">
        <v>603093</v>
      </c>
      <c r="G1526" s="91">
        <v>5100300</v>
      </c>
      <c r="H1526" s="87"/>
      <c r="I1526" s="90" t="s">
        <v>25</v>
      </c>
      <c r="J1526" s="88" t="str">
        <f t="shared" si="23"/>
        <v>重复</v>
      </c>
      <c r="K1526" s="88" t="str">
        <f t="shared" si="23"/>
        <v>不重复</v>
      </c>
    </row>
    <row r="1527" spans="1:11" ht="20.25" customHeight="1">
      <c r="A1527" s="89" t="s">
        <v>2141</v>
      </c>
      <c r="B1527" s="90" t="s">
        <v>8234</v>
      </c>
      <c r="C1527" s="90" t="s">
        <v>138</v>
      </c>
      <c r="D1527" s="90" t="s">
        <v>2142</v>
      </c>
      <c r="E1527" s="89" t="s">
        <v>1918</v>
      </c>
      <c r="F1527" s="91">
        <v>603094</v>
      </c>
      <c r="G1527" s="91">
        <v>5100300</v>
      </c>
      <c r="H1527" s="87"/>
      <c r="I1527" s="90" t="s">
        <v>8235</v>
      </c>
      <c r="J1527" s="88" t="str">
        <f t="shared" si="23"/>
        <v>重复</v>
      </c>
      <c r="K1527" s="88" t="str">
        <f t="shared" si="23"/>
        <v>不重复</v>
      </c>
    </row>
    <row r="1528" spans="1:11" ht="20.25" customHeight="1">
      <c r="A1528" s="89" t="s">
        <v>2151</v>
      </c>
      <c r="B1528" s="90" t="s">
        <v>8236</v>
      </c>
      <c r="C1528" s="90" t="s">
        <v>372</v>
      </c>
      <c r="D1528" s="90" t="s">
        <v>2152</v>
      </c>
      <c r="E1528" s="89" t="s">
        <v>1918</v>
      </c>
      <c r="F1528" s="91">
        <v>603095</v>
      </c>
      <c r="G1528" s="91">
        <v>5100300</v>
      </c>
      <c r="H1528" s="87"/>
      <c r="I1528" s="90" t="s">
        <v>2146</v>
      </c>
      <c r="J1528" s="88" t="str">
        <f t="shared" si="23"/>
        <v>重复</v>
      </c>
      <c r="K1528" s="88" t="str">
        <f t="shared" si="23"/>
        <v>不重复</v>
      </c>
    </row>
    <row r="1529" spans="1:11" ht="20.25" customHeight="1">
      <c r="A1529" s="89" t="s">
        <v>2153</v>
      </c>
      <c r="B1529" s="90" t="s">
        <v>8237</v>
      </c>
      <c r="C1529" s="90" t="s">
        <v>2154</v>
      </c>
      <c r="D1529" s="90" t="s">
        <v>2155</v>
      </c>
      <c r="E1529" s="89" t="s">
        <v>1918</v>
      </c>
      <c r="F1529" s="91">
        <v>603096</v>
      </c>
      <c r="G1529" s="91">
        <v>5100300</v>
      </c>
      <c r="H1529" s="87"/>
      <c r="I1529" s="90" t="s">
        <v>8238</v>
      </c>
      <c r="J1529" s="88" t="str">
        <f t="shared" si="23"/>
        <v>不重复</v>
      </c>
      <c r="K1529" s="88" t="str">
        <f t="shared" si="23"/>
        <v>不重复</v>
      </c>
    </row>
    <row r="1530" spans="1:11" ht="20.25" customHeight="1">
      <c r="A1530" s="89" t="s">
        <v>2143</v>
      </c>
      <c r="B1530" s="90" t="s">
        <v>8239</v>
      </c>
      <c r="C1530" s="90" t="s">
        <v>2144</v>
      </c>
      <c r="D1530" s="90" t="s">
        <v>2145</v>
      </c>
      <c r="E1530" s="89" t="s">
        <v>1918</v>
      </c>
      <c r="F1530" s="91">
        <v>603097</v>
      </c>
      <c r="G1530" s="91">
        <v>5100300</v>
      </c>
      <c r="H1530" s="87"/>
      <c r="I1530" s="90" t="s">
        <v>8240</v>
      </c>
      <c r="J1530" s="88" t="str">
        <f t="shared" si="23"/>
        <v>不重复</v>
      </c>
      <c r="K1530" s="88" t="str">
        <f t="shared" si="23"/>
        <v>不重复</v>
      </c>
    </row>
    <row r="1531" spans="1:11" ht="20.25" customHeight="1">
      <c r="A1531" s="89" t="s">
        <v>2169</v>
      </c>
      <c r="B1531" s="90" t="s">
        <v>2170</v>
      </c>
      <c r="C1531" s="90" t="s">
        <v>2171</v>
      </c>
      <c r="D1531" s="90" t="s">
        <v>2172</v>
      </c>
      <c r="E1531" s="89" t="s">
        <v>1918</v>
      </c>
      <c r="F1531" s="91">
        <v>603098</v>
      </c>
      <c r="G1531" s="91">
        <v>5100300</v>
      </c>
      <c r="H1531" s="87"/>
      <c r="I1531" s="90" t="s">
        <v>25</v>
      </c>
      <c r="J1531" s="88" t="str">
        <f t="shared" si="23"/>
        <v>不重复</v>
      </c>
      <c r="K1531" s="88" t="str">
        <f t="shared" si="23"/>
        <v>不重复</v>
      </c>
    </row>
    <row r="1532" spans="1:11" ht="20.25" customHeight="1">
      <c r="A1532" s="89" t="s">
        <v>2156</v>
      </c>
      <c r="B1532" s="90" t="s">
        <v>8241</v>
      </c>
      <c r="C1532" s="90" t="s">
        <v>1590</v>
      </c>
      <c r="D1532" s="90" t="s">
        <v>2157</v>
      </c>
      <c r="E1532" s="89" t="s">
        <v>1918</v>
      </c>
      <c r="F1532" s="91">
        <v>603099</v>
      </c>
      <c r="G1532" s="91">
        <v>5100300</v>
      </c>
      <c r="H1532" s="87"/>
      <c r="I1532" s="90" t="s">
        <v>8242</v>
      </c>
      <c r="J1532" s="88" t="str">
        <f t="shared" si="23"/>
        <v>不重复</v>
      </c>
      <c r="K1532" s="88" t="str">
        <f t="shared" si="23"/>
        <v>不重复</v>
      </c>
    </row>
    <row r="1533" spans="1:11" ht="20.25" customHeight="1">
      <c r="A1533" s="89" t="s">
        <v>2164</v>
      </c>
      <c r="B1533" s="90" t="s">
        <v>8243</v>
      </c>
      <c r="C1533" s="90" t="s">
        <v>2165</v>
      </c>
      <c r="D1533" s="90" t="s">
        <v>2166</v>
      </c>
      <c r="E1533" s="89" t="s">
        <v>1918</v>
      </c>
      <c r="F1533" s="91">
        <v>603100</v>
      </c>
      <c r="G1533" s="91">
        <v>5100300</v>
      </c>
      <c r="H1533" s="87"/>
      <c r="I1533" s="90" t="s">
        <v>1922</v>
      </c>
      <c r="J1533" s="88" t="str">
        <f t="shared" si="23"/>
        <v>重复</v>
      </c>
      <c r="K1533" s="88" t="str">
        <f t="shared" si="23"/>
        <v>不重复</v>
      </c>
    </row>
    <row r="1534" spans="1:11" ht="20.25" customHeight="1">
      <c r="A1534" s="89" t="s">
        <v>2167</v>
      </c>
      <c r="B1534" s="90" t="s">
        <v>8244</v>
      </c>
      <c r="C1534" s="90" t="s">
        <v>1051</v>
      </c>
      <c r="D1534" s="90" t="s">
        <v>2168</v>
      </c>
      <c r="E1534" s="89" t="s">
        <v>1918</v>
      </c>
      <c r="F1534" s="91">
        <v>603101</v>
      </c>
      <c r="G1534" s="91">
        <v>5100300</v>
      </c>
      <c r="H1534" s="87"/>
      <c r="I1534" s="90" t="s">
        <v>8245</v>
      </c>
      <c r="J1534" s="88" t="str">
        <f t="shared" si="23"/>
        <v>重复</v>
      </c>
      <c r="K1534" s="88" t="str">
        <f t="shared" si="23"/>
        <v>不重复</v>
      </c>
    </row>
    <row r="1535" spans="1:11" ht="20.25" customHeight="1">
      <c r="A1535" s="89" t="s">
        <v>2158</v>
      </c>
      <c r="B1535" s="90" t="s">
        <v>8246</v>
      </c>
      <c r="C1535" s="90" t="s">
        <v>2159</v>
      </c>
      <c r="D1535" s="90" t="s">
        <v>2160</v>
      </c>
      <c r="E1535" s="89" t="s">
        <v>1918</v>
      </c>
      <c r="F1535" s="91">
        <v>603102</v>
      </c>
      <c r="G1535" s="91">
        <v>5100300</v>
      </c>
      <c r="H1535" s="87"/>
      <c r="I1535" s="90" t="s">
        <v>1327</v>
      </c>
      <c r="J1535" s="88" t="str">
        <f t="shared" si="23"/>
        <v>重复</v>
      </c>
      <c r="K1535" s="88" t="str">
        <f t="shared" si="23"/>
        <v>不重复</v>
      </c>
    </row>
    <row r="1536" spans="1:11" ht="20.25" customHeight="1">
      <c r="A1536" s="89" t="s">
        <v>2161</v>
      </c>
      <c r="B1536" s="90" t="s">
        <v>8247</v>
      </c>
      <c r="C1536" s="90" t="s">
        <v>2162</v>
      </c>
      <c r="D1536" s="90" t="s">
        <v>2163</v>
      </c>
      <c r="E1536" s="89" t="s">
        <v>1918</v>
      </c>
      <c r="F1536" s="91">
        <v>603103</v>
      </c>
      <c r="G1536" s="91">
        <v>5100300</v>
      </c>
      <c r="H1536" s="87"/>
      <c r="I1536" s="90" t="s">
        <v>8245</v>
      </c>
      <c r="J1536" s="88" t="str">
        <f t="shared" si="23"/>
        <v>不重复</v>
      </c>
      <c r="K1536" s="88" t="str">
        <f t="shared" si="23"/>
        <v>不重复</v>
      </c>
    </row>
    <row r="1537" spans="1:11" ht="20.25" customHeight="1">
      <c r="A1537" s="89" t="s">
        <v>2189</v>
      </c>
      <c r="B1537" s="90" t="s">
        <v>2190</v>
      </c>
      <c r="C1537" s="90" t="s">
        <v>2191</v>
      </c>
      <c r="D1537" s="90" t="s">
        <v>8248</v>
      </c>
      <c r="E1537" s="89" t="s">
        <v>1918</v>
      </c>
      <c r="F1537" s="91">
        <v>603104</v>
      </c>
      <c r="G1537" s="91">
        <v>5100300</v>
      </c>
      <c r="H1537" s="87"/>
      <c r="I1537" s="90" t="s">
        <v>25</v>
      </c>
      <c r="J1537" s="88" t="str">
        <f t="shared" si="23"/>
        <v>重复</v>
      </c>
      <c r="K1537" s="88" t="str">
        <f t="shared" si="23"/>
        <v>不重复</v>
      </c>
    </row>
    <row r="1538" spans="1:11" ht="20.25" customHeight="1">
      <c r="A1538" s="89" t="s">
        <v>2173</v>
      </c>
      <c r="B1538" s="90" t="s">
        <v>8249</v>
      </c>
      <c r="C1538" s="90" t="s">
        <v>2174</v>
      </c>
      <c r="D1538" s="90" t="s">
        <v>2175</v>
      </c>
      <c r="E1538" s="89" t="s">
        <v>1918</v>
      </c>
      <c r="F1538" s="91">
        <v>603105</v>
      </c>
      <c r="G1538" s="91">
        <v>5100300</v>
      </c>
      <c r="H1538" s="87"/>
      <c r="I1538" s="90" t="s">
        <v>8250</v>
      </c>
      <c r="J1538" s="88" t="str">
        <f t="shared" si="23"/>
        <v>不重复</v>
      </c>
      <c r="K1538" s="88" t="str">
        <f t="shared" si="23"/>
        <v>不重复</v>
      </c>
    </row>
    <row r="1539" spans="1:11" ht="20.25" customHeight="1">
      <c r="A1539" s="89" t="s">
        <v>2183</v>
      </c>
      <c r="B1539" s="90" t="s">
        <v>8251</v>
      </c>
      <c r="C1539" s="90" t="s">
        <v>2184</v>
      </c>
      <c r="D1539" s="90" t="s">
        <v>2185</v>
      </c>
      <c r="E1539" s="89" t="s">
        <v>1918</v>
      </c>
      <c r="F1539" s="91">
        <v>603106</v>
      </c>
      <c r="G1539" s="91">
        <v>5100300</v>
      </c>
      <c r="H1539" s="87"/>
      <c r="I1539" s="90" t="s">
        <v>8252</v>
      </c>
      <c r="J1539" s="88" t="str">
        <f t="shared" si="24" ref="J1539:K1602">IF(COUNTIF(C:C,C1539)&gt;=2,"重复","不重复")</f>
        <v>重复</v>
      </c>
      <c r="K1539" s="88" t="str">
        <f t="shared" si="24"/>
        <v>不重复</v>
      </c>
    </row>
    <row r="1540" spans="1:11" ht="20.25" customHeight="1">
      <c r="A1540" s="89" t="s">
        <v>2186</v>
      </c>
      <c r="B1540" s="90" t="s">
        <v>8253</v>
      </c>
      <c r="C1540" s="90" t="s">
        <v>2187</v>
      </c>
      <c r="D1540" s="90" t="s">
        <v>2188</v>
      </c>
      <c r="E1540" s="89" t="s">
        <v>1918</v>
      </c>
      <c r="F1540" s="91">
        <v>603107</v>
      </c>
      <c r="G1540" s="91">
        <v>5100300</v>
      </c>
      <c r="H1540" s="87"/>
      <c r="I1540" s="90" t="s">
        <v>8254</v>
      </c>
      <c r="J1540" s="88" t="str">
        <f t="shared" si="24"/>
        <v>不重复</v>
      </c>
      <c r="K1540" s="88" t="str">
        <f t="shared" si="24"/>
        <v>不重复</v>
      </c>
    </row>
    <row r="1541" spans="1:11" ht="20.25" customHeight="1">
      <c r="A1541" s="89" t="s">
        <v>2176</v>
      </c>
      <c r="B1541" s="90" t="s">
        <v>8255</v>
      </c>
      <c r="C1541" s="90" t="s">
        <v>675</v>
      </c>
      <c r="D1541" s="90" t="s">
        <v>2177</v>
      </c>
      <c r="E1541" s="89" t="s">
        <v>1918</v>
      </c>
      <c r="F1541" s="91">
        <v>603108</v>
      </c>
      <c r="G1541" s="91">
        <v>5100300</v>
      </c>
      <c r="H1541" s="87"/>
      <c r="I1541" s="90" t="s">
        <v>8168</v>
      </c>
      <c r="J1541" s="88" t="str">
        <f t="shared" si="24"/>
        <v>重复</v>
      </c>
      <c r="K1541" s="88" t="str">
        <f t="shared" si="24"/>
        <v>不重复</v>
      </c>
    </row>
    <row r="1542" spans="1:11" ht="20.25" customHeight="1">
      <c r="A1542" s="89" t="s">
        <v>2178</v>
      </c>
      <c r="B1542" s="90" t="s">
        <v>8256</v>
      </c>
      <c r="C1542" s="90" t="s">
        <v>2179</v>
      </c>
      <c r="D1542" s="90" t="s">
        <v>609</v>
      </c>
      <c r="E1542" s="89" t="s">
        <v>1918</v>
      </c>
      <c r="F1542" s="91">
        <v>603109</v>
      </c>
      <c r="G1542" s="91">
        <v>5100300</v>
      </c>
      <c r="H1542" s="87"/>
      <c r="I1542" s="90" t="s">
        <v>8257</v>
      </c>
      <c r="J1542" s="88" t="str">
        <f t="shared" si="24"/>
        <v>重复</v>
      </c>
      <c r="K1542" s="88" t="str">
        <f t="shared" si="24"/>
        <v>不重复</v>
      </c>
    </row>
    <row r="1543" spans="1:11" ht="20.25" customHeight="1">
      <c r="A1543" s="89" t="s">
        <v>2180</v>
      </c>
      <c r="B1543" s="90" t="s">
        <v>8258</v>
      </c>
      <c r="C1543" s="90" t="s">
        <v>2181</v>
      </c>
      <c r="D1543" s="90" t="s">
        <v>2182</v>
      </c>
      <c r="E1543" s="89" t="s">
        <v>1918</v>
      </c>
      <c r="F1543" s="91">
        <v>603110</v>
      </c>
      <c r="G1543" s="91">
        <v>5100300</v>
      </c>
      <c r="H1543" s="87"/>
      <c r="I1543" s="90" t="s">
        <v>1955</v>
      </c>
      <c r="J1543" s="88" t="str">
        <f t="shared" si="24"/>
        <v>不重复</v>
      </c>
      <c r="K1543" s="88" t="str">
        <f t="shared" si="24"/>
        <v>不重复</v>
      </c>
    </row>
    <row r="1544" spans="1:11" ht="20.25" customHeight="1">
      <c r="A1544" s="89" t="s">
        <v>8259</v>
      </c>
      <c r="B1544" s="90" t="s">
        <v>8260</v>
      </c>
      <c r="C1544" s="90" t="s">
        <v>8261</v>
      </c>
      <c r="D1544" s="90" t="s">
        <v>8262</v>
      </c>
      <c r="E1544" s="89" t="s">
        <v>1918</v>
      </c>
      <c r="F1544" s="91">
        <v>603111</v>
      </c>
      <c r="G1544" s="91">
        <v>5100300</v>
      </c>
      <c r="H1544" s="87"/>
      <c r="I1544" s="90" t="s">
        <v>25</v>
      </c>
      <c r="J1544" s="88" t="str">
        <f t="shared" si="24"/>
        <v>不重复</v>
      </c>
      <c r="K1544" s="88" t="str">
        <f t="shared" si="24"/>
        <v>不重复</v>
      </c>
    </row>
    <row r="1545" spans="1:11" ht="20.25" customHeight="1">
      <c r="A1545" s="89" t="s">
        <v>2192</v>
      </c>
      <c r="B1545" s="90" t="s">
        <v>8263</v>
      </c>
      <c r="C1545" s="90" t="s">
        <v>2193</v>
      </c>
      <c r="D1545" s="90" t="s">
        <v>2194</v>
      </c>
      <c r="E1545" s="89" t="s">
        <v>1918</v>
      </c>
      <c r="F1545" s="91">
        <v>603112</v>
      </c>
      <c r="G1545" s="91">
        <v>5100300</v>
      </c>
      <c r="H1545" s="87"/>
      <c r="I1545" s="90" t="s">
        <v>8264</v>
      </c>
      <c r="J1545" s="88" t="str">
        <f t="shared" si="24"/>
        <v>不重复</v>
      </c>
      <c r="K1545" s="88" t="str">
        <f t="shared" si="24"/>
        <v>不重复</v>
      </c>
    </row>
    <row r="1546" spans="1:11" ht="20.25" customHeight="1">
      <c r="A1546" s="89" t="s">
        <v>8265</v>
      </c>
      <c r="B1546" s="90" t="s">
        <v>8266</v>
      </c>
      <c r="C1546" s="90" t="s">
        <v>8267</v>
      </c>
      <c r="D1546" s="90" t="s">
        <v>321</v>
      </c>
      <c r="E1546" s="89" t="s">
        <v>1918</v>
      </c>
      <c r="F1546" s="91">
        <v>603113</v>
      </c>
      <c r="G1546" s="91">
        <v>5100300</v>
      </c>
      <c r="H1546" s="87"/>
      <c r="I1546" s="90" t="s">
        <v>25</v>
      </c>
      <c r="J1546" s="88" t="str">
        <f t="shared" si="24"/>
        <v>不重复</v>
      </c>
      <c r="K1546" s="88" t="str">
        <f t="shared" si="24"/>
        <v>不重复</v>
      </c>
    </row>
    <row r="1547" spans="1:11" ht="20.25" customHeight="1">
      <c r="A1547" s="89" t="s">
        <v>2195</v>
      </c>
      <c r="B1547" s="90" t="s">
        <v>8268</v>
      </c>
      <c r="C1547" s="90" t="s">
        <v>2196</v>
      </c>
      <c r="D1547" s="90" t="s">
        <v>1536</v>
      </c>
      <c r="E1547" s="89" t="s">
        <v>1918</v>
      </c>
      <c r="F1547" s="91">
        <v>603114</v>
      </c>
      <c r="G1547" s="91">
        <v>5100300</v>
      </c>
      <c r="H1547" s="87"/>
      <c r="I1547" s="90" t="s">
        <v>7205</v>
      </c>
      <c r="J1547" s="88" t="str">
        <f t="shared" si="24"/>
        <v>不重复</v>
      </c>
      <c r="K1547" s="88" t="str">
        <f t="shared" si="24"/>
        <v>不重复</v>
      </c>
    </row>
    <row r="1548" spans="1:11" ht="20.25" customHeight="1">
      <c r="A1548" s="89" t="s">
        <v>8269</v>
      </c>
      <c r="B1548" s="90" t="s">
        <v>8270</v>
      </c>
      <c r="C1548" s="90" t="s">
        <v>8271</v>
      </c>
      <c r="D1548" s="90" t="s">
        <v>8272</v>
      </c>
      <c r="E1548" s="89" t="s">
        <v>1918</v>
      </c>
      <c r="F1548" s="91">
        <v>603115</v>
      </c>
      <c r="G1548" s="91">
        <v>5100300</v>
      </c>
      <c r="H1548" s="87"/>
      <c r="I1548" s="90" t="s">
        <v>25</v>
      </c>
      <c r="J1548" s="88" t="str">
        <f t="shared" si="24"/>
        <v>不重复</v>
      </c>
      <c r="K1548" s="88" t="str">
        <f t="shared" si="24"/>
        <v>不重复</v>
      </c>
    </row>
    <row r="1549" spans="1:11" ht="20.25" customHeight="1">
      <c r="A1549" s="89" t="s">
        <v>2197</v>
      </c>
      <c r="B1549" s="90" t="s">
        <v>8273</v>
      </c>
      <c r="C1549" s="90" t="s">
        <v>2198</v>
      </c>
      <c r="D1549" s="90" t="s">
        <v>2199</v>
      </c>
      <c r="E1549" s="89" t="s">
        <v>1918</v>
      </c>
      <c r="F1549" s="91">
        <v>603116</v>
      </c>
      <c r="G1549" s="91">
        <v>5100300</v>
      </c>
      <c r="H1549" s="87"/>
      <c r="I1549" s="90" t="s">
        <v>8136</v>
      </c>
      <c r="J1549" s="88" t="str">
        <f t="shared" si="24"/>
        <v>不重复</v>
      </c>
      <c r="K1549" s="88" t="str">
        <f t="shared" si="24"/>
        <v>不重复</v>
      </c>
    </row>
    <row r="1550" spans="1:11" ht="20.25" customHeight="1">
      <c r="A1550" s="89" t="s">
        <v>2200</v>
      </c>
      <c r="B1550" s="90" t="s">
        <v>8274</v>
      </c>
      <c r="C1550" s="90" t="s">
        <v>2201</v>
      </c>
      <c r="D1550" s="90" t="s">
        <v>2202</v>
      </c>
      <c r="E1550" s="89" t="s">
        <v>1918</v>
      </c>
      <c r="F1550" s="91">
        <v>603117</v>
      </c>
      <c r="G1550" s="91">
        <v>5100300</v>
      </c>
      <c r="H1550" s="87"/>
      <c r="I1550" s="90" t="s">
        <v>8136</v>
      </c>
      <c r="J1550" s="88" t="str">
        <f t="shared" si="24"/>
        <v>不重复</v>
      </c>
      <c r="K1550" s="88" t="str">
        <f t="shared" si="24"/>
        <v>不重复</v>
      </c>
    </row>
    <row r="1551" spans="1:11" ht="20.25" customHeight="1">
      <c r="A1551" s="89" t="s">
        <v>2203</v>
      </c>
      <c r="B1551" s="90" t="s">
        <v>8275</v>
      </c>
      <c r="C1551" s="90" t="s">
        <v>2204</v>
      </c>
      <c r="D1551" s="90" t="s">
        <v>8276</v>
      </c>
      <c r="E1551" s="89" t="s">
        <v>1918</v>
      </c>
      <c r="F1551" s="91">
        <v>603118</v>
      </c>
      <c r="G1551" s="91">
        <v>5100300</v>
      </c>
      <c r="H1551" s="87"/>
      <c r="I1551" s="90" t="s">
        <v>8136</v>
      </c>
      <c r="J1551" s="88" t="str">
        <f t="shared" si="24"/>
        <v>不重复</v>
      </c>
      <c r="K1551" s="88" t="str">
        <f t="shared" si="24"/>
        <v>不重复</v>
      </c>
    </row>
    <row r="1552" spans="1:11" ht="20.25" customHeight="1">
      <c r="A1552" s="89" t="s">
        <v>2226</v>
      </c>
      <c r="B1552" s="90" t="s">
        <v>2227</v>
      </c>
      <c r="C1552" s="90" t="s">
        <v>2228</v>
      </c>
      <c r="D1552" s="90" t="s">
        <v>2229</v>
      </c>
      <c r="E1552" s="89" t="s">
        <v>1918</v>
      </c>
      <c r="F1552" s="91">
        <v>603119</v>
      </c>
      <c r="G1552" s="91">
        <v>5100300</v>
      </c>
      <c r="H1552" s="87"/>
      <c r="I1552" s="90" t="s">
        <v>25</v>
      </c>
      <c r="J1552" s="88" t="str">
        <f t="shared" si="24"/>
        <v>不重复</v>
      </c>
      <c r="K1552" s="88" t="str">
        <f t="shared" si="24"/>
        <v>不重复</v>
      </c>
    </row>
    <row r="1553" spans="1:11" ht="20.25" customHeight="1">
      <c r="A1553" s="89" t="s">
        <v>2205</v>
      </c>
      <c r="B1553" s="90" t="s">
        <v>8277</v>
      </c>
      <c r="C1553" s="90" t="s">
        <v>2206</v>
      </c>
      <c r="D1553" s="90" t="s">
        <v>2207</v>
      </c>
      <c r="E1553" s="89" t="s">
        <v>1918</v>
      </c>
      <c r="F1553" s="91">
        <v>603120</v>
      </c>
      <c r="G1553" s="91">
        <v>5100300</v>
      </c>
      <c r="H1553" s="87"/>
      <c r="I1553" s="90" t="s">
        <v>1914</v>
      </c>
      <c r="J1553" s="88" t="str">
        <f t="shared" si="24"/>
        <v>不重复</v>
      </c>
      <c r="K1553" s="88" t="str">
        <f t="shared" si="24"/>
        <v>不重复</v>
      </c>
    </row>
    <row r="1554" spans="1:11" ht="20.25" customHeight="1">
      <c r="A1554" s="89" t="s">
        <v>2221</v>
      </c>
      <c r="B1554" s="90" t="s">
        <v>8278</v>
      </c>
      <c r="C1554" s="90" t="s">
        <v>2222</v>
      </c>
      <c r="D1554" s="90" t="s">
        <v>2223</v>
      </c>
      <c r="E1554" s="89" t="s">
        <v>1918</v>
      </c>
      <c r="F1554" s="91">
        <v>603121</v>
      </c>
      <c r="G1554" s="91">
        <v>5100300</v>
      </c>
      <c r="H1554" s="87"/>
      <c r="I1554" s="90" t="s">
        <v>8168</v>
      </c>
      <c r="J1554" s="88" t="str">
        <f t="shared" si="24"/>
        <v>不重复</v>
      </c>
      <c r="K1554" s="88" t="str">
        <f t="shared" si="24"/>
        <v>不重复</v>
      </c>
    </row>
    <row r="1555" spans="1:11" ht="20.25" customHeight="1">
      <c r="A1555" s="89" t="s">
        <v>2224</v>
      </c>
      <c r="B1555" s="90" t="s">
        <v>8279</v>
      </c>
      <c r="C1555" s="90" t="s">
        <v>2225</v>
      </c>
      <c r="D1555" s="90" t="s">
        <v>8280</v>
      </c>
      <c r="E1555" s="89" t="s">
        <v>1918</v>
      </c>
      <c r="F1555" s="91">
        <v>603122</v>
      </c>
      <c r="G1555" s="91">
        <v>5100300</v>
      </c>
      <c r="H1555" s="87"/>
      <c r="I1555" s="90" t="s">
        <v>8158</v>
      </c>
      <c r="J1555" s="88" t="str">
        <f t="shared" si="24"/>
        <v>不重复</v>
      </c>
      <c r="K1555" s="88" t="str">
        <f t="shared" si="24"/>
        <v>不重复</v>
      </c>
    </row>
    <row r="1556" spans="1:11" ht="20.25" customHeight="1">
      <c r="A1556" s="89" t="s">
        <v>2208</v>
      </c>
      <c r="B1556" s="90" t="s">
        <v>8281</v>
      </c>
      <c r="C1556" s="90" t="s">
        <v>2209</v>
      </c>
      <c r="D1556" s="90" t="s">
        <v>2210</v>
      </c>
      <c r="E1556" s="89" t="s">
        <v>1918</v>
      </c>
      <c r="F1556" s="91">
        <v>603123</v>
      </c>
      <c r="G1556" s="91">
        <v>5100300</v>
      </c>
      <c r="H1556" s="87"/>
      <c r="I1556" s="90" t="s">
        <v>8168</v>
      </c>
      <c r="J1556" s="88" t="str">
        <f t="shared" si="24"/>
        <v>不重复</v>
      </c>
      <c r="K1556" s="88" t="str">
        <f t="shared" si="24"/>
        <v>不重复</v>
      </c>
    </row>
    <row r="1557" spans="1:11" ht="20.25" customHeight="1">
      <c r="A1557" s="89" t="s">
        <v>2211</v>
      </c>
      <c r="B1557" s="90" t="s">
        <v>8282</v>
      </c>
      <c r="C1557" s="90" t="s">
        <v>2212</v>
      </c>
      <c r="D1557" s="90" t="s">
        <v>8283</v>
      </c>
      <c r="E1557" s="89" t="s">
        <v>1918</v>
      </c>
      <c r="F1557" s="91">
        <v>603124</v>
      </c>
      <c r="G1557" s="91">
        <v>5100300</v>
      </c>
      <c r="H1557" s="87"/>
      <c r="I1557" s="90" t="s">
        <v>8264</v>
      </c>
      <c r="J1557" s="88" t="str">
        <f t="shared" si="24"/>
        <v>重复</v>
      </c>
      <c r="K1557" s="88" t="str">
        <f t="shared" si="24"/>
        <v>不重复</v>
      </c>
    </row>
    <row r="1558" spans="1:11" ht="20.25" customHeight="1">
      <c r="A1558" s="89" t="s">
        <v>2213</v>
      </c>
      <c r="B1558" s="90" t="s">
        <v>8284</v>
      </c>
      <c r="C1558" s="90" t="s">
        <v>2214</v>
      </c>
      <c r="D1558" s="90" t="s">
        <v>8285</v>
      </c>
      <c r="E1558" s="89" t="s">
        <v>1918</v>
      </c>
      <c r="F1558" s="91">
        <v>603125</v>
      </c>
      <c r="G1558" s="91">
        <v>5100300</v>
      </c>
      <c r="H1558" s="87"/>
      <c r="I1558" s="90" t="s">
        <v>8168</v>
      </c>
      <c r="J1558" s="88" t="str">
        <f t="shared" si="24"/>
        <v>不重复</v>
      </c>
      <c r="K1558" s="88" t="str">
        <f t="shared" si="24"/>
        <v>不重复</v>
      </c>
    </row>
    <row r="1559" spans="1:11" ht="20.25" customHeight="1">
      <c r="A1559" s="89" t="s">
        <v>2215</v>
      </c>
      <c r="B1559" s="90" t="s">
        <v>8286</v>
      </c>
      <c r="C1559" s="90" t="s">
        <v>2216</v>
      </c>
      <c r="D1559" s="90" t="s">
        <v>2217</v>
      </c>
      <c r="E1559" s="89" t="s">
        <v>1918</v>
      </c>
      <c r="F1559" s="91">
        <v>603126</v>
      </c>
      <c r="G1559" s="91">
        <v>5100300</v>
      </c>
      <c r="H1559" s="87"/>
      <c r="I1559" s="90" t="s">
        <v>8168</v>
      </c>
      <c r="J1559" s="88" t="str">
        <f t="shared" si="24"/>
        <v>重复</v>
      </c>
      <c r="K1559" s="88" t="str">
        <f t="shared" si="24"/>
        <v>不重复</v>
      </c>
    </row>
    <row r="1560" spans="1:11" ht="20.25" customHeight="1">
      <c r="A1560" s="89" t="s">
        <v>2218</v>
      </c>
      <c r="B1560" s="90" t="s">
        <v>8287</v>
      </c>
      <c r="C1560" s="90" t="s">
        <v>2219</v>
      </c>
      <c r="D1560" s="90" t="s">
        <v>2220</v>
      </c>
      <c r="E1560" s="89" t="s">
        <v>1918</v>
      </c>
      <c r="F1560" s="91">
        <v>603127</v>
      </c>
      <c r="G1560" s="91">
        <v>5100300</v>
      </c>
      <c r="H1560" s="87"/>
      <c r="I1560" s="90" t="s">
        <v>8288</v>
      </c>
      <c r="J1560" s="88" t="str">
        <f t="shared" si="24"/>
        <v>不重复</v>
      </c>
      <c r="K1560" s="88" t="str">
        <f t="shared" si="24"/>
        <v>不重复</v>
      </c>
    </row>
    <row r="1561" spans="1:11" ht="20.25" customHeight="1">
      <c r="A1561" s="84" t="s">
        <v>2281</v>
      </c>
      <c r="B1561" s="85" t="s">
        <v>2282</v>
      </c>
      <c r="C1561" s="85" t="s">
        <v>2283</v>
      </c>
      <c r="D1561" s="85" t="s">
        <v>8289</v>
      </c>
      <c r="E1561" s="84" t="s">
        <v>1918</v>
      </c>
      <c r="F1561" s="86">
        <v>603128</v>
      </c>
      <c r="G1561" s="86">
        <v>5100300</v>
      </c>
      <c r="H1561" s="87"/>
      <c r="I1561" s="85" t="s">
        <v>25</v>
      </c>
      <c r="J1561" s="88" t="str">
        <f t="shared" si="24"/>
        <v>不重复</v>
      </c>
      <c r="K1561" s="88" t="str">
        <f t="shared" si="24"/>
        <v>不重复</v>
      </c>
    </row>
    <row r="1562" spans="1:11" ht="20.25" customHeight="1">
      <c r="A1562" s="84" t="s">
        <v>2230</v>
      </c>
      <c r="B1562" s="85" t="s">
        <v>8290</v>
      </c>
      <c r="C1562" s="85" t="s">
        <v>2231</v>
      </c>
      <c r="D1562" s="85" t="s">
        <v>5203</v>
      </c>
      <c r="E1562" s="84" t="s">
        <v>1918</v>
      </c>
      <c r="F1562" s="86">
        <v>603129</v>
      </c>
      <c r="G1562" s="86">
        <v>5100300</v>
      </c>
      <c r="H1562" s="87"/>
      <c r="I1562" s="85" t="s">
        <v>8136</v>
      </c>
      <c r="J1562" s="88" t="str">
        <f t="shared" si="24"/>
        <v>重复</v>
      </c>
      <c r="K1562" s="88" t="str">
        <f t="shared" si="24"/>
        <v>不重复</v>
      </c>
    </row>
    <row r="1563" spans="1:11" ht="20.25" customHeight="1">
      <c r="A1563" s="84" t="s">
        <v>2232</v>
      </c>
      <c r="B1563" s="85" t="s">
        <v>8291</v>
      </c>
      <c r="C1563" s="85" t="s">
        <v>2233</v>
      </c>
      <c r="D1563" s="85" t="s">
        <v>2234</v>
      </c>
      <c r="E1563" s="84" t="s">
        <v>1918</v>
      </c>
      <c r="F1563" s="86">
        <v>603130</v>
      </c>
      <c r="G1563" s="86">
        <v>5100300</v>
      </c>
      <c r="H1563" s="87"/>
      <c r="I1563" s="85" t="s">
        <v>8136</v>
      </c>
      <c r="J1563" s="88" t="str">
        <f t="shared" si="24"/>
        <v>不重复</v>
      </c>
      <c r="K1563" s="88" t="str">
        <f t="shared" si="24"/>
        <v>不重复</v>
      </c>
    </row>
    <row r="1564" spans="1:11" ht="20.25" customHeight="1">
      <c r="A1564" s="84" t="s">
        <v>2235</v>
      </c>
      <c r="B1564" s="85" t="s">
        <v>8292</v>
      </c>
      <c r="C1564" s="85" t="s">
        <v>2236</v>
      </c>
      <c r="D1564" s="85" t="s">
        <v>2237</v>
      </c>
      <c r="E1564" s="84" t="s">
        <v>1918</v>
      </c>
      <c r="F1564" s="86">
        <v>603131</v>
      </c>
      <c r="G1564" s="86">
        <v>5100300</v>
      </c>
      <c r="H1564" s="87"/>
      <c r="I1564" s="85" t="s">
        <v>8136</v>
      </c>
      <c r="J1564" s="88" t="str">
        <f t="shared" si="24"/>
        <v>不重复</v>
      </c>
      <c r="K1564" s="88" t="str">
        <f t="shared" si="24"/>
        <v>不重复</v>
      </c>
    </row>
    <row r="1565" spans="1:11" ht="20.25" customHeight="1">
      <c r="A1565" s="84" t="s">
        <v>2238</v>
      </c>
      <c r="B1565" s="85" t="s">
        <v>8293</v>
      </c>
      <c r="C1565" s="85" t="s">
        <v>2239</v>
      </c>
      <c r="D1565" s="85" t="s">
        <v>2240</v>
      </c>
      <c r="E1565" s="84" t="s">
        <v>1918</v>
      </c>
      <c r="F1565" s="86">
        <v>603132</v>
      </c>
      <c r="G1565" s="86">
        <v>5100300</v>
      </c>
      <c r="H1565" s="87"/>
      <c r="I1565" s="85" t="s">
        <v>8127</v>
      </c>
      <c r="J1565" s="88" t="str">
        <f t="shared" si="24"/>
        <v>重复</v>
      </c>
      <c r="K1565" s="88" t="str">
        <f t="shared" si="24"/>
        <v>不重复</v>
      </c>
    </row>
    <row r="1566" spans="1:11" ht="20.25" customHeight="1">
      <c r="A1566" s="84" t="s">
        <v>2241</v>
      </c>
      <c r="B1566" s="85" t="s">
        <v>8294</v>
      </c>
      <c r="C1566" s="85" t="s">
        <v>2242</v>
      </c>
      <c r="D1566" s="85" t="s">
        <v>2243</v>
      </c>
      <c r="E1566" s="84" t="s">
        <v>1918</v>
      </c>
      <c r="F1566" s="86">
        <v>603133</v>
      </c>
      <c r="G1566" s="86">
        <v>5100300</v>
      </c>
      <c r="H1566" s="87"/>
      <c r="I1566" s="85" t="s">
        <v>8136</v>
      </c>
      <c r="J1566" s="88" t="str">
        <f t="shared" si="24"/>
        <v>不重复</v>
      </c>
      <c r="K1566" s="88" t="str">
        <f t="shared" si="24"/>
        <v>不重复</v>
      </c>
    </row>
    <row r="1567" spans="1:11" ht="20.25" customHeight="1">
      <c r="A1567" s="84" t="s">
        <v>2244</v>
      </c>
      <c r="B1567" s="85" t="s">
        <v>8295</v>
      </c>
      <c r="C1567" s="85" t="s">
        <v>1957</v>
      </c>
      <c r="D1567" s="85" t="s">
        <v>2245</v>
      </c>
      <c r="E1567" s="84" t="s">
        <v>1918</v>
      </c>
      <c r="F1567" s="86">
        <v>603134</v>
      </c>
      <c r="G1567" s="86">
        <v>5100300</v>
      </c>
      <c r="H1567" s="87"/>
      <c r="I1567" s="85" t="s">
        <v>8136</v>
      </c>
      <c r="J1567" s="88" t="str">
        <f t="shared" si="24"/>
        <v>重复</v>
      </c>
      <c r="K1567" s="88" t="str">
        <f t="shared" si="24"/>
        <v>不重复</v>
      </c>
    </row>
    <row r="1568" spans="1:11" ht="20.25" customHeight="1">
      <c r="A1568" s="84" t="s">
        <v>2249</v>
      </c>
      <c r="B1568" s="85" t="s">
        <v>8296</v>
      </c>
      <c r="C1568" s="85" t="s">
        <v>2250</v>
      </c>
      <c r="D1568" s="85" t="s">
        <v>8297</v>
      </c>
      <c r="E1568" s="84" t="s">
        <v>1918</v>
      </c>
      <c r="F1568" s="86">
        <v>603135</v>
      </c>
      <c r="G1568" s="86">
        <v>5100300</v>
      </c>
      <c r="H1568" s="87"/>
      <c r="I1568" s="85" t="s">
        <v>8136</v>
      </c>
      <c r="J1568" s="88" t="str">
        <f t="shared" si="24"/>
        <v>重复</v>
      </c>
      <c r="K1568" s="88" t="str">
        <f t="shared" si="24"/>
        <v>不重复</v>
      </c>
    </row>
    <row r="1569" spans="1:11" ht="20.25" customHeight="1">
      <c r="A1569" s="84" t="s">
        <v>2246</v>
      </c>
      <c r="B1569" s="85" t="s">
        <v>8298</v>
      </c>
      <c r="C1569" s="85" t="s">
        <v>2247</v>
      </c>
      <c r="D1569" s="85" t="s">
        <v>2248</v>
      </c>
      <c r="E1569" s="84" t="s">
        <v>1918</v>
      </c>
      <c r="F1569" s="86">
        <v>603136</v>
      </c>
      <c r="G1569" s="86">
        <v>5100300</v>
      </c>
      <c r="H1569" s="87"/>
      <c r="I1569" s="85" t="s">
        <v>8136</v>
      </c>
      <c r="J1569" s="88" t="str">
        <f t="shared" si="24"/>
        <v>重复</v>
      </c>
      <c r="K1569" s="88" t="str">
        <f t="shared" si="24"/>
        <v>不重复</v>
      </c>
    </row>
    <row r="1570" spans="1:11" ht="20.25" customHeight="1">
      <c r="A1570" s="84" t="s">
        <v>8299</v>
      </c>
      <c r="B1570" s="85" t="s">
        <v>8300</v>
      </c>
      <c r="C1570" s="85" t="s">
        <v>2415</v>
      </c>
      <c r="D1570" s="85" t="s">
        <v>8301</v>
      </c>
      <c r="E1570" s="84" t="s">
        <v>1918</v>
      </c>
      <c r="F1570" s="86">
        <v>603137</v>
      </c>
      <c r="G1570" s="86">
        <v>5100300</v>
      </c>
      <c r="H1570" s="87"/>
      <c r="I1570" s="85" t="s">
        <v>8302</v>
      </c>
      <c r="J1570" s="88" t="str">
        <f t="shared" si="24"/>
        <v>重复</v>
      </c>
      <c r="K1570" s="88" t="str">
        <f t="shared" si="24"/>
        <v>不重复</v>
      </c>
    </row>
    <row r="1571" spans="1:11" ht="20.25" customHeight="1">
      <c r="A1571" s="84" t="s">
        <v>2251</v>
      </c>
      <c r="B1571" s="85" t="s">
        <v>8303</v>
      </c>
      <c r="C1571" s="85" t="s">
        <v>2252</v>
      </c>
      <c r="D1571" s="85" t="s">
        <v>8304</v>
      </c>
      <c r="E1571" s="84" t="s">
        <v>1918</v>
      </c>
      <c r="F1571" s="86">
        <v>603138</v>
      </c>
      <c r="G1571" s="86">
        <v>5100300</v>
      </c>
      <c r="H1571" s="87"/>
      <c r="I1571" s="85" t="s">
        <v>8136</v>
      </c>
      <c r="J1571" s="88" t="str">
        <f t="shared" si="24"/>
        <v>不重复</v>
      </c>
      <c r="K1571" s="88" t="str">
        <f t="shared" si="24"/>
        <v>不重复</v>
      </c>
    </row>
    <row r="1572" spans="1:11" ht="20.25" customHeight="1">
      <c r="A1572" s="84" t="s">
        <v>2253</v>
      </c>
      <c r="B1572" s="85" t="s">
        <v>8305</v>
      </c>
      <c r="C1572" s="85" t="s">
        <v>1566</v>
      </c>
      <c r="D1572" s="85" t="s">
        <v>2254</v>
      </c>
      <c r="E1572" s="84" t="s">
        <v>1918</v>
      </c>
      <c r="F1572" s="86">
        <v>603139</v>
      </c>
      <c r="G1572" s="86">
        <v>5100300</v>
      </c>
      <c r="H1572" s="87"/>
      <c r="I1572" s="85" t="s">
        <v>8136</v>
      </c>
      <c r="J1572" s="88" t="str">
        <f t="shared" si="24"/>
        <v>重复</v>
      </c>
      <c r="K1572" s="88" t="str">
        <f t="shared" si="24"/>
        <v>不重复</v>
      </c>
    </row>
    <row r="1573" spans="1:11" ht="20.25" customHeight="1">
      <c r="A1573" s="84" t="s">
        <v>2255</v>
      </c>
      <c r="B1573" s="85" t="s">
        <v>8306</v>
      </c>
      <c r="C1573" s="85" t="s">
        <v>488</v>
      </c>
      <c r="D1573" s="85" t="s">
        <v>2256</v>
      </c>
      <c r="E1573" s="84" t="s">
        <v>1918</v>
      </c>
      <c r="F1573" s="86">
        <v>603140</v>
      </c>
      <c r="G1573" s="86">
        <v>5100300</v>
      </c>
      <c r="H1573" s="87"/>
      <c r="I1573" s="85" t="s">
        <v>8158</v>
      </c>
      <c r="J1573" s="88" t="str">
        <f t="shared" si="24"/>
        <v>重复</v>
      </c>
      <c r="K1573" s="88" t="str">
        <f t="shared" si="24"/>
        <v>不重复</v>
      </c>
    </row>
    <row r="1574" spans="1:11" ht="20.25" customHeight="1">
      <c r="A1574" s="84" t="s">
        <v>2257</v>
      </c>
      <c r="B1574" s="85" t="s">
        <v>8307</v>
      </c>
      <c r="C1574" s="85" t="s">
        <v>1566</v>
      </c>
      <c r="D1574" s="85" t="s">
        <v>2258</v>
      </c>
      <c r="E1574" s="84" t="s">
        <v>1918</v>
      </c>
      <c r="F1574" s="86">
        <v>603141</v>
      </c>
      <c r="G1574" s="86">
        <v>5100300</v>
      </c>
      <c r="H1574" s="87"/>
      <c r="I1574" s="85" t="s">
        <v>8308</v>
      </c>
      <c r="J1574" s="88" t="str">
        <f t="shared" si="24"/>
        <v>重复</v>
      </c>
      <c r="K1574" s="88" t="str">
        <f t="shared" si="24"/>
        <v>不重复</v>
      </c>
    </row>
    <row r="1575" spans="1:11" ht="20.25" customHeight="1">
      <c r="A1575" s="84" t="s">
        <v>2259</v>
      </c>
      <c r="B1575" s="85" t="s">
        <v>8309</v>
      </c>
      <c r="C1575" s="85" t="s">
        <v>476</v>
      </c>
      <c r="D1575" s="85" t="s">
        <v>8310</v>
      </c>
      <c r="E1575" s="84" t="s">
        <v>1918</v>
      </c>
      <c r="F1575" s="86">
        <v>603142</v>
      </c>
      <c r="G1575" s="86">
        <v>5100300</v>
      </c>
      <c r="H1575" s="87"/>
      <c r="I1575" s="85" t="s">
        <v>8311</v>
      </c>
      <c r="J1575" s="88" t="str">
        <f t="shared" si="24"/>
        <v>重复</v>
      </c>
      <c r="K1575" s="88" t="str">
        <f t="shared" si="24"/>
        <v>不重复</v>
      </c>
    </row>
    <row r="1576" spans="1:11" ht="20.25" customHeight="1">
      <c r="A1576" s="84" t="s">
        <v>2261</v>
      </c>
      <c r="B1576" s="85" t="s">
        <v>8312</v>
      </c>
      <c r="C1576" s="85" t="s">
        <v>2262</v>
      </c>
      <c r="D1576" s="85" t="s">
        <v>8313</v>
      </c>
      <c r="E1576" s="84" t="s">
        <v>1918</v>
      </c>
      <c r="F1576" s="86">
        <v>603143</v>
      </c>
      <c r="G1576" s="86">
        <v>5100300</v>
      </c>
      <c r="H1576" s="87"/>
      <c r="I1576" s="85" t="s">
        <v>8136</v>
      </c>
      <c r="J1576" s="88" t="str">
        <f t="shared" si="24"/>
        <v>不重复</v>
      </c>
      <c r="K1576" s="88" t="str">
        <f t="shared" si="24"/>
        <v>不重复</v>
      </c>
    </row>
    <row r="1577" spans="1:11" ht="20.25" customHeight="1">
      <c r="A1577" s="84" t="s">
        <v>2263</v>
      </c>
      <c r="B1577" s="85" t="s">
        <v>8314</v>
      </c>
      <c r="C1577" s="85" t="s">
        <v>2264</v>
      </c>
      <c r="D1577" s="85" t="s">
        <v>2265</v>
      </c>
      <c r="E1577" s="84" t="s">
        <v>1918</v>
      </c>
      <c r="F1577" s="86">
        <v>603144</v>
      </c>
      <c r="G1577" s="86">
        <v>5100300</v>
      </c>
      <c r="H1577" s="87"/>
      <c r="I1577" s="85" t="s">
        <v>8311</v>
      </c>
      <c r="J1577" s="88" t="str">
        <f t="shared" si="24"/>
        <v>不重复</v>
      </c>
      <c r="K1577" s="88" t="str">
        <f t="shared" si="24"/>
        <v>不重复</v>
      </c>
    </row>
    <row r="1578" spans="1:11" ht="20.25" customHeight="1">
      <c r="A1578" s="84" t="s">
        <v>2266</v>
      </c>
      <c r="B1578" s="85" t="s">
        <v>8315</v>
      </c>
      <c r="C1578" s="85" t="s">
        <v>2267</v>
      </c>
      <c r="D1578" s="85" t="s">
        <v>2268</v>
      </c>
      <c r="E1578" s="84" t="s">
        <v>1918</v>
      </c>
      <c r="F1578" s="86">
        <v>603145</v>
      </c>
      <c r="G1578" s="86">
        <v>5100300</v>
      </c>
      <c r="H1578" s="87"/>
      <c r="I1578" s="85" t="s">
        <v>8288</v>
      </c>
      <c r="J1578" s="88" t="str">
        <f t="shared" si="24"/>
        <v>不重复</v>
      </c>
      <c r="K1578" s="88" t="str">
        <f t="shared" si="24"/>
        <v>不重复</v>
      </c>
    </row>
    <row r="1579" spans="1:11" ht="20.25" customHeight="1">
      <c r="A1579" s="84" t="s">
        <v>2269</v>
      </c>
      <c r="B1579" s="85" t="s">
        <v>8316</v>
      </c>
      <c r="C1579" s="85" t="s">
        <v>2270</v>
      </c>
      <c r="D1579" s="85" t="s">
        <v>2271</v>
      </c>
      <c r="E1579" s="84" t="s">
        <v>1918</v>
      </c>
      <c r="F1579" s="86">
        <v>603146</v>
      </c>
      <c r="G1579" s="86">
        <v>5100300</v>
      </c>
      <c r="H1579" s="87"/>
      <c r="I1579" s="85" t="s">
        <v>8317</v>
      </c>
      <c r="J1579" s="88" t="str">
        <f t="shared" si="24"/>
        <v>不重复</v>
      </c>
      <c r="K1579" s="88" t="str">
        <f t="shared" si="24"/>
        <v>不重复</v>
      </c>
    </row>
    <row r="1580" spans="1:11" ht="20.25" customHeight="1">
      <c r="A1580" s="84" t="s">
        <v>2272</v>
      </c>
      <c r="B1580" s="85" t="s">
        <v>8318</v>
      </c>
      <c r="C1580" s="85" t="s">
        <v>2273</v>
      </c>
      <c r="D1580" s="85" t="s">
        <v>2274</v>
      </c>
      <c r="E1580" s="84" t="s">
        <v>1918</v>
      </c>
      <c r="F1580" s="86">
        <v>603147</v>
      </c>
      <c r="G1580" s="86">
        <v>5100300</v>
      </c>
      <c r="H1580" s="87"/>
      <c r="I1580" s="85" t="s">
        <v>8136</v>
      </c>
      <c r="J1580" s="88" t="str">
        <f t="shared" si="24"/>
        <v>不重复</v>
      </c>
      <c r="K1580" s="88" t="str">
        <f t="shared" si="24"/>
        <v>不重复</v>
      </c>
    </row>
    <row r="1581" spans="1:11" ht="20.25" customHeight="1">
      <c r="A1581" s="84" t="s">
        <v>2275</v>
      </c>
      <c r="B1581" s="85" t="s">
        <v>8319</v>
      </c>
      <c r="C1581" s="85" t="s">
        <v>2276</v>
      </c>
      <c r="D1581" s="85" t="s">
        <v>8320</v>
      </c>
      <c r="E1581" s="84" t="s">
        <v>1918</v>
      </c>
      <c r="F1581" s="86">
        <v>603148</v>
      </c>
      <c r="G1581" s="86">
        <v>5100300</v>
      </c>
      <c r="H1581" s="87"/>
      <c r="I1581" s="85" t="s">
        <v>8288</v>
      </c>
      <c r="J1581" s="88" t="str">
        <f t="shared" si="24"/>
        <v>不重复</v>
      </c>
      <c r="K1581" s="88" t="str">
        <f t="shared" si="24"/>
        <v>不重复</v>
      </c>
    </row>
    <row r="1582" spans="1:11" ht="20.25" customHeight="1">
      <c r="A1582" s="84" t="s">
        <v>2278</v>
      </c>
      <c r="B1582" s="85" t="s">
        <v>8321</v>
      </c>
      <c r="C1582" s="85" t="s">
        <v>2279</v>
      </c>
      <c r="D1582" s="85" t="s">
        <v>2280</v>
      </c>
      <c r="E1582" s="84" t="s">
        <v>1918</v>
      </c>
      <c r="F1582" s="86">
        <v>603149</v>
      </c>
      <c r="G1582" s="86">
        <v>5100300</v>
      </c>
      <c r="H1582" s="87"/>
      <c r="I1582" s="85" t="s">
        <v>8322</v>
      </c>
      <c r="J1582" s="88" t="str">
        <f t="shared" si="24"/>
        <v>不重复</v>
      </c>
      <c r="K1582" s="88" t="str">
        <f t="shared" si="24"/>
        <v>不重复</v>
      </c>
    </row>
    <row r="1583" spans="1:11" ht="20.25" customHeight="1">
      <c r="A1583" s="84" t="s">
        <v>8323</v>
      </c>
      <c r="B1583" s="85" t="s">
        <v>8324</v>
      </c>
      <c r="C1583" s="85" t="s">
        <v>2285</v>
      </c>
      <c r="D1583" s="85" t="s">
        <v>8325</v>
      </c>
      <c r="E1583" s="84" t="s">
        <v>1918</v>
      </c>
      <c r="F1583" s="86">
        <v>603150</v>
      </c>
      <c r="G1583" s="86">
        <v>5100300</v>
      </c>
      <c r="H1583" s="87"/>
      <c r="I1583" s="85" t="s">
        <v>8158</v>
      </c>
      <c r="J1583" s="88" t="str">
        <f t="shared" si="24"/>
        <v>重复</v>
      </c>
      <c r="K1583" s="88" t="str">
        <f t="shared" si="24"/>
        <v>不重复</v>
      </c>
    </row>
    <row r="1584" spans="1:11" ht="20.25" customHeight="1">
      <c r="A1584" s="84" t="s">
        <v>2284</v>
      </c>
      <c r="B1584" s="85" t="s">
        <v>8326</v>
      </c>
      <c r="C1584" s="85" t="s">
        <v>2285</v>
      </c>
      <c r="D1584" s="85" t="s">
        <v>354</v>
      </c>
      <c r="E1584" s="84" t="s">
        <v>1918</v>
      </c>
      <c r="F1584" s="86">
        <v>603151</v>
      </c>
      <c r="G1584" s="86">
        <v>5100300</v>
      </c>
      <c r="H1584" s="87"/>
      <c r="I1584" s="85" t="s">
        <v>8327</v>
      </c>
      <c r="J1584" s="88" t="str">
        <f t="shared" si="24"/>
        <v>重复</v>
      </c>
      <c r="K1584" s="88" t="str">
        <f t="shared" si="24"/>
        <v>不重复</v>
      </c>
    </row>
    <row r="1585" spans="1:11" ht="20.25" customHeight="1">
      <c r="A1585" s="84" t="s">
        <v>2286</v>
      </c>
      <c r="B1585" s="85" t="s">
        <v>8328</v>
      </c>
      <c r="C1585" s="85" t="s">
        <v>1589</v>
      </c>
      <c r="D1585" s="85" t="s">
        <v>8329</v>
      </c>
      <c r="E1585" s="84" t="s">
        <v>1918</v>
      </c>
      <c r="F1585" s="86">
        <v>603152</v>
      </c>
      <c r="G1585" s="86">
        <v>5100300</v>
      </c>
      <c r="H1585" s="87"/>
      <c r="I1585" s="85" t="s">
        <v>6374</v>
      </c>
      <c r="J1585" s="88" t="str">
        <f t="shared" si="24"/>
        <v>不重复</v>
      </c>
      <c r="K1585" s="88" t="str">
        <f t="shared" si="24"/>
        <v>不重复</v>
      </c>
    </row>
    <row r="1586" spans="1:11" ht="20.25" customHeight="1">
      <c r="A1586" s="89" t="s">
        <v>2298</v>
      </c>
      <c r="B1586" s="90" t="s">
        <v>2299</v>
      </c>
      <c r="C1586" s="90" t="s">
        <v>2149</v>
      </c>
      <c r="D1586" s="90" t="s">
        <v>2300</v>
      </c>
      <c r="E1586" s="89" t="s">
        <v>1918</v>
      </c>
      <c r="F1586" s="91">
        <v>603153</v>
      </c>
      <c r="G1586" s="91">
        <v>5100300</v>
      </c>
      <c r="H1586" s="87"/>
      <c r="I1586" s="90" t="s">
        <v>25</v>
      </c>
      <c r="J1586" s="88" t="str">
        <f t="shared" si="24"/>
        <v>重复</v>
      </c>
      <c r="K1586" s="88" t="str">
        <f t="shared" si="24"/>
        <v>不重复</v>
      </c>
    </row>
    <row r="1587" spans="1:11" ht="20.25" customHeight="1">
      <c r="A1587" s="89" t="s">
        <v>2287</v>
      </c>
      <c r="B1587" s="90" t="s">
        <v>8330</v>
      </c>
      <c r="C1587" s="90" t="s">
        <v>2288</v>
      </c>
      <c r="D1587" s="90" t="s">
        <v>2289</v>
      </c>
      <c r="E1587" s="89" t="s">
        <v>1918</v>
      </c>
      <c r="F1587" s="91">
        <v>603154</v>
      </c>
      <c r="G1587" s="91">
        <v>5100300</v>
      </c>
      <c r="H1587" s="87"/>
      <c r="I1587" s="90" t="s">
        <v>8136</v>
      </c>
      <c r="J1587" s="88" t="str">
        <f t="shared" si="24"/>
        <v>不重复</v>
      </c>
      <c r="K1587" s="88" t="str">
        <f t="shared" si="24"/>
        <v>不重复</v>
      </c>
    </row>
    <row r="1588" spans="1:11" ht="20.25" customHeight="1">
      <c r="A1588" s="89" t="s">
        <v>2290</v>
      </c>
      <c r="B1588" s="90" t="s">
        <v>8331</v>
      </c>
      <c r="C1588" s="90" t="s">
        <v>877</v>
      </c>
      <c r="D1588" s="90" t="s">
        <v>8332</v>
      </c>
      <c r="E1588" s="89" t="s">
        <v>1918</v>
      </c>
      <c r="F1588" s="91">
        <v>603155</v>
      </c>
      <c r="G1588" s="91">
        <v>5100300</v>
      </c>
      <c r="H1588" s="87"/>
      <c r="I1588" s="90" t="s">
        <v>8333</v>
      </c>
      <c r="J1588" s="88" t="str">
        <f t="shared" si="24"/>
        <v>重复</v>
      </c>
      <c r="K1588" s="88" t="str">
        <f t="shared" si="24"/>
        <v>不重复</v>
      </c>
    </row>
    <row r="1589" spans="1:11" ht="20.25" customHeight="1">
      <c r="A1589" s="89" t="s">
        <v>2291</v>
      </c>
      <c r="B1589" s="90" t="s">
        <v>8334</v>
      </c>
      <c r="C1589" s="90" t="s">
        <v>2292</v>
      </c>
      <c r="D1589" s="90" t="s">
        <v>2293</v>
      </c>
      <c r="E1589" s="89" t="s">
        <v>1918</v>
      </c>
      <c r="F1589" s="91">
        <v>603156</v>
      </c>
      <c r="G1589" s="91">
        <v>5100300</v>
      </c>
      <c r="H1589" s="87"/>
      <c r="I1589" s="90" t="s">
        <v>8322</v>
      </c>
      <c r="J1589" s="88" t="str">
        <f t="shared" si="24"/>
        <v>重复</v>
      </c>
      <c r="K1589" s="88" t="str">
        <f t="shared" si="24"/>
        <v>不重复</v>
      </c>
    </row>
    <row r="1590" spans="1:11" ht="20.25" customHeight="1">
      <c r="A1590" s="89" t="s">
        <v>2294</v>
      </c>
      <c r="B1590" s="90" t="s">
        <v>2295</v>
      </c>
      <c r="C1590" s="90" t="s">
        <v>2296</v>
      </c>
      <c r="D1590" s="90" t="s">
        <v>2297</v>
      </c>
      <c r="E1590" s="89" t="s">
        <v>1918</v>
      </c>
      <c r="F1590" s="91">
        <v>603157</v>
      </c>
      <c r="G1590" s="91">
        <v>5100300</v>
      </c>
      <c r="H1590" s="87"/>
      <c r="I1590" s="90" t="s">
        <v>8335</v>
      </c>
      <c r="J1590" s="88" t="str">
        <f t="shared" si="24"/>
        <v>不重复</v>
      </c>
      <c r="K1590" s="88" t="str">
        <f t="shared" si="24"/>
        <v>不重复</v>
      </c>
    </row>
    <row r="1591" spans="1:11" ht="20.25" customHeight="1">
      <c r="A1591" s="89" t="s">
        <v>2301</v>
      </c>
      <c r="B1591" s="90" t="s">
        <v>8336</v>
      </c>
      <c r="C1591" s="90" t="s">
        <v>2302</v>
      </c>
      <c r="D1591" s="90" t="s">
        <v>2303</v>
      </c>
      <c r="E1591" s="89" t="s">
        <v>1918</v>
      </c>
      <c r="F1591" s="91">
        <v>603159</v>
      </c>
      <c r="G1591" s="91">
        <v>5100300</v>
      </c>
      <c r="H1591" s="87"/>
      <c r="I1591" s="90" t="s">
        <v>8288</v>
      </c>
      <c r="J1591" s="88" t="str">
        <f t="shared" si="24"/>
        <v>不重复</v>
      </c>
      <c r="K1591" s="88" t="str">
        <f t="shared" si="24"/>
        <v>不重复</v>
      </c>
    </row>
    <row r="1592" spans="1:11" ht="20.25" customHeight="1">
      <c r="A1592" s="89" t="s">
        <v>2304</v>
      </c>
      <c r="B1592" s="90" t="s">
        <v>8337</v>
      </c>
      <c r="C1592" s="90" t="s">
        <v>2305</v>
      </c>
      <c r="D1592" s="90" t="s">
        <v>2306</v>
      </c>
      <c r="E1592" s="89" t="s">
        <v>1918</v>
      </c>
      <c r="F1592" s="91">
        <v>603160</v>
      </c>
      <c r="G1592" s="91">
        <v>5100300</v>
      </c>
      <c r="H1592" s="87"/>
      <c r="I1592" s="90" t="s">
        <v>8136</v>
      </c>
      <c r="J1592" s="88" t="str">
        <f t="shared" si="24"/>
        <v>重复</v>
      </c>
      <c r="K1592" s="88" t="str">
        <f t="shared" si="24"/>
        <v>不重复</v>
      </c>
    </row>
    <row r="1593" spans="1:11" ht="20.25" customHeight="1">
      <c r="A1593" s="89" t="s">
        <v>2307</v>
      </c>
      <c r="B1593" s="90" t="s">
        <v>8338</v>
      </c>
      <c r="C1593" s="90" t="s">
        <v>2308</v>
      </c>
      <c r="D1593" s="90" t="s">
        <v>2309</v>
      </c>
      <c r="E1593" s="89" t="s">
        <v>1918</v>
      </c>
      <c r="F1593" s="91">
        <v>603162</v>
      </c>
      <c r="G1593" s="91">
        <v>5100300</v>
      </c>
      <c r="H1593" s="87"/>
      <c r="I1593" s="90" t="s">
        <v>8136</v>
      </c>
      <c r="J1593" s="88" t="str">
        <f t="shared" si="24"/>
        <v>不重复</v>
      </c>
      <c r="K1593" s="88" t="str">
        <f t="shared" si="24"/>
        <v>不重复</v>
      </c>
    </row>
    <row r="1594" spans="1:11" ht="20.25" customHeight="1">
      <c r="A1594" s="89" t="s">
        <v>2310</v>
      </c>
      <c r="B1594" s="90" t="s">
        <v>8339</v>
      </c>
      <c r="C1594" s="90" t="s">
        <v>430</v>
      </c>
      <c r="D1594" s="90" t="s">
        <v>8340</v>
      </c>
      <c r="E1594" s="89" t="s">
        <v>1918</v>
      </c>
      <c r="F1594" s="91">
        <v>603163</v>
      </c>
      <c r="G1594" s="91">
        <v>5100300</v>
      </c>
      <c r="H1594" s="87"/>
      <c r="I1594" s="90" t="s">
        <v>7191</v>
      </c>
      <c r="J1594" s="88" t="str">
        <f t="shared" si="24"/>
        <v>不重复</v>
      </c>
      <c r="K1594" s="88" t="str">
        <f t="shared" si="24"/>
        <v>不重复</v>
      </c>
    </row>
    <row r="1595" spans="1:11" ht="20.25" customHeight="1">
      <c r="A1595" s="89" t="s">
        <v>2311</v>
      </c>
      <c r="B1595" s="90" t="s">
        <v>8341</v>
      </c>
      <c r="C1595" s="90" t="s">
        <v>2312</v>
      </c>
      <c r="D1595" s="90" t="s">
        <v>2313</v>
      </c>
      <c r="E1595" s="89" t="s">
        <v>1918</v>
      </c>
      <c r="F1595" s="91">
        <v>603164</v>
      </c>
      <c r="G1595" s="91">
        <v>5100300</v>
      </c>
      <c r="H1595" s="87"/>
      <c r="I1595" s="90" t="s">
        <v>8308</v>
      </c>
      <c r="J1595" s="88" t="str">
        <f t="shared" si="24"/>
        <v>不重复</v>
      </c>
      <c r="K1595" s="88" t="str">
        <f t="shared" si="24"/>
        <v>不重复</v>
      </c>
    </row>
    <row r="1596" spans="1:11" ht="20.25" customHeight="1">
      <c r="A1596" s="84" t="s">
        <v>2314</v>
      </c>
      <c r="B1596" s="85" t="s">
        <v>8342</v>
      </c>
      <c r="C1596" s="85" t="s">
        <v>2315</v>
      </c>
      <c r="D1596" s="85" t="s">
        <v>2316</v>
      </c>
      <c r="E1596" s="84" t="s">
        <v>1918</v>
      </c>
      <c r="F1596" s="86">
        <v>603165</v>
      </c>
      <c r="G1596" s="86">
        <v>5100300</v>
      </c>
      <c r="H1596" s="87"/>
      <c r="I1596" s="85" t="s">
        <v>8136</v>
      </c>
      <c r="J1596" s="88" t="str">
        <f t="shared" si="24"/>
        <v>不重复</v>
      </c>
      <c r="K1596" s="88" t="str">
        <f t="shared" si="24"/>
        <v>不重复</v>
      </c>
    </row>
    <row r="1597" spans="1:11" ht="20.25" customHeight="1">
      <c r="A1597" s="89" t="s">
        <v>2342</v>
      </c>
      <c r="B1597" s="90" t="s">
        <v>2343</v>
      </c>
      <c r="C1597" s="90" t="s">
        <v>2344</v>
      </c>
      <c r="D1597" s="90" t="s">
        <v>2345</v>
      </c>
      <c r="E1597" s="89" t="s">
        <v>1918</v>
      </c>
      <c r="F1597" s="91">
        <v>603166</v>
      </c>
      <c r="G1597" s="91">
        <v>5100300</v>
      </c>
      <c r="H1597" s="87"/>
      <c r="I1597" s="90" t="s">
        <v>25</v>
      </c>
      <c r="J1597" s="88" t="str">
        <f t="shared" si="24"/>
        <v>不重复</v>
      </c>
      <c r="K1597" s="88" t="str">
        <f t="shared" si="24"/>
        <v>不重复</v>
      </c>
    </row>
    <row r="1598" spans="1:11" ht="20.25" customHeight="1">
      <c r="A1598" s="89" t="s">
        <v>2318</v>
      </c>
      <c r="B1598" s="90" t="s">
        <v>8343</v>
      </c>
      <c r="C1598" s="90" t="s">
        <v>2319</v>
      </c>
      <c r="D1598" s="90" t="s">
        <v>2320</v>
      </c>
      <c r="E1598" s="89" t="s">
        <v>1918</v>
      </c>
      <c r="F1598" s="91">
        <v>603167</v>
      </c>
      <c r="G1598" s="91">
        <v>5100300</v>
      </c>
      <c r="H1598" s="87"/>
      <c r="I1598" s="90" t="s">
        <v>8322</v>
      </c>
      <c r="J1598" s="88" t="str">
        <f t="shared" si="24"/>
        <v>不重复</v>
      </c>
      <c r="K1598" s="88" t="str">
        <f t="shared" si="24"/>
        <v>不重复</v>
      </c>
    </row>
    <row r="1599" spans="1:11" ht="20.25" customHeight="1">
      <c r="A1599" s="89" t="s">
        <v>2321</v>
      </c>
      <c r="B1599" s="90" t="s">
        <v>8344</v>
      </c>
      <c r="C1599" s="90" t="s">
        <v>499</v>
      </c>
      <c r="D1599" s="90" t="s">
        <v>2322</v>
      </c>
      <c r="E1599" s="89" t="s">
        <v>1918</v>
      </c>
      <c r="F1599" s="91">
        <v>603168</v>
      </c>
      <c r="G1599" s="91">
        <v>5100300</v>
      </c>
      <c r="H1599" s="87"/>
      <c r="I1599" s="90" t="s">
        <v>8136</v>
      </c>
      <c r="J1599" s="88" t="str">
        <f t="shared" si="24"/>
        <v>重复</v>
      </c>
      <c r="K1599" s="88" t="str">
        <f t="shared" si="24"/>
        <v>不重复</v>
      </c>
    </row>
    <row r="1600" spans="1:11" ht="20.25" customHeight="1">
      <c r="A1600" s="89" t="s">
        <v>2323</v>
      </c>
      <c r="B1600" s="90" t="s">
        <v>8345</v>
      </c>
      <c r="C1600" s="90" t="s">
        <v>2324</v>
      </c>
      <c r="D1600" s="90" t="s">
        <v>2325</v>
      </c>
      <c r="E1600" s="89" t="s">
        <v>1918</v>
      </c>
      <c r="F1600" s="91">
        <v>603169</v>
      </c>
      <c r="G1600" s="91">
        <v>5100300</v>
      </c>
      <c r="H1600" s="87"/>
      <c r="I1600" s="90" t="s">
        <v>8136</v>
      </c>
      <c r="J1600" s="88" t="str">
        <f t="shared" si="24"/>
        <v>重复</v>
      </c>
      <c r="K1600" s="88" t="str">
        <f t="shared" si="24"/>
        <v>不重复</v>
      </c>
    </row>
    <row r="1601" spans="1:11" ht="20.25" customHeight="1">
      <c r="A1601" s="89" t="s">
        <v>2326</v>
      </c>
      <c r="B1601" s="90" t="s">
        <v>8346</v>
      </c>
      <c r="C1601" s="90" t="s">
        <v>2327</v>
      </c>
      <c r="D1601" s="90" t="s">
        <v>2328</v>
      </c>
      <c r="E1601" s="89" t="s">
        <v>1918</v>
      </c>
      <c r="F1601" s="91">
        <v>603170</v>
      </c>
      <c r="G1601" s="91">
        <v>5100300</v>
      </c>
      <c r="H1601" s="87"/>
      <c r="I1601" s="90" t="s">
        <v>8136</v>
      </c>
      <c r="J1601" s="88" t="str">
        <f t="shared" si="24"/>
        <v>不重复</v>
      </c>
      <c r="K1601" s="88" t="str">
        <f t="shared" si="24"/>
        <v>不重复</v>
      </c>
    </row>
    <row r="1602" spans="1:11" ht="20.25" customHeight="1">
      <c r="A1602" s="89" t="s">
        <v>2339</v>
      </c>
      <c r="B1602" s="90" t="s">
        <v>8347</v>
      </c>
      <c r="C1602" s="90" t="s">
        <v>2340</v>
      </c>
      <c r="D1602" s="90" t="s">
        <v>2341</v>
      </c>
      <c r="E1602" s="89" t="s">
        <v>1918</v>
      </c>
      <c r="F1602" s="91">
        <v>603171</v>
      </c>
      <c r="G1602" s="91">
        <v>5100300</v>
      </c>
      <c r="H1602" s="87"/>
      <c r="I1602" s="90" t="s">
        <v>8136</v>
      </c>
      <c r="J1602" s="88" t="str">
        <f t="shared" si="24"/>
        <v>不重复</v>
      </c>
      <c r="K1602" s="88" t="str">
        <f t="shared" si="24"/>
        <v>不重复</v>
      </c>
    </row>
    <row r="1603" spans="1:11" ht="20.25" customHeight="1">
      <c r="A1603" s="89" t="s">
        <v>2329</v>
      </c>
      <c r="B1603" s="90" t="s">
        <v>8348</v>
      </c>
      <c r="C1603" s="90" t="s">
        <v>2330</v>
      </c>
      <c r="D1603" s="90" t="s">
        <v>2331</v>
      </c>
      <c r="E1603" s="89" t="s">
        <v>1918</v>
      </c>
      <c r="F1603" s="91">
        <v>603172</v>
      </c>
      <c r="G1603" s="91">
        <v>5100300</v>
      </c>
      <c r="H1603" s="87"/>
      <c r="I1603" s="90" t="s">
        <v>8136</v>
      </c>
      <c r="J1603" s="88" t="str">
        <f t="shared" si="25" ref="J1603:K1666">IF(COUNTIF(C:C,C1603)&gt;=2,"重复","不重复")</f>
        <v>重复</v>
      </c>
      <c r="K1603" s="88" t="str">
        <f t="shared" si="25"/>
        <v>不重复</v>
      </c>
    </row>
    <row r="1604" spans="1:11" ht="20.25" customHeight="1">
      <c r="A1604" s="89" t="s">
        <v>2332</v>
      </c>
      <c r="B1604" s="90" t="s">
        <v>8349</v>
      </c>
      <c r="C1604" s="90" t="s">
        <v>2333</v>
      </c>
      <c r="D1604" s="90" t="s">
        <v>8350</v>
      </c>
      <c r="E1604" s="89" t="s">
        <v>1918</v>
      </c>
      <c r="F1604" s="91">
        <v>603173</v>
      </c>
      <c r="G1604" s="91">
        <v>5100300</v>
      </c>
      <c r="H1604" s="87"/>
      <c r="I1604" s="90" t="s">
        <v>8136</v>
      </c>
      <c r="J1604" s="88" t="str">
        <f t="shared" si="25"/>
        <v>重复</v>
      </c>
      <c r="K1604" s="88" t="str">
        <f t="shared" si="25"/>
        <v>不重复</v>
      </c>
    </row>
    <row r="1605" spans="1:11" ht="20.25" customHeight="1">
      <c r="A1605" s="89" t="s">
        <v>2334</v>
      </c>
      <c r="B1605" s="90" t="s">
        <v>8351</v>
      </c>
      <c r="C1605" s="90" t="s">
        <v>791</v>
      </c>
      <c r="D1605" s="90" t="s">
        <v>2335</v>
      </c>
      <c r="E1605" s="89" t="s">
        <v>1918</v>
      </c>
      <c r="F1605" s="91">
        <v>603174</v>
      </c>
      <c r="G1605" s="91">
        <v>5100300</v>
      </c>
      <c r="H1605" s="87"/>
      <c r="I1605" s="90" t="s">
        <v>8352</v>
      </c>
      <c r="J1605" s="88" t="str">
        <f t="shared" si="25"/>
        <v>重复</v>
      </c>
      <c r="K1605" s="88" t="str">
        <f t="shared" si="25"/>
        <v>不重复</v>
      </c>
    </row>
    <row r="1606" spans="1:11" ht="20.25" customHeight="1">
      <c r="A1606" s="89" t="s">
        <v>2336</v>
      </c>
      <c r="B1606" s="90" t="s">
        <v>8353</v>
      </c>
      <c r="C1606" s="90" t="s">
        <v>2337</v>
      </c>
      <c r="D1606" s="90" t="s">
        <v>2338</v>
      </c>
      <c r="E1606" s="89" t="s">
        <v>1918</v>
      </c>
      <c r="F1606" s="91">
        <v>603175</v>
      </c>
      <c r="G1606" s="91">
        <v>5100300</v>
      </c>
      <c r="H1606" s="87"/>
      <c r="I1606" s="90" t="s">
        <v>8352</v>
      </c>
      <c r="J1606" s="88" t="str">
        <f t="shared" si="25"/>
        <v>不重复</v>
      </c>
      <c r="K1606" s="88" t="str">
        <f t="shared" si="25"/>
        <v>不重复</v>
      </c>
    </row>
    <row r="1607" spans="1:11" ht="20.25" customHeight="1">
      <c r="A1607" s="84" t="s">
        <v>2357</v>
      </c>
      <c r="B1607" s="85" t="s">
        <v>2358</v>
      </c>
      <c r="C1607" s="85" t="s">
        <v>2191</v>
      </c>
      <c r="D1607" s="85" t="s">
        <v>2359</v>
      </c>
      <c r="E1607" s="84" t="s">
        <v>1918</v>
      </c>
      <c r="F1607" s="86">
        <v>603176</v>
      </c>
      <c r="G1607" s="86">
        <v>5100300</v>
      </c>
      <c r="H1607" s="87"/>
      <c r="I1607" s="85" t="s">
        <v>25</v>
      </c>
      <c r="J1607" s="88" t="str">
        <f t="shared" si="25"/>
        <v>重复</v>
      </c>
      <c r="K1607" s="88" t="str">
        <f t="shared" si="25"/>
        <v>不重复</v>
      </c>
    </row>
    <row r="1608" spans="1:11" ht="20.25" customHeight="1">
      <c r="A1608" s="84" t="s">
        <v>2346</v>
      </c>
      <c r="B1608" s="85" t="s">
        <v>8354</v>
      </c>
      <c r="C1608" s="85" t="s">
        <v>1903</v>
      </c>
      <c r="D1608" s="85" t="s">
        <v>2347</v>
      </c>
      <c r="E1608" s="84" t="s">
        <v>1918</v>
      </c>
      <c r="F1608" s="86">
        <v>603177</v>
      </c>
      <c r="G1608" s="86">
        <v>5100300</v>
      </c>
      <c r="H1608" s="87"/>
      <c r="I1608" s="85" t="s">
        <v>7348</v>
      </c>
      <c r="J1608" s="88" t="str">
        <f t="shared" si="25"/>
        <v>重复</v>
      </c>
      <c r="K1608" s="88" t="str">
        <f t="shared" si="25"/>
        <v>不重复</v>
      </c>
    </row>
    <row r="1609" spans="1:11" ht="20.25" customHeight="1">
      <c r="A1609" s="84" t="s">
        <v>2348</v>
      </c>
      <c r="B1609" s="85" t="s">
        <v>8355</v>
      </c>
      <c r="C1609" s="85" t="s">
        <v>2184</v>
      </c>
      <c r="D1609" s="85" t="s">
        <v>5205</v>
      </c>
      <c r="E1609" s="84" t="s">
        <v>1918</v>
      </c>
      <c r="F1609" s="86">
        <v>603178</v>
      </c>
      <c r="G1609" s="86">
        <v>5100300</v>
      </c>
      <c r="H1609" s="87"/>
      <c r="I1609" s="85" t="s">
        <v>8327</v>
      </c>
      <c r="J1609" s="88" t="str">
        <f t="shared" si="25"/>
        <v>重复</v>
      </c>
      <c r="K1609" s="88" t="str">
        <f t="shared" si="25"/>
        <v>不重复</v>
      </c>
    </row>
    <row r="1610" spans="1:11" ht="20.25" customHeight="1">
      <c r="A1610" s="84" t="s">
        <v>2349</v>
      </c>
      <c r="B1610" s="85" t="s">
        <v>8356</v>
      </c>
      <c r="C1610" s="85" t="s">
        <v>2350</v>
      </c>
      <c r="D1610" s="85" t="s">
        <v>2351</v>
      </c>
      <c r="E1610" s="84" t="s">
        <v>1918</v>
      </c>
      <c r="F1610" s="86">
        <v>603179</v>
      </c>
      <c r="G1610" s="86">
        <v>5100300</v>
      </c>
      <c r="H1610" s="87"/>
      <c r="I1610" s="85" t="s">
        <v>8357</v>
      </c>
      <c r="J1610" s="88" t="str">
        <f t="shared" si="25"/>
        <v>重复</v>
      </c>
      <c r="K1610" s="88" t="str">
        <f t="shared" si="25"/>
        <v>不重复</v>
      </c>
    </row>
    <row r="1611" spans="1:11" ht="20.25" customHeight="1">
      <c r="A1611" s="84" t="s">
        <v>2352</v>
      </c>
      <c r="B1611" s="85" t="s">
        <v>8358</v>
      </c>
      <c r="C1611" s="85" t="s">
        <v>2353</v>
      </c>
      <c r="D1611" s="85" t="s">
        <v>2354</v>
      </c>
      <c r="E1611" s="84" t="s">
        <v>1918</v>
      </c>
      <c r="F1611" s="86">
        <v>603180</v>
      </c>
      <c r="G1611" s="86">
        <v>5100300</v>
      </c>
      <c r="H1611" s="87"/>
      <c r="I1611" s="85" t="s">
        <v>8359</v>
      </c>
      <c r="J1611" s="88" t="str">
        <f t="shared" si="25"/>
        <v>重复</v>
      </c>
      <c r="K1611" s="88" t="str">
        <f t="shared" si="25"/>
        <v>不重复</v>
      </c>
    </row>
    <row r="1612" spans="1:11" ht="20.25" customHeight="1">
      <c r="A1612" s="84" t="s">
        <v>2355</v>
      </c>
      <c r="B1612" s="85" t="s">
        <v>8360</v>
      </c>
      <c r="C1612" s="85" t="s">
        <v>620</v>
      </c>
      <c r="D1612" s="85" t="s">
        <v>2356</v>
      </c>
      <c r="E1612" s="84" t="s">
        <v>1918</v>
      </c>
      <c r="F1612" s="86">
        <v>603181</v>
      </c>
      <c r="G1612" s="86">
        <v>5100300</v>
      </c>
      <c r="H1612" s="87"/>
      <c r="I1612" s="85" t="s">
        <v>8361</v>
      </c>
      <c r="J1612" s="88" t="str">
        <f t="shared" si="25"/>
        <v>重复</v>
      </c>
      <c r="K1612" s="88" t="str">
        <f t="shared" si="25"/>
        <v>不重复</v>
      </c>
    </row>
    <row r="1613" spans="1:11" ht="20.25" customHeight="1">
      <c r="A1613" s="84" t="s">
        <v>8362</v>
      </c>
      <c r="B1613" s="85" t="s">
        <v>8363</v>
      </c>
      <c r="C1613" s="85" t="s">
        <v>2285</v>
      </c>
      <c r="D1613" s="85" t="s">
        <v>2614</v>
      </c>
      <c r="E1613" s="84" t="s">
        <v>1918</v>
      </c>
      <c r="F1613" s="86">
        <v>603182</v>
      </c>
      <c r="G1613" s="86">
        <v>5100300</v>
      </c>
      <c r="H1613" s="87"/>
      <c r="I1613" s="85" t="s">
        <v>25</v>
      </c>
      <c r="J1613" s="88" t="str">
        <f t="shared" si="25"/>
        <v>重复</v>
      </c>
      <c r="K1613" s="88" t="str">
        <f t="shared" si="25"/>
        <v>不重复</v>
      </c>
    </row>
    <row r="1614" spans="1:11" ht="20.25" customHeight="1">
      <c r="A1614" s="84" t="s">
        <v>2360</v>
      </c>
      <c r="B1614" s="85" t="s">
        <v>8364</v>
      </c>
      <c r="C1614" s="85" t="s">
        <v>2361</v>
      </c>
      <c r="D1614" s="85" t="s">
        <v>2362</v>
      </c>
      <c r="E1614" s="84" t="s">
        <v>1918</v>
      </c>
      <c r="F1614" s="86">
        <v>603183</v>
      </c>
      <c r="G1614" s="86">
        <v>5100300</v>
      </c>
      <c r="H1614" s="87"/>
      <c r="I1614" s="85" t="s">
        <v>8365</v>
      </c>
      <c r="J1614" s="88" t="str">
        <f t="shared" si="25"/>
        <v>重复</v>
      </c>
      <c r="K1614" s="88" t="str">
        <f t="shared" si="25"/>
        <v>不重复</v>
      </c>
    </row>
    <row r="1615" spans="1:11" ht="20.25" customHeight="1">
      <c r="A1615" s="84" t="s">
        <v>2363</v>
      </c>
      <c r="B1615" s="85" t="s">
        <v>8366</v>
      </c>
      <c r="C1615" s="85" t="s">
        <v>2364</v>
      </c>
      <c r="D1615" s="85" t="s">
        <v>2365</v>
      </c>
      <c r="E1615" s="84" t="s">
        <v>1918</v>
      </c>
      <c r="F1615" s="86">
        <v>603184</v>
      </c>
      <c r="G1615" s="86">
        <v>5100300</v>
      </c>
      <c r="H1615" s="87"/>
      <c r="I1615" s="85" t="s">
        <v>8136</v>
      </c>
      <c r="J1615" s="88" t="str">
        <f t="shared" si="25"/>
        <v>不重复</v>
      </c>
      <c r="K1615" s="88" t="str">
        <f t="shared" si="25"/>
        <v>不重复</v>
      </c>
    </row>
    <row r="1616" spans="1:11" ht="20.25" customHeight="1">
      <c r="A1616" s="84" t="s">
        <v>2366</v>
      </c>
      <c r="B1616" s="85" t="s">
        <v>8367</v>
      </c>
      <c r="C1616" s="85" t="s">
        <v>2367</v>
      </c>
      <c r="D1616" s="85" t="s">
        <v>2368</v>
      </c>
      <c r="E1616" s="84" t="s">
        <v>1918</v>
      </c>
      <c r="F1616" s="86">
        <v>603185</v>
      </c>
      <c r="G1616" s="86">
        <v>5100300</v>
      </c>
      <c r="H1616" s="87"/>
      <c r="I1616" s="85" t="s">
        <v>8311</v>
      </c>
      <c r="J1616" s="88" t="str">
        <f t="shared" si="25"/>
        <v>不重复</v>
      </c>
      <c r="K1616" s="88" t="str">
        <f t="shared" si="25"/>
        <v>不重复</v>
      </c>
    </row>
    <row r="1617" spans="1:11" ht="20.25" customHeight="1">
      <c r="A1617" s="89" t="s">
        <v>8368</v>
      </c>
      <c r="B1617" s="90" t="s">
        <v>8369</v>
      </c>
      <c r="C1617" s="90" t="s">
        <v>2373</v>
      </c>
      <c r="D1617" s="90" t="s">
        <v>8370</v>
      </c>
      <c r="E1617" s="89" t="s">
        <v>1918</v>
      </c>
      <c r="F1617" s="91">
        <v>603186</v>
      </c>
      <c r="G1617" s="91">
        <v>5100300</v>
      </c>
      <c r="H1617" s="87"/>
      <c r="I1617" s="90" t="s">
        <v>25</v>
      </c>
      <c r="J1617" s="88" t="str">
        <f t="shared" si="25"/>
        <v>重复</v>
      </c>
      <c r="K1617" s="88" t="str">
        <f t="shared" si="25"/>
        <v>不重复</v>
      </c>
    </row>
    <row r="1618" spans="1:11" ht="20.25" customHeight="1">
      <c r="A1618" s="89" t="s">
        <v>2369</v>
      </c>
      <c r="B1618" s="90" t="s">
        <v>8371</v>
      </c>
      <c r="C1618" s="90" t="s">
        <v>2370</v>
      </c>
      <c r="D1618" s="90" t="s">
        <v>2371</v>
      </c>
      <c r="E1618" s="89" t="s">
        <v>1918</v>
      </c>
      <c r="F1618" s="91">
        <v>603187</v>
      </c>
      <c r="G1618" s="91">
        <v>5100300</v>
      </c>
      <c r="H1618" s="87"/>
      <c r="I1618" s="90" t="s">
        <v>8136</v>
      </c>
      <c r="J1618" s="88" t="str">
        <f t="shared" si="25"/>
        <v>不重复</v>
      </c>
      <c r="K1618" s="88" t="str">
        <f t="shared" si="25"/>
        <v>不重复</v>
      </c>
    </row>
    <row r="1619" spans="1:11" ht="20.25" customHeight="1">
      <c r="A1619" s="89" t="s">
        <v>2372</v>
      </c>
      <c r="B1619" s="90" t="s">
        <v>8372</v>
      </c>
      <c r="C1619" s="90" t="s">
        <v>2373</v>
      </c>
      <c r="D1619" s="90" t="s">
        <v>2374</v>
      </c>
      <c r="E1619" s="89" t="s">
        <v>1918</v>
      </c>
      <c r="F1619" s="91">
        <v>603188</v>
      </c>
      <c r="G1619" s="91">
        <v>5100300</v>
      </c>
      <c r="H1619" s="87"/>
      <c r="I1619" s="90" t="s">
        <v>8373</v>
      </c>
      <c r="J1619" s="88" t="str">
        <f t="shared" si="25"/>
        <v>重复</v>
      </c>
      <c r="K1619" s="88" t="str">
        <f t="shared" si="25"/>
        <v>不重复</v>
      </c>
    </row>
    <row r="1620" spans="1:11" ht="20.25" customHeight="1">
      <c r="A1620" s="89" t="s">
        <v>8374</v>
      </c>
      <c r="B1620" s="90" t="s">
        <v>8375</v>
      </c>
      <c r="C1620" s="90" t="s">
        <v>8376</v>
      </c>
      <c r="D1620" s="90" t="s">
        <v>8377</v>
      </c>
      <c r="E1620" s="89" t="s">
        <v>1918</v>
      </c>
      <c r="F1620" s="91">
        <v>603189</v>
      </c>
      <c r="G1620" s="91">
        <v>5100300</v>
      </c>
      <c r="H1620" s="87"/>
      <c r="I1620" s="90" t="s">
        <v>25</v>
      </c>
      <c r="J1620" s="88" t="str">
        <f t="shared" si="25"/>
        <v>不重复</v>
      </c>
      <c r="K1620" s="88" t="str">
        <f t="shared" si="25"/>
        <v>不重复</v>
      </c>
    </row>
    <row r="1621" spans="1:11" ht="20.25" customHeight="1">
      <c r="A1621" s="89" t="s">
        <v>2375</v>
      </c>
      <c r="B1621" s="90" t="s">
        <v>8378</v>
      </c>
      <c r="C1621" s="90" t="s">
        <v>2376</v>
      </c>
      <c r="D1621" s="90" t="s">
        <v>2377</v>
      </c>
      <c r="E1621" s="89" t="s">
        <v>1918</v>
      </c>
      <c r="F1621" s="91">
        <v>603190</v>
      </c>
      <c r="G1621" s="91">
        <v>5100300</v>
      </c>
      <c r="H1621" s="87"/>
      <c r="I1621" s="90" t="s">
        <v>8136</v>
      </c>
      <c r="J1621" s="88" t="str">
        <f t="shared" si="25"/>
        <v>不重复</v>
      </c>
      <c r="K1621" s="88" t="str">
        <f t="shared" si="25"/>
        <v>不重复</v>
      </c>
    </row>
    <row r="1622" spans="1:11" ht="20.25" customHeight="1">
      <c r="A1622" s="89" t="s">
        <v>2378</v>
      </c>
      <c r="B1622" s="90" t="s">
        <v>8379</v>
      </c>
      <c r="C1622" s="90" t="s">
        <v>2379</v>
      </c>
      <c r="D1622" s="90" t="s">
        <v>2380</v>
      </c>
      <c r="E1622" s="89" t="s">
        <v>1918</v>
      </c>
      <c r="F1622" s="91">
        <v>603191</v>
      </c>
      <c r="G1622" s="91">
        <v>5100300</v>
      </c>
      <c r="H1622" s="87"/>
      <c r="I1622" s="90" t="s">
        <v>8380</v>
      </c>
      <c r="J1622" s="88" t="str">
        <f t="shared" si="25"/>
        <v>不重复</v>
      </c>
      <c r="K1622" s="88" t="str">
        <f t="shared" si="25"/>
        <v>不重复</v>
      </c>
    </row>
    <row r="1623" spans="1:11" ht="20.25" customHeight="1">
      <c r="A1623" s="89" t="s">
        <v>2381</v>
      </c>
      <c r="B1623" s="90" t="s">
        <v>8381</v>
      </c>
      <c r="C1623" s="90" t="s">
        <v>2382</v>
      </c>
      <c r="D1623" s="90" t="s">
        <v>2383</v>
      </c>
      <c r="E1623" s="89" t="s">
        <v>1918</v>
      </c>
      <c r="F1623" s="91">
        <v>603192</v>
      </c>
      <c r="G1623" s="91">
        <v>5100300</v>
      </c>
      <c r="H1623" s="87"/>
      <c r="I1623" s="90" t="s">
        <v>8136</v>
      </c>
      <c r="J1623" s="88" t="str">
        <f t="shared" si="25"/>
        <v>不重复</v>
      </c>
      <c r="K1623" s="88" t="str">
        <f t="shared" si="25"/>
        <v>不重复</v>
      </c>
    </row>
    <row r="1624" spans="1:11" ht="20.25" customHeight="1">
      <c r="A1624" s="84" t="s">
        <v>8382</v>
      </c>
      <c r="B1624" s="85" t="s">
        <v>8383</v>
      </c>
      <c r="C1624" s="85" t="s">
        <v>8384</v>
      </c>
      <c r="D1624" s="85" t="s">
        <v>8385</v>
      </c>
      <c r="E1624" s="84" t="s">
        <v>1918</v>
      </c>
      <c r="F1624" s="86">
        <v>603193</v>
      </c>
      <c r="G1624" s="86">
        <v>5100300</v>
      </c>
      <c r="H1624" s="87"/>
      <c r="I1624" s="85" t="s">
        <v>25</v>
      </c>
      <c r="J1624" s="88" t="str">
        <f t="shared" si="25"/>
        <v>不重复</v>
      </c>
      <c r="K1624" s="88" t="str">
        <f t="shared" si="25"/>
        <v>不重复</v>
      </c>
    </row>
    <row r="1625" spans="1:11" ht="20.25" customHeight="1">
      <c r="A1625" s="84" t="s">
        <v>2384</v>
      </c>
      <c r="B1625" s="85" t="s">
        <v>8386</v>
      </c>
      <c r="C1625" s="85" t="s">
        <v>2385</v>
      </c>
      <c r="D1625" s="85" t="s">
        <v>2386</v>
      </c>
      <c r="E1625" s="84" t="s">
        <v>1918</v>
      </c>
      <c r="F1625" s="86">
        <v>603194</v>
      </c>
      <c r="G1625" s="86">
        <v>5100300</v>
      </c>
      <c r="H1625" s="87"/>
      <c r="I1625" s="85" t="s">
        <v>8136</v>
      </c>
      <c r="J1625" s="88" t="str">
        <f t="shared" si="25"/>
        <v>不重复</v>
      </c>
      <c r="K1625" s="88" t="str">
        <f t="shared" si="25"/>
        <v>不重复</v>
      </c>
    </row>
    <row r="1626" spans="1:11" ht="20.25" customHeight="1">
      <c r="A1626" s="89" t="s">
        <v>2387</v>
      </c>
      <c r="B1626" s="90" t="s">
        <v>8387</v>
      </c>
      <c r="C1626" s="90" t="s">
        <v>2388</v>
      </c>
      <c r="D1626" s="90" t="s">
        <v>2389</v>
      </c>
      <c r="E1626" s="89" t="s">
        <v>1918</v>
      </c>
      <c r="F1626" s="91">
        <v>603196</v>
      </c>
      <c r="G1626" s="91">
        <v>5100300</v>
      </c>
      <c r="H1626" s="87"/>
      <c r="I1626" s="90" t="s">
        <v>8136</v>
      </c>
      <c r="J1626" s="88" t="str">
        <f t="shared" si="25"/>
        <v>不重复</v>
      </c>
      <c r="K1626" s="88" t="str">
        <f t="shared" si="25"/>
        <v>不重复</v>
      </c>
    </row>
    <row r="1627" spans="1:11" ht="20.25" customHeight="1">
      <c r="A1627" s="89" t="s">
        <v>2390</v>
      </c>
      <c r="B1627" s="90" t="s">
        <v>8388</v>
      </c>
      <c r="C1627" s="90" t="s">
        <v>2391</v>
      </c>
      <c r="D1627" s="90" t="s">
        <v>2392</v>
      </c>
      <c r="E1627" s="89" t="s">
        <v>1918</v>
      </c>
      <c r="F1627" s="91">
        <v>603197</v>
      </c>
      <c r="G1627" s="91">
        <v>5100300</v>
      </c>
      <c r="H1627" s="87"/>
      <c r="I1627" s="90" t="s">
        <v>8389</v>
      </c>
      <c r="J1627" s="88" t="str">
        <f t="shared" si="25"/>
        <v>不重复</v>
      </c>
      <c r="K1627" s="88" t="str">
        <f t="shared" si="25"/>
        <v>不重复</v>
      </c>
    </row>
    <row r="1628" spans="1:11" ht="20.25" customHeight="1">
      <c r="A1628" s="89" t="s">
        <v>2393</v>
      </c>
      <c r="B1628" s="90" t="s">
        <v>8390</v>
      </c>
      <c r="C1628" s="90" t="s">
        <v>2394</v>
      </c>
      <c r="D1628" s="90" t="s">
        <v>2395</v>
      </c>
      <c r="E1628" s="89" t="s">
        <v>1918</v>
      </c>
      <c r="F1628" s="91">
        <v>603198</v>
      </c>
      <c r="G1628" s="91">
        <v>5100300</v>
      </c>
      <c r="H1628" s="87"/>
      <c r="I1628" s="90" t="s">
        <v>8136</v>
      </c>
      <c r="J1628" s="88" t="str">
        <f t="shared" si="25"/>
        <v>不重复</v>
      </c>
      <c r="K1628" s="88" t="str">
        <f t="shared" si="25"/>
        <v>不重复</v>
      </c>
    </row>
    <row r="1629" spans="1:11" ht="20.25" customHeight="1">
      <c r="A1629" s="89" t="s">
        <v>2396</v>
      </c>
      <c r="B1629" s="90" t="s">
        <v>8391</v>
      </c>
      <c r="C1629" s="90" t="s">
        <v>960</v>
      </c>
      <c r="D1629" s="90" t="s">
        <v>2397</v>
      </c>
      <c r="E1629" s="89" t="s">
        <v>1918</v>
      </c>
      <c r="F1629" s="91">
        <v>603199</v>
      </c>
      <c r="G1629" s="91">
        <v>5100300</v>
      </c>
      <c r="H1629" s="87"/>
      <c r="I1629" s="90" t="s">
        <v>8136</v>
      </c>
      <c r="J1629" s="88" t="str">
        <f t="shared" si="25"/>
        <v>重复</v>
      </c>
      <c r="K1629" s="88" t="str">
        <f t="shared" si="25"/>
        <v>不重复</v>
      </c>
    </row>
    <row r="1630" spans="1:11" ht="20.25" customHeight="1">
      <c r="A1630" s="84" t="s">
        <v>2410</v>
      </c>
      <c r="B1630" s="85" t="s">
        <v>2411</v>
      </c>
      <c r="C1630" s="85" t="s">
        <v>2412</v>
      </c>
      <c r="D1630" s="85" t="s">
        <v>2413</v>
      </c>
      <c r="E1630" s="84" t="s">
        <v>1918</v>
      </c>
      <c r="F1630" s="86">
        <v>603200</v>
      </c>
      <c r="G1630" s="86">
        <v>5100300</v>
      </c>
      <c r="H1630" s="87"/>
      <c r="I1630" s="85" t="s">
        <v>25</v>
      </c>
      <c r="J1630" s="88" t="str">
        <f t="shared" si="25"/>
        <v>不重复</v>
      </c>
      <c r="K1630" s="88" t="str">
        <f t="shared" si="25"/>
        <v>不重复</v>
      </c>
    </row>
    <row r="1631" spans="1:11" ht="20.25" customHeight="1">
      <c r="A1631" s="84" t="s">
        <v>2398</v>
      </c>
      <c r="B1631" s="85" t="s">
        <v>8392</v>
      </c>
      <c r="C1631" s="85" t="s">
        <v>2399</v>
      </c>
      <c r="D1631" s="85" t="s">
        <v>2400</v>
      </c>
      <c r="E1631" s="84" t="s">
        <v>1918</v>
      </c>
      <c r="F1631" s="86">
        <v>603201</v>
      </c>
      <c r="G1631" s="86">
        <v>5100300</v>
      </c>
      <c r="H1631" s="87"/>
      <c r="I1631" s="85" t="s">
        <v>8136</v>
      </c>
      <c r="J1631" s="88" t="str">
        <f t="shared" si="25"/>
        <v>重复</v>
      </c>
      <c r="K1631" s="88" t="str">
        <f t="shared" si="25"/>
        <v>不重复</v>
      </c>
    </row>
    <row r="1632" spans="1:11" ht="20.25" customHeight="1">
      <c r="A1632" s="84" t="s">
        <v>2401</v>
      </c>
      <c r="B1632" s="85" t="s">
        <v>8393</v>
      </c>
      <c r="C1632" s="85" t="s">
        <v>2402</v>
      </c>
      <c r="D1632" s="85" t="s">
        <v>2403</v>
      </c>
      <c r="E1632" s="84" t="s">
        <v>1918</v>
      </c>
      <c r="F1632" s="86">
        <v>603202</v>
      </c>
      <c r="G1632" s="86">
        <v>5100300</v>
      </c>
      <c r="H1632" s="87"/>
      <c r="I1632" s="85" t="s">
        <v>1327</v>
      </c>
      <c r="J1632" s="88" t="str">
        <f t="shared" si="25"/>
        <v>不重复</v>
      </c>
      <c r="K1632" s="88" t="str">
        <f t="shared" si="25"/>
        <v>不重复</v>
      </c>
    </row>
    <row r="1633" spans="1:11" ht="20.25" customHeight="1">
      <c r="A1633" s="84" t="s">
        <v>2407</v>
      </c>
      <c r="B1633" s="85" t="s">
        <v>8394</v>
      </c>
      <c r="C1633" s="85" t="s">
        <v>2408</v>
      </c>
      <c r="D1633" s="85" t="s">
        <v>2409</v>
      </c>
      <c r="E1633" s="84" t="s">
        <v>1918</v>
      </c>
      <c r="F1633" s="86">
        <v>603203</v>
      </c>
      <c r="G1633" s="86">
        <v>5100300</v>
      </c>
      <c r="H1633" s="87"/>
      <c r="I1633" s="85" t="s">
        <v>8395</v>
      </c>
      <c r="J1633" s="88" t="str">
        <f t="shared" si="25"/>
        <v>不重复</v>
      </c>
      <c r="K1633" s="88" t="str">
        <f t="shared" si="25"/>
        <v>不重复</v>
      </c>
    </row>
    <row r="1634" spans="1:11" ht="20.25" customHeight="1">
      <c r="A1634" s="84" t="s">
        <v>2404</v>
      </c>
      <c r="B1634" s="85" t="s">
        <v>8396</v>
      </c>
      <c r="C1634" s="85" t="s">
        <v>2405</v>
      </c>
      <c r="D1634" s="85" t="s">
        <v>2406</v>
      </c>
      <c r="E1634" s="84" t="s">
        <v>1918</v>
      </c>
      <c r="F1634" s="86">
        <v>603204</v>
      </c>
      <c r="G1634" s="86">
        <v>5100300</v>
      </c>
      <c r="H1634" s="87"/>
      <c r="I1634" s="85" t="s">
        <v>8136</v>
      </c>
      <c r="J1634" s="88" t="str">
        <f t="shared" si="25"/>
        <v>不重复</v>
      </c>
      <c r="K1634" s="88" t="str">
        <f t="shared" si="25"/>
        <v>不重复</v>
      </c>
    </row>
    <row r="1635" spans="1:11" ht="20.25" customHeight="1">
      <c r="A1635" s="84" t="s">
        <v>2425</v>
      </c>
      <c r="B1635" s="85" t="s">
        <v>2426</v>
      </c>
      <c r="C1635" s="85" t="s">
        <v>2427</v>
      </c>
      <c r="D1635" s="85" t="s">
        <v>8397</v>
      </c>
      <c r="E1635" s="84" t="s">
        <v>1918</v>
      </c>
      <c r="F1635" s="86">
        <v>603205</v>
      </c>
      <c r="G1635" s="86">
        <v>5100300</v>
      </c>
      <c r="H1635" s="87"/>
      <c r="I1635" s="85" t="s">
        <v>25</v>
      </c>
      <c r="J1635" s="88" t="str">
        <f t="shared" si="25"/>
        <v>不重复</v>
      </c>
      <c r="K1635" s="88" t="str">
        <f t="shared" si="25"/>
        <v>不重复</v>
      </c>
    </row>
    <row r="1636" spans="1:11" ht="20.25" customHeight="1">
      <c r="A1636" s="84" t="s">
        <v>2414</v>
      </c>
      <c r="B1636" s="85" t="s">
        <v>8398</v>
      </c>
      <c r="C1636" s="85" t="s">
        <v>2415</v>
      </c>
      <c r="D1636" s="85" t="s">
        <v>243</v>
      </c>
      <c r="E1636" s="84" t="s">
        <v>1918</v>
      </c>
      <c r="F1636" s="86">
        <v>603206</v>
      </c>
      <c r="G1636" s="86">
        <v>5100300</v>
      </c>
      <c r="H1636" s="87"/>
      <c r="I1636" s="85" t="s">
        <v>8136</v>
      </c>
      <c r="J1636" s="88" t="str">
        <f t="shared" si="25"/>
        <v>重复</v>
      </c>
      <c r="K1636" s="88" t="str">
        <f t="shared" si="25"/>
        <v>不重复</v>
      </c>
    </row>
    <row r="1637" spans="1:11" ht="20.25" customHeight="1">
      <c r="A1637" s="84" t="s">
        <v>2416</v>
      </c>
      <c r="B1637" s="85" t="s">
        <v>8399</v>
      </c>
      <c r="C1637" s="85" t="s">
        <v>2417</v>
      </c>
      <c r="D1637" s="85" t="s">
        <v>2418</v>
      </c>
      <c r="E1637" s="84" t="s">
        <v>1918</v>
      </c>
      <c r="F1637" s="86">
        <v>603207</v>
      </c>
      <c r="G1637" s="86">
        <v>5100300</v>
      </c>
      <c r="H1637" s="87"/>
      <c r="I1637" s="85" t="s">
        <v>8136</v>
      </c>
      <c r="J1637" s="88" t="str">
        <f t="shared" si="25"/>
        <v>不重复</v>
      </c>
      <c r="K1637" s="88" t="str">
        <f t="shared" si="25"/>
        <v>不重复</v>
      </c>
    </row>
    <row r="1638" spans="1:11" ht="20.25" customHeight="1">
      <c r="A1638" s="84" t="s">
        <v>2419</v>
      </c>
      <c r="B1638" s="85" t="s">
        <v>8400</v>
      </c>
      <c r="C1638" s="85" t="s">
        <v>2420</v>
      </c>
      <c r="D1638" s="85" t="s">
        <v>2421</v>
      </c>
      <c r="E1638" s="84" t="s">
        <v>1918</v>
      </c>
      <c r="F1638" s="86">
        <v>603208</v>
      </c>
      <c r="G1638" s="86">
        <v>5100300</v>
      </c>
      <c r="H1638" s="87"/>
      <c r="I1638" s="85" t="s">
        <v>8136</v>
      </c>
      <c r="J1638" s="88" t="str">
        <f t="shared" si="25"/>
        <v>不重复</v>
      </c>
      <c r="K1638" s="88" t="str">
        <f t="shared" si="25"/>
        <v>不重复</v>
      </c>
    </row>
    <row r="1639" spans="1:11" ht="20.25" customHeight="1">
      <c r="A1639" s="84" t="s">
        <v>2422</v>
      </c>
      <c r="B1639" s="85" t="s">
        <v>8401</v>
      </c>
      <c r="C1639" s="85" t="s">
        <v>2423</v>
      </c>
      <c r="D1639" s="85" t="s">
        <v>8402</v>
      </c>
      <c r="E1639" s="84" t="s">
        <v>1918</v>
      </c>
      <c r="F1639" s="86">
        <v>603209</v>
      </c>
      <c r="G1639" s="86">
        <v>5100300</v>
      </c>
      <c r="H1639" s="87"/>
      <c r="I1639" s="85" t="s">
        <v>8136</v>
      </c>
      <c r="J1639" s="88" t="str">
        <f t="shared" si="25"/>
        <v>重复</v>
      </c>
      <c r="K1639" s="88" t="str">
        <f t="shared" si="25"/>
        <v>不重复</v>
      </c>
    </row>
    <row r="1640" spans="1:11" ht="20.25" customHeight="1">
      <c r="A1640" s="89" t="s">
        <v>2428</v>
      </c>
      <c r="B1640" s="90" t="s">
        <v>8403</v>
      </c>
      <c r="C1640" s="90" t="s">
        <v>2429</v>
      </c>
      <c r="D1640" s="90" t="s">
        <v>2430</v>
      </c>
      <c r="E1640" s="89" t="s">
        <v>1918</v>
      </c>
      <c r="F1640" s="91">
        <v>603211</v>
      </c>
      <c r="G1640" s="91">
        <v>5100300</v>
      </c>
      <c r="H1640" s="87"/>
      <c r="I1640" s="90" t="s">
        <v>8288</v>
      </c>
      <c r="J1640" s="88" t="str">
        <f t="shared" si="25"/>
        <v>重复</v>
      </c>
      <c r="K1640" s="88" t="str">
        <f t="shared" si="25"/>
        <v>不重复</v>
      </c>
    </row>
    <row r="1641" spans="1:11" ht="20.25" customHeight="1">
      <c r="A1641" s="89" t="s">
        <v>2431</v>
      </c>
      <c r="B1641" s="90" t="s">
        <v>8404</v>
      </c>
      <c r="C1641" s="90" t="s">
        <v>2432</v>
      </c>
      <c r="D1641" s="90" t="s">
        <v>8405</v>
      </c>
      <c r="E1641" s="89" t="s">
        <v>1918</v>
      </c>
      <c r="F1641" s="91">
        <v>603212</v>
      </c>
      <c r="G1641" s="91">
        <v>5100300</v>
      </c>
      <c r="H1641" s="87"/>
      <c r="I1641" s="90" t="s">
        <v>8168</v>
      </c>
      <c r="J1641" s="88" t="str">
        <f t="shared" si="25"/>
        <v>重复</v>
      </c>
      <c r="K1641" s="88" t="str">
        <f t="shared" si="25"/>
        <v>不重复</v>
      </c>
    </row>
    <row r="1642" spans="1:11" ht="20.25" customHeight="1">
      <c r="A1642" s="89" t="s">
        <v>2448</v>
      </c>
      <c r="B1642" s="90" t="s">
        <v>2449</v>
      </c>
      <c r="C1642" s="90" t="s">
        <v>2450</v>
      </c>
      <c r="D1642" s="90" t="s">
        <v>2451</v>
      </c>
      <c r="E1642" s="89" t="s">
        <v>1918</v>
      </c>
      <c r="F1642" s="91">
        <v>603213</v>
      </c>
      <c r="G1642" s="91">
        <v>5100300</v>
      </c>
      <c r="H1642" s="87"/>
      <c r="I1642" s="90" t="s">
        <v>25</v>
      </c>
      <c r="J1642" s="88" t="str">
        <f t="shared" si="25"/>
        <v>不重复</v>
      </c>
      <c r="K1642" s="88" t="str">
        <f t="shared" si="25"/>
        <v>不重复</v>
      </c>
    </row>
    <row r="1643" spans="1:11" ht="20.25" customHeight="1">
      <c r="A1643" s="89" t="s">
        <v>2433</v>
      </c>
      <c r="B1643" s="90" t="s">
        <v>8406</v>
      </c>
      <c r="C1643" s="90" t="s">
        <v>2434</v>
      </c>
      <c r="D1643" s="90" t="s">
        <v>2435</v>
      </c>
      <c r="E1643" s="89" t="s">
        <v>1918</v>
      </c>
      <c r="F1643" s="91">
        <v>603214</v>
      </c>
      <c r="G1643" s="91">
        <v>5100300</v>
      </c>
      <c r="H1643" s="87"/>
      <c r="I1643" s="90" t="s">
        <v>8136</v>
      </c>
      <c r="J1643" s="88" t="str">
        <f t="shared" si="25"/>
        <v>不重复</v>
      </c>
      <c r="K1643" s="88" t="str">
        <f t="shared" si="25"/>
        <v>不重复</v>
      </c>
    </row>
    <row r="1644" spans="1:11" ht="20.25" customHeight="1">
      <c r="A1644" s="89" t="s">
        <v>8407</v>
      </c>
      <c r="B1644" s="90" t="s">
        <v>8408</v>
      </c>
      <c r="C1644" s="90" t="s">
        <v>2438</v>
      </c>
      <c r="D1644" s="90" t="s">
        <v>8409</v>
      </c>
      <c r="E1644" s="89" t="s">
        <v>1918</v>
      </c>
      <c r="F1644" s="91">
        <v>603215</v>
      </c>
      <c r="G1644" s="91">
        <v>5100300</v>
      </c>
      <c r="H1644" s="87"/>
      <c r="I1644" s="90" t="s">
        <v>8322</v>
      </c>
      <c r="J1644" s="88" t="str">
        <f t="shared" si="25"/>
        <v>不重复</v>
      </c>
      <c r="K1644" s="88" t="str">
        <f t="shared" si="25"/>
        <v>不重复</v>
      </c>
    </row>
    <row r="1645" spans="1:11" ht="20.25" customHeight="1">
      <c r="A1645" s="89" t="s">
        <v>2436</v>
      </c>
      <c r="B1645" s="90" t="s">
        <v>8410</v>
      </c>
      <c r="C1645" s="90" t="s">
        <v>2437</v>
      </c>
      <c r="D1645" s="90" t="s">
        <v>8411</v>
      </c>
      <c r="E1645" s="89" t="s">
        <v>1918</v>
      </c>
      <c r="F1645" s="91">
        <v>603216</v>
      </c>
      <c r="G1645" s="91">
        <v>5100300</v>
      </c>
      <c r="H1645" s="87"/>
      <c r="I1645" s="90" t="s">
        <v>8412</v>
      </c>
      <c r="J1645" s="88" t="str">
        <f t="shared" si="25"/>
        <v>不重复</v>
      </c>
      <c r="K1645" s="88" t="str">
        <f t="shared" si="25"/>
        <v>不重复</v>
      </c>
    </row>
    <row r="1646" spans="1:11" ht="20.25" customHeight="1">
      <c r="A1646" s="89" t="s">
        <v>2439</v>
      </c>
      <c r="B1646" s="90" t="s">
        <v>8413</v>
      </c>
      <c r="C1646" s="90" t="s">
        <v>1903</v>
      </c>
      <c r="D1646" s="90" t="s">
        <v>2440</v>
      </c>
      <c r="E1646" s="89" t="s">
        <v>1918</v>
      </c>
      <c r="F1646" s="91">
        <v>603217</v>
      </c>
      <c r="G1646" s="91">
        <v>5100300</v>
      </c>
      <c r="H1646" s="87"/>
      <c r="I1646" s="90" t="s">
        <v>8136</v>
      </c>
      <c r="J1646" s="88" t="str">
        <f t="shared" si="25"/>
        <v>重复</v>
      </c>
      <c r="K1646" s="88" t="str">
        <f t="shared" si="25"/>
        <v>不重复</v>
      </c>
    </row>
    <row r="1647" spans="1:11" ht="20.25" customHeight="1">
      <c r="A1647" s="89" t="s">
        <v>2443</v>
      </c>
      <c r="B1647" s="90" t="s">
        <v>8414</v>
      </c>
      <c r="C1647" s="90" t="s">
        <v>2444</v>
      </c>
      <c r="D1647" s="90" t="s">
        <v>2445</v>
      </c>
      <c r="E1647" s="89" t="s">
        <v>1918</v>
      </c>
      <c r="F1647" s="91">
        <v>603218</v>
      </c>
      <c r="G1647" s="91">
        <v>5100300</v>
      </c>
      <c r="H1647" s="87"/>
      <c r="I1647" s="90" t="s">
        <v>8136</v>
      </c>
      <c r="J1647" s="88" t="str">
        <f t="shared" si="25"/>
        <v>不重复</v>
      </c>
      <c r="K1647" s="88" t="str">
        <f t="shared" si="25"/>
        <v>不重复</v>
      </c>
    </row>
    <row r="1648" spans="1:11" ht="20.25" customHeight="1">
      <c r="A1648" s="89" t="s">
        <v>2446</v>
      </c>
      <c r="B1648" s="90" t="s">
        <v>8415</v>
      </c>
      <c r="C1648" s="90" t="s">
        <v>1797</v>
      </c>
      <c r="D1648" s="90" t="s">
        <v>2447</v>
      </c>
      <c r="E1648" s="89" t="s">
        <v>1918</v>
      </c>
      <c r="F1648" s="91">
        <v>603219</v>
      </c>
      <c r="G1648" s="91">
        <v>5100300</v>
      </c>
      <c r="H1648" s="87"/>
      <c r="I1648" s="90" t="s">
        <v>8136</v>
      </c>
      <c r="J1648" s="88" t="str">
        <f t="shared" si="25"/>
        <v>不重复</v>
      </c>
      <c r="K1648" s="88" t="str">
        <f t="shared" si="25"/>
        <v>不重复</v>
      </c>
    </row>
    <row r="1649" spans="1:11" ht="20.25" customHeight="1">
      <c r="A1649" s="89" t="s">
        <v>2441</v>
      </c>
      <c r="B1649" s="90" t="s">
        <v>8416</v>
      </c>
      <c r="C1649" s="90" t="s">
        <v>2442</v>
      </c>
      <c r="D1649" s="90" t="s">
        <v>8417</v>
      </c>
      <c r="E1649" s="89" t="s">
        <v>1918</v>
      </c>
      <c r="F1649" s="91">
        <v>603220</v>
      </c>
      <c r="G1649" s="91">
        <v>5100300</v>
      </c>
      <c r="H1649" s="87"/>
      <c r="I1649" s="90" t="s">
        <v>8136</v>
      </c>
      <c r="J1649" s="88" t="str">
        <f t="shared" si="25"/>
        <v>重复</v>
      </c>
      <c r="K1649" s="88" t="str">
        <f t="shared" si="25"/>
        <v>不重复</v>
      </c>
    </row>
    <row r="1650" spans="1:11" ht="20.25" customHeight="1">
      <c r="A1650" s="84" t="s">
        <v>8418</v>
      </c>
      <c r="B1650" s="85" t="s">
        <v>8419</v>
      </c>
      <c r="C1650" s="85" t="s">
        <v>8420</v>
      </c>
      <c r="D1650" s="85" t="s">
        <v>8421</v>
      </c>
      <c r="E1650" s="84" t="s">
        <v>1918</v>
      </c>
      <c r="F1650" s="86">
        <v>603221</v>
      </c>
      <c r="G1650" s="86">
        <v>5100300</v>
      </c>
      <c r="H1650" s="87"/>
      <c r="I1650" s="85" t="s">
        <v>25</v>
      </c>
      <c r="J1650" s="88" t="str">
        <f t="shared" si="25"/>
        <v>不重复</v>
      </c>
      <c r="K1650" s="88" t="str">
        <f t="shared" si="25"/>
        <v>不重复</v>
      </c>
    </row>
    <row r="1651" spans="1:11" ht="20.25" customHeight="1">
      <c r="A1651" s="84" t="s">
        <v>2452</v>
      </c>
      <c r="B1651" s="85" t="s">
        <v>8422</v>
      </c>
      <c r="C1651" s="85" t="s">
        <v>2453</v>
      </c>
      <c r="D1651" s="85" t="s">
        <v>3856</v>
      </c>
      <c r="E1651" s="84" t="s">
        <v>1918</v>
      </c>
      <c r="F1651" s="86">
        <v>603222</v>
      </c>
      <c r="G1651" s="86">
        <v>5100300</v>
      </c>
      <c r="H1651" s="87"/>
      <c r="I1651" s="85" t="s">
        <v>8136</v>
      </c>
      <c r="J1651" s="88" t="str">
        <f t="shared" si="25"/>
        <v>不重复</v>
      </c>
      <c r="K1651" s="88" t="str">
        <f t="shared" si="25"/>
        <v>不重复</v>
      </c>
    </row>
    <row r="1652" spans="1:11" ht="20.25" customHeight="1">
      <c r="A1652" s="84" t="s">
        <v>2454</v>
      </c>
      <c r="B1652" s="85" t="s">
        <v>8423</v>
      </c>
      <c r="C1652" s="85" t="s">
        <v>2455</v>
      </c>
      <c r="D1652" s="85" t="s">
        <v>2456</v>
      </c>
      <c r="E1652" s="84" t="s">
        <v>1918</v>
      </c>
      <c r="F1652" s="86">
        <v>603223</v>
      </c>
      <c r="G1652" s="86">
        <v>5100300</v>
      </c>
      <c r="H1652" s="87"/>
      <c r="I1652" s="85" t="s">
        <v>1914</v>
      </c>
      <c r="J1652" s="88" t="str">
        <f t="shared" si="25"/>
        <v>不重复</v>
      </c>
      <c r="K1652" s="88" t="str">
        <f t="shared" si="25"/>
        <v>不重复</v>
      </c>
    </row>
    <row r="1653" spans="1:11" ht="20.25" customHeight="1">
      <c r="A1653" s="84" t="s">
        <v>8424</v>
      </c>
      <c r="B1653" s="85" t="s">
        <v>8425</v>
      </c>
      <c r="C1653" s="85" t="s">
        <v>8426</v>
      </c>
      <c r="D1653" s="85" t="s">
        <v>8427</v>
      </c>
      <c r="E1653" s="84" t="s">
        <v>1918</v>
      </c>
      <c r="F1653" s="86">
        <v>603224</v>
      </c>
      <c r="G1653" s="86">
        <v>5100300</v>
      </c>
      <c r="H1653" s="87"/>
      <c r="I1653" s="85" t="s">
        <v>8158</v>
      </c>
      <c r="J1653" s="88" t="str">
        <f t="shared" si="25"/>
        <v>不重复</v>
      </c>
      <c r="K1653" s="88" t="str">
        <f t="shared" si="25"/>
        <v>不重复</v>
      </c>
    </row>
    <row r="1654" spans="1:11" ht="20.25" customHeight="1">
      <c r="A1654" s="84" t="s">
        <v>2457</v>
      </c>
      <c r="B1654" s="85" t="s">
        <v>8428</v>
      </c>
      <c r="C1654" s="85" t="s">
        <v>2458</v>
      </c>
      <c r="D1654" s="85" t="s">
        <v>2459</v>
      </c>
      <c r="E1654" s="84" t="s">
        <v>1918</v>
      </c>
      <c r="F1654" s="86">
        <v>603225</v>
      </c>
      <c r="G1654" s="86">
        <v>5100300</v>
      </c>
      <c r="H1654" s="87"/>
      <c r="I1654" s="85" t="s">
        <v>8136</v>
      </c>
      <c r="J1654" s="88" t="str">
        <f t="shared" si="25"/>
        <v>不重复</v>
      </c>
      <c r="K1654" s="88" t="str">
        <f t="shared" si="25"/>
        <v>不重复</v>
      </c>
    </row>
    <row r="1655" spans="1:11" ht="20.25" customHeight="1">
      <c r="A1655" s="89" t="s">
        <v>8429</v>
      </c>
      <c r="B1655" s="90" t="s">
        <v>8430</v>
      </c>
      <c r="C1655" s="90" t="s">
        <v>8431</v>
      </c>
      <c r="D1655" s="90" t="s">
        <v>8432</v>
      </c>
      <c r="E1655" s="89" t="s">
        <v>1918</v>
      </c>
      <c r="F1655" s="91">
        <v>603226</v>
      </c>
      <c r="G1655" s="91">
        <v>5100300</v>
      </c>
      <c r="H1655" s="87"/>
      <c r="I1655" s="90" t="s">
        <v>25</v>
      </c>
      <c r="J1655" s="88" t="str">
        <f t="shared" si="25"/>
        <v>不重复</v>
      </c>
      <c r="K1655" s="88" t="str">
        <f t="shared" si="25"/>
        <v>不重复</v>
      </c>
    </row>
    <row r="1656" spans="1:11" ht="20.25" customHeight="1">
      <c r="A1656" s="89" t="s">
        <v>2460</v>
      </c>
      <c r="B1656" s="90" t="s">
        <v>2461</v>
      </c>
      <c r="C1656" s="90" t="s">
        <v>2462</v>
      </c>
      <c r="D1656" s="90" t="s">
        <v>2463</v>
      </c>
      <c r="E1656" s="89" t="s">
        <v>1918</v>
      </c>
      <c r="F1656" s="91">
        <v>603227</v>
      </c>
      <c r="G1656" s="91">
        <v>5100300</v>
      </c>
      <c r="H1656" s="87"/>
      <c r="I1656" s="90" t="s">
        <v>8433</v>
      </c>
      <c r="J1656" s="88" t="str">
        <f t="shared" si="25"/>
        <v>不重复</v>
      </c>
      <c r="K1656" s="88" t="str">
        <f t="shared" si="25"/>
        <v>不重复</v>
      </c>
    </row>
    <row r="1657" spans="1:11" ht="20.25" customHeight="1">
      <c r="A1657" s="89" t="s">
        <v>8434</v>
      </c>
      <c r="B1657" s="90" t="s">
        <v>8435</v>
      </c>
      <c r="C1657" s="90" t="s">
        <v>8436</v>
      </c>
      <c r="D1657" s="90" t="s">
        <v>8437</v>
      </c>
      <c r="E1657" s="89" t="s">
        <v>1918</v>
      </c>
      <c r="F1657" s="91">
        <v>603228</v>
      </c>
      <c r="G1657" s="91">
        <v>5100300</v>
      </c>
      <c r="H1657" s="87"/>
      <c r="I1657" s="90" t="s">
        <v>25</v>
      </c>
      <c r="J1657" s="88" t="str">
        <f t="shared" si="25"/>
        <v>不重复</v>
      </c>
      <c r="K1657" s="88" t="str">
        <f t="shared" si="25"/>
        <v>不重复</v>
      </c>
    </row>
    <row r="1658" spans="1:11" ht="20.25" customHeight="1">
      <c r="A1658" s="89" t="s">
        <v>8438</v>
      </c>
      <c r="B1658" s="90" t="s">
        <v>8439</v>
      </c>
      <c r="C1658" s="90" t="s">
        <v>8440</v>
      </c>
      <c r="D1658" s="90" t="s">
        <v>1396</v>
      </c>
      <c r="E1658" s="89" t="s">
        <v>3725</v>
      </c>
      <c r="F1658" s="91">
        <v>604000</v>
      </c>
      <c r="G1658" s="91">
        <v>5100400</v>
      </c>
      <c r="H1658" s="87"/>
      <c r="I1658" s="90" t="s">
        <v>25</v>
      </c>
      <c r="J1658" s="88" t="str">
        <f t="shared" si="25"/>
        <v>不重复</v>
      </c>
      <c r="K1658" s="88" t="str">
        <f t="shared" si="25"/>
        <v>不重复</v>
      </c>
    </row>
    <row r="1659" spans="1:11" ht="20.25" customHeight="1">
      <c r="A1659" s="89" t="s">
        <v>8441</v>
      </c>
      <c r="B1659" s="90" t="s">
        <v>8442</v>
      </c>
      <c r="C1659" s="90" t="s">
        <v>3501</v>
      </c>
      <c r="D1659" s="90" t="s">
        <v>8443</v>
      </c>
      <c r="E1659" s="89" t="s">
        <v>3725</v>
      </c>
      <c r="F1659" s="91">
        <v>604001</v>
      </c>
      <c r="G1659" s="91">
        <v>5100400</v>
      </c>
      <c r="H1659" s="87"/>
      <c r="I1659" s="90" t="s">
        <v>8444</v>
      </c>
      <c r="J1659" s="88" t="str">
        <f t="shared" si="25"/>
        <v>重复</v>
      </c>
      <c r="K1659" s="88" t="str">
        <f t="shared" si="25"/>
        <v>不重复</v>
      </c>
    </row>
    <row r="1660" spans="1:11" ht="20.25" customHeight="1">
      <c r="A1660" s="89" t="s">
        <v>8445</v>
      </c>
      <c r="B1660" s="90" t="s">
        <v>8446</v>
      </c>
      <c r="C1660" s="90" t="s">
        <v>1556</v>
      </c>
      <c r="D1660" s="90" t="s">
        <v>8447</v>
      </c>
      <c r="E1660" s="89" t="s">
        <v>3725</v>
      </c>
      <c r="F1660" s="91">
        <v>604002</v>
      </c>
      <c r="G1660" s="91">
        <v>5100400</v>
      </c>
      <c r="H1660" s="87"/>
      <c r="I1660" s="90" t="s">
        <v>8444</v>
      </c>
      <c r="J1660" s="88" t="str">
        <f t="shared" si="25"/>
        <v>重复</v>
      </c>
      <c r="K1660" s="88" t="str">
        <f t="shared" si="25"/>
        <v>不重复</v>
      </c>
    </row>
    <row r="1661" spans="1:11" ht="20.25" customHeight="1">
      <c r="A1661" s="84" t="s">
        <v>8448</v>
      </c>
      <c r="B1661" s="85" t="s">
        <v>8449</v>
      </c>
      <c r="C1661" s="85" t="s">
        <v>8450</v>
      </c>
      <c r="D1661" s="85" t="s">
        <v>2277</v>
      </c>
      <c r="E1661" s="84" t="s">
        <v>3725</v>
      </c>
      <c r="F1661" s="86">
        <v>604003</v>
      </c>
      <c r="G1661" s="86">
        <v>5100400</v>
      </c>
      <c r="H1661" s="87"/>
      <c r="I1661" s="85" t="s">
        <v>25</v>
      </c>
      <c r="J1661" s="88" t="str">
        <f t="shared" si="25"/>
        <v>重复</v>
      </c>
      <c r="K1661" s="88" t="str">
        <f t="shared" si="25"/>
        <v>不重复</v>
      </c>
    </row>
    <row r="1662" spans="1:11" ht="20.25" customHeight="1">
      <c r="A1662" s="84" t="s">
        <v>8451</v>
      </c>
      <c r="B1662" s="85" t="s">
        <v>8452</v>
      </c>
      <c r="C1662" s="85" t="s">
        <v>8450</v>
      </c>
      <c r="D1662" s="85" t="s">
        <v>8453</v>
      </c>
      <c r="E1662" s="84" t="s">
        <v>3725</v>
      </c>
      <c r="F1662" s="86">
        <v>604004</v>
      </c>
      <c r="G1662" s="86">
        <v>5100400</v>
      </c>
      <c r="H1662" s="87"/>
      <c r="I1662" s="85" t="s">
        <v>8454</v>
      </c>
      <c r="J1662" s="88" t="str">
        <f t="shared" si="25"/>
        <v>重复</v>
      </c>
      <c r="K1662" s="88" t="str">
        <f t="shared" si="25"/>
        <v>不重复</v>
      </c>
    </row>
    <row r="1663" spans="1:11" ht="20.25" customHeight="1">
      <c r="A1663" s="89" t="s">
        <v>8455</v>
      </c>
      <c r="B1663" s="90" t="s">
        <v>8456</v>
      </c>
      <c r="C1663" s="90" t="s">
        <v>8457</v>
      </c>
      <c r="D1663" s="90" t="s">
        <v>8458</v>
      </c>
      <c r="E1663" s="89" t="s">
        <v>3725</v>
      </c>
      <c r="F1663" s="91">
        <v>604005</v>
      </c>
      <c r="G1663" s="91">
        <v>5100400</v>
      </c>
      <c r="H1663" s="87"/>
      <c r="I1663" s="90" t="s">
        <v>25</v>
      </c>
      <c r="J1663" s="88" t="str">
        <f t="shared" si="25"/>
        <v>不重复</v>
      </c>
      <c r="K1663" s="88" t="str">
        <f t="shared" si="25"/>
        <v>不重复</v>
      </c>
    </row>
    <row r="1664" spans="1:11" ht="20.25" customHeight="1">
      <c r="A1664" s="89" t="s">
        <v>8459</v>
      </c>
      <c r="B1664" s="90" t="s">
        <v>8460</v>
      </c>
      <c r="C1664" s="90" t="s">
        <v>8461</v>
      </c>
      <c r="D1664" s="90" t="s">
        <v>8462</v>
      </c>
      <c r="E1664" s="89" t="s">
        <v>3725</v>
      </c>
      <c r="F1664" s="91">
        <v>604006</v>
      </c>
      <c r="G1664" s="91">
        <v>5100400</v>
      </c>
      <c r="H1664" s="87"/>
      <c r="I1664" s="90" t="s">
        <v>8463</v>
      </c>
      <c r="J1664" s="88" t="str">
        <f t="shared" si="25"/>
        <v>不重复</v>
      </c>
      <c r="K1664" s="88" t="str">
        <f t="shared" si="25"/>
        <v>不重复</v>
      </c>
    </row>
    <row r="1665" spans="1:11" ht="20.25" customHeight="1">
      <c r="A1665" s="89" t="s">
        <v>3726</v>
      </c>
      <c r="B1665" s="90" t="s">
        <v>8464</v>
      </c>
      <c r="C1665" s="90" t="s">
        <v>3727</v>
      </c>
      <c r="D1665" s="90" t="s">
        <v>3728</v>
      </c>
      <c r="E1665" s="89" t="s">
        <v>3725</v>
      </c>
      <c r="F1665" s="91">
        <v>604007</v>
      </c>
      <c r="G1665" s="91">
        <v>5100400</v>
      </c>
      <c r="H1665" s="87"/>
      <c r="I1665" s="90" t="s">
        <v>8465</v>
      </c>
      <c r="J1665" s="88" t="str">
        <f t="shared" si="25"/>
        <v>不重复</v>
      </c>
      <c r="K1665" s="88" t="str">
        <f t="shared" si="25"/>
        <v>不重复</v>
      </c>
    </row>
    <row r="1666" spans="1:11" ht="20.25" customHeight="1">
      <c r="A1666" s="89" t="s">
        <v>8466</v>
      </c>
      <c r="B1666" s="90" t="s">
        <v>8467</v>
      </c>
      <c r="C1666" s="90" t="s">
        <v>8468</v>
      </c>
      <c r="D1666" s="90" t="s">
        <v>8469</v>
      </c>
      <c r="E1666" s="89" t="s">
        <v>3725</v>
      </c>
      <c r="F1666" s="91">
        <v>604008</v>
      </c>
      <c r="G1666" s="91">
        <v>5100400</v>
      </c>
      <c r="H1666" s="87"/>
      <c r="I1666" s="90" t="s">
        <v>8463</v>
      </c>
      <c r="J1666" s="88" t="str">
        <f t="shared" si="25"/>
        <v>不重复</v>
      </c>
      <c r="K1666" s="88" t="str">
        <f t="shared" si="25"/>
        <v>不重复</v>
      </c>
    </row>
    <row r="1667" spans="1:11" ht="20.25" customHeight="1">
      <c r="A1667" s="89" t="s">
        <v>8470</v>
      </c>
      <c r="B1667" s="90" t="s">
        <v>8471</v>
      </c>
      <c r="C1667" s="90" t="s">
        <v>8472</v>
      </c>
      <c r="D1667" s="90" t="s">
        <v>8473</v>
      </c>
      <c r="E1667" s="89" t="s">
        <v>3725</v>
      </c>
      <c r="F1667" s="91">
        <v>604009</v>
      </c>
      <c r="G1667" s="91">
        <v>5100400</v>
      </c>
      <c r="H1667" s="87"/>
      <c r="I1667" s="90" t="s">
        <v>25</v>
      </c>
      <c r="J1667" s="88" t="str">
        <f t="shared" si="26" ref="J1667:K1730">IF(COUNTIF(C:C,C1667)&gt;=2,"重复","不重复")</f>
        <v>重复</v>
      </c>
      <c r="K1667" s="88" t="str">
        <f t="shared" si="26"/>
        <v>不重复</v>
      </c>
    </row>
    <row r="1668" spans="1:11" ht="20.25" customHeight="1">
      <c r="A1668" s="89" t="s">
        <v>8474</v>
      </c>
      <c r="B1668" s="90" t="s">
        <v>8475</v>
      </c>
      <c r="C1668" s="90" t="s">
        <v>8476</v>
      </c>
      <c r="D1668" s="90" t="s">
        <v>8477</v>
      </c>
      <c r="E1668" s="89" t="s">
        <v>3725</v>
      </c>
      <c r="F1668" s="91">
        <v>604010</v>
      </c>
      <c r="G1668" s="91">
        <v>5100400</v>
      </c>
      <c r="H1668" s="87"/>
      <c r="I1668" s="90" t="s">
        <v>7902</v>
      </c>
      <c r="J1668" s="88" t="str">
        <f t="shared" si="26"/>
        <v>不重复</v>
      </c>
      <c r="K1668" s="88" t="str">
        <f t="shared" si="26"/>
        <v>不重复</v>
      </c>
    </row>
    <row r="1669" spans="1:11" ht="20.25" customHeight="1">
      <c r="A1669" s="84" t="s">
        <v>8478</v>
      </c>
      <c r="B1669" s="85" t="s">
        <v>8479</v>
      </c>
      <c r="C1669" s="85" t="s">
        <v>8480</v>
      </c>
      <c r="D1669" s="85" t="s">
        <v>8481</v>
      </c>
      <c r="E1669" s="84" t="s">
        <v>3725</v>
      </c>
      <c r="F1669" s="86">
        <v>604011</v>
      </c>
      <c r="G1669" s="86">
        <v>5100400</v>
      </c>
      <c r="H1669" s="87"/>
      <c r="I1669" s="85" t="s">
        <v>25</v>
      </c>
      <c r="J1669" s="88" t="str">
        <f t="shared" si="26"/>
        <v>重复</v>
      </c>
      <c r="K1669" s="88" t="str">
        <f t="shared" si="26"/>
        <v>不重复</v>
      </c>
    </row>
    <row r="1670" spans="1:11" ht="20.25" customHeight="1">
      <c r="A1670" s="84" t="s">
        <v>8482</v>
      </c>
      <c r="B1670" s="85" t="s">
        <v>8483</v>
      </c>
      <c r="C1670" s="85" t="s">
        <v>8484</v>
      </c>
      <c r="D1670" s="85" t="s">
        <v>8485</v>
      </c>
      <c r="E1670" s="84" t="s">
        <v>3725</v>
      </c>
      <c r="F1670" s="86">
        <v>604012</v>
      </c>
      <c r="G1670" s="86">
        <v>5100400</v>
      </c>
      <c r="H1670" s="87"/>
      <c r="I1670" s="85" t="s">
        <v>8486</v>
      </c>
      <c r="J1670" s="88" t="str">
        <f t="shared" si="26"/>
        <v>不重复</v>
      </c>
      <c r="K1670" s="88" t="str">
        <f t="shared" si="26"/>
        <v>不重复</v>
      </c>
    </row>
    <row r="1671" spans="1:11" ht="20.25" customHeight="1">
      <c r="A1671" s="89" t="s">
        <v>8487</v>
      </c>
      <c r="B1671" s="90" t="s">
        <v>8488</v>
      </c>
      <c r="C1671" s="90" t="s">
        <v>8472</v>
      </c>
      <c r="D1671" s="90" t="s">
        <v>8489</v>
      </c>
      <c r="E1671" s="89" t="s">
        <v>3725</v>
      </c>
      <c r="F1671" s="91">
        <v>604013</v>
      </c>
      <c r="G1671" s="91">
        <v>5100400</v>
      </c>
      <c r="H1671" s="87"/>
      <c r="I1671" s="90" t="s">
        <v>25</v>
      </c>
      <c r="J1671" s="88" t="str">
        <f t="shared" si="26"/>
        <v>重复</v>
      </c>
      <c r="K1671" s="88" t="str">
        <f t="shared" si="26"/>
        <v>不重复</v>
      </c>
    </row>
    <row r="1672" spans="1:11" ht="20.25" customHeight="1">
      <c r="A1672" s="89" t="s">
        <v>8490</v>
      </c>
      <c r="B1672" s="90" t="s">
        <v>8491</v>
      </c>
      <c r="C1672" s="90" t="s">
        <v>3766</v>
      </c>
      <c r="D1672" s="90" t="s">
        <v>8492</v>
      </c>
      <c r="E1672" s="89" t="s">
        <v>3725</v>
      </c>
      <c r="F1672" s="91">
        <v>604014</v>
      </c>
      <c r="G1672" s="91">
        <v>5100400</v>
      </c>
      <c r="H1672" s="87"/>
      <c r="I1672" s="90" t="s">
        <v>8493</v>
      </c>
      <c r="J1672" s="88" t="str">
        <f t="shared" si="26"/>
        <v>重复</v>
      </c>
      <c r="K1672" s="88" t="str">
        <f t="shared" si="26"/>
        <v>不重复</v>
      </c>
    </row>
    <row r="1673" spans="1:11" ht="20.25" customHeight="1">
      <c r="A1673" s="89" t="s">
        <v>8494</v>
      </c>
      <c r="B1673" s="90" t="s">
        <v>8495</v>
      </c>
      <c r="C1673" s="90" t="s">
        <v>8496</v>
      </c>
      <c r="D1673" s="90" t="s">
        <v>8497</v>
      </c>
      <c r="E1673" s="89" t="s">
        <v>3725</v>
      </c>
      <c r="F1673" s="91">
        <v>604015</v>
      </c>
      <c r="G1673" s="91">
        <v>5100400</v>
      </c>
      <c r="H1673" s="87"/>
      <c r="I1673" s="90" t="s">
        <v>8498</v>
      </c>
      <c r="J1673" s="88" t="str">
        <f t="shared" si="26"/>
        <v>不重复</v>
      </c>
      <c r="K1673" s="88" t="str">
        <f t="shared" si="26"/>
        <v>不重复</v>
      </c>
    </row>
    <row r="1674" spans="1:11" ht="20.25" customHeight="1">
      <c r="A1674" s="84" t="s">
        <v>3755</v>
      </c>
      <c r="B1674" s="85" t="s">
        <v>3756</v>
      </c>
      <c r="C1674" s="85" t="s">
        <v>3757</v>
      </c>
      <c r="D1674" s="85" t="s">
        <v>3758</v>
      </c>
      <c r="E1674" s="84" t="s">
        <v>3725</v>
      </c>
      <c r="F1674" s="86">
        <v>604016</v>
      </c>
      <c r="G1674" s="86">
        <v>5100400</v>
      </c>
      <c r="H1674" s="87"/>
      <c r="I1674" s="85" t="s">
        <v>25</v>
      </c>
      <c r="J1674" s="88" t="str">
        <f t="shared" si="26"/>
        <v>重复</v>
      </c>
      <c r="K1674" s="88" t="str">
        <f t="shared" si="26"/>
        <v>不重复</v>
      </c>
    </row>
    <row r="1675" spans="1:11" ht="20.25" customHeight="1">
      <c r="A1675" s="84" t="s">
        <v>3736</v>
      </c>
      <c r="B1675" s="85" t="s">
        <v>8499</v>
      </c>
      <c r="C1675" s="85" t="s">
        <v>3737</v>
      </c>
      <c r="D1675" s="85" t="s">
        <v>3738</v>
      </c>
      <c r="E1675" s="84" t="s">
        <v>3725</v>
      </c>
      <c r="F1675" s="86">
        <v>604017</v>
      </c>
      <c r="G1675" s="86">
        <v>5100400</v>
      </c>
      <c r="H1675" s="87"/>
      <c r="I1675" s="85" t="s">
        <v>8454</v>
      </c>
      <c r="J1675" s="88" t="str">
        <f t="shared" si="26"/>
        <v>不重复</v>
      </c>
      <c r="K1675" s="88" t="str">
        <f t="shared" si="26"/>
        <v>不重复</v>
      </c>
    </row>
    <row r="1676" spans="1:11" ht="20.25" customHeight="1">
      <c r="A1676" s="84" t="s">
        <v>8500</v>
      </c>
      <c r="B1676" s="85" t="s">
        <v>8501</v>
      </c>
      <c r="C1676" s="85" t="s">
        <v>3776</v>
      </c>
      <c r="D1676" s="85" t="s">
        <v>8502</v>
      </c>
      <c r="E1676" s="84" t="s">
        <v>3725</v>
      </c>
      <c r="F1676" s="86">
        <v>604018</v>
      </c>
      <c r="G1676" s="86">
        <v>5100400</v>
      </c>
      <c r="H1676" s="87"/>
      <c r="I1676" s="85" t="s">
        <v>8454</v>
      </c>
      <c r="J1676" s="88" t="str">
        <f t="shared" si="26"/>
        <v>重复</v>
      </c>
      <c r="K1676" s="88" t="str">
        <f t="shared" si="26"/>
        <v>不重复</v>
      </c>
    </row>
    <row r="1677" spans="1:11" ht="20.25" customHeight="1">
      <c r="A1677" s="84" t="s">
        <v>3729</v>
      </c>
      <c r="B1677" s="85" t="s">
        <v>8503</v>
      </c>
      <c r="C1677" s="85" t="s">
        <v>3730</v>
      </c>
      <c r="D1677" s="85" t="s">
        <v>3731</v>
      </c>
      <c r="E1677" s="84" t="s">
        <v>3725</v>
      </c>
      <c r="F1677" s="86">
        <v>604019</v>
      </c>
      <c r="G1677" s="86">
        <v>5100400</v>
      </c>
      <c r="H1677" s="87"/>
      <c r="I1677" s="85" t="s">
        <v>7902</v>
      </c>
      <c r="J1677" s="88" t="str">
        <f t="shared" si="26"/>
        <v>重复</v>
      </c>
      <c r="K1677" s="88" t="str">
        <f t="shared" si="26"/>
        <v>不重复</v>
      </c>
    </row>
    <row r="1678" spans="1:11" ht="20.25" customHeight="1">
      <c r="A1678" s="84" t="s">
        <v>3742</v>
      </c>
      <c r="B1678" s="85" t="s">
        <v>8504</v>
      </c>
      <c r="C1678" s="85" t="s">
        <v>3743</v>
      </c>
      <c r="D1678" s="85" t="s">
        <v>8505</v>
      </c>
      <c r="E1678" s="84" t="s">
        <v>3725</v>
      </c>
      <c r="F1678" s="86">
        <v>604020</v>
      </c>
      <c r="G1678" s="86">
        <v>5100400</v>
      </c>
      <c r="H1678" s="87"/>
      <c r="I1678" s="85" t="s">
        <v>8493</v>
      </c>
      <c r="J1678" s="88" t="str">
        <f t="shared" si="26"/>
        <v>重复</v>
      </c>
      <c r="K1678" s="88" t="str">
        <f t="shared" si="26"/>
        <v>不重复</v>
      </c>
    </row>
    <row r="1679" spans="1:11" ht="20.25" customHeight="1">
      <c r="A1679" s="84" t="s">
        <v>3745</v>
      </c>
      <c r="B1679" s="85" t="s">
        <v>8506</v>
      </c>
      <c r="C1679" s="85" t="s">
        <v>3746</v>
      </c>
      <c r="D1679" s="85" t="s">
        <v>3744</v>
      </c>
      <c r="E1679" s="84" t="s">
        <v>3725</v>
      </c>
      <c r="F1679" s="86">
        <v>604021</v>
      </c>
      <c r="G1679" s="86">
        <v>5100400</v>
      </c>
      <c r="H1679" s="87"/>
      <c r="I1679" s="85" t="s">
        <v>8493</v>
      </c>
      <c r="J1679" s="88" t="str">
        <f t="shared" si="26"/>
        <v>不重复</v>
      </c>
      <c r="K1679" s="88" t="str">
        <f t="shared" si="26"/>
        <v>不重复</v>
      </c>
    </row>
    <row r="1680" spans="1:11" ht="20.25" customHeight="1">
      <c r="A1680" s="84" t="s">
        <v>3753</v>
      </c>
      <c r="B1680" s="85" t="s">
        <v>8507</v>
      </c>
      <c r="C1680" s="85" t="s">
        <v>1074</v>
      </c>
      <c r="D1680" s="85" t="s">
        <v>3754</v>
      </c>
      <c r="E1680" s="84" t="s">
        <v>3725</v>
      </c>
      <c r="F1680" s="86">
        <v>604022</v>
      </c>
      <c r="G1680" s="86">
        <v>5100400</v>
      </c>
      <c r="H1680" s="87"/>
      <c r="I1680" s="85" t="s">
        <v>8454</v>
      </c>
      <c r="J1680" s="88" t="str">
        <f t="shared" si="26"/>
        <v>重复</v>
      </c>
      <c r="K1680" s="88" t="str">
        <f t="shared" si="26"/>
        <v>不重复</v>
      </c>
    </row>
    <row r="1681" spans="1:11" ht="20.25" customHeight="1">
      <c r="A1681" s="84" t="s">
        <v>3750</v>
      </c>
      <c r="B1681" s="85" t="s">
        <v>8508</v>
      </c>
      <c r="C1681" s="85" t="s">
        <v>3751</v>
      </c>
      <c r="D1681" s="85" t="s">
        <v>3752</v>
      </c>
      <c r="E1681" s="84" t="s">
        <v>3725</v>
      </c>
      <c r="F1681" s="86">
        <v>604023</v>
      </c>
      <c r="G1681" s="86">
        <v>5100400</v>
      </c>
      <c r="H1681" s="87"/>
      <c r="I1681" s="85" t="s">
        <v>8493</v>
      </c>
      <c r="J1681" s="88" t="str">
        <f t="shared" si="26"/>
        <v>不重复</v>
      </c>
      <c r="K1681" s="88" t="str">
        <f t="shared" si="26"/>
        <v>不重复</v>
      </c>
    </row>
    <row r="1682" spans="1:11" ht="20.25" customHeight="1">
      <c r="A1682" s="84" t="s">
        <v>8509</v>
      </c>
      <c r="B1682" s="85" t="s">
        <v>8510</v>
      </c>
      <c r="C1682" s="85" t="s">
        <v>8511</v>
      </c>
      <c r="D1682" s="85" t="s">
        <v>8512</v>
      </c>
      <c r="E1682" s="84" t="s">
        <v>3725</v>
      </c>
      <c r="F1682" s="86">
        <v>604024</v>
      </c>
      <c r="G1682" s="86">
        <v>5100400</v>
      </c>
      <c r="H1682" s="87"/>
      <c r="I1682" s="85" t="s">
        <v>8454</v>
      </c>
      <c r="J1682" s="88" t="str">
        <f t="shared" si="26"/>
        <v>不重复</v>
      </c>
      <c r="K1682" s="88" t="str">
        <f t="shared" si="26"/>
        <v>不重复</v>
      </c>
    </row>
    <row r="1683" spans="1:11" ht="20.25" customHeight="1">
      <c r="A1683" s="84" t="s">
        <v>8513</v>
      </c>
      <c r="B1683" s="85" t="s">
        <v>8514</v>
      </c>
      <c r="C1683" s="85" t="s">
        <v>738</v>
      </c>
      <c r="D1683" s="85" t="s">
        <v>8515</v>
      </c>
      <c r="E1683" s="84" t="s">
        <v>3725</v>
      </c>
      <c r="F1683" s="86">
        <v>604025</v>
      </c>
      <c r="G1683" s="86">
        <v>5100400</v>
      </c>
      <c r="H1683" s="87"/>
      <c r="I1683" s="85" t="s">
        <v>8454</v>
      </c>
      <c r="J1683" s="88" t="str">
        <f t="shared" si="26"/>
        <v>重复</v>
      </c>
      <c r="K1683" s="88" t="str">
        <f t="shared" si="26"/>
        <v>不重复</v>
      </c>
    </row>
    <row r="1684" spans="1:11" ht="20.25" customHeight="1">
      <c r="A1684" s="84" t="s">
        <v>3734</v>
      </c>
      <c r="B1684" s="85" t="s">
        <v>8516</v>
      </c>
      <c r="C1684" s="85" t="s">
        <v>3267</v>
      </c>
      <c r="D1684" s="85" t="s">
        <v>3735</v>
      </c>
      <c r="E1684" s="84" t="s">
        <v>3725</v>
      </c>
      <c r="F1684" s="86">
        <v>604026</v>
      </c>
      <c r="G1684" s="86">
        <v>5100400</v>
      </c>
      <c r="H1684" s="87"/>
      <c r="I1684" s="85" t="s">
        <v>8493</v>
      </c>
      <c r="J1684" s="88" t="str">
        <f t="shared" si="26"/>
        <v>重复</v>
      </c>
      <c r="K1684" s="88" t="str">
        <f t="shared" si="26"/>
        <v>不重复</v>
      </c>
    </row>
    <row r="1685" spans="1:11" ht="20.25" customHeight="1">
      <c r="A1685" s="84" t="s">
        <v>8517</v>
      </c>
      <c r="B1685" s="85" t="s">
        <v>8518</v>
      </c>
      <c r="C1685" s="85" t="s">
        <v>3732</v>
      </c>
      <c r="D1685" s="85" t="s">
        <v>3733</v>
      </c>
      <c r="E1685" s="84" t="s">
        <v>3725</v>
      </c>
      <c r="F1685" s="86">
        <v>604027</v>
      </c>
      <c r="G1685" s="86">
        <v>5100400</v>
      </c>
      <c r="H1685" s="87"/>
      <c r="I1685" s="85" t="s">
        <v>8519</v>
      </c>
      <c r="J1685" s="88" t="str">
        <f t="shared" si="26"/>
        <v>不重复</v>
      </c>
      <c r="K1685" s="88" t="str">
        <f t="shared" si="26"/>
        <v>不重复</v>
      </c>
    </row>
    <row r="1686" spans="1:11" ht="20.25" customHeight="1">
      <c r="A1686" s="84" t="s">
        <v>3740</v>
      </c>
      <c r="B1686" s="85" t="s">
        <v>8520</v>
      </c>
      <c r="C1686" s="85" t="s">
        <v>738</v>
      </c>
      <c r="D1686" s="85" t="s">
        <v>3741</v>
      </c>
      <c r="E1686" s="84" t="s">
        <v>3725</v>
      </c>
      <c r="F1686" s="86">
        <v>604028</v>
      </c>
      <c r="G1686" s="86">
        <v>5100400</v>
      </c>
      <c r="H1686" s="87"/>
      <c r="I1686" s="85" t="s">
        <v>8493</v>
      </c>
      <c r="J1686" s="88" t="str">
        <f t="shared" si="26"/>
        <v>重复</v>
      </c>
      <c r="K1686" s="88" t="str">
        <f t="shared" si="26"/>
        <v>不重复</v>
      </c>
    </row>
    <row r="1687" spans="1:11" ht="20.25" customHeight="1">
      <c r="A1687" s="84" t="s">
        <v>8521</v>
      </c>
      <c r="B1687" s="85" t="s">
        <v>8522</v>
      </c>
      <c r="C1687" s="85" t="s">
        <v>8523</v>
      </c>
      <c r="D1687" s="85" t="s">
        <v>8524</v>
      </c>
      <c r="E1687" s="84" t="s">
        <v>3725</v>
      </c>
      <c r="F1687" s="86">
        <v>604029</v>
      </c>
      <c r="G1687" s="86">
        <v>5100400</v>
      </c>
      <c r="H1687" s="87"/>
      <c r="I1687" s="85" t="s">
        <v>8454</v>
      </c>
      <c r="J1687" s="88" t="str">
        <f t="shared" si="26"/>
        <v>不重复</v>
      </c>
      <c r="K1687" s="88" t="str">
        <f t="shared" si="26"/>
        <v>不重复</v>
      </c>
    </row>
    <row r="1688" spans="1:11" ht="20.25" customHeight="1">
      <c r="A1688" s="84" t="s">
        <v>3747</v>
      </c>
      <c r="B1688" s="85" t="s">
        <v>8525</v>
      </c>
      <c r="C1688" s="85" t="s">
        <v>3748</v>
      </c>
      <c r="D1688" s="85" t="s">
        <v>3749</v>
      </c>
      <c r="E1688" s="84" t="s">
        <v>3725</v>
      </c>
      <c r="F1688" s="86">
        <v>604030</v>
      </c>
      <c r="G1688" s="86">
        <v>5100400</v>
      </c>
      <c r="H1688" s="87"/>
      <c r="I1688" s="85" t="s">
        <v>8493</v>
      </c>
      <c r="J1688" s="88" t="str">
        <f t="shared" si="26"/>
        <v>不重复</v>
      </c>
      <c r="K1688" s="88" t="str">
        <f t="shared" si="26"/>
        <v>不重复</v>
      </c>
    </row>
    <row r="1689" spans="1:11" ht="20.25" customHeight="1">
      <c r="A1689" s="89" t="s">
        <v>8526</v>
      </c>
      <c r="B1689" s="90" t="s">
        <v>8527</v>
      </c>
      <c r="C1689" s="90" t="s">
        <v>8528</v>
      </c>
      <c r="D1689" s="90" t="s">
        <v>8529</v>
      </c>
      <c r="E1689" s="89" t="s">
        <v>3725</v>
      </c>
      <c r="F1689" s="91">
        <v>604031</v>
      </c>
      <c r="G1689" s="91">
        <v>5100400</v>
      </c>
      <c r="H1689" s="87"/>
      <c r="I1689" s="90" t="s">
        <v>25</v>
      </c>
      <c r="J1689" s="88" t="str">
        <f t="shared" si="26"/>
        <v>不重复</v>
      </c>
      <c r="K1689" s="88" t="str">
        <f t="shared" si="26"/>
        <v>不重复</v>
      </c>
    </row>
    <row r="1690" spans="1:11" ht="20.25" customHeight="1">
      <c r="A1690" s="89" t="s">
        <v>3759</v>
      </c>
      <c r="B1690" s="90" t="s">
        <v>8530</v>
      </c>
      <c r="C1690" s="90" t="s">
        <v>3760</v>
      </c>
      <c r="D1690" s="90" t="s">
        <v>3761</v>
      </c>
      <c r="E1690" s="89" t="s">
        <v>3725</v>
      </c>
      <c r="F1690" s="91">
        <v>604032</v>
      </c>
      <c r="G1690" s="91">
        <v>5100400</v>
      </c>
      <c r="H1690" s="87"/>
      <c r="I1690" s="90" t="s">
        <v>8454</v>
      </c>
      <c r="J1690" s="88" t="str">
        <f t="shared" si="26"/>
        <v>不重复</v>
      </c>
      <c r="K1690" s="88" t="str">
        <f t="shared" si="26"/>
        <v>不重复</v>
      </c>
    </row>
    <row r="1691" spans="1:11" ht="20.25" customHeight="1">
      <c r="A1691" s="89" t="s">
        <v>3762</v>
      </c>
      <c r="B1691" s="90" t="s">
        <v>8531</v>
      </c>
      <c r="C1691" s="90" t="s">
        <v>3015</v>
      </c>
      <c r="D1691" s="90" t="s">
        <v>3763</v>
      </c>
      <c r="E1691" s="89" t="s">
        <v>3725</v>
      </c>
      <c r="F1691" s="91">
        <v>604033</v>
      </c>
      <c r="G1691" s="91">
        <v>5100400</v>
      </c>
      <c r="H1691" s="87"/>
      <c r="I1691" s="90" t="s">
        <v>8454</v>
      </c>
      <c r="J1691" s="88" t="str">
        <f t="shared" si="26"/>
        <v>重复</v>
      </c>
      <c r="K1691" s="88" t="str">
        <f t="shared" si="26"/>
        <v>不重复</v>
      </c>
    </row>
    <row r="1692" spans="1:11" ht="20.25" customHeight="1">
      <c r="A1692" s="84" t="s">
        <v>8532</v>
      </c>
      <c r="B1692" s="85" t="s">
        <v>8533</v>
      </c>
      <c r="C1692" s="85" t="s">
        <v>8480</v>
      </c>
      <c r="D1692" s="85" t="s">
        <v>8534</v>
      </c>
      <c r="E1692" s="84" t="s">
        <v>3725</v>
      </c>
      <c r="F1692" s="86">
        <v>604034</v>
      </c>
      <c r="G1692" s="86">
        <v>5100400</v>
      </c>
      <c r="H1692" s="87"/>
      <c r="I1692" s="85" t="s">
        <v>25</v>
      </c>
      <c r="J1692" s="88" t="str">
        <f t="shared" si="26"/>
        <v>重复</v>
      </c>
      <c r="K1692" s="88" t="str">
        <f t="shared" si="26"/>
        <v>不重复</v>
      </c>
    </row>
    <row r="1693" spans="1:11" ht="20.25" customHeight="1">
      <c r="A1693" s="84" t="s">
        <v>8535</v>
      </c>
      <c r="B1693" s="85" t="s">
        <v>8536</v>
      </c>
      <c r="C1693" s="85" t="s">
        <v>8537</v>
      </c>
      <c r="D1693" s="85" t="s">
        <v>8538</v>
      </c>
      <c r="E1693" s="84" t="s">
        <v>3725</v>
      </c>
      <c r="F1693" s="86">
        <v>604035</v>
      </c>
      <c r="G1693" s="86">
        <v>5100400</v>
      </c>
      <c r="H1693" s="87"/>
      <c r="I1693" s="85" t="s">
        <v>8493</v>
      </c>
      <c r="J1693" s="88" t="str">
        <f t="shared" si="26"/>
        <v>不重复</v>
      </c>
      <c r="K1693" s="88" t="str">
        <f t="shared" si="26"/>
        <v>不重复</v>
      </c>
    </row>
    <row r="1694" spans="1:11" ht="20.25" customHeight="1">
      <c r="A1694" s="84" t="s">
        <v>3764</v>
      </c>
      <c r="B1694" s="85" t="s">
        <v>3765</v>
      </c>
      <c r="C1694" s="85" t="s">
        <v>3766</v>
      </c>
      <c r="D1694" s="85" t="s">
        <v>3767</v>
      </c>
      <c r="E1694" s="84" t="s">
        <v>3725</v>
      </c>
      <c r="F1694" s="86">
        <v>604036</v>
      </c>
      <c r="G1694" s="86">
        <v>5100400</v>
      </c>
      <c r="H1694" s="87"/>
      <c r="I1694" s="85" t="s">
        <v>8539</v>
      </c>
      <c r="J1694" s="88" t="str">
        <f t="shared" si="26"/>
        <v>重复</v>
      </c>
      <c r="K1694" s="88" t="str">
        <f t="shared" si="26"/>
        <v>不重复</v>
      </c>
    </row>
    <row r="1695" spans="1:11" ht="20.25" customHeight="1">
      <c r="A1695" s="89" t="s">
        <v>3787</v>
      </c>
      <c r="B1695" s="90" t="s">
        <v>8540</v>
      </c>
      <c r="C1695" s="90" t="s">
        <v>3788</v>
      </c>
      <c r="D1695" s="90" t="s">
        <v>3789</v>
      </c>
      <c r="E1695" s="89" t="s">
        <v>3725</v>
      </c>
      <c r="F1695" s="91">
        <v>604038</v>
      </c>
      <c r="G1695" s="91">
        <v>5100400</v>
      </c>
      <c r="H1695" s="87"/>
      <c r="I1695" s="90" t="s">
        <v>8493</v>
      </c>
      <c r="J1695" s="88" t="str">
        <f t="shared" si="26"/>
        <v>不重复</v>
      </c>
      <c r="K1695" s="88" t="str">
        <f t="shared" si="26"/>
        <v>不重复</v>
      </c>
    </row>
    <row r="1696" spans="1:11" ht="20.25" customHeight="1">
      <c r="A1696" s="89" t="s">
        <v>3804</v>
      </c>
      <c r="B1696" s="90" t="s">
        <v>3805</v>
      </c>
      <c r="C1696" s="90" t="s">
        <v>3806</v>
      </c>
      <c r="D1696" s="90" t="s">
        <v>3807</v>
      </c>
      <c r="E1696" s="89" t="s">
        <v>3725</v>
      </c>
      <c r="F1696" s="91">
        <v>604039</v>
      </c>
      <c r="G1696" s="91">
        <v>5100400</v>
      </c>
      <c r="H1696" s="87"/>
      <c r="I1696" s="90" t="s">
        <v>25</v>
      </c>
      <c r="J1696" s="88" t="str">
        <f t="shared" si="26"/>
        <v>重复</v>
      </c>
      <c r="K1696" s="88" t="str">
        <f t="shared" si="26"/>
        <v>不重复</v>
      </c>
    </row>
    <row r="1697" spans="1:11" ht="20.25" customHeight="1">
      <c r="A1697" s="89" t="s">
        <v>8541</v>
      </c>
      <c r="B1697" s="90" t="s">
        <v>8542</v>
      </c>
      <c r="C1697" s="90" t="s">
        <v>4019</v>
      </c>
      <c r="D1697" s="90" t="s">
        <v>8543</v>
      </c>
      <c r="E1697" s="89" t="s">
        <v>3725</v>
      </c>
      <c r="F1697" s="91">
        <v>604040</v>
      </c>
      <c r="G1697" s="91">
        <v>5100400</v>
      </c>
      <c r="H1697" s="87"/>
      <c r="I1697" s="90" t="s">
        <v>8454</v>
      </c>
      <c r="J1697" s="88" t="str">
        <f t="shared" si="26"/>
        <v>重复</v>
      </c>
      <c r="K1697" s="88" t="str">
        <f t="shared" si="26"/>
        <v>不重复</v>
      </c>
    </row>
    <row r="1698" spans="1:11" ht="20.25" customHeight="1">
      <c r="A1698" s="89" t="s">
        <v>3791</v>
      </c>
      <c r="B1698" s="90" t="s">
        <v>8544</v>
      </c>
      <c r="C1698" s="90" t="s">
        <v>3792</v>
      </c>
      <c r="D1698" s="90" t="s">
        <v>3793</v>
      </c>
      <c r="E1698" s="89" t="s">
        <v>3725</v>
      </c>
      <c r="F1698" s="91">
        <v>604041</v>
      </c>
      <c r="G1698" s="91">
        <v>5100400</v>
      </c>
      <c r="H1698" s="87"/>
      <c r="I1698" s="90" t="s">
        <v>8545</v>
      </c>
      <c r="J1698" s="88" t="str">
        <f t="shared" si="26"/>
        <v>重复</v>
      </c>
      <c r="K1698" s="88" t="str">
        <f t="shared" si="26"/>
        <v>不重复</v>
      </c>
    </row>
    <row r="1699" spans="1:11" ht="20.25" customHeight="1">
      <c r="A1699" s="89" t="s">
        <v>3797</v>
      </c>
      <c r="B1699" s="90" t="s">
        <v>8546</v>
      </c>
      <c r="C1699" s="90" t="s">
        <v>3798</v>
      </c>
      <c r="D1699" s="90" t="s">
        <v>3799</v>
      </c>
      <c r="E1699" s="89" t="s">
        <v>3725</v>
      </c>
      <c r="F1699" s="91">
        <v>604042</v>
      </c>
      <c r="G1699" s="91">
        <v>5100400</v>
      </c>
      <c r="H1699" s="87"/>
      <c r="I1699" s="90" t="s">
        <v>8454</v>
      </c>
      <c r="J1699" s="88" t="str">
        <f t="shared" si="26"/>
        <v>重复</v>
      </c>
      <c r="K1699" s="88" t="str">
        <f t="shared" si="26"/>
        <v>不重复</v>
      </c>
    </row>
    <row r="1700" spans="1:11" ht="20.25" customHeight="1">
      <c r="A1700" s="89" t="s">
        <v>3800</v>
      </c>
      <c r="B1700" s="90" t="s">
        <v>8547</v>
      </c>
      <c r="C1700" s="90" t="s">
        <v>3801</v>
      </c>
      <c r="D1700" s="90" t="s">
        <v>3802</v>
      </c>
      <c r="E1700" s="89" t="s">
        <v>3725</v>
      </c>
      <c r="F1700" s="91">
        <v>604043</v>
      </c>
      <c r="G1700" s="91">
        <v>5100400</v>
      </c>
      <c r="H1700" s="87"/>
      <c r="I1700" s="90" t="s">
        <v>8454</v>
      </c>
      <c r="J1700" s="88" t="str">
        <f t="shared" si="26"/>
        <v>不重复</v>
      </c>
      <c r="K1700" s="88" t="str">
        <f t="shared" si="26"/>
        <v>不重复</v>
      </c>
    </row>
    <row r="1701" spans="1:11" ht="20.25" customHeight="1">
      <c r="A1701" s="89" t="s">
        <v>8548</v>
      </c>
      <c r="B1701" s="90" t="s">
        <v>8549</v>
      </c>
      <c r="C1701" s="90" t="s">
        <v>8550</v>
      </c>
      <c r="D1701" s="90" t="s">
        <v>8551</v>
      </c>
      <c r="E1701" s="89" t="s">
        <v>3725</v>
      </c>
      <c r="F1701" s="91">
        <v>604044</v>
      </c>
      <c r="G1701" s="91">
        <v>5100400</v>
      </c>
      <c r="H1701" s="87"/>
      <c r="I1701" s="90" t="s">
        <v>25</v>
      </c>
      <c r="J1701" s="88" t="str">
        <f t="shared" si="26"/>
        <v>重复</v>
      </c>
      <c r="K1701" s="88" t="str">
        <f t="shared" si="26"/>
        <v>不重复</v>
      </c>
    </row>
    <row r="1702" spans="1:11" ht="20.25" customHeight="1">
      <c r="A1702" s="89" t="s">
        <v>8552</v>
      </c>
      <c r="B1702" s="90" t="s">
        <v>8553</v>
      </c>
      <c r="C1702" s="90" t="s">
        <v>1960</v>
      </c>
      <c r="D1702" s="90" t="s">
        <v>8554</v>
      </c>
      <c r="E1702" s="89" t="s">
        <v>3725</v>
      </c>
      <c r="F1702" s="91">
        <v>604045</v>
      </c>
      <c r="G1702" s="91">
        <v>5100400</v>
      </c>
      <c r="H1702" s="87"/>
      <c r="I1702" s="90" t="s">
        <v>8555</v>
      </c>
      <c r="J1702" s="88" t="str">
        <f t="shared" si="26"/>
        <v>重复</v>
      </c>
      <c r="K1702" s="88" t="str">
        <f t="shared" si="26"/>
        <v>不重复</v>
      </c>
    </row>
    <row r="1703" spans="1:11" ht="20.25" customHeight="1">
      <c r="A1703" s="89" t="s">
        <v>8556</v>
      </c>
      <c r="B1703" s="90" t="s">
        <v>8557</v>
      </c>
      <c r="C1703" s="90" t="s">
        <v>3796</v>
      </c>
      <c r="D1703" s="90" t="s">
        <v>8558</v>
      </c>
      <c r="E1703" s="89" t="s">
        <v>3725</v>
      </c>
      <c r="F1703" s="91">
        <v>604046</v>
      </c>
      <c r="G1703" s="91">
        <v>5100400</v>
      </c>
      <c r="H1703" s="87"/>
      <c r="I1703" s="90" t="s">
        <v>8555</v>
      </c>
      <c r="J1703" s="88" t="str">
        <f t="shared" si="26"/>
        <v>不重复</v>
      </c>
      <c r="K1703" s="88" t="str">
        <f t="shared" si="26"/>
        <v>不重复</v>
      </c>
    </row>
    <row r="1704" spans="1:11" ht="20.25" customHeight="1">
      <c r="A1704" s="89" t="s">
        <v>8559</v>
      </c>
      <c r="B1704" s="90" t="s">
        <v>8560</v>
      </c>
      <c r="C1704" s="90" t="s">
        <v>3803</v>
      </c>
      <c r="D1704" s="90" t="s">
        <v>8561</v>
      </c>
      <c r="E1704" s="89" t="s">
        <v>3725</v>
      </c>
      <c r="F1704" s="91">
        <v>604047</v>
      </c>
      <c r="G1704" s="91">
        <v>5100400</v>
      </c>
      <c r="H1704" s="87"/>
      <c r="I1704" s="90" t="s">
        <v>8562</v>
      </c>
      <c r="J1704" s="88" t="str">
        <f t="shared" si="26"/>
        <v>不重复</v>
      </c>
      <c r="K1704" s="88" t="str">
        <f t="shared" si="26"/>
        <v>不重复</v>
      </c>
    </row>
    <row r="1705" spans="1:11" ht="20.25" customHeight="1">
      <c r="A1705" s="89" t="s">
        <v>8563</v>
      </c>
      <c r="B1705" s="90" t="s">
        <v>8564</v>
      </c>
      <c r="C1705" s="90" t="s">
        <v>3795</v>
      </c>
      <c r="D1705" s="90" t="s">
        <v>8565</v>
      </c>
      <c r="E1705" s="89" t="s">
        <v>3725</v>
      </c>
      <c r="F1705" s="91">
        <v>604048</v>
      </c>
      <c r="G1705" s="91">
        <v>5100400</v>
      </c>
      <c r="H1705" s="87"/>
      <c r="I1705" s="90" t="s">
        <v>8555</v>
      </c>
      <c r="J1705" s="88" t="str">
        <f t="shared" si="26"/>
        <v>不重复</v>
      </c>
      <c r="K1705" s="88" t="str">
        <f t="shared" si="26"/>
        <v>不重复</v>
      </c>
    </row>
    <row r="1706" spans="1:11" ht="20.25" customHeight="1">
      <c r="A1706" s="89" t="s">
        <v>8566</v>
      </c>
      <c r="B1706" s="90" t="s">
        <v>8567</v>
      </c>
      <c r="C1706" s="90" t="s">
        <v>3790</v>
      </c>
      <c r="D1706" s="90" t="s">
        <v>8568</v>
      </c>
      <c r="E1706" s="89" t="s">
        <v>3725</v>
      </c>
      <c r="F1706" s="91">
        <v>604049</v>
      </c>
      <c r="G1706" s="91">
        <v>5100400</v>
      </c>
      <c r="H1706" s="87"/>
      <c r="I1706" s="90" t="s">
        <v>8555</v>
      </c>
      <c r="J1706" s="88" t="str">
        <f t="shared" si="26"/>
        <v>不重复</v>
      </c>
      <c r="K1706" s="88" t="str">
        <f t="shared" si="26"/>
        <v>不重复</v>
      </c>
    </row>
    <row r="1707" spans="1:11" ht="20.25" customHeight="1">
      <c r="A1707" s="89" t="s">
        <v>3779</v>
      </c>
      <c r="B1707" s="90" t="s">
        <v>3780</v>
      </c>
      <c r="C1707" s="90" t="s">
        <v>3757</v>
      </c>
      <c r="D1707" s="90" t="s">
        <v>3781</v>
      </c>
      <c r="E1707" s="89" t="s">
        <v>3725</v>
      </c>
      <c r="F1707" s="91">
        <v>604050</v>
      </c>
      <c r="G1707" s="91">
        <v>5100400</v>
      </c>
      <c r="H1707" s="87"/>
      <c r="I1707" s="90" t="s">
        <v>25</v>
      </c>
      <c r="J1707" s="88" t="str">
        <f t="shared" si="26"/>
        <v>重复</v>
      </c>
      <c r="K1707" s="88" t="str">
        <f t="shared" si="26"/>
        <v>不重复</v>
      </c>
    </row>
    <row r="1708" spans="1:11" ht="20.25" customHeight="1">
      <c r="A1708" s="89" t="s">
        <v>3770</v>
      </c>
      <c r="B1708" s="90" t="s">
        <v>8569</v>
      </c>
      <c r="C1708" s="90" t="s">
        <v>3771</v>
      </c>
      <c r="D1708" s="90" t="s">
        <v>3772</v>
      </c>
      <c r="E1708" s="89" t="s">
        <v>3725</v>
      </c>
      <c r="F1708" s="91">
        <v>604051</v>
      </c>
      <c r="G1708" s="91">
        <v>5100400</v>
      </c>
      <c r="H1708" s="87"/>
      <c r="I1708" s="90" t="s">
        <v>8454</v>
      </c>
      <c r="J1708" s="88" t="str">
        <f t="shared" si="26"/>
        <v>不重复</v>
      </c>
      <c r="K1708" s="88" t="str">
        <f t="shared" si="26"/>
        <v>不重复</v>
      </c>
    </row>
    <row r="1709" spans="1:11" ht="20.25" customHeight="1">
      <c r="A1709" s="89" t="s">
        <v>3773</v>
      </c>
      <c r="B1709" s="90" t="s">
        <v>8570</v>
      </c>
      <c r="C1709" s="90" t="s">
        <v>3730</v>
      </c>
      <c r="D1709" s="90" t="s">
        <v>3774</v>
      </c>
      <c r="E1709" s="89" t="s">
        <v>3725</v>
      </c>
      <c r="F1709" s="91">
        <v>604052</v>
      </c>
      <c r="G1709" s="91">
        <v>5100400</v>
      </c>
      <c r="H1709" s="87"/>
      <c r="I1709" s="90" t="s">
        <v>8493</v>
      </c>
      <c r="J1709" s="88" t="str">
        <f t="shared" si="26"/>
        <v>重复</v>
      </c>
      <c r="K1709" s="88" t="str">
        <f t="shared" si="26"/>
        <v>不重复</v>
      </c>
    </row>
    <row r="1710" spans="1:11" ht="20.25" customHeight="1">
      <c r="A1710" s="89" t="s">
        <v>3768</v>
      </c>
      <c r="B1710" s="90" t="s">
        <v>8571</v>
      </c>
      <c r="C1710" s="90" t="s">
        <v>3757</v>
      </c>
      <c r="D1710" s="90" t="s">
        <v>3769</v>
      </c>
      <c r="E1710" s="89" t="s">
        <v>3725</v>
      </c>
      <c r="F1710" s="91">
        <v>604053</v>
      </c>
      <c r="G1710" s="91">
        <v>5100400</v>
      </c>
      <c r="H1710" s="87"/>
      <c r="I1710" s="90" t="s">
        <v>8572</v>
      </c>
      <c r="J1710" s="88" t="str">
        <f t="shared" si="26"/>
        <v>重复</v>
      </c>
      <c r="K1710" s="88" t="str">
        <f t="shared" si="26"/>
        <v>不重复</v>
      </c>
    </row>
    <row r="1711" spans="1:11" ht="20.25" customHeight="1">
      <c r="A1711" s="89" t="s">
        <v>3775</v>
      </c>
      <c r="B1711" s="90" t="s">
        <v>8573</v>
      </c>
      <c r="C1711" s="90" t="s">
        <v>3776</v>
      </c>
      <c r="D1711" s="90" t="s">
        <v>3777</v>
      </c>
      <c r="E1711" s="89" t="s">
        <v>3725</v>
      </c>
      <c r="F1711" s="91">
        <v>604054</v>
      </c>
      <c r="G1711" s="91">
        <v>5100400</v>
      </c>
      <c r="H1711" s="87"/>
      <c r="I1711" s="90" t="s">
        <v>8574</v>
      </c>
      <c r="J1711" s="88" t="str">
        <f t="shared" si="26"/>
        <v>重复</v>
      </c>
      <c r="K1711" s="88" t="str">
        <f t="shared" si="26"/>
        <v>不重复</v>
      </c>
    </row>
    <row r="1712" spans="1:11" ht="20.25" customHeight="1">
      <c r="A1712" s="84" t="s">
        <v>8575</v>
      </c>
      <c r="B1712" s="85" t="s">
        <v>8576</v>
      </c>
      <c r="C1712" s="85" t="s">
        <v>8577</v>
      </c>
      <c r="D1712" s="85" t="s">
        <v>8578</v>
      </c>
      <c r="E1712" s="84" t="s">
        <v>3725</v>
      </c>
      <c r="F1712" s="86">
        <v>604055</v>
      </c>
      <c r="G1712" s="86">
        <v>5100400</v>
      </c>
      <c r="H1712" s="87"/>
      <c r="I1712" s="85" t="s">
        <v>25</v>
      </c>
      <c r="J1712" s="88" t="str">
        <f t="shared" si="26"/>
        <v>不重复</v>
      </c>
      <c r="K1712" s="88" t="str">
        <f t="shared" si="26"/>
        <v>不重复</v>
      </c>
    </row>
    <row r="1713" spans="1:11" ht="20.25" customHeight="1">
      <c r="A1713" s="84" t="s">
        <v>3785</v>
      </c>
      <c r="B1713" s="85" t="s">
        <v>8579</v>
      </c>
      <c r="C1713" s="85" t="s">
        <v>3786</v>
      </c>
      <c r="D1713" s="85" t="s">
        <v>2998</v>
      </c>
      <c r="E1713" s="84" t="s">
        <v>3725</v>
      </c>
      <c r="F1713" s="86">
        <v>604056</v>
      </c>
      <c r="G1713" s="86">
        <v>5100400</v>
      </c>
      <c r="H1713" s="87"/>
      <c r="I1713" s="85" t="s">
        <v>8580</v>
      </c>
      <c r="J1713" s="88" t="str">
        <f t="shared" si="26"/>
        <v>不重复</v>
      </c>
      <c r="K1713" s="88" t="str">
        <f t="shared" si="26"/>
        <v>不重复</v>
      </c>
    </row>
    <row r="1714" spans="1:11" ht="20.25" customHeight="1">
      <c r="A1714" s="84" t="s">
        <v>3782</v>
      </c>
      <c r="B1714" s="85" t="s">
        <v>8581</v>
      </c>
      <c r="C1714" s="85" t="s">
        <v>1885</v>
      </c>
      <c r="D1714" s="85" t="s">
        <v>3783</v>
      </c>
      <c r="E1714" s="84" t="s">
        <v>3725</v>
      </c>
      <c r="F1714" s="86">
        <v>604057</v>
      </c>
      <c r="G1714" s="86">
        <v>5100400</v>
      </c>
      <c r="H1714" s="87"/>
      <c r="I1714" s="85" t="s">
        <v>8582</v>
      </c>
      <c r="J1714" s="88" t="str">
        <f t="shared" si="26"/>
        <v>重复</v>
      </c>
      <c r="K1714" s="88" t="str">
        <f t="shared" si="26"/>
        <v>不重复</v>
      </c>
    </row>
    <row r="1715" spans="1:11" ht="20.25" customHeight="1">
      <c r="A1715" s="89" t="s">
        <v>8583</v>
      </c>
      <c r="B1715" s="90" t="s">
        <v>8584</v>
      </c>
      <c r="C1715" s="90" t="s">
        <v>643</v>
      </c>
      <c r="D1715" s="90" t="s">
        <v>8585</v>
      </c>
      <c r="E1715" s="89" t="s">
        <v>3725</v>
      </c>
      <c r="F1715" s="91">
        <v>604058</v>
      </c>
      <c r="G1715" s="91">
        <v>5100400</v>
      </c>
      <c r="H1715" s="87"/>
      <c r="I1715" s="90" t="s">
        <v>25</v>
      </c>
      <c r="J1715" s="88" t="str">
        <f t="shared" si="26"/>
        <v>重复</v>
      </c>
      <c r="K1715" s="88" t="str">
        <f t="shared" si="26"/>
        <v>不重复</v>
      </c>
    </row>
    <row r="1716" spans="1:11" ht="20.25" customHeight="1">
      <c r="A1716" s="89" t="s">
        <v>3820</v>
      </c>
      <c r="B1716" s="90" t="s">
        <v>8586</v>
      </c>
      <c r="C1716" s="90" t="s">
        <v>3821</v>
      </c>
      <c r="D1716" s="90" t="s">
        <v>3822</v>
      </c>
      <c r="E1716" s="89" t="s">
        <v>3725</v>
      </c>
      <c r="F1716" s="91">
        <v>604059</v>
      </c>
      <c r="G1716" s="91">
        <v>5100400</v>
      </c>
      <c r="H1716" s="87"/>
      <c r="I1716" s="90" t="s">
        <v>8587</v>
      </c>
      <c r="J1716" s="88" t="str">
        <f t="shared" si="26"/>
        <v>重复</v>
      </c>
      <c r="K1716" s="88" t="str">
        <f t="shared" si="26"/>
        <v>不重复</v>
      </c>
    </row>
    <row r="1717" spans="1:11" ht="20.25" customHeight="1">
      <c r="A1717" s="89" t="s">
        <v>8588</v>
      </c>
      <c r="B1717" s="90" t="s">
        <v>8589</v>
      </c>
      <c r="C1717" s="90" t="s">
        <v>643</v>
      </c>
      <c r="D1717" s="90" t="s">
        <v>8590</v>
      </c>
      <c r="E1717" s="89" t="s">
        <v>3725</v>
      </c>
      <c r="F1717" s="91">
        <v>604060</v>
      </c>
      <c r="G1717" s="91">
        <v>5100400</v>
      </c>
      <c r="H1717" s="87"/>
      <c r="I1717" s="90" t="s">
        <v>25</v>
      </c>
      <c r="J1717" s="88" t="str">
        <f t="shared" si="26"/>
        <v>重复</v>
      </c>
      <c r="K1717" s="88" t="str">
        <f t="shared" si="26"/>
        <v>不重复</v>
      </c>
    </row>
    <row r="1718" spans="1:11" ht="20.25" customHeight="1">
      <c r="A1718" s="89" t="s">
        <v>3823</v>
      </c>
      <c r="B1718" s="90" t="s">
        <v>8591</v>
      </c>
      <c r="C1718" s="90" t="s">
        <v>2892</v>
      </c>
      <c r="D1718" s="90" t="s">
        <v>3824</v>
      </c>
      <c r="E1718" s="89" t="s">
        <v>3725</v>
      </c>
      <c r="F1718" s="91">
        <v>604061</v>
      </c>
      <c r="G1718" s="91">
        <v>5100400</v>
      </c>
      <c r="H1718" s="87"/>
      <c r="I1718" s="90" t="s">
        <v>8454</v>
      </c>
      <c r="J1718" s="88" t="str">
        <f t="shared" si="26"/>
        <v>重复</v>
      </c>
      <c r="K1718" s="88" t="str">
        <f t="shared" si="26"/>
        <v>不重复</v>
      </c>
    </row>
    <row r="1719" spans="1:11" ht="20.25" customHeight="1">
      <c r="A1719" s="89" t="s">
        <v>8592</v>
      </c>
      <c r="B1719" s="90" t="s">
        <v>8593</v>
      </c>
      <c r="C1719" s="90" t="s">
        <v>3826</v>
      </c>
      <c r="D1719" s="90" t="s">
        <v>8594</v>
      </c>
      <c r="E1719" s="89" t="s">
        <v>3725</v>
      </c>
      <c r="F1719" s="91">
        <v>604062</v>
      </c>
      <c r="G1719" s="91">
        <v>5100400</v>
      </c>
      <c r="H1719" s="87"/>
      <c r="I1719" s="90" t="s">
        <v>25</v>
      </c>
      <c r="J1719" s="88" t="str">
        <f t="shared" si="26"/>
        <v>重复</v>
      </c>
      <c r="K1719" s="88" t="str">
        <f t="shared" si="26"/>
        <v>不重复</v>
      </c>
    </row>
    <row r="1720" spans="1:11" ht="20.25" customHeight="1">
      <c r="A1720" s="89" t="s">
        <v>3825</v>
      </c>
      <c r="B1720" s="90" t="s">
        <v>8595</v>
      </c>
      <c r="C1720" s="90" t="s">
        <v>3826</v>
      </c>
      <c r="D1720" s="90" t="s">
        <v>3827</v>
      </c>
      <c r="E1720" s="89" t="s">
        <v>3725</v>
      </c>
      <c r="F1720" s="91">
        <v>604063</v>
      </c>
      <c r="G1720" s="91">
        <v>5100400</v>
      </c>
      <c r="H1720" s="87"/>
      <c r="I1720" s="90" t="s">
        <v>8454</v>
      </c>
      <c r="J1720" s="88" t="str">
        <f t="shared" si="26"/>
        <v>重复</v>
      </c>
      <c r="K1720" s="88" t="str">
        <f t="shared" si="26"/>
        <v>不重复</v>
      </c>
    </row>
    <row r="1721" spans="1:11" ht="20.25" customHeight="1">
      <c r="A1721" s="89" t="s">
        <v>3828</v>
      </c>
      <c r="B1721" s="90" t="s">
        <v>3829</v>
      </c>
      <c r="C1721" s="90" t="s">
        <v>649</v>
      </c>
      <c r="D1721" s="90" t="s">
        <v>8596</v>
      </c>
      <c r="E1721" s="89" t="s">
        <v>3725</v>
      </c>
      <c r="F1721" s="91">
        <v>604064</v>
      </c>
      <c r="G1721" s="91">
        <v>5100400</v>
      </c>
      <c r="H1721" s="87"/>
      <c r="I1721" s="90" t="s">
        <v>3784</v>
      </c>
      <c r="J1721" s="88" t="str">
        <f t="shared" si="26"/>
        <v>不重复</v>
      </c>
      <c r="K1721" s="88" t="str">
        <f t="shared" si="26"/>
        <v>不重复</v>
      </c>
    </row>
    <row r="1722" spans="1:11" ht="20.25" customHeight="1">
      <c r="A1722" s="89" t="s">
        <v>8597</v>
      </c>
      <c r="B1722" s="90" t="s">
        <v>8598</v>
      </c>
      <c r="C1722" s="90" t="s">
        <v>3991</v>
      </c>
      <c r="D1722" s="90" t="s">
        <v>632</v>
      </c>
      <c r="E1722" s="89" t="s">
        <v>3725</v>
      </c>
      <c r="F1722" s="91">
        <v>604065</v>
      </c>
      <c r="G1722" s="91">
        <v>5100400</v>
      </c>
      <c r="H1722" s="87"/>
      <c r="I1722" s="90" t="s">
        <v>25</v>
      </c>
      <c r="J1722" s="88" t="str">
        <f t="shared" si="26"/>
        <v>不重复</v>
      </c>
      <c r="K1722" s="88" t="str">
        <f t="shared" si="26"/>
        <v>不重复</v>
      </c>
    </row>
    <row r="1723" spans="1:11" ht="20.25" customHeight="1">
      <c r="A1723" s="89" t="s">
        <v>8599</v>
      </c>
      <c r="B1723" s="90" t="s">
        <v>8600</v>
      </c>
      <c r="C1723" s="90" t="s">
        <v>8601</v>
      </c>
      <c r="D1723" s="90" t="s">
        <v>8602</v>
      </c>
      <c r="E1723" s="89" t="s">
        <v>3725</v>
      </c>
      <c r="F1723" s="91">
        <v>604066</v>
      </c>
      <c r="G1723" s="91">
        <v>5100400</v>
      </c>
      <c r="H1723" s="87"/>
      <c r="I1723" s="90" t="s">
        <v>8603</v>
      </c>
      <c r="J1723" s="88" t="str">
        <f t="shared" si="26"/>
        <v>不重复</v>
      </c>
      <c r="K1723" s="88" t="str">
        <f t="shared" si="26"/>
        <v>不重复</v>
      </c>
    </row>
    <row r="1724" spans="1:11" ht="20.25" customHeight="1">
      <c r="A1724" s="84" t="s">
        <v>8604</v>
      </c>
      <c r="B1724" s="85" t="s">
        <v>8605</v>
      </c>
      <c r="C1724" s="85" t="s">
        <v>3812</v>
      </c>
      <c r="D1724" s="85" t="s">
        <v>2943</v>
      </c>
      <c r="E1724" s="84" t="s">
        <v>3725</v>
      </c>
      <c r="F1724" s="86">
        <v>604067</v>
      </c>
      <c r="G1724" s="86">
        <v>5100400</v>
      </c>
      <c r="H1724" s="87"/>
      <c r="I1724" s="85" t="s">
        <v>25</v>
      </c>
      <c r="J1724" s="88" t="str">
        <f t="shared" si="26"/>
        <v>重复</v>
      </c>
      <c r="K1724" s="88" t="str">
        <f t="shared" si="26"/>
        <v>不重复</v>
      </c>
    </row>
    <row r="1725" spans="1:11" ht="20.25" customHeight="1">
      <c r="A1725" s="84" t="s">
        <v>8606</v>
      </c>
      <c r="B1725" s="85" t="s">
        <v>8607</v>
      </c>
      <c r="C1725" s="85" t="s">
        <v>3809</v>
      </c>
      <c r="D1725" s="85" t="s">
        <v>3810</v>
      </c>
      <c r="E1725" s="84" t="s">
        <v>3725</v>
      </c>
      <c r="F1725" s="86">
        <v>604068</v>
      </c>
      <c r="G1725" s="86">
        <v>5100400</v>
      </c>
      <c r="H1725" s="87"/>
      <c r="I1725" s="85" t="s">
        <v>8493</v>
      </c>
      <c r="J1725" s="88" t="str">
        <f t="shared" si="26"/>
        <v>不重复</v>
      </c>
      <c r="K1725" s="88" t="str">
        <f t="shared" si="26"/>
        <v>不重复</v>
      </c>
    </row>
    <row r="1726" spans="1:11" ht="20.25" customHeight="1">
      <c r="A1726" s="84" t="s">
        <v>8608</v>
      </c>
      <c r="B1726" s="85" t="s">
        <v>8609</v>
      </c>
      <c r="C1726" s="85" t="s">
        <v>1411</v>
      </c>
      <c r="D1726" s="85" t="s">
        <v>1799</v>
      </c>
      <c r="E1726" s="84" t="s">
        <v>3725</v>
      </c>
      <c r="F1726" s="86">
        <v>604069</v>
      </c>
      <c r="G1726" s="86">
        <v>5100400</v>
      </c>
      <c r="H1726" s="87"/>
      <c r="I1726" s="85" t="s">
        <v>8610</v>
      </c>
      <c r="J1726" s="88" t="str">
        <f t="shared" si="26"/>
        <v>重复</v>
      </c>
      <c r="K1726" s="88" t="str">
        <f t="shared" si="26"/>
        <v>不重复</v>
      </c>
    </row>
    <row r="1727" spans="1:11" ht="20.25" customHeight="1">
      <c r="A1727" s="89" t="s">
        <v>8611</v>
      </c>
      <c r="B1727" s="90" t="s">
        <v>8612</v>
      </c>
      <c r="C1727" s="90" t="s">
        <v>3812</v>
      </c>
      <c r="D1727" s="90" t="s">
        <v>3813</v>
      </c>
      <c r="E1727" s="89" t="s">
        <v>3725</v>
      </c>
      <c r="F1727" s="91">
        <v>604070</v>
      </c>
      <c r="G1727" s="91">
        <v>5100400</v>
      </c>
      <c r="H1727" s="87"/>
      <c r="I1727" s="90" t="s">
        <v>25</v>
      </c>
      <c r="J1727" s="88" t="str">
        <f t="shared" si="26"/>
        <v>重复</v>
      </c>
      <c r="K1727" s="88" t="str">
        <f t="shared" si="26"/>
        <v>重复</v>
      </c>
    </row>
    <row r="1728" spans="1:11" ht="20.25" customHeight="1">
      <c r="A1728" s="89" t="s">
        <v>8613</v>
      </c>
      <c r="B1728" s="90" t="s">
        <v>8614</v>
      </c>
      <c r="C1728" s="90" t="s">
        <v>8615</v>
      </c>
      <c r="D1728" s="90" t="s">
        <v>8616</v>
      </c>
      <c r="E1728" s="89" t="s">
        <v>3725</v>
      </c>
      <c r="F1728" s="91">
        <v>604071</v>
      </c>
      <c r="G1728" s="91">
        <v>5100400</v>
      </c>
      <c r="H1728" s="87"/>
      <c r="I1728" s="90" t="s">
        <v>8486</v>
      </c>
      <c r="J1728" s="88" t="str">
        <f t="shared" si="26"/>
        <v>不重复</v>
      </c>
      <c r="K1728" s="88" t="str">
        <f t="shared" si="26"/>
        <v>不重复</v>
      </c>
    </row>
    <row r="1729" spans="1:11" ht="20.25" customHeight="1">
      <c r="A1729" s="89" t="s">
        <v>3811</v>
      </c>
      <c r="B1729" s="90" t="s">
        <v>8617</v>
      </c>
      <c r="C1729" s="90" t="s">
        <v>3812</v>
      </c>
      <c r="D1729" s="90" t="s">
        <v>8618</v>
      </c>
      <c r="E1729" s="89" t="s">
        <v>3725</v>
      </c>
      <c r="F1729" s="91">
        <v>604072</v>
      </c>
      <c r="G1729" s="91">
        <v>5100400</v>
      </c>
      <c r="H1729" s="87"/>
      <c r="I1729" s="90" t="s">
        <v>8619</v>
      </c>
      <c r="J1729" s="88" t="str">
        <f t="shared" si="26"/>
        <v>重复</v>
      </c>
      <c r="K1729" s="88" t="str">
        <f t="shared" si="26"/>
        <v>不重复</v>
      </c>
    </row>
    <row r="1730" spans="1:11" ht="20.25" customHeight="1">
      <c r="A1730" s="89" t="s">
        <v>3814</v>
      </c>
      <c r="B1730" s="90" t="s">
        <v>8620</v>
      </c>
      <c r="C1730" s="90" t="s">
        <v>3815</v>
      </c>
      <c r="D1730" s="90" t="s">
        <v>3816</v>
      </c>
      <c r="E1730" s="89" t="s">
        <v>3725</v>
      </c>
      <c r="F1730" s="91">
        <v>604073</v>
      </c>
      <c r="G1730" s="91">
        <v>5100400</v>
      </c>
      <c r="H1730" s="87"/>
      <c r="I1730" s="90" t="s">
        <v>8587</v>
      </c>
      <c r="J1730" s="88" t="str">
        <f t="shared" si="26"/>
        <v>不重复</v>
      </c>
      <c r="K1730" s="88" t="str">
        <f t="shared" si="26"/>
        <v>不重复</v>
      </c>
    </row>
    <row r="1731" spans="1:11" ht="20.25" customHeight="1">
      <c r="A1731" s="84" t="s">
        <v>8621</v>
      </c>
      <c r="B1731" s="85" t="s">
        <v>8622</v>
      </c>
      <c r="C1731" s="85" t="s">
        <v>3821</v>
      </c>
      <c r="D1731" s="85" t="s">
        <v>8623</v>
      </c>
      <c r="E1731" s="84" t="s">
        <v>3725</v>
      </c>
      <c r="F1731" s="86">
        <v>604074</v>
      </c>
      <c r="G1731" s="86">
        <v>5100400</v>
      </c>
      <c r="H1731" s="87"/>
      <c r="I1731" s="85" t="s">
        <v>25</v>
      </c>
      <c r="J1731" s="88" t="str">
        <f t="shared" si="27" ref="J1731:K1794">IF(COUNTIF(C:C,C1731)&gt;=2,"重复","不重复")</f>
        <v>重复</v>
      </c>
      <c r="K1731" s="88" t="str">
        <f t="shared" si="27"/>
        <v>不重复</v>
      </c>
    </row>
    <row r="1732" spans="1:11" ht="20.25" customHeight="1">
      <c r="A1732" s="84" t="s">
        <v>8624</v>
      </c>
      <c r="B1732" s="85" t="s">
        <v>8625</v>
      </c>
      <c r="C1732" s="85" t="s">
        <v>502</v>
      </c>
      <c r="D1732" s="85" t="s">
        <v>8626</v>
      </c>
      <c r="E1732" s="84" t="s">
        <v>3725</v>
      </c>
      <c r="F1732" s="86">
        <v>604075</v>
      </c>
      <c r="G1732" s="86">
        <v>5100400</v>
      </c>
      <c r="H1732" s="87"/>
      <c r="I1732" s="85" t="s">
        <v>8627</v>
      </c>
      <c r="J1732" s="88" t="str">
        <f t="shared" si="27"/>
        <v>重复</v>
      </c>
      <c r="K1732" s="88" t="str">
        <f t="shared" si="27"/>
        <v>不重复</v>
      </c>
    </row>
    <row r="1733" spans="1:11" ht="20.25" customHeight="1">
      <c r="A1733" s="84" t="s">
        <v>8628</v>
      </c>
      <c r="B1733" s="85" t="s">
        <v>8629</v>
      </c>
      <c r="C1733" s="85" t="s">
        <v>8630</v>
      </c>
      <c r="D1733" s="85" t="s">
        <v>8631</v>
      </c>
      <c r="E1733" s="84" t="s">
        <v>3725</v>
      </c>
      <c r="F1733" s="86">
        <v>604076</v>
      </c>
      <c r="G1733" s="86">
        <v>5100400</v>
      </c>
      <c r="H1733" s="87"/>
      <c r="I1733" s="85" t="s">
        <v>25</v>
      </c>
      <c r="J1733" s="88" t="str">
        <f t="shared" si="27"/>
        <v>不重复</v>
      </c>
      <c r="K1733" s="88" t="str">
        <f t="shared" si="27"/>
        <v>不重复</v>
      </c>
    </row>
    <row r="1734" spans="1:11" ht="20.25" customHeight="1">
      <c r="A1734" s="84" t="s">
        <v>3817</v>
      </c>
      <c r="B1734" s="85" t="s">
        <v>8632</v>
      </c>
      <c r="C1734" s="85" t="s">
        <v>3818</v>
      </c>
      <c r="D1734" s="85" t="s">
        <v>3819</v>
      </c>
      <c r="E1734" s="84" t="s">
        <v>3725</v>
      </c>
      <c r="F1734" s="86">
        <v>604077</v>
      </c>
      <c r="G1734" s="86">
        <v>5100400</v>
      </c>
      <c r="H1734" s="87"/>
      <c r="I1734" s="85" t="s">
        <v>8454</v>
      </c>
      <c r="J1734" s="88" t="str">
        <f t="shared" si="27"/>
        <v>不重复</v>
      </c>
      <c r="K1734" s="88" t="str">
        <f t="shared" si="27"/>
        <v>不重复</v>
      </c>
    </row>
    <row r="1735" spans="1:11" ht="20.25" customHeight="1">
      <c r="A1735" s="84" t="s">
        <v>8633</v>
      </c>
      <c r="B1735" s="85" t="s">
        <v>8634</v>
      </c>
      <c r="C1735" s="85" t="s">
        <v>8635</v>
      </c>
      <c r="D1735" s="85" t="s">
        <v>8636</v>
      </c>
      <c r="E1735" s="84" t="s">
        <v>3725</v>
      </c>
      <c r="F1735" s="86">
        <v>604078</v>
      </c>
      <c r="G1735" s="86">
        <v>5100400</v>
      </c>
      <c r="H1735" s="87"/>
      <c r="I1735" s="85" t="s">
        <v>25</v>
      </c>
      <c r="J1735" s="88" t="str">
        <f t="shared" si="27"/>
        <v>不重复</v>
      </c>
      <c r="K1735" s="88" t="str">
        <f t="shared" si="27"/>
        <v>不重复</v>
      </c>
    </row>
    <row r="1736" spans="1:11" ht="20.25" customHeight="1">
      <c r="A1736" s="84" t="s">
        <v>8637</v>
      </c>
      <c r="B1736" s="85" t="s">
        <v>8638</v>
      </c>
      <c r="C1736" s="85" t="s">
        <v>963</v>
      </c>
      <c r="D1736" s="85" t="s">
        <v>8639</v>
      </c>
      <c r="E1736" s="84" t="s">
        <v>3725</v>
      </c>
      <c r="F1736" s="86">
        <v>604079</v>
      </c>
      <c r="G1736" s="86">
        <v>5100400</v>
      </c>
      <c r="H1736" s="87"/>
      <c r="I1736" s="85" t="s">
        <v>8640</v>
      </c>
      <c r="J1736" s="88" t="str">
        <f t="shared" si="27"/>
        <v>重复</v>
      </c>
      <c r="K1736" s="88" t="str">
        <f t="shared" si="27"/>
        <v>不重复</v>
      </c>
    </row>
    <row r="1737" spans="1:11" ht="20.25" customHeight="1">
      <c r="A1737" s="84" t="s">
        <v>3808</v>
      </c>
      <c r="B1737" s="85" t="s">
        <v>8641</v>
      </c>
      <c r="C1737" s="85" t="s">
        <v>3662</v>
      </c>
      <c r="D1737" s="85" t="s">
        <v>3712</v>
      </c>
      <c r="E1737" s="84" t="s">
        <v>3725</v>
      </c>
      <c r="F1737" s="86">
        <v>604080</v>
      </c>
      <c r="G1737" s="86">
        <v>5100400</v>
      </c>
      <c r="H1737" s="87"/>
      <c r="I1737" s="85" t="s">
        <v>8642</v>
      </c>
      <c r="J1737" s="88" t="str">
        <f t="shared" si="27"/>
        <v>重复</v>
      </c>
      <c r="K1737" s="88" t="str">
        <f t="shared" si="27"/>
        <v>不重复</v>
      </c>
    </row>
    <row r="1738" spans="1:11" ht="20.25" customHeight="1">
      <c r="A1738" s="84" t="s">
        <v>8643</v>
      </c>
      <c r="B1738" s="85" t="s">
        <v>8644</v>
      </c>
      <c r="C1738" s="85" t="s">
        <v>8645</v>
      </c>
      <c r="D1738" s="85" t="s">
        <v>8646</v>
      </c>
      <c r="E1738" s="84" t="s">
        <v>3725</v>
      </c>
      <c r="F1738" s="86">
        <v>604081</v>
      </c>
      <c r="G1738" s="86">
        <v>5100400</v>
      </c>
      <c r="H1738" s="87"/>
      <c r="I1738" s="85" t="s">
        <v>8486</v>
      </c>
      <c r="J1738" s="88" t="str">
        <f t="shared" si="27"/>
        <v>不重复</v>
      </c>
      <c r="K1738" s="88" t="str">
        <f t="shared" si="27"/>
        <v>不重复</v>
      </c>
    </row>
    <row r="1739" spans="1:11" ht="20.25" customHeight="1">
      <c r="A1739" s="84" t="s">
        <v>8647</v>
      </c>
      <c r="B1739" s="85" t="s">
        <v>8648</v>
      </c>
      <c r="C1739" s="85" t="s">
        <v>8649</v>
      </c>
      <c r="D1739" s="85" t="s">
        <v>8650</v>
      </c>
      <c r="E1739" s="84" t="s">
        <v>3725</v>
      </c>
      <c r="F1739" s="86">
        <v>604082</v>
      </c>
      <c r="G1739" s="86">
        <v>5100400</v>
      </c>
      <c r="H1739" s="87"/>
      <c r="I1739" s="85" t="s">
        <v>8486</v>
      </c>
      <c r="J1739" s="88" t="str">
        <f t="shared" si="27"/>
        <v>不重复</v>
      </c>
      <c r="K1739" s="88" t="str">
        <f t="shared" si="27"/>
        <v>不重复</v>
      </c>
    </row>
    <row r="1740" spans="1:11" ht="20.25" customHeight="1">
      <c r="A1740" s="84" t="s">
        <v>8651</v>
      </c>
      <c r="B1740" s="85" t="s">
        <v>8652</v>
      </c>
      <c r="C1740" s="85" t="s">
        <v>8653</v>
      </c>
      <c r="D1740" s="85" t="s">
        <v>8654</v>
      </c>
      <c r="E1740" s="84" t="s">
        <v>3725</v>
      </c>
      <c r="F1740" s="86">
        <v>604083</v>
      </c>
      <c r="G1740" s="86">
        <v>5100400</v>
      </c>
      <c r="H1740" s="87"/>
      <c r="I1740" s="85" t="s">
        <v>25</v>
      </c>
      <c r="J1740" s="88" t="str">
        <f t="shared" si="27"/>
        <v>不重复</v>
      </c>
      <c r="K1740" s="88" t="str">
        <f t="shared" si="27"/>
        <v>不重复</v>
      </c>
    </row>
    <row r="1741" spans="1:11" ht="20.25" customHeight="1">
      <c r="A1741" s="84" t="s">
        <v>8655</v>
      </c>
      <c r="B1741" s="85" t="s">
        <v>8656</v>
      </c>
      <c r="C1741" s="85" t="s">
        <v>1565</v>
      </c>
      <c r="D1741" s="85" t="s">
        <v>8657</v>
      </c>
      <c r="E1741" s="84" t="s">
        <v>3725</v>
      </c>
      <c r="F1741" s="86">
        <v>604084</v>
      </c>
      <c r="G1741" s="86">
        <v>5100400</v>
      </c>
      <c r="H1741" s="87"/>
      <c r="I1741" s="85" t="s">
        <v>8658</v>
      </c>
      <c r="J1741" s="88" t="str">
        <f t="shared" si="27"/>
        <v>重复</v>
      </c>
      <c r="K1741" s="88" t="str">
        <f t="shared" si="27"/>
        <v>不重复</v>
      </c>
    </row>
    <row r="1742" spans="1:11" ht="20.25" customHeight="1">
      <c r="A1742" s="89" t="s">
        <v>8659</v>
      </c>
      <c r="B1742" s="90" t="s">
        <v>8660</v>
      </c>
      <c r="C1742" s="90" t="s">
        <v>8661</v>
      </c>
      <c r="D1742" s="90" t="s">
        <v>8662</v>
      </c>
      <c r="E1742" s="89" t="s">
        <v>3725</v>
      </c>
      <c r="F1742" s="91">
        <v>604085</v>
      </c>
      <c r="G1742" s="91">
        <v>5100400</v>
      </c>
      <c r="H1742" s="87"/>
      <c r="I1742" s="90" t="s">
        <v>25</v>
      </c>
      <c r="J1742" s="88" t="str">
        <f t="shared" si="27"/>
        <v>不重复</v>
      </c>
      <c r="K1742" s="88" t="str">
        <f t="shared" si="27"/>
        <v>不重复</v>
      </c>
    </row>
    <row r="1743" spans="1:11" ht="20.25" customHeight="1">
      <c r="A1743" s="89" t="s">
        <v>8663</v>
      </c>
      <c r="B1743" s="90" t="s">
        <v>8664</v>
      </c>
      <c r="C1743" s="90" t="s">
        <v>3111</v>
      </c>
      <c r="D1743" s="90" t="s">
        <v>8665</v>
      </c>
      <c r="E1743" s="89" t="s">
        <v>3725</v>
      </c>
      <c r="F1743" s="91">
        <v>604086</v>
      </c>
      <c r="G1743" s="91">
        <v>5100400</v>
      </c>
      <c r="H1743" s="87"/>
      <c r="I1743" s="90" t="s">
        <v>8486</v>
      </c>
      <c r="J1743" s="88" t="str">
        <f t="shared" si="27"/>
        <v>重复</v>
      </c>
      <c r="K1743" s="88" t="str">
        <f t="shared" si="27"/>
        <v>不重复</v>
      </c>
    </row>
    <row r="1744" spans="1:11" ht="20.25" customHeight="1">
      <c r="A1744" s="84" t="s">
        <v>8666</v>
      </c>
      <c r="B1744" s="85" t="s">
        <v>8667</v>
      </c>
      <c r="C1744" s="85" t="s">
        <v>8668</v>
      </c>
      <c r="D1744" s="85" t="s">
        <v>8669</v>
      </c>
      <c r="E1744" s="84" t="s">
        <v>3725</v>
      </c>
      <c r="F1744" s="86">
        <v>604087</v>
      </c>
      <c r="G1744" s="86">
        <v>5100400</v>
      </c>
      <c r="H1744" s="87"/>
      <c r="I1744" s="85" t="s">
        <v>25</v>
      </c>
      <c r="J1744" s="88" t="str">
        <f t="shared" si="27"/>
        <v>不重复</v>
      </c>
      <c r="K1744" s="88" t="str">
        <f t="shared" si="27"/>
        <v>不重复</v>
      </c>
    </row>
    <row r="1745" spans="1:11" ht="20.25" customHeight="1">
      <c r="A1745" s="84" t="s">
        <v>8670</v>
      </c>
      <c r="B1745" s="85" t="s">
        <v>8671</v>
      </c>
      <c r="C1745" s="85" t="s">
        <v>7330</v>
      </c>
      <c r="D1745" s="85" t="s">
        <v>8672</v>
      </c>
      <c r="E1745" s="84" t="s">
        <v>3725</v>
      </c>
      <c r="F1745" s="86">
        <v>604088</v>
      </c>
      <c r="G1745" s="86">
        <v>5100400</v>
      </c>
      <c r="H1745" s="87"/>
      <c r="I1745" s="85" t="s">
        <v>8486</v>
      </c>
      <c r="J1745" s="88" t="str">
        <f t="shared" si="27"/>
        <v>重复</v>
      </c>
      <c r="K1745" s="88" t="str">
        <f t="shared" si="27"/>
        <v>不重复</v>
      </c>
    </row>
    <row r="1746" spans="1:11" ht="20.25" customHeight="1">
      <c r="A1746" s="84" t="s">
        <v>8673</v>
      </c>
      <c r="B1746" s="85" t="s">
        <v>8674</v>
      </c>
      <c r="C1746" s="85" t="s">
        <v>3857</v>
      </c>
      <c r="D1746" s="85" t="s">
        <v>8675</v>
      </c>
      <c r="E1746" s="84" t="s">
        <v>3725</v>
      </c>
      <c r="F1746" s="86">
        <v>604089</v>
      </c>
      <c r="G1746" s="86">
        <v>5100400</v>
      </c>
      <c r="H1746" s="87"/>
      <c r="I1746" s="85" t="s">
        <v>25</v>
      </c>
      <c r="J1746" s="88" t="str">
        <f t="shared" si="27"/>
        <v>重复</v>
      </c>
      <c r="K1746" s="88" t="str">
        <f t="shared" si="27"/>
        <v>不重复</v>
      </c>
    </row>
    <row r="1747" spans="1:11" ht="20.25" customHeight="1">
      <c r="A1747" s="84" t="s">
        <v>3850</v>
      </c>
      <c r="B1747" s="85" t="s">
        <v>8676</v>
      </c>
      <c r="C1747" s="85" t="s">
        <v>3851</v>
      </c>
      <c r="D1747" s="85" t="s">
        <v>8677</v>
      </c>
      <c r="E1747" s="84" t="s">
        <v>3725</v>
      </c>
      <c r="F1747" s="86">
        <v>604090</v>
      </c>
      <c r="G1747" s="86">
        <v>5100400</v>
      </c>
      <c r="H1747" s="87"/>
      <c r="I1747" s="85" t="s">
        <v>8678</v>
      </c>
      <c r="J1747" s="88" t="str">
        <f t="shared" si="27"/>
        <v>不重复</v>
      </c>
      <c r="K1747" s="88" t="str">
        <f t="shared" si="27"/>
        <v>不重复</v>
      </c>
    </row>
    <row r="1748" spans="1:11" ht="20.25" customHeight="1">
      <c r="A1748" s="84" t="s">
        <v>3852</v>
      </c>
      <c r="B1748" s="85" t="s">
        <v>8679</v>
      </c>
      <c r="C1748" s="85" t="s">
        <v>3853</v>
      </c>
      <c r="D1748" s="85" t="s">
        <v>3854</v>
      </c>
      <c r="E1748" s="84" t="s">
        <v>3725</v>
      </c>
      <c r="F1748" s="86">
        <v>604091</v>
      </c>
      <c r="G1748" s="86">
        <v>5100400</v>
      </c>
      <c r="H1748" s="87"/>
      <c r="I1748" s="85" t="s">
        <v>8680</v>
      </c>
      <c r="J1748" s="88" t="str">
        <f t="shared" si="27"/>
        <v>不重复</v>
      </c>
      <c r="K1748" s="88" t="str">
        <f t="shared" si="27"/>
        <v>不重复</v>
      </c>
    </row>
    <row r="1749" spans="1:11" ht="20.25" customHeight="1">
      <c r="A1749" s="84" t="s">
        <v>8681</v>
      </c>
      <c r="B1749" s="85" t="s">
        <v>8682</v>
      </c>
      <c r="C1749" s="85" t="s">
        <v>3806</v>
      </c>
      <c r="D1749" s="85" t="s">
        <v>8683</v>
      </c>
      <c r="E1749" s="84" t="s">
        <v>3725</v>
      </c>
      <c r="F1749" s="86">
        <v>604092</v>
      </c>
      <c r="G1749" s="86">
        <v>5100400</v>
      </c>
      <c r="H1749" s="87"/>
      <c r="I1749" s="85" t="s">
        <v>25</v>
      </c>
      <c r="J1749" s="88" t="str">
        <f t="shared" si="27"/>
        <v>重复</v>
      </c>
      <c r="K1749" s="88" t="str">
        <f t="shared" si="27"/>
        <v>不重复</v>
      </c>
    </row>
    <row r="1750" spans="1:11" ht="20.25" customHeight="1">
      <c r="A1750" s="84" t="s">
        <v>3845</v>
      </c>
      <c r="B1750" s="85" t="s">
        <v>8684</v>
      </c>
      <c r="C1750" s="85" t="s">
        <v>3798</v>
      </c>
      <c r="D1750" s="85" t="s">
        <v>8685</v>
      </c>
      <c r="E1750" s="84" t="s">
        <v>3725</v>
      </c>
      <c r="F1750" s="86">
        <v>604093</v>
      </c>
      <c r="G1750" s="86">
        <v>5100400</v>
      </c>
      <c r="H1750" s="87"/>
      <c r="I1750" s="85" t="s">
        <v>8686</v>
      </c>
      <c r="J1750" s="88" t="str">
        <f t="shared" si="27"/>
        <v>重复</v>
      </c>
      <c r="K1750" s="88" t="str">
        <f t="shared" si="27"/>
        <v>不重复</v>
      </c>
    </row>
    <row r="1751" spans="1:11" ht="20.25" customHeight="1">
      <c r="A1751" s="84" t="s">
        <v>3839</v>
      </c>
      <c r="B1751" s="85" t="s">
        <v>8687</v>
      </c>
      <c r="C1751" s="85" t="s">
        <v>2415</v>
      </c>
      <c r="D1751" s="85" t="s">
        <v>3840</v>
      </c>
      <c r="E1751" s="84" t="s">
        <v>3725</v>
      </c>
      <c r="F1751" s="86">
        <v>604094</v>
      </c>
      <c r="G1751" s="86">
        <v>5100400</v>
      </c>
      <c r="H1751" s="87"/>
      <c r="I1751" s="85" t="s">
        <v>8686</v>
      </c>
      <c r="J1751" s="88" t="str">
        <f t="shared" si="27"/>
        <v>重复</v>
      </c>
      <c r="K1751" s="88" t="str">
        <f t="shared" si="27"/>
        <v>不重复</v>
      </c>
    </row>
    <row r="1752" spans="1:11" ht="20.25" customHeight="1">
      <c r="A1752" s="84" t="s">
        <v>8688</v>
      </c>
      <c r="B1752" s="85" t="s">
        <v>8689</v>
      </c>
      <c r="C1752" s="85" t="s">
        <v>3929</v>
      </c>
      <c r="D1752" s="85" t="s">
        <v>8690</v>
      </c>
      <c r="E1752" s="84" t="s">
        <v>3725</v>
      </c>
      <c r="F1752" s="86">
        <v>604095</v>
      </c>
      <c r="G1752" s="86">
        <v>5100400</v>
      </c>
      <c r="H1752" s="87"/>
      <c r="I1752" s="85" t="s">
        <v>25</v>
      </c>
      <c r="J1752" s="88" t="str">
        <f t="shared" si="27"/>
        <v>重复</v>
      </c>
      <c r="K1752" s="88" t="str">
        <f t="shared" si="27"/>
        <v>不重复</v>
      </c>
    </row>
    <row r="1753" spans="1:11" ht="20.25" customHeight="1">
      <c r="A1753" s="84" t="s">
        <v>3844</v>
      </c>
      <c r="B1753" s="85" t="s">
        <v>8691</v>
      </c>
      <c r="C1753" s="85" t="s">
        <v>2212</v>
      </c>
      <c r="D1753" s="85" t="s">
        <v>8692</v>
      </c>
      <c r="E1753" s="84" t="s">
        <v>3725</v>
      </c>
      <c r="F1753" s="86">
        <v>604096</v>
      </c>
      <c r="G1753" s="86">
        <v>5100400</v>
      </c>
      <c r="H1753" s="87"/>
      <c r="I1753" s="85" t="s">
        <v>7902</v>
      </c>
      <c r="J1753" s="88" t="str">
        <f t="shared" si="27"/>
        <v>重复</v>
      </c>
      <c r="K1753" s="88" t="str">
        <f t="shared" si="27"/>
        <v>不重复</v>
      </c>
    </row>
    <row r="1754" spans="1:11" ht="20.25" customHeight="1">
      <c r="A1754" s="89" t="s">
        <v>8693</v>
      </c>
      <c r="B1754" s="90" t="s">
        <v>8694</v>
      </c>
      <c r="C1754" s="90" t="s">
        <v>8695</v>
      </c>
      <c r="D1754" s="90" t="s">
        <v>8696</v>
      </c>
      <c r="E1754" s="89" t="s">
        <v>3725</v>
      </c>
      <c r="F1754" s="91">
        <v>604097</v>
      </c>
      <c r="G1754" s="91">
        <v>5100400</v>
      </c>
      <c r="H1754" s="87"/>
      <c r="I1754" s="90" t="s">
        <v>25</v>
      </c>
      <c r="J1754" s="88" t="str">
        <f t="shared" si="27"/>
        <v>不重复</v>
      </c>
      <c r="K1754" s="88" t="str">
        <f t="shared" si="27"/>
        <v>不重复</v>
      </c>
    </row>
    <row r="1755" spans="1:11" ht="20.25" customHeight="1">
      <c r="A1755" s="89" t="s">
        <v>3847</v>
      </c>
      <c r="B1755" s="90" t="s">
        <v>8697</v>
      </c>
      <c r="C1755" s="90" t="s">
        <v>3848</v>
      </c>
      <c r="D1755" s="90" t="s">
        <v>3849</v>
      </c>
      <c r="E1755" s="89" t="s">
        <v>3725</v>
      </c>
      <c r="F1755" s="91">
        <v>604098</v>
      </c>
      <c r="G1755" s="91">
        <v>5100400</v>
      </c>
      <c r="H1755" s="87"/>
      <c r="I1755" s="90" t="s">
        <v>8698</v>
      </c>
      <c r="J1755" s="88" t="str">
        <f t="shared" si="27"/>
        <v>不重复</v>
      </c>
      <c r="K1755" s="88" t="str">
        <f t="shared" si="27"/>
        <v>不重复</v>
      </c>
    </row>
    <row r="1756" spans="1:11" ht="20.25" customHeight="1">
      <c r="A1756" s="84" t="s">
        <v>8699</v>
      </c>
      <c r="B1756" s="85" t="s">
        <v>8700</v>
      </c>
      <c r="C1756" s="85" t="s">
        <v>3757</v>
      </c>
      <c r="D1756" s="85" t="s">
        <v>8701</v>
      </c>
      <c r="E1756" s="84" t="s">
        <v>3725</v>
      </c>
      <c r="F1756" s="86">
        <v>604099</v>
      </c>
      <c r="G1756" s="86">
        <v>5100400</v>
      </c>
      <c r="H1756" s="87"/>
      <c r="I1756" s="85" t="s">
        <v>25</v>
      </c>
      <c r="J1756" s="88" t="str">
        <f t="shared" si="27"/>
        <v>重复</v>
      </c>
      <c r="K1756" s="88" t="str">
        <f t="shared" si="27"/>
        <v>不重复</v>
      </c>
    </row>
    <row r="1757" spans="1:11" ht="20.25" customHeight="1">
      <c r="A1757" s="84" t="s">
        <v>3834</v>
      </c>
      <c r="B1757" s="85" t="s">
        <v>8702</v>
      </c>
      <c r="C1757" s="85" t="s">
        <v>658</v>
      </c>
      <c r="D1757" s="85" t="s">
        <v>3835</v>
      </c>
      <c r="E1757" s="84" t="s">
        <v>3725</v>
      </c>
      <c r="F1757" s="86">
        <v>604100</v>
      </c>
      <c r="G1757" s="86">
        <v>5100400</v>
      </c>
      <c r="H1757" s="87"/>
      <c r="I1757" s="85" t="s">
        <v>8587</v>
      </c>
      <c r="J1757" s="88" t="str">
        <f t="shared" si="27"/>
        <v>重复</v>
      </c>
      <c r="K1757" s="88" t="str">
        <f t="shared" si="27"/>
        <v>不重复</v>
      </c>
    </row>
    <row r="1758" spans="1:11" ht="20.25" customHeight="1">
      <c r="A1758" s="89" t="s">
        <v>8703</v>
      </c>
      <c r="B1758" s="90" t="s">
        <v>8704</v>
      </c>
      <c r="C1758" s="90" t="s">
        <v>360</v>
      </c>
      <c r="D1758" s="90" t="s">
        <v>8705</v>
      </c>
      <c r="E1758" s="89" t="s">
        <v>3725</v>
      </c>
      <c r="F1758" s="91">
        <v>604101</v>
      </c>
      <c r="G1758" s="91">
        <v>5100400</v>
      </c>
      <c r="H1758" s="87"/>
      <c r="I1758" s="90" t="s">
        <v>25</v>
      </c>
      <c r="J1758" s="88" t="str">
        <f t="shared" si="27"/>
        <v>不重复</v>
      </c>
      <c r="K1758" s="88" t="str">
        <f t="shared" si="27"/>
        <v>不重复</v>
      </c>
    </row>
    <row r="1759" spans="1:11" ht="20.25" customHeight="1">
      <c r="A1759" s="89" t="s">
        <v>3841</v>
      </c>
      <c r="B1759" s="90" t="s">
        <v>8706</v>
      </c>
      <c r="C1759" s="90" t="s">
        <v>3842</v>
      </c>
      <c r="D1759" s="90" t="s">
        <v>3843</v>
      </c>
      <c r="E1759" s="89" t="s">
        <v>3725</v>
      </c>
      <c r="F1759" s="91">
        <v>604102</v>
      </c>
      <c r="G1759" s="91">
        <v>5100400</v>
      </c>
      <c r="H1759" s="87"/>
      <c r="I1759" s="90" t="s">
        <v>8686</v>
      </c>
      <c r="J1759" s="88" t="str">
        <f t="shared" si="27"/>
        <v>不重复</v>
      </c>
      <c r="K1759" s="88" t="str">
        <f t="shared" si="27"/>
        <v>不重复</v>
      </c>
    </row>
    <row r="1760" spans="1:11" ht="20.25" customHeight="1">
      <c r="A1760" s="89" t="s">
        <v>3832</v>
      </c>
      <c r="B1760" s="90" t="s">
        <v>8707</v>
      </c>
      <c r="C1760" s="90" t="s">
        <v>3596</v>
      </c>
      <c r="D1760" s="90" t="s">
        <v>3833</v>
      </c>
      <c r="E1760" s="89" t="s">
        <v>3725</v>
      </c>
      <c r="F1760" s="91">
        <v>604103</v>
      </c>
      <c r="G1760" s="91">
        <v>5100400</v>
      </c>
      <c r="H1760" s="87"/>
      <c r="I1760" s="90" t="s">
        <v>8708</v>
      </c>
      <c r="J1760" s="88" t="str">
        <f t="shared" si="27"/>
        <v>重复</v>
      </c>
      <c r="K1760" s="88" t="str">
        <f t="shared" si="27"/>
        <v>不重复</v>
      </c>
    </row>
    <row r="1761" spans="1:11" ht="20.25" customHeight="1">
      <c r="A1761" s="89" t="s">
        <v>3830</v>
      </c>
      <c r="B1761" s="90" t="s">
        <v>8709</v>
      </c>
      <c r="C1761" s="90" t="s">
        <v>660</v>
      </c>
      <c r="D1761" s="90" t="s">
        <v>3831</v>
      </c>
      <c r="E1761" s="89" t="s">
        <v>3725</v>
      </c>
      <c r="F1761" s="91">
        <v>604104</v>
      </c>
      <c r="G1761" s="91">
        <v>5100400</v>
      </c>
      <c r="H1761" s="87"/>
      <c r="I1761" s="90" t="s">
        <v>8580</v>
      </c>
      <c r="J1761" s="88" t="str">
        <f t="shared" si="27"/>
        <v>不重复</v>
      </c>
      <c r="K1761" s="88" t="str">
        <f t="shared" si="27"/>
        <v>不重复</v>
      </c>
    </row>
    <row r="1762" spans="1:11" ht="20.25" customHeight="1">
      <c r="A1762" s="84" t="s">
        <v>8710</v>
      </c>
      <c r="B1762" s="85" t="s">
        <v>8711</v>
      </c>
      <c r="C1762" s="85" t="s">
        <v>8712</v>
      </c>
      <c r="D1762" s="85" t="s">
        <v>8713</v>
      </c>
      <c r="E1762" s="84" t="s">
        <v>3725</v>
      </c>
      <c r="F1762" s="86">
        <v>604105</v>
      </c>
      <c r="G1762" s="86">
        <v>5100400</v>
      </c>
      <c r="H1762" s="87"/>
      <c r="I1762" s="85" t="s">
        <v>25</v>
      </c>
      <c r="J1762" s="88" t="str">
        <f t="shared" si="27"/>
        <v>不重复</v>
      </c>
      <c r="K1762" s="88" t="str">
        <f t="shared" si="27"/>
        <v>不重复</v>
      </c>
    </row>
    <row r="1763" spans="1:11" ht="20.25" customHeight="1">
      <c r="A1763" s="84" t="s">
        <v>8714</v>
      </c>
      <c r="B1763" s="85" t="s">
        <v>8715</v>
      </c>
      <c r="C1763" s="85" t="s">
        <v>4478</v>
      </c>
      <c r="D1763" s="85" t="s">
        <v>8716</v>
      </c>
      <c r="E1763" s="84" t="s">
        <v>3725</v>
      </c>
      <c r="F1763" s="86">
        <v>604106</v>
      </c>
      <c r="G1763" s="86">
        <v>5100400</v>
      </c>
      <c r="H1763" s="87"/>
      <c r="I1763" s="85" t="s">
        <v>8717</v>
      </c>
      <c r="J1763" s="88" t="str">
        <f t="shared" si="27"/>
        <v>重复</v>
      </c>
      <c r="K1763" s="88" t="str">
        <f t="shared" si="27"/>
        <v>不重复</v>
      </c>
    </row>
    <row r="1764" spans="1:11" ht="20.25" customHeight="1">
      <c r="A1764" s="84" t="s">
        <v>8718</v>
      </c>
      <c r="B1764" s="85" t="s">
        <v>8719</v>
      </c>
      <c r="C1764" s="85" t="s">
        <v>8720</v>
      </c>
      <c r="D1764" s="85" t="s">
        <v>8721</v>
      </c>
      <c r="E1764" s="84" t="s">
        <v>3725</v>
      </c>
      <c r="F1764" s="86">
        <v>604107</v>
      </c>
      <c r="G1764" s="86">
        <v>5100400</v>
      </c>
      <c r="H1764" s="87"/>
      <c r="I1764" s="85" t="s">
        <v>25</v>
      </c>
      <c r="J1764" s="88" t="str">
        <f t="shared" si="27"/>
        <v>不重复</v>
      </c>
      <c r="K1764" s="88" t="str">
        <f t="shared" si="27"/>
        <v>不重复</v>
      </c>
    </row>
    <row r="1765" spans="1:11" ht="20.25" customHeight="1">
      <c r="A1765" s="84" t="s">
        <v>3836</v>
      </c>
      <c r="B1765" s="85" t="s">
        <v>8722</v>
      </c>
      <c r="C1765" s="85" t="s">
        <v>3837</v>
      </c>
      <c r="D1765" s="85" t="s">
        <v>3838</v>
      </c>
      <c r="E1765" s="84" t="s">
        <v>3725</v>
      </c>
      <c r="F1765" s="86">
        <v>604108</v>
      </c>
      <c r="G1765" s="86">
        <v>5100400</v>
      </c>
      <c r="H1765" s="87"/>
      <c r="I1765" s="85" t="s">
        <v>8587</v>
      </c>
      <c r="J1765" s="88" t="str">
        <f t="shared" si="27"/>
        <v>不重复</v>
      </c>
      <c r="K1765" s="88" t="str">
        <f t="shared" si="27"/>
        <v>不重复</v>
      </c>
    </row>
    <row r="1766" spans="1:11" ht="20.25" customHeight="1">
      <c r="A1766" s="84" t="s">
        <v>8723</v>
      </c>
      <c r="B1766" s="85" t="s">
        <v>8724</v>
      </c>
      <c r="C1766" s="85" t="s">
        <v>8725</v>
      </c>
      <c r="D1766" s="85" t="s">
        <v>1567</v>
      </c>
      <c r="E1766" s="84" t="s">
        <v>3725</v>
      </c>
      <c r="F1766" s="86">
        <v>604109</v>
      </c>
      <c r="G1766" s="86">
        <v>5100400</v>
      </c>
      <c r="H1766" s="87"/>
      <c r="I1766" s="85" t="s">
        <v>25</v>
      </c>
      <c r="J1766" s="88" t="str">
        <f t="shared" si="27"/>
        <v>不重复</v>
      </c>
      <c r="K1766" s="88" t="str">
        <f t="shared" si="27"/>
        <v>不重复</v>
      </c>
    </row>
    <row r="1767" spans="1:11" ht="20.25" customHeight="1">
      <c r="A1767" s="84" t="s">
        <v>3855</v>
      </c>
      <c r="B1767" s="85" t="s">
        <v>8726</v>
      </c>
      <c r="C1767" s="85" t="s">
        <v>3743</v>
      </c>
      <c r="D1767" s="85" t="s">
        <v>8727</v>
      </c>
      <c r="E1767" s="84" t="s">
        <v>3725</v>
      </c>
      <c r="F1767" s="86">
        <v>604110</v>
      </c>
      <c r="G1767" s="86">
        <v>5100400</v>
      </c>
      <c r="H1767" s="87"/>
      <c r="I1767" s="85" t="s">
        <v>8728</v>
      </c>
      <c r="J1767" s="88" t="str">
        <f t="shared" si="27"/>
        <v>重复</v>
      </c>
      <c r="K1767" s="88" t="str">
        <f t="shared" si="27"/>
        <v>不重复</v>
      </c>
    </row>
    <row r="1768" spans="1:11" ht="20.25" customHeight="1">
      <c r="A1768" s="84" t="s">
        <v>8729</v>
      </c>
      <c r="B1768" s="85" t="s">
        <v>8730</v>
      </c>
      <c r="C1768" s="85" t="s">
        <v>3857</v>
      </c>
      <c r="D1768" s="85" t="s">
        <v>8731</v>
      </c>
      <c r="E1768" s="84" t="s">
        <v>3725</v>
      </c>
      <c r="F1768" s="86">
        <v>604111</v>
      </c>
      <c r="G1768" s="86">
        <v>5100400</v>
      </c>
      <c r="H1768" s="87"/>
      <c r="I1768" s="85" t="s">
        <v>25</v>
      </c>
      <c r="J1768" s="88" t="str">
        <f t="shared" si="27"/>
        <v>重复</v>
      </c>
      <c r="K1768" s="88" t="str">
        <f t="shared" si="27"/>
        <v>不重复</v>
      </c>
    </row>
    <row r="1769" spans="1:11" ht="20.25" customHeight="1">
      <c r="A1769" s="84" t="s">
        <v>8732</v>
      </c>
      <c r="B1769" s="85" t="s">
        <v>8733</v>
      </c>
      <c r="C1769" s="85" t="s">
        <v>3857</v>
      </c>
      <c r="D1769" s="85" t="s">
        <v>5216</v>
      </c>
      <c r="E1769" s="84" t="s">
        <v>3725</v>
      </c>
      <c r="F1769" s="86">
        <v>604112</v>
      </c>
      <c r="G1769" s="86">
        <v>5100400</v>
      </c>
      <c r="H1769" s="87"/>
      <c r="I1769" s="85" t="s">
        <v>8734</v>
      </c>
      <c r="J1769" s="88" t="str">
        <f t="shared" si="27"/>
        <v>重复</v>
      </c>
      <c r="K1769" s="88" t="str">
        <f t="shared" si="27"/>
        <v>不重复</v>
      </c>
    </row>
    <row r="1770" spans="1:11" ht="20.25" customHeight="1">
      <c r="A1770" s="84" t="s">
        <v>8735</v>
      </c>
      <c r="B1770" s="85" t="s">
        <v>8736</v>
      </c>
      <c r="C1770" s="85" t="s">
        <v>8737</v>
      </c>
      <c r="D1770" s="85" t="s">
        <v>8738</v>
      </c>
      <c r="E1770" s="84" t="s">
        <v>3725</v>
      </c>
      <c r="F1770" s="86">
        <v>604113</v>
      </c>
      <c r="G1770" s="86">
        <v>5100400</v>
      </c>
      <c r="H1770" s="87"/>
      <c r="I1770" s="85" t="s">
        <v>25</v>
      </c>
      <c r="J1770" s="88" t="str">
        <f t="shared" si="27"/>
        <v>不重复</v>
      </c>
      <c r="K1770" s="88" t="str">
        <f t="shared" si="27"/>
        <v>不重复</v>
      </c>
    </row>
    <row r="1771" spans="1:11" ht="20.25" customHeight="1">
      <c r="A1771" s="84" t="s">
        <v>3858</v>
      </c>
      <c r="B1771" s="85" t="s">
        <v>8739</v>
      </c>
      <c r="C1771" s="85" t="s">
        <v>3859</v>
      </c>
      <c r="D1771" s="85" t="s">
        <v>8740</v>
      </c>
      <c r="E1771" s="84" t="s">
        <v>3725</v>
      </c>
      <c r="F1771" s="86">
        <v>604114</v>
      </c>
      <c r="G1771" s="86">
        <v>5100400</v>
      </c>
      <c r="H1771" s="87"/>
      <c r="I1771" s="85" t="s">
        <v>8734</v>
      </c>
      <c r="J1771" s="88" t="str">
        <f t="shared" si="27"/>
        <v>不重复</v>
      </c>
      <c r="K1771" s="88" t="str">
        <f t="shared" si="27"/>
        <v>不重复</v>
      </c>
    </row>
    <row r="1772" spans="1:11" ht="20.25" customHeight="1">
      <c r="A1772" s="84" t="s">
        <v>8741</v>
      </c>
      <c r="B1772" s="85" t="s">
        <v>8742</v>
      </c>
      <c r="C1772" s="85" t="s">
        <v>8743</v>
      </c>
      <c r="D1772" s="85" t="s">
        <v>8744</v>
      </c>
      <c r="E1772" s="84" t="s">
        <v>3725</v>
      </c>
      <c r="F1772" s="86">
        <v>604115</v>
      </c>
      <c r="G1772" s="86">
        <v>5100400</v>
      </c>
      <c r="H1772" s="87"/>
      <c r="I1772" s="85" t="s">
        <v>25</v>
      </c>
      <c r="J1772" s="88" t="str">
        <f t="shared" si="27"/>
        <v>重复</v>
      </c>
      <c r="K1772" s="88" t="str">
        <f t="shared" si="27"/>
        <v>不重复</v>
      </c>
    </row>
    <row r="1773" spans="1:11" ht="20.25" customHeight="1">
      <c r="A1773" s="84" t="s">
        <v>3860</v>
      </c>
      <c r="B1773" s="85" t="s">
        <v>8745</v>
      </c>
      <c r="C1773" s="85" t="s">
        <v>3861</v>
      </c>
      <c r="D1773" s="85" t="s">
        <v>3862</v>
      </c>
      <c r="E1773" s="84" t="s">
        <v>3725</v>
      </c>
      <c r="F1773" s="86">
        <v>604116</v>
      </c>
      <c r="G1773" s="86">
        <v>5100400</v>
      </c>
      <c r="H1773" s="87"/>
      <c r="I1773" s="85" t="s">
        <v>8746</v>
      </c>
      <c r="J1773" s="88" t="str">
        <f t="shared" si="27"/>
        <v>重复</v>
      </c>
      <c r="K1773" s="88" t="str">
        <f t="shared" si="27"/>
        <v>不重复</v>
      </c>
    </row>
    <row r="1774" spans="1:11" ht="20.25" customHeight="1">
      <c r="A1774" s="84" t="s">
        <v>3863</v>
      </c>
      <c r="B1774" s="85" t="s">
        <v>8747</v>
      </c>
      <c r="C1774" s="85" t="s">
        <v>3864</v>
      </c>
      <c r="D1774" s="85" t="s">
        <v>3865</v>
      </c>
      <c r="E1774" s="84" t="s">
        <v>3725</v>
      </c>
      <c r="F1774" s="86">
        <v>604117</v>
      </c>
      <c r="G1774" s="86">
        <v>5100400</v>
      </c>
      <c r="H1774" s="87"/>
      <c r="I1774" s="85" t="s">
        <v>8748</v>
      </c>
      <c r="J1774" s="88" t="str">
        <f t="shared" si="27"/>
        <v>重复</v>
      </c>
      <c r="K1774" s="88" t="str">
        <f t="shared" si="27"/>
        <v>不重复</v>
      </c>
    </row>
    <row r="1775" spans="1:11" ht="20.25" customHeight="1">
      <c r="A1775" s="84" t="s">
        <v>8749</v>
      </c>
      <c r="B1775" s="85" t="s">
        <v>8750</v>
      </c>
      <c r="C1775" s="85" t="s">
        <v>8751</v>
      </c>
      <c r="D1775" s="85" t="s">
        <v>8752</v>
      </c>
      <c r="E1775" s="84" t="s">
        <v>3725</v>
      </c>
      <c r="F1775" s="86">
        <v>604118</v>
      </c>
      <c r="G1775" s="86">
        <v>5100400</v>
      </c>
      <c r="H1775" s="87"/>
      <c r="I1775" s="85" t="s">
        <v>8493</v>
      </c>
      <c r="J1775" s="88" t="str">
        <f t="shared" si="27"/>
        <v>不重复</v>
      </c>
      <c r="K1775" s="88" t="str">
        <f t="shared" si="27"/>
        <v>不重复</v>
      </c>
    </row>
    <row r="1776" spans="1:11" ht="20.25" customHeight="1">
      <c r="A1776" s="89" t="s">
        <v>3909</v>
      </c>
      <c r="B1776" s="90" t="s">
        <v>3910</v>
      </c>
      <c r="C1776" s="90" t="s">
        <v>3911</v>
      </c>
      <c r="D1776" s="90" t="s">
        <v>3342</v>
      </c>
      <c r="E1776" s="89" t="s">
        <v>3725</v>
      </c>
      <c r="F1776" s="91">
        <v>604119</v>
      </c>
      <c r="G1776" s="91">
        <v>5100400</v>
      </c>
      <c r="H1776" s="87"/>
      <c r="I1776" s="90" t="s">
        <v>25</v>
      </c>
      <c r="J1776" s="88" t="str">
        <f t="shared" si="27"/>
        <v>不重复</v>
      </c>
      <c r="K1776" s="88" t="str">
        <f t="shared" si="27"/>
        <v>不重复</v>
      </c>
    </row>
    <row r="1777" spans="1:11" ht="20.25" customHeight="1">
      <c r="A1777" s="89" t="s">
        <v>8753</v>
      </c>
      <c r="B1777" s="90" t="s">
        <v>8754</v>
      </c>
      <c r="C1777" s="90" t="s">
        <v>8755</v>
      </c>
      <c r="D1777" s="90" t="s">
        <v>8756</v>
      </c>
      <c r="E1777" s="89" t="s">
        <v>3725</v>
      </c>
      <c r="F1777" s="91">
        <v>604120</v>
      </c>
      <c r="G1777" s="91">
        <v>5100400</v>
      </c>
      <c r="H1777" s="87"/>
      <c r="I1777" s="90" t="s">
        <v>8493</v>
      </c>
      <c r="J1777" s="88" t="str">
        <f t="shared" si="27"/>
        <v>不重复</v>
      </c>
      <c r="K1777" s="88" t="str">
        <f t="shared" si="27"/>
        <v>不重复</v>
      </c>
    </row>
    <row r="1778" spans="1:11" ht="20.25" customHeight="1">
      <c r="A1778" s="89" t="s">
        <v>3907</v>
      </c>
      <c r="B1778" s="90" t="s">
        <v>8757</v>
      </c>
      <c r="C1778" s="90" t="s">
        <v>2361</v>
      </c>
      <c r="D1778" s="90" t="s">
        <v>3908</v>
      </c>
      <c r="E1778" s="89" t="s">
        <v>3725</v>
      </c>
      <c r="F1778" s="91">
        <v>604121</v>
      </c>
      <c r="G1778" s="91">
        <v>5100400</v>
      </c>
      <c r="H1778" s="87"/>
      <c r="I1778" s="90" t="s">
        <v>8493</v>
      </c>
      <c r="J1778" s="88" t="str">
        <f t="shared" si="27"/>
        <v>重复</v>
      </c>
      <c r="K1778" s="88" t="str">
        <f t="shared" si="27"/>
        <v>不重复</v>
      </c>
    </row>
    <row r="1779" spans="1:11" ht="20.25" customHeight="1">
      <c r="A1779" s="89" t="s">
        <v>3866</v>
      </c>
      <c r="B1779" s="90" t="s">
        <v>8758</v>
      </c>
      <c r="C1779" s="90" t="s">
        <v>2429</v>
      </c>
      <c r="D1779" s="90" t="s">
        <v>3867</v>
      </c>
      <c r="E1779" s="89" t="s">
        <v>3725</v>
      </c>
      <c r="F1779" s="91">
        <v>604122</v>
      </c>
      <c r="G1779" s="91">
        <v>5100400</v>
      </c>
      <c r="H1779" s="87"/>
      <c r="I1779" s="90" t="s">
        <v>8759</v>
      </c>
      <c r="J1779" s="88" t="str">
        <f t="shared" si="27"/>
        <v>重复</v>
      </c>
      <c r="K1779" s="88" t="str">
        <f t="shared" si="27"/>
        <v>不重复</v>
      </c>
    </row>
    <row r="1780" spans="1:11" ht="20.25" customHeight="1">
      <c r="A1780" s="89" t="s">
        <v>3876</v>
      </c>
      <c r="B1780" s="90" t="s">
        <v>8760</v>
      </c>
      <c r="C1780" s="90" t="s">
        <v>3877</v>
      </c>
      <c r="D1780" s="90" t="s">
        <v>3878</v>
      </c>
      <c r="E1780" s="89" t="s">
        <v>3725</v>
      </c>
      <c r="F1780" s="91">
        <v>604123</v>
      </c>
      <c r="G1780" s="91">
        <v>5100400</v>
      </c>
      <c r="H1780" s="87"/>
      <c r="I1780" s="90" t="s">
        <v>8761</v>
      </c>
      <c r="J1780" s="88" t="str">
        <f t="shared" si="27"/>
        <v>不重复</v>
      </c>
      <c r="K1780" s="88" t="str">
        <f t="shared" si="27"/>
        <v>不重复</v>
      </c>
    </row>
    <row r="1781" spans="1:11" ht="20.25" customHeight="1">
      <c r="A1781" s="89" t="s">
        <v>3870</v>
      </c>
      <c r="B1781" s="90" t="s">
        <v>8762</v>
      </c>
      <c r="C1781" s="90" t="s">
        <v>3871</v>
      </c>
      <c r="D1781" s="90" t="s">
        <v>3872</v>
      </c>
      <c r="E1781" s="89" t="s">
        <v>3725</v>
      </c>
      <c r="F1781" s="91">
        <v>604124</v>
      </c>
      <c r="G1781" s="91">
        <v>5100400</v>
      </c>
      <c r="H1781" s="87"/>
      <c r="I1781" s="90" t="s">
        <v>8493</v>
      </c>
      <c r="J1781" s="88" t="str">
        <f t="shared" si="27"/>
        <v>重复</v>
      </c>
      <c r="K1781" s="88" t="str">
        <f t="shared" si="27"/>
        <v>不重复</v>
      </c>
    </row>
    <row r="1782" spans="1:11" ht="20.25" customHeight="1">
      <c r="A1782" s="89" t="s">
        <v>3902</v>
      </c>
      <c r="B1782" s="90" t="s">
        <v>8763</v>
      </c>
      <c r="C1782" s="90" t="s">
        <v>3903</v>
      </c>
      <c r="D1782" s="90" t="s">
        <v>3904</v>
      </c>
      <c r="E1782" s="89" t="s">
        <v>3725</v>
      </c>
      <c r="F1782" s="91">
        <v>604125</v>
      </c>
      <c r="G1782" s="91">
        <v>5100400</v>
      </c>
      <c r="H1782" s="87"/>
      <c r="I1782" s="90" t="s">
        <v>8493</v>
      </c>
      <c r="J1782" s="88" t="str">
        <f t="shared" si="27"/>
        <v>不重复</v>
      </c>
      <c r="K1782" s="88" t="str">
        <f t="shared" si="27"/>
        <v>不重复</v>
      </c>
    </row>
    <row r="1783" spans="1:11" ht="20.25" customHeight="1">
      <c r="A1783" s="89" t="s">
        <v>3898</v>
      </c>
      <c r="B1783" s="90" t="s">
        <v>8764</v>
      </c>
      <c r="C1783" s="90" t="s">
        <v>2970</v>
      </c>
      <c r="D1783" s="90" t="s">
        <v>3899</v>
      </c>
      <c r="E1783" s="89" t="s">
        <v>3725</v>
      </c>
      <c r="F1783" s="91">
        <v>604126</v>
      </c>
      <c r="G1783" s="91">
        <v>5100400</v>
      </c>
      <c r="H1783" s="87"/>
      <c r="I1783" s="90" t="s">
        <v>8493</v>
      </c>
      <c r="J1783" s="88" t="str">
        <f t="shared" si="27"/>
        <v>重复</v>
      </c>
      <c r="K1783" s="88" t="str">
        <f t="shared" si="27"/>
        <v>不重复</v>
      </c>
    </row>
    <row r="1784" spans="1:11" ht="20.25" customHeight="1">
      <c r="A1784" s="89" t="s">
        <v>3873</v>
      </c>
      <c r="B1784" s="90" t="s">
        <v>8765</v>
      </c>
      <c r="C1784" s="90" t="s">
        <v>3874</v>
      </c>
      <c r="D1784" s="90" t="s">
        <v>3875</v>
      </c>
      <c r="E1784" s="89" t="s">
        <v>3725</v>
      </c>
      <c r="F1784" s="91">
        <v>604127</v>
      </c>
      <c r="G1784" s="91">
        <v>5100400</v>
      </c>
      <c r="H1784" s="87"/>
      <c r="I1784" s="90" t="s">
        <v>8761</v>
      </c>
      <c r="J1784" s="88" t="str">
        <f t="shared" si="27"/>
        <v>不重复</v>
      </c>
      <c r="K1784" s="88" t="str">
        <f t="shared" si="27"/>
        <v>不重复</v>
      </c>
    </row>
    <row r="1785" spans="1:11" ht="20.25" customHeight="1">
      <c r="A1785" s="89" t="s">
        <v>3879</v>
      </c>
      <c r="B1785" s="90" t="s">
        <v>8766</v>
      </c>
      <c r="C1785" s="90" t="s">
        <v>3880</v>
      </c>
      <c r="D1785" s="90" t="s">
        <v>3881</v>
      </c>
      <c r="E1785" s="89" t="s">
        <v>3725</v>
      </c>
      <c r="F1785" s="91">
        <v>604128</v>
      </c>
      <c r="G1785" s="91">
        <v>5100400</v>
      </c>
      <c r="H1785" s="87"/>
      <c r="I1785" s="90" t="s">
        <v>8761</v>
      </c>
      <c r="J1785" s="88" t="str">
        <f t="shared" si="27"/>
        <v>不重复</v>
      </c>
      <c r="K1785" s="88" t="str">
        <f t="shared" si="27"/>
        <v>不重复</v>
      </c>
    </row>
    <row r="1786" spans="1:11" ht="20.25" customHeight="1">
      <c r="A1786" s="89" t="s">
        <v>3868</v>
      </c>
      <c r="B1786" s="90" t="s">
        <v>8767</v>
      </c>
      <c r="C1786" s="90" t="s">
        <v>3869</v>
      </c>
      <c r="D1786" s="90" t="s">
        <v>3346</v>
      </c>
      <c r="E1786" s="89" t="s">
        <v>3725</v>
      </c>
      <c r="F1786" s="91">
        <v>604129</v>
      </c>
      <c r="G1786" s="91">
        <v>5100400</v>
      </c>
      <c r="H1786" s="87"/>
      <c r="I1786" s="90" t="s">
        <v>8734</v>
      </c>
      <c r="J1786" s="88" t="str">
        <f t="shared" si="27"/>
        <v>不重复</v>
      </c>
      <c r="K1786" s="88" t="str">
        <f t="shared" si="27"/>
        <v>不重复</v>
      </c>
    </row>
    <row r="1787" spans="1:11" ht="20.25" customHeight="1">
      <c r="A1787" s="89" t="s">
        <v>3893</v>
      </c>
      <c r="B1787" s="90" t="s">
        <v>8768</v>
      </c>
      <c r="C1787" s="90" t="s">
        <v>3894</v>
      </c>
      <c r="D1787" s="90" t="s">
        <v>3895</v>
      </c>
      <c r="E1787" s="89" t="s">
        <v>3725</v>
      </c>
      <c r="F1787" s="91">
        <v>604130</v>
      </c>
      <c r="G1787" s="91">
        <v>5100400</v>
      </c>
      <c r="H1787" s="87"/>
      <c r="I1787" s="90" t="s">
        <v>8678</v>
      </c>
      <c r="J1787" s="88" t="str">
        <f t="shared" si="27"/>
        <v>不重复</v>
      </c>
      <c r="K1787" s="88" t="str">
        <f t="shared" si="27"/>
        <v>不重复</v>
      </c>
    </row>
    <row r="1788" spans="1:11" ht="20.25" customHeight="1">
      <c r="A1788" s="89" t="s">
        <v>3905</v>
      </c>
      <c r="B1788" s="90" t="s">
        <v>8769</v>
      </c>
      <c r="C1788" s="90" t="s">
        <v>1563</v>
      </c>
      <c r="D1788" s="90" t="s">
        <v>3906</v>
      </c>
      <c r="E1788" s="89" t="s">
        <v>3725</v>
      </c>
      <c r="F1788" s="91">
        <v>604131</v>
      </c>
      <c r="G1788" s="91">
        <v>5100400</v>
      </c>
      <c r="H1788" s="87"/>
      <c r="I1788" s="90" t="s">
        <v>8493</v>
      </c>
      <c r="J1788" s="88" t="str">
        <f t="shared" si="27"/>
        <v>重复</v>
      </c>
      <c r="K1788" s="88" t="str">
        <f t="shared" si="27"/>
        <v>不重复</v>
      </c>
    </row>
    <row r="1789" spans="1:11" ht="20.25" customHeight="1">
      <c r="A1789" s="89" t="s">
        <v>3885</v>
      </c>
      <c r="B1789" s="90" t="s">
        <v>8770</v>
      </c>
      <c r="C1789" s="90" t="s">
        <v>3886</v>
      </c>
      <c r="D1789" s="90" t="s">
        <v>3887</v>
      </c>
      <c r="E1789" s="89" t="s">
        <v>3725</v>
      </c>
      <c r="F1789" s="91">
        <v>604132</v>
      </c>
      <c r="G1789" s="91">
        <v>5100400</v>
      </c>
      <c r="H1789" s="87"/>
      <c r="I1789" s="90" t="s">
        <v>8771</v>
      </c>
      <c r="J1789" s="88" t="str">
        <f t="shared" si="27"/>
        <v>不重复</v>
      </c>
      <c r="K1789" s="88" t="str">
        <f t="shared" si="27"/>
        <v>不重复</v>
      </c>
    </row>
    <row r="1790" spans="1:11" ht="20.25" customHeight="1">
      <c r="A1790" s="89" t="s">
        <v>3896</v>
      </c>
      <c r="B1790" s="90" t="s">
        <v>8772</v>
      </c>
      <c r="C1790" s="90" t="s">
        <v>1419</v>
      </c>
      <c r="D1790" s="90" t="s">
        <v>3897</v>
      </c>
      <c r="E1790" s="89" t="s">
        <v>3725</v>
      </c>
      <c r="F1790" s="91">
        <v>604133</v>
      </c>
      <c r="G1790" s="91">
        <v>5100400</v>
      </c>
      <c r="H1790" s="87"/>
      <c r="I1790" s="90" t="s">
        <v>8773</v>
      </c>
      <c r="J1790" s="88" t="str">
        <f t="shared" si="27"/>
        <v>重复</v>
      </c>
      <c r="K1790" s="88" t="str">
        <f t="shared" si="27"/>
        <v>不重复</v>
      </c>
    </row>
    <row r="1791" spans="1:11" ht="20.25" customHeight="1">
      <c r="A1791" s="89" t="s">
        <v>3882</v>
      </c>
      <c r="B1791" s="90" t="s">
        <v>8774</v>
      </c>
      <c r="C1791" s="90" t="s">
        <v>3883</v>
      </c>
      <c r="D1791" s="90" t="s">
        <v>3884</v>
      </c>
      <c r="E1791" s="89" t="s">
        <v>3725</v>
      </c>
      <c r="F1791" s="91">
        <v>604134</v>
      </c>
      <c r="G1791" s="91">
        <v>5100400</v>
      </c>
      <c r="H1791" s="87"/>
      <c r="I1791" s="90" t="s">
        <v>8761</v>
      </c>
      <c r="J1791" s="88" t="str">
        <f t="shared" si="27"/>
        <v>不重复</v>
      </c>
      <c r="K1791" s="88" t="str">
        <f t="shared" si="27"/>
        <v>不重复</v>
      </c>
    </row>
    <row r="1792" spans="1:11" ht="20.25" customHeight="1">
      <c r="A1792" s="89" t="s">
        <v>3888</v>
      </c>
      <c r="B1792" s="90" t="s">
        <v>8775</v>
      </c>
      <c r="C1792" s="90" t="s">
        <v>3889</v>
      </c>
      <c r="D1792" s="90" t="s">
        <v>3890</v>
      </c>
      <c r="E1792" s="89" t="s">
        <v>3725</v>
      </c>
      <c r="F1792" s="91">
        <v>604135</v>
      </c>
      <c r="G1792" s="91">
        <v>5100400</v>
      </c>
      <c r="H1792" s="87"/>
      <c r="I1792" s="90" t="s">
        <v>8761</v>
      </c>
      <c r="J1792" s="88" t="str">
        <f t="shared" si="27"/>
        <v>不重复</v>
      </c>
      <c r="K1792" s="88" t="str">
        <f t="shared" si="27"/>
        <v>不重复</v>
      </c>
    </row>
    <row r="1793" spans="1:11" ht="20.25" customHeight="1">
      <c r="A1793" s="89" t="s">
        <v>3900</v>
      </c>
      <c r="B1793" s="90" t="s">
        <v>8776</v>
      </c>
      <c r="C1793" s="90" t="s">
        <v>634</v>
      </c>
      <c r="D1793" s="90" t="s">
        <v>3901</v>
      </c>
      <c r="E1793" s="89" t="s">
        <v>3725</v>
      </c>
      <c r="F1793" s="91">
        <v>604136</v>
      </c>
      <c r="G1793" s="91">
        <v>5100400</v>
      </c>
      <c r="H1793" s="87"/>
      <c r="I1793" s="90" t="s">
        <v>8777</v>
      </c>
      <c r="J1793" s="88" t="str">
        <f t="shared" si="27"/>
        <v>重复</v>
      </c>
      <c r="K1793" s="88" t="str">
        <f t="shared" si="27"/>
        <v>不重复</v>
      </c>
    </row>
    <row r="1794" spans="1:11" ht="20.25" customHeight="1">
      <c r="A1794" s="89" t="s">
        <v>3891</v>
      </c>
      <c r="B1794" s="90" t="s">
        <v>8778</v>
      </c>
      <c r="C1794" s="90" t="s">
        <v>1269</v>
      </c>
      <c r="D1794" s="90" t="s">
        <v>3892</v>
      </c>
      <c r="E1794" s="89" t="s">
        <v>3725</v>
      </c>
      <c r="F1794" s="91">
        <v>604137</v>
      </c>
      <c r="G1794" s="91">
        <v>5100400</v>
      </c>
      <c r="H1794" s="87"/>
      <c r="I1794" s="90" t="s">
        <v>8678</v>
      </c>
      <c r="J1794" s="88" t="str">
        <f t="shared" si="27"/>
        <v>重复</v>
      </c>
      <c r="K1794" s="88" t="str">
        <f t="shared" si="27"/>
        <v>不重复</v>
      </c>
    </row>
    <row r="1795" spans="1:11" ht="20.25" customHeight="1">
      <c r="A1795" s="84" t="s">
        <v>8779</v>
      </c>
      <c r="B1795" s="85" t="s">
        <v>8780</v>
      </c>
      <c r="C1795" s="85" t="s">
        <v>643</v>
      </c>
      <c r="D1795" s="85" t="s">
        <v>8781</v>
      </c>
      <c r="E1795" s="84" t="s">
        <v>3725</v>
      </c>
      <c r="F1795" s="86">
        <v>604138</v>
      </c>
      <c r="G1795" s="86">
        <v>5100400</v>
      </c>
      <c r="H1795" s="87"/>
      <c r="I1795" s="85" t="s">
        <v>25</v>
      </c>
      <c r="J1795" s="88" t="str">
        <f t="shared" si="28" ref="J1795:K1858">IF(COUNTIF(C:C,C1795)&gt;=2,"重复","不重复")</f>
        <v>重复</v>
      </c>
      <c r="K1795" s="88" t="str">
        <f t="shared" si="28"/>
        <v>不重复</v>
      </c>
    </row>
    <row r="1796" spans="1:11" ht="20.25" customHeight="1">
      <c r="A1796" s="84" t="s">
        <v>8782</v>
      </c>
      <c r="B1796" s="85" t="s">
        <v>8783</v>
      </c>
      <c r="C1796" s="85" t="s">
        <v>3914</v>
      </c>
      <c r="D1796" s="85" t="s">
        <v>3915</v>
      </c>
      <c r="E1796" s="84" t="s">
        <v>3725</v>
      </c>
      <c r="F1796" s="86">
        <v>604139</v>
      </c>
      <c r="G1796" s="86">
        <v>5100400</v>
      </c>
      <c r="H1796" s="87"/>
      <c r="I1796" s="85" t="s">
        <v>8555</v>
      </c>
      <c r="J1796" s="88" t="str">
        <f t="shared" si="28"/>
        <v>重复</v>
      </c>
      <c r="K1796" s="88" t="str">
        <f t="shared" si="28"/>
        <v>不重复</v>
      </c>
    </row>
    <row r="1797" spans="1:11" ht="20.25" customHeight="1">
      <c r="A1797" s="84" t="s">
        <v>8784</v>
      </c>
      <c r="B1797" s="85" t="s">
        <v>8785</v>
      </c>
      <c r="C1797" s="85" t="s">
        <v>3912</v>
      </c>
      <c r="D1797" s="85" t="s">
        <v>3913</v>
      </c>
      <c r="E1797" s="84" t="s">
        <v>3725</v>
      </c>
      <c r="F1797" s="86">
        <v>604140</v>
      </c>
      <c r="G1797" s="86">
        <v>5100400</v>
      </c>
      <c r="H1797" s="87"/>
      <c r="I1797" s="85" t="s">
        <v>8786</v>
      </c>
      <c r="J1797" s="88" t="str">
        <f t="shared" si="28"/>
        <v>不重复</v>
      </c>
      <c r="K1797" s="88" t="str">
        <f t="shared" si="28"/>
        <v>不重复</v>
      </c>
    </row>
    <row r="1798" spans="1:11" ht="20.25" customHeight="1">
      <c r="A1798" s="89" t="s">
        <v>3916</v>
      </c>
      <c r="B1798" s="90" t="s">
        <v>8787</v>
      </c>
      <c r="C1798" s="90" t="s">
        <v>3111</v>
      </c>
      <c r="D1798" s="90" t="s">
        <v>8788</v>
      </c>
      <c r="E1798" s="89" t="s">
        <v>3725</v>
      </c>
      <c r="F1798" s="91">
        <v>604142</v>
      </c>
      <c r="G1798" s="91">
        <v>5100400</v>
      </c>
      <c r="H1798" s="87"/>
      <c r="I1798" s="90" t="s">
        <v>8454</v>
      </c>
      <c r="J1798" s="88" t="str">
        <f t="shared" si="28"/>
        <v>重复</v>
      </c>
      <c r="K1798" s="88" t="str">
        <f t="shared" si="28"/>
        <v>不重复</v>
      </c>
    </row>
    <row r="1799" spans="1:11" ht="20.25" customHeight="1">
      <c r="A1799" s="89" t="s">
        <v>8789</v>
      </c>
      <c r="B1799" s="90" t="s">
        <v>3928</v>
      </c>
      <c r="C1799" s="90" t="s">
        <v>8790</v>
      </c>
      <c r="D1799" s="90" t="s">
        <v>3930</v>
      </c>
      <c r="E1799" s="89" t="s">
        <v>3725</v>
      </c>
      <c r="F1799" s="91">
        <v>604143</v>
      </c>
      <c r="G1799" s="91">
        <v>5100400</v>
      </c>
      <c r="H1799" s="87"/>
      <c r="I1799" s="90" t="s">
        <v>25</v>
      </c>
      <c r="J1799" s="88" t="str">
        <f t="shared" si="28"/>
        <v>不重复</v>
      </c>
      <c r="K1799" s="88" t="str">
        <f t="shared" si="28"/>
        <v>不重复</v>
      </c>
    </row>
    <row r="1800" spans="1:11" ht="20.25" customHeight="1">
      <c r="A1800" s="89" t="s">
        <v>3920</v>
      </c>
      <c r="B1800" s="90" t="s">
        <v>8791</v>
      </c>
      <c r="C1800" s="90" t="s">
        <v>3048</v>
      </c>
      <c r="D1800" s="90" t="s">
        <v>3921</v>
      </c>
      <c r="E1800" s="89" t="s">
        <v>3725</v>
      </c>
      <c r="F1800" s="91">
        <v>604144</v>
      </c>
      <c r="G1800" s="91">
        <v>5100400</v>
      </c>
      <c r="H1800" s="87"/>
      <c r="I1800" s="90" t="s">
        <v>8493</v>
      </c>
      <c r="J1800" s="88" t="str">
        <f t="shared" si="28"/>
        <v>重复</v>
      </c>
      <c r="K1800" s="88" t="str">
        <f t="shared" si="28"/>
        <v>不重复</v>
      </c>
    </row>
    <row r="1801" spans="1:11" ht="20.25" customHeight="1">
      <c r="A1801" s="89" t="s">
        <v>8792</v>
      </c>
      <c r="B1801" s="90" t="s">
        <v>8793</v>
      </c>
      <c r="C1801" s="90" t="s">
        <v>3925</v>
      </c>
      <c r="D1801" s="90" t="s">
        <v>3926</v>
      </c>
      <c r="E1801" s="89" t="s">
        <v>3725</v>
      </c>
      <c r="F1801" s="91">
        <v>604145</v>
      </c>
      <c r="G1801" s="91">
        <v>5100400</v>
      </c>
      <c r="H1801" s="87"/>
      <c r="I1801" s="90" t="s">
        <v>8794</v>
      </c>
      <c r="J1801" s="88" t="str">
        <f t="shared" si="28"/>
        <v>不重复</v>
      </c>
      <c r="K1801" s="88" t="str">
        <f t="shared" si="28"/>
        <v>不重复</v>
      </c>
    </row>
    <row r="1802" spans="1:11" ht="20.25" customHeight="1">
      <c r="A1802" s="89" t="s">
        <v>8795</v>
      </c>
      <c r="B1802" s="90" t="s">
        <v>8796</v>
      </c>
      <c r="C1802" s="90" t="s">
        <v>3922</v>
      </c>
      <c r="D1802" s="90" t="s">
        <v>3923</v>
      </c>
      <c r="E1802" s="89" t="s">
        <v>3725</v>
      </c>
      <c r="F1802" s="91">
        <v>604146</v>
      </c>
      <c r="G1802" s="91">
        <v>5100400</v>
      </c>
      <c r="H1802" s="87"/>
      <c r="I1802" s="90" t="s">
        <v>8748</v>
      </c>
      <c r="J1802" s="88" t="str">
        <f t="shared" si="28"/>
        <v>不重复</v>
      </c>
      <c r="K1802" s="88" t="str">
        <f t="shared" si="28"/>
        <v>不重复</v>
      </c>
    </row>
    <row r="1803" spans="1:11" ht="20.25" customHeight="1">
      <c r="A1803" s="89" t="s">
        <v>8797</v>
      </c>
      <c r="B1803" s="90" t="s">
        <v>8798</v>
      </c>
      <c r="C1803" s="90" t="s">
        <v>3918</v>
      </c>
      <c r="D1803" s="90" t="s">
        <v>3919</v>
      </c>
      <c r="E1803" s="89" t="s">
        <v>3725</v>
      </c>
      <c r="F1803" s="91">
        <v>604147</v>
      </c>
      <c r="G1803" s="91">
        <v>5100400</v>
      </c>
      <c r="H1803" s="87"/>
      <c r="I1803" s="90" t="s">
        <v>8678</v>
      </c>
      <c r="J1803" s="88" t="str">
        <f t="shared" si="28"/>
        <v>不重复</v>
      </c>
      <c r="K1803" s="88" t="str">
        <f t="shared" si="28"/>
        <v>不重复</v>
      </c>
    </row>
    <row r="1804" spans="1:11" ht="20.25" customHeight="1">
      <c r="A1804" s="89" t="s">
        <v>8799</v>
      </c>
      <c r="B1804" s="90" t="s">
        <v>8800</v>
      </c>
      <c r="C1804" s="90" t="s">
        <v>1263</v>
      </c>
      <c r="D1804" s="90" t="s">
        <v>3924</v>
      </c>
      <c r="E1804" s="89" t="s">
        <v>3725</v>
      </c>
      <c r="F1804" s="91">
        <v>604148</v>
      </c>
      <c r="G1804" s="91">
        <v>5100400</v>
      </c>
      <c r="H1804" s="87"/>
      <c r="I1804" s="90" t="s">
        <v>8794</v>
      </c>
      <c r="J1804" s="88" t="str">
        <f t="shared" si="28"/>
        <v>重复</v>
      </c>
      <c r="K1804" s="88" t="str">
        <f t="shared" si="28"/>
        <v>不重复</v>
      </c>
    </row>
    <row r="1805" spans="1:11" ht="20.25" customHeight="1">
      <c r="A1805" s="89" t="s">
        <v>3927</v>
      </c>
      <c r="B1805" s="90" t="s">
        <v>8801</v>
      </c>
      <c r="C1805" s="90" t="s">
        <v>3929</v>
      </c>
      <c r="D1805" s="90" t="s">
        <v>8802</v>
      </c>
      <c r="E1805" s="89" t="s">
        <v>3725</v>
      </c>
      <c r="F1805" s="91">
        <v>604149</v>
      </c>
      <c r="G1805" s="91">
        <v>5100400</v>
      </c>
      <c r="H1805" s="87"/>
      <c r="I1805" s="90" t="s">
        <v>25</v>
      </c>
      <c r="J1805" s="88" t="str">
        <f t="shared" si="28"/>
        <v>重复</v>
      </c>
      <c r="K1805" s="88" t="str">
        <f t="shared" si="28"/>
        <v>不重复</v>
      </c>
    </row>
    <row r="1806" spans="1:11" ht="20.25" customHeight="1">
      <c r="A1806" s="89" t="s">
        <v>8803</v>
      </c>
      <c r="B1806" s="90" t="s">
        <v>8804</v>
      </c>
      <c r="C1806" s="90" t="s">
        <v>8805</v>
      </c>
      <c r="D1806" s="90" t="s">
        <v>8806</v>
      </c>
      <c r="E1806" s="89" t="s">
        <v>3725</v>
      </c>
      <c r="F1806" s="91">
        <v>604150</v>
      </c>
      <c r="G1806" s="91">
        <v>5100400</v>
      </c>
      <c r="H1806" s="87"/>
      <c r="I1806" s="90" t="s">
        <v>8486</v>
      </c>
      <c r="J1806" s="88" t="str">
        <f t="shared" si="28"/>
        <v>不重复</v>
      </c>
      <c r="K1806" s="88" t="str">
        <f t="shared" si="28"/>
        <v>不重复</v>
      </c>
    </row>
    <row r="1807" spans="1:11" ht="20.25" customHeight="1">
      <c r="A1807" s="84" t="s">
        <v>8807</v>
      </c>
      <c r="B1807" s="85" t="s">
        <v>8808</v>
      </c>
      <c r="C1807" s="85" t="s">
        <v>8743</v>
      </c>
      <c r="D1807" s="85" t="s">
        <v>8809</v>
      </c>
      <c r="E1807" s="84" t="s">
        <v>3725</v>
      </c>
      <c r="F1807" s="86">
        <v>604151</v>
      </c>
      <c r="G1807" s="86">
        <v>5100400</v>
      </c>
      <c r="H1807" s="87"/>
      <c r="I1807" s="85" t="s">
        <v>25</v>
      </c>
      <c r="J1807" s="88" t="str">
        <f t="shared" si="28"/>
        <v>重复</v>
      </c>
      <c r="K1807" s="88" t="str">
        <f t="shared" si="28"/>
        <v>不重复</v>
      </c>
    </row>
    <row r="1808" spans="1:11" ht="20.25" customHeight="1">
      <c r="A1808" s="84" t="s">
        <v>8810</v>
      </c>
      <c r="B1808" s="85" t="s">
        <v>8811</v>
      </c>
      <c r="C1808" s="85" t="s">
        <v>8812</v>
      </c>
      <c r="D1808" s="85" t="s">
        <v>3846</v>
      </c>
      <c r="E1808" s="84" t="s">
        <v>3725</v>
      </c>
      <c r="F1808" s="86">
        <v>604152</v>
      </c>
      <c r="G1808" s="86">
        <v>5100400</v>
      </c>
      <c r="H1808" s="87"/>
      <c r="I1808" s="85" t="s">
        <v>8486</v>
      </c>
      <c r="J1808" s="88" t="str">
        <f t="shared" si="28"/>
        <v>不重复</v>
      </c>
      <c r="K1808" s="88" t="str">
        <f t="shared" si="28"/>
        <v>不重复</v>
      </c>
    </row>
    <row r="1809" spans="1:11" ht="20.25" customHeight="1">
      <c r="A1809" s="84" t="s">
        <v>8813</v>
      </c>
      <c r="B1809" s="85" t="s">
        <v>8814</v>
      </c>
      <c r="C1809" s="85" t="s">
        <v>8815</v>
      </c>
      <c r="D1809" s="85" t="s">
        <v>8816</v>
      </c>
      <c r="E1809" s="84" t="s">
        <v>3725</v>
      </c>
      <c r="F1809" s="86">
        <v>604153</v>
      </c>
      <c r="G1809" s="86">
        <v>5100400</v>
      </c>
      <c r="H1809" s="87"/>
      <c r="I1809" s="85" t="s">
        <v>8486</v>
      </c>
      <c r="J1809" s="88" t="str">
        <f t="shared" si="28"/>
        <v>不重复</v>
      </c>
      <c r="K1809" s="88" t="str">
        <f t="shared" si="28"/>
        <v>不重复</v>
      </c>
    </row>
    <row r="1810" spans="1:11" ht="20.25" customHeight="1">
      <c r="A1810" s="84" t="s">
        <v>8817</v>
      </c>
      <c r="B1810" s="85" t="s">
        <v>8818</v>
      </c>
      <c r="C1810" s="85" t="s">
        <v>828</v>
      </c>
      <c r="D1810" s="85" t="s">
        <v>8819</v>
      </c>
      <c r="E1810" s="84" t="s">
        <v>3725</v>
      </c>
      <c r="F1810" s="86">
        <v>604154</v>
      </c>
      <c r="G1810" s="86">
        <v>5100400</v>
      </c>
      <c r="H1810" s="87"/>
      <c r="I1810" s="85" t="s">
        <v>8486</v>
      </c>
      <c r="J1810" s="88" t="str">
        <f t="shared" si="28"/>
        <v>重复</v>
      </c>
      <c r="K1810" s="88" t="str">
        <f t="shared" si="28"/>
        <v>不重复</v>
      </c>
    </row>
    <row r="1811" spans="1:11" ht="20.25" customHeight="1">
      <c r="A1811" s="89" t="s">
        <v>8820</v>
      </c>
      <c r="B1811" s="90" t="s">
        <v>8821</v>
      </c>
      <c r="C1811" s="90" t="s">
        <v>4009</v>
      </c>
      <c r="D1811" s="90" t="s">
        <v>3724</v>
      </c>
      <c r="E1811" s="89" t="s">
        <v>4010</v>
      </c>
      <c r="F1811" s="91">
        <v>605000</v>
      </c>
      <c r="G1811" s="91">
        <v>5100500</v>
      </c>
      <c r="H1811" s="87"/>
      <c r="I1811" s="90" t="s">
        <v>25</v>
      </c>
      <c r="J1811" s="88" t="str">
        <f t="shared" si="28"/>
        <v>不重复</v>
      </c>
      <c r="K1811" s="88" t="str">
        <f t="shared" si="28"/>
        <v>不重复</v>
      </c>
    </row>
    <row r="1812" spans="1:11" ht="20.25" customHeight="1">
      <c r="A1812" s="84" t="s">
        <v>10060</v>
      </c>
      <c r="B1812" s="85" t="s">
        <v>4053</v>
      </c>
      <c r="C1812" s="85" t="s">
        <v>8822</v>
      </c>
      <c r="D1812" s="85" t="s">
        <v>4054</v>
      </c>
      <c r="E1812" s="84" t="s">
        <v>4010</v>
      </c>
      <c r="F1812" s="86">
        <v>605001</v>
      </c>
      <c r="G1812" s="86">
        <v>5100500</v>
      </c>
      <c r="H1812" s="87"/>
      <c r="I1812" s="85" t="s">
        <v>25</v>
      </c>
      <c r="J1812" s="88" t="str">
        <f t="shared" si="28"/>
        <v>不重复</v>
      </c>
      <c r="K1812" s="88" t="str">
        <f t="shared" si="28"/>
        <v>不重复</v>
      </c>
    </row>
    <row r="1813" spans="1:11" ht="20.25" customHeight="1">
      <c r="A1813" s="84" t="s">
        <v>10061</v>
      </c>
      <c r="B1813" s="85" t="s">
        <v>8823</v>
      </c>
      <c r="C1813" s="85" t="s">
        <v>4043</v>
      </c>
      <c r="D1813" s="85" t="s">
        <v>4044</v>
      </c>
      <c r="E1813" s="84" t="s">
        <v>4010</v>
      </c>
      <c r="F1813" s="86">
        <v>605002</v>
      </c>
      <c r="G1813" s="86">
        <v>5100500</v>
      </c>
      <c r="H1813" s="87"/>
      <c r="I1813" s="85" t="s">
        <v>8824</v>
      </c>
      <c r="J1813" s="88" t="str">
        <f t="shared" si="28"/>
        <v>重复</v>
      </c>
      <c r="K1813" s="88" t="str">
        <f t="shared" si="28"/>
        <v>不重复</v>
      </c>
    </row>
    <row r="1814" spans="1:11" ht="20.25" customHeight="1">
      <c r="A1814" s="84" t="s">
        <v>10062</v>
      </c>
      <c r="B1814" s="85" t="s">
        <v>8825</v>
      </c>
      <c r="C1814" s="85" t="s">
        <v>1070</v>
      </c>
      <c r="D1814" s="85" t="s">
        <v>4039</v>
      </c>
      <c r="E1814" s="84" t="s">
        <v>4010</v>
      </c>
      <c r="F1814" s="86">
        <v>605003</v>
      </c>
      <c r="G1814" s="86">
        <v>5100500</v>
      </c>
      <c r="H1814" s="87"/>
      <c r="I1814" s="85" t="s">
        <v>8826</v>
      </c>
      <c r="J1814" s="88" t="str">
        <f t="shared" si="28"/>
        <v>重复</v>
      </c>
      <c r="K1814" s="88" t="str">
        <f t="shared" si="28"/>
        <v>不重复</v>
      </c>
    </row>
    <row r="1815" spans="1:11" ht="20.25" customHeight="1">
      <c r="A1815" s="84" t="s">
        <v>10063</v>
      </c>
      <c r="B1815" s="85" t="s">
        <v>8827</v>
      </c>
      <c r="C1815" s="85" t="s">
        <v>4040</v>
      </c>
      <c r="D1815" s="85" t="s">
        <v>4041</v>
      </c>
      <c r="E1815" s="84" t="s">
        <v>4010</v>
      </c>
      <c r="F1815" s="86">
        <v>605004</v>
      </c>
      <c r="G1815" s="86">
        <v>5100500</v>
      </c>
      <c r="H1815" s="87"/>
      <c r="I1815" s="85" t="s">
        <v>8828</v>
      </c>
      <c r="J1815" s="88" t="str">
        <f t="shared" si="28"/>
        <v>重复</v>
      </c>
      <c r="K1815" s="88" t="str">
        <f t="shared" si="28"/>
        <v>不重复</v>
      </c>
    </row>
    <row r="1816" spans="1:11" ht="20.25" customHeight="1">
      <c r="A1816" s="84" t="s">
        <v>10064</v>
      </c>
      <c r="B1816" s="85" t="s">
        <v>8829</v>
      </c>
      <c r="C1816" s="85" t="s">
        <v>8830</v>
      </c>
      <c r="D1816" s="85" t="s">
        <v>4042</v>
      </c>
      <c r="E1816" s="84" t="s">
        <v>4010</v>
      </c>
      <c r="F1816" s="86">
        <v>605005</v>
      </c>
      <c r="G1816" s="86">
        <v>5100500</v>
      </c>
      <c r="H1816" s="87"/>
      <c r="I1816" s="85" t="s">
        <v>8828</v>
      </c>
      <c r="J1816" s="88" t="str">
        <f t="shared" si="28"/>
        <v>不重复</v>
      </c>
      <c r="K1816" s="88" t="str">
        <f t="shared" si="28"/>
        <v>不重复</v>
      </c>
    </row>
    <row r="1817" spans="1:11" ht="20.25" customHeight="1">
      <c r="A1817" s="84" t="s">
        <v>10065</v>
      </c>
      <c r="B1817" s="85" t="s">
        <v>8831</v>
      </c>
      <c r="C1817" s="85" t="s">
        <v>4051</v>
      </c>
      <c r="D1817" s="85" t="s">
        <v>4052</v>
      </c>
      <c r="E1817" s="84" t="s">
        <v>4010</v>
      </c>
      <c r="F1817" s="86">
        <v>605006</v>
      </c>
      <c r="G1817" s="86">
        <v>5100500</v>
      </c>
      <c r="H1817" s="87"/>
      <c r="I1817" s="85" t="s">
        <v>4050</v>
      </c>
      <c r="J1817" s="88" t="str">
        <f t="shared" si="28"/>
        <v>不重复</v>
      </c>
      <c r="K1817" s="88" t="str">
        <f t="shared" si="28"/>
        <v>不重复</v>
      </c>
    </row>
    <row r="1818" spans="1:11" ht="20.25" customHeight="1">
      <c r="A1818" s="84" t="s">
        <v>10066</v>
      </c>
      <c r="B1818" s="85" t="s">
        <v>8832</v>
      </c>
      <c r="C1818" s="85" t="s">
        <v>3177</v>
      </c>
      <c r="D1818" s="85" t="s">
        <v>8833</v>
      </c>
      <c r="E1818" s="84" t="s">
        <v>4010</v>
      </c>
      <c r="F1818" s="86">
        <v>605007</v>
      </c>
      <c r="G1818" s="86">
        <v>5100500</v>
      </c>
      <c r="H1818" s="87"/>
      <c r="I1818" s="85" t="s">
        <v>8834</v>
      </c>
      <c r="J1818" s="88" t="str">
        <f t="shared" si="28"/>
        <v>重复</v>
      </c>
      <c r="K1818" s="88" t="str">
        <f t="shared" si="28"/>
        <v>不重复</v>
      </c>
    </row>
    <row r="1819" spans="1:11" ht="20.25" customHeight="1">
      <c r="A1819" s="84" t="s">
        <v>10067</v>
      </c>
      <c r="B1819" s="85" t="s">
        <v>8835</v>
      </c>
      <c r="C1819" s="85" t="s">
        <v>8836</v>
      </c>
      <c r="D1819" s="85" t="s">
        <v>4049</v>
      </c>
      <c r="E1819" s="84" t="s">
        <v>4010</v>
      </c>
      <c r="F1819" s="86">
        <v>605008</v>
      </c>
      <c r="G1819" s="86">
        <v>5100500</v>
      </c>
      <c r="H1819" s="87"/>
      <c r="I1819" s="85" t="s">
        <v>8837</v>
      </c>
      <c r="J1819" s="88" t="str">
        <f t="shared" si="28"/>
        <v>不重复</v>
      </c>
      <c r="K1819" s="88" t="str">
        <f t="shared" si="28"/>
        <v>不重复</v>
      </c>
    </row>
    <row r="1820" spans="1:11" ht="20.25" customHeight="1">
      <c r="A1820" s="84" t="s">
        <v>10068</v>
      </c>
      <c r="B1820" s="85" t="s">
        <v>8838</v>
      </c>
      <c r="C1820" s="85" t="s">
        <v>671</v>
      </c>
      <c r="D1820" s="85" t="s">
        <v>4048</v>
      </c>
      <c r="E1820" s="84" t="s">
        <v>4010</v>
      </c>
      <c r="F1820" s="86">
        <v>605009</v>
      </c>
      <c r="G1820" s="86">
        <v>5100500</v>
      </c>
      <c r="H1820" s="87"/>
      <c r="I1820" s="85" t="s">
        <v>8839</v>
      </c>
      <c r="J1820" s="88" t="str">
        <f t="shared" si="28"/>
        <v>不重复</v>
      </c>
      <c r="K1820" s="88" t="str">
        <f t="shared" si="28"/>
        <v>不重复</v>
      </c>
    </row>
    <row r="1821" spans="1:11" ht="20.25" customHeight="1">
      <c r="A1821" s="84" t="s">
        <v>10069</v>
      </c>
      <c r="B1821" s="85" t="s">
        <v>8840</v>
      </c>
      <c r="C1821" s="85" t="s">
        <v>8841</v>
      </c>
      <c r="D1821" s="85" t="s">
        <v>8842</v>
      </c>
      <c r="E1821" s="84" t="s">
        <v>4010</v>
      </c>
      <c r="F1821" s="86">
        <v>605010</v>
      </c>
      <c r="G1821" s="86">
        <v>5100500</v>
      </c>
      <c r="H1821" s="87"/>
      <c r="I1821" s="85" t="s">
        <v>8843</v>
      </c>
      <c r="J1821" s="88" t="str">
        <f t="shared" si="28"/>
        <v>不重复</v>
      </c>
      <c r="K1821" s="88" t="str">
        <f t="shared" si="28"/>
        <v>不重复</v>
      </c>
    </row>
    <row r="1822" spans="1:11" ht="20.25" customHeight="1">
      <c r="A1822" s="84" t="s">
        <v>10070</v>
      </c>
      <c r="B1822" s="85" t="s">
        <v>8844</v>
      </c>
      <c r="C1822" s="85" t="s">
        <v>3185</v>
      </c>
      <c r="D1822" s="85" t="s">
        <v>4045</v>
      </c>
      <c r="E1822" s="84" t="s">
        <v>4010</v>
      </c>
      <c r="F1822" s="86">
        <v>605011</v>
      </c>
      <c r="G1822" s="86">
        <v>5100500</v>
      </c>
      <c r="H1822" s="87"/>
      <c r="I1822" s="85" t="s">
        <v>3778</v>
      </c>
      <c r="J1822" s="88" t="str">
        <f t="shared" si="28"/>
        <v>重复</v>
      </c>
      <c r="K1822" s="88" t="str">
        <f t="shared" si="28"/>
        <v>不重复</v>
      </c>
    </row>
    <row r="1823" spans="1:11" ht="20.25" customHeight="1">
      <c r="A1823" s="84" t="s">
        <v>10071</v>
      </c>
      <c r="B1823" s="85" t="s">
        <v>8845</v>
      </c>
      <c r="C1823" s="85" t="s">
        <v>4046</v>
      </c>
      <c r="D1823" s="85" t="s">
        <v>4047</v>
      </c>
      <c r="E1823" s="84" t="s">
        <v>4010</v>
      </c>
      <c r="F1823" s="86">
        <v>605012</v>
      </c>
      <c r="G1823" s="86">
        <v>5100500</v>
      </c>
      <c r="H1823" s="87"/>
      <c r="I1823" s="85" t="s">
        <v>8834</v>
      </c>
      <c r="J1823" s="88" t="str">
        <f t="shared" si="28"/>
        <v>不重复</v>
      </c>
      <c r="K1823" s="88" t="str">
        <f t="shared" si="28"/>
        <v>不重复</v>
      </c>
    </row>
    <row r="1824" spans="1:11" ht="20.25" customHeight="1">
      <c r="A1824" s="89" t="s">
        <v>10072</v>
      </c>
      <c r="B1824" s="90" t="s">
        <v>8846</v>
      </c>
      <c r="C1824" s="90" t="s">
        <v>672</v>
      </c>
      <c r="D1824" s="90" t="s">
        <v>4055</v>
      </c>
      <c r="E1824" s="89" t="s">
        <v>4010</v>
      </c>
      <c r="F1824" s="91">
        <v>605014</v>
      </c>
      <c r="G1824" s="91">
        <v>5100500</v>
      </c>
      <c r="H1824" s="87"/>
      <c r="I1824" s="90" t="s">
        <v>8847</v>
      </c>
      <c r="J1824" s="88" t="str">
        <f t="shared" si="28"/>
        <v>重复</v>
      </c>
      <c r="K1824" s="88" t="str">
        <f t="shared" si="28"/>
        <v>不重复</v>
      </c>
    </row>
    <row r="1825" spans="1:11" ht="20.25" customHeight="1">
      <c r="A1825" s="89" t="s">
        <v>10073</v>
      </c>
      <c r="B1825" s="90" t="s">
        <v>8848</v>
      </c>
      <c r="C1825" s="90" t="s">
        <v>8849</v>
      </c>
      <c r="D1825" s="90" t="s">
        <v>8850</v>
      </c>
      <c r="E1825" s="89" t="s">
        <v>4010</v>
      </c>
      <c r="F1825" s="91">
        <v>605015</v>
      </c>
      <c r="G1825" s="91">
        <v>5100500</v>
      </c>
      <c r="H1825" s="87"/>
      <c r="I1825" s="90" t="s">
        <v>25</v>
      </c>
      <c r="J1825" s="88" t="str">
        <f t="shared" si="28"/>
        <v>不重复</v>
      </c>
      <c r="K1825" s="88" t="str">
        <f t="shared" si="28"/>
        <v>不重复</v>
      </c>
    </row>
    <row r="1826" spans="1:11" ht="20.25" customHeight="1">
      <c r="A1826" s="89" t="s">
        <v>10074</v>
      </c>
      <c r="B1826" s="90" t="s">
        <v>8851</v>
      </c>
      <c r="C1826" s="90" t="s">
        <v>8852</v>
      </c>
      <c r="D1826" s="90" t="s">
        <v>8853</v>
      </c>
      <c r="E1826" s="89" t="s">
        <v>4010</v>
      </c>
      <c r="F1826" s="91">
        <v>605016</v>
      </c>
      <c r="G1826" s="91">
        <v>5100500</v>
      </c>
      <c r="H1826" s="87"/>
      <c r="I1826" s="90" t="s">
        <v>8854</v>
      </c>
      <c r="J1826" s="88" t="str">
        <f t="shared" si="28"/>
        <v>不重复</v>
      </c>
      <c r="K1826" s="88" t="str">
        <f t="shared" si="28"/>
        <v>不重复</v>
      </c>
    </row>
    <row r="1827" spans="1:11" ht="20.25" customHeight="1">
      <c r="A1827" s="89" t="s">
        <v>10075</v>
      </c>
      <c r="B1827" s="90" t="s">
        <v>8855</v>
      </c>
      <c r="C1827" s="90" t="s">
        <v>1556</v>
      </c>
      <c r="D1827" s="90" t="s">
        <v>4038</v>
      </c>
      <c r="E1827" s="89" t="s">
        <v>4010</v>
      </c>
      <c r="F1827" s="91">
        <v>605017</v>
      </c>
      <c r="G1827" s="91">
        <v>5100500</v>
      </c>
      <c r="H1827" s="87"/>
      <c r="I1827" s="90" t="s">
        <v>8856</v>
      </c>
      <c r="J1827" s="88" t="str">
        <f t="shared" si="28"/>
        <v>重复</v>
      </c>
      <c r="K1827" s="88" t="str">
        <f t="shared" si="28"/>
        <v>不重复</v>
      </c>
    </row>
    <row r="1828" spans="1:11" ht="20.25" customHeight="1">
      <c r="A1828" s="89" t="s">
        <v>10076</v>
      </c>
      <c r="B1828" s="90" t="s">
        <v>8857</v>
      </c>
      <c r="C1828" s="90" t="s">
        <v>8858</v>
      </c>
      <c r="D1828" s="90" t="s">
        <v>8859</v>
      </c>
      <c r="E1828" s="89" t="s">
        <v>4010</v>
      </c>
      <c r="F1828" s="91">
        <v>605018</v>
      </c>
      <c r="G1828" s="91">
        <v>5100500</v>
      </c>
      <c r="H1828" s="87"/>
      <c r="I1828" s="90" t="s">
        <v>8860</v>
      </c>
      <c r="J1828" s="88" t="str">
        <f t="shared" si="28"/>
        <v>不重复</v>
      </c>
      <c r="K1828" s="88" t="str">
        <f t="shared" si="28"/>
        <v>不重复</v>
      </c>
    </row>
    <row r="1829" spans="1:11" ht="20.25" customHeight="1">
      <c r="A1829" s="89" t="s">
        <v>10077</v>
      </c>
      <c r="B1829" s="90" t="s">
        <v>8861</v>
      </c>
      <c r="C1829" s="90" t="s">
        <v>479</v>
      </c>
      <c r="D1829" s="90" t="s">
        <v>8862</v>
      </c>
      <c r="E1829" s="89" t="s">
        <v>4010</v>
      </c>
      <c r="F1829" s="91">
        <v>605019</v>
      </c>
      <c r="G1829" s="91">
        <v>5100500</v>
      </c>
      <c r="H1829" s="87"/>
      <c r="I1829" s="90" t="s">
        <v>8863</v>
      </c>
      <c r="J1829" s="88" t="str">
        <f t="shared" si="28"/>
        <v>重复</v>
      </c>
      <c r="K1829" s="88" t="str">
        <f t="shared" si="28"/>
        <v>不重复</v>
      </c>
    </row>
    <row r="1830" spans="1:11" ht="20.25" customHeight="1">
      <c r="A1830" s="89" t="s">
        <v>10078</v>
      </c>
      <c r="B1830" s="90" t="s">
        <v>8864</v>
      </c>
      <c r="C1830" s="90" t="s">
        <v>8865</v>
      </c>
      <c r="D1830" s="90" t="s">
        <v>8866</v>
      </c>
      <c r="E1830" s="89" t="s">
        <v>4010</v>
      </c>
      <c r="F1830" s="91">
        <v>605020</v>
      </c>
      <c r="G1830" s="91">
        <v>5100500</v>
      </c>
      <c r="H1830" s="87"/>
      <c r="I1830" s="90" t="s">
        <v>8863</v>
      </c>
      <c r="J1830" s="88" t="str">
        <f t="shared" si="28"/>
        <v>不重复</v>
      </c>
      <c r="K1830" s="88" t="str">
        <f t="shared" si="28"/>
        <v>不重复</v>
      </c>
    </row>
    <row r="1831" spans="1:11" ht="20.25" customHeight="1">
      <c r="A1831" s="84" t="s">
        <v>10079</v>
      </c>
      <c r="B1831" s="85" t="s">
        <v>8867</v>
      </c>
      <c r="C1831" s="85" t="s">
        <v>4142</v>
      </c>
      <c r="D1831" s="85" t="s">
        <v>4068</v>
      </c>
      <c r="E1831" s="84" t="s">
        <v>4010</v>
      </c>
      <c r="F1831" s="86">
        <v>605021</v>
      </c>
      <c r="G1831" s="86">
        <v>5100500</v>
      </c>
      <c r="H1831" s="87"/>
      <c r="I1831" s="85" t="s">
        <v>25</v>
      </c>
      <c r="J1831" s="88" t="str">
        <f t="shared" si="28"/>
        <v>重复</v>
      </c>
      <c r="K1831" s="88" t="str">
        <f t="shared" si="28"/>
        <v>不重复</v>
      </c>
    </row>
    <row r="1832" spans="1:11" ht="20.25" customHeight="1">
      <c r="A1832" s="84" t="s">
        <v>10080</v>
      </c>
      <c r="B1832" s="85" t="s">
        <v>8868</v>
      </c>
      <c r="C1832" s="85" t="s">
        <v>2784</v>
      </c>
      <c r="D1832" s="85" t="s">
        <v>4057</v>
      </c>
      <c r="E1832" s="84" t="s">
        <v>4010</v>
      </c>
      <c r="F1832" s="86">
        <v>605022</v>
      </c>
      <c r="G1832" s="86">
        <v>5100500</v>
      </c>
      <c r="H1832" s="87"/>
      <c r="I1832" s="85" t="s">
        <v>8869</v>
      </c>
      <c r="J1832" s="88" t="str">
        <f t="shared" si="28"/>
        <v>重复</v>
      </c>
      <c r="K1832" s="88" t="str">
        <f t="shared" si="28"/>
        <v>不重复</v>
      </c>
    </row>
    <row r="1833" spans="1:11" ht="20.25" customHeight="1">
      <c r="A1833" s="84" t="s">
        <v>10081</v>
      </c>
      <c r="B1833" s="85" t="s">
        <v>8870</v>
      </c>
      <c r="C1833" s="85" t="s">
        <v>8871</v>
      </c>
      <c r="D1833" s="85" t="s">
        <v>4063</v>
      </c>
      <c r="E1833" s="84" t="s">
        <v>4010</v>
      </c>
      <c r="F1833" s="86">
        <v>605023</v>
      </c>
      <c r="G1833" s="86">
        <v>5100500</v>
      </c>
      <c r="H1833" s="87"/>
      <c r="I1833" s="85" t="s">
        <v>8869</v>
      </c>
      <c r="J1833" s="88" t="str">
        <f t="shared" si="28"/>
        <v>不重复</v>
      </c>
      <c r="K1833" s="88" t="str">
        <f t="shared" si="28"/>
        <v>不重复</v>
      </c>
    </row>
    <row r="1834" spans="1:11" ht="20.25" customHeight="1">
      <c r="A1834" s="84" t="s">
        <v>10082</v>
      </c>
      <c r="B1834" s="85" t="s">
        <v>8872</v>
      </c>
      <c r="C1834" s="85" t="s">
        <v>8873</v>
      </c>
      <c r="D1834" s="85" t="s">
        <v>4062</v>
      </c>
      <c r="E1834" s="84" t="s">
        <v>4010</v>
      </c>
      <c r="F1834" s="86">
        <v>605024</v>
      </c>
      <c r="G1834" s="86">
        <v>5100500</v>
      </c>
      <c r="H1834" s="87"/>
      <c r="I1834" s="85" t="s">
        <v>8856</v>
      </c>
      <c r="J1834" s="88" t="str">
        <f t="shared" si="28"/>
        <v>不重复</v>
      </c>
      <c r="K1834" s="88" t="str">
        <f t="shared" si="28"/>
        <v>不重复</v>
      </c>
    </row>
    <row r="1835" spans="1:11" ht="20.25" customHeight="1">
      <c r="A1835" s="84" t="s">
        <v>10083</v>
      </c>
      <c r="B1835" s="85" t="s">
        <v>8874</v>
      </c>
      <c r="C1835" s="85" t="s">
        <v>8875</v>
      </c>
      <c r="D1835" s="85" t="s">
        <v>4061</v>
      </c>
      <c r="E1835" s="84" t="s">
        <v>4010</v>
      </c>
      <c r="F1835" s="86">
        <v>605025</v>
      </c>
      <c r="G1835" s="86">
        <v>5100500</v>
      </c>
      <c r="H1835" s="87"/>
      <c r="I1835" s="85" t="s">
        <v>8876</v>
      </c>
      <c r="J1835" s="88" t="str">
        <f t="shared" si="28"/>
        <v>不重复</v>
      </c>
      <c r="K1835" s="88" t="str">
        <f t="shared" si="28"/>
        <v>不重复</v>
      </c>
    </row>
    <row r="1836" spans="1:11" ht="20.25" customHeight="1">
      <c r="A1836" s="84" t="s">
        <v>10084</v>
      </c>
      <c r="B1836" s="85" t="s">
        <v>8877</v>
      </c>
      <c r="C1836" s="85" t="s">
        <v>8878</v>
      </c>
      <c r="D1836" s="85" t="s">
        <v>4064</v>
      </c>
      <c r="E1836" s="84" t="s">
        <v>4010</v>
      </c>
      <c r="F1836" s="86">
        <v>605026</v>
      </c>
      <c r="G1836" s="86">
        <v>5100500</v>
      </c>
      <c r="H1836" s="87"/>
      <c r="I1836" s="85" t="s">
        <v>8879</v>
      </c>
      <c r="J1836" s="88" t="str">
        <f t="shared" si="28"/>
        <v>不重复</v>
      </c>
      <c r="K1836" s="88" t="str">
        <f t="shared" si="28"/>
        <v>不重复</v>
      </c>
    </row>
    <row r="1837" spans="1:11" ht="20.25" customHeight="1">
      <c r="A1837" s="84" t="s">
        <v>10085</v>
      </c>
      <c r="B1837" s="85" t="s">
        <v>8880</v>
      </c>
      <c r="C1837" s="85" t="s">
        <v>8881</v>
      </c>
      <c r="D1837" s="85" t="s">
        <v>4060</v>
      </c>
      <c r="E1837" s="84" t="s">
        <v>4010</v>
      </c>
      <c r="F1837" s="86">
        <v>605027</v>
      </c>
      <c r="G1837" s="86">
        <v>5100500</v>
      </c>
      <c r="H1837" s="87"/>
      <c r="I1837" s="85" t="s">
        <v>8869</v>
      </c>
      <c r="J1837" s="88" t="str">
        <f t="shared" si="28"/>
        <v>不重复</v>
      </c>
      <c r="K1837" s="88" t="str">
        <f t="shared" si="28"/>
        <v>不重复</v>
      </c>
    </row>
    <row r="1838" spans="1:11" ht="20.25" customHeight="1">
      <c r="A1838" s="84" t="s">
        <v>10086</v>
      </c>
      <c r="B1838" s="85" t="s">
        <v>8882</v>
      </c>
      <c r="C1838" s="85" t="s">
        <v>3111</v>
      </c>
      <c r="D1838" s="85" t="s">
        <v>4066</v>
      </c>
      <c r="E1838" s="84" t="s">
        <v>4010</v>
      </c>
      <c r="F1838" s="86">
        <v>605028</v>
      </c>
      <c r="G1838" s="86">
        <v>5100500</v>
      </c>
      <c r="H1838" s="87"/>
      <c r="I1838" s="85" t="s">
        <v>8883</v>
      </c>
      <c r="J1838" s="88" t="str">
        <f t="shared" si="28"/>
        <v>重复</v>
      </c>
      <c r="K1838" s="88" t="str">
        <f t="shared" si="28"/>
        <v>不重复</v>
      </c>
    </row>
    <row r="1839" spans="1:11" ht="20.25" customHeight="1">
      <c r="A1839" s="84" t="s">
        <v>10087</v>
      </c>
      <c r="B1839" s="85" t="s">
        <v>8884</v>
      </c>
      <c r="C1839" s="85" t="s">
        <v>8885</v>
      </c>
      <c r="D1839" s="85" t="s">
        <v>4056</v>
      </c>
      <c r="E1839" s="84" t="s">
        <v>4010</v>
      </c>
      <c r="F1839" s="86">
        <v>605029</v>
      </c>
      <c r="G1839" s="86">
        <v>5100500</v>
      </c>
      <c r="H1839" s="87"/>
      <c r="I1839" s="85" t="s">
        <v>8856</v>
      </c>
      <c r="J1839" s="88" t="str">
        <f t="shared" si="28"/>
        <v>不重复</v>
      </c>
      <c r="K1839" s="88" t="str">
        <f t="shared" si="28"/>
        <v>不重复</v>
      </c>
    </row>
    <row r="1840" spans="1:11" ht="20.25" customHeight="1">
      <c r="A1840" s="84" t="s">
        <v>10088</v>
      </c>
      <c r="B1840" s="85" t="s">
        <v>8886</v>
      </c>
      <c r="C1840" s="85" t="s">
        <v>1333</v>
      </c>
      <c r="D1840" s="85" t="s">
        <v>4067</v>
      </c>
      <c r="E1840" s="84" t="s">
        <v>4010</v>
      </c>
      <c r="F1840" s="86">
        <v>605030</v>
      </c>
      <c r="G1840" s="86">
        <v>5100500</v>
      </c>
      <c r="H1840" s="87"/>
      <c r="I1840" s="85" t="s">
        <v>8869</v>
      </c>
      <c r="J1840" s="88" t="str">
        <f t="shared" si="28"/>
        <v>重复</v>
      </c>
      <c r="K1840" s="88" t="str">
        <f t="shared" si="28"/>
        <v>不重复</v>
      </c>
    </row>
    <row r="1841" spans="1:11" ht="20.25" customHeight="1">
      <c r="A1841" s="84" t="s">
        <v>10089</v>
      </c>
      <c r="B1841" s="85" t="s">
        <v>8887</v>
      </c>
      <c r="C1841" s="85" t="s">
        <v>8888</v>
      </c>
      <c r="D1841" s="85" t="s">
        <v>4059</v>
      </c>
      <c r="E1841" s="84" t="s">
        <v>4010</v>
      </c>
      <c r="F1841" s="86">
        <v>605031</v>
      </c>
      <c r="G1841" s="86">
        <v>5100500</v>
      </c>
      <c r="H1841" s="87"/>
      <c r="I1841" s="85" t="s">
        <v>8876</v>
      </c>
      <c r="J1841" s="88" t="str">
        <f t="shared" si="28"/>
        <v>不重复</v>
      </c>
      <c r="K1841" s="88" t="str">
        <f t="shared" si="28"/>
        <v>不重复</v>
      </c>
    </row>
    <row r="1842" spans="1:11" ht="20.25" customHeight="1">
      <c r="A1842" s="84" t="s">
        <v>10090</v>
      </c>
      <c r="B1842" s="85" t="s">
        <v>4070</v>
      </c>
      <c r="C1842" s="85" t="s">
        <v>8889</v>
      </c>
      <c r="D1842" s="85" t="s">
        <v>8890</v>
      </c>
      <c r="E1842" s="84" t="s">
        <v>4010</v>
      </c>
      <c r="F1842" s="86">
        <v>605032</v>
      </c>
      <c r="G1842" s="86">
        <v>5100500</v>
      </c>
      <c r="H1842" s="87"/>
      <c r="I1842" s="85" t="s">
        <v>25</v>
      </c>
      <c r="J1842" s="88" t="str">
        <f t="shared" si="28"/>
        <v>不重复</v>
      </c>
      <c r="K1842" s="88" t="str">
        <f t="shared" si="28"/>
        <v>不重复</v>
      </c>
    </row>
    <row r="1843" spans="1:11" ht="20.25" customHeight="1">
      <c r="A1843" s="84" t="s">
        <v>10091</v>
      </c>
      <c r="B1843" s="85" t="s">
        <v>8891</v>
      </c>
      <c r="C1843" s="85" t="s">
        <v>8892</v>
      </c>
      <c r="D1843" s="85" t="s">
        <v>8893</v>
      </c>
      <c r="E1843" s="84" t="s">
        <v>4010</v>
      </c>
      <c r="F1843" s="86">
        <v>605033</v>
      </c>
      <c r="G1843" s="86">
        <v>5100500</v>
      </c>
      <c r="H1843" s="87"/>
      <c r="I1843" s="85" t="s">
        <v>8894</v>
      </c>
      <c r="J1843" s="88" t="str">
        <f t="shared" si="28"/>
        <v>不重复</v>
      </c>
      <c r="K1843" s="88" t="str">
        <f t="shared" si="28"/>
        <v>不重复</v>
      </c>
    </row>
    <row r="1844" spans="1:11" ht="20.25" customHeight="1">
      <c r="A1844" s="84" t="s">
        <v>10092</v>
      </c>
      <c r="B1844" s="85" t="s">
        <v>8895</v>
      </c>
      <c r="C1844" s="85" t="s">
        <v>8896</v>
      </c>
      <c r="D1844" s="85" t="s">
        <v>5254</v>
      </c>
      <c r="E1844" s="84" t="s">
        <v>4010</v>
      </c>
      <c r="F1844" s="86">
        <v>605034</v>
      </c>
      <c r="G1844" s="86">
        <v>5100500</v>
      </c>
      <c r="H1844" s="87"/>
      <c r="I1844" s="85" t="s">
        <v>8894</v>
      </c>
      <c r="J1844" s="88" t="str">
        <f t="shared" si="28"/>
        <v>不重复</v>
      </c>
      <c r="K1844" s="88" t="str">
        <f t="shared" si="28"/>
        <v>不重复</v>
      </c>
    </row>
    <row r="1845" spans="1:11" ht="20.25" customHeight="1">
      <c r="A1845" s="89" t="s">
        <v>10093</v>
      </c>
      <c r="B1845" s="90" t="s">
        <v>8897</v>
      </c>
      <c r="C1845" s="90" t="s">
        <v>4071</v>
      </c>
      <c r="D1845" s="90" t="s">
        <v>4072</v>
      </c>
      <c r="E1845" s="89" t="s">
        <v>4010</v>
      </c>
      <c r="F1845" s="91">
        <v>605035</v>
      </c>
      <c r="G1845" s="91">
        <v>5100500</v>
      </c>
      <c r="H1845" s="87"/>
      <c r="I1845" s="90" t="s">
        <v>3943</v>
      </c>
      <c r="J1845" s="88" t="str">
        <f t="shared" si="28"/>
        <v>不重复</v>
      </c>
      <c r="K1845" s="88" t="str">
        <f t="shared" si="28"/>
        <v>不重复</v>
      </c>
    </row>
    <row r="1846" spans="1:11" ht="20.25" customHeight="1">
      <c r="A1846" s="89" t="s">
        <v>10094</v>
      </c>
      <c r="B1846" s="90" t="s">
        <v>4094</v>
      </c>
      <c r="C1846" s="90" t="s">
        <v>4095</v>
      </c>
      <c r="D1846" s="90" t="s">
        <v>4096</v>
      </c>
      <c r="E1846" s="89" t="s">
        <v>4010</v>
      </c>
      <c r="F1846" s="91">
        <v>605036</v>
      </c>
      <c r="G1846" s="91">
        <v>5100500</v>
      </c>
      <c r="H1846" s="87"/>
      <c r="I1846" s="90" t="s">
        <v>25</v>
      </c>
      <c r="J1846" s="88" t="str">
        <f t="shared" si="28"/>
        <v>不重复</v>
      </c>
      <c r="K1846" s="88" t="str">
        <f t="shared" si="28"/>
        <v>不重复</v>
      </c>
    </row>
    <row r="1847" spans="1:11" ht="20.25" customHeight="1">
      <c r="A1847" s="89" t="s">
        <v>10095</v>
      </c>
      <c r="B1847" s="90" t="s">
        <v>8898</v>
      </c>
      <c r="C1847" s="90" t="s">
        <v>4019</v>
      </c>
      <c r="D1847" s="90" t="s">
        <v>4090</v>
      </c>
      <c r="E1847" s="89" t="s">
        <v>4010</v>
      </c>
      <c r="F1847" s="91">
        <v>605037</v>
      </c>
      <c r="G1847" s="91">
        <v>5100500</v>
      </c>
      <c r="H1847" s="87"/>
      <c r="I1847" s="90" t="s">
        <v>8899</v>
      </c>
      <c r="J1847" s="88" t="str">
        <f t="shared" si="28"/>
        <v>重复</v>
      </c>
      <c r="K1847" s="88" t="str">
        <f t="shared" si="28"/>
        <v>不重复</v>
      </c>
    </row>
    <row r="1848" spans="1:11" ht="20.25" customHeight="1">
      <c r="A1848" s="89" t="s">
        <v>10096</v>
      </c>
      <c r="B1848" s="90" t="s">
        <v>8900</v>
      </c>
      <c r="C1848" s="90" t="s">
        <v>8901</v>
      </c>
      <c r="D1848" s="90" t="s">
        <v>4092</v>
      </c>
      <c r="E1848" s="89" t="s">
        <v>4010</v>
      </c>
      <c r="F1848" s="91">
        <v>605038</v>
      </c>
      <c r="G1848" s="91">
        <v>5100500</v>
      </c>
      <c r="H1848" s="87"/>
      <c r="I1848" s="90" t="s">
        <v>8902</v>
      </c>
      <c r="J1848" s="88" t="str">
        <f t="shared" si="28"/>
        <v>不重复</v>
      </c>
      <c r="K1848" s="88" t="str">
        <f t="shared" si="28"/>
        <v>不重复</v>
      </c>
    </row>
    <row r="1849" spans="1:11" ht="20.25" customHeight="1">
      <c r="A1849" s="89" t="s">
        <v>10097</v>
      </c>
      <c r="B1849" s="90" t="s">
        <v>8903</v>
      </c>
      <c r="C1849" s="90" t="s">
        <v>8904</v>
      </c>
      <c r="D1849" s="90" t="s">
        <v>4091</v>
      </c>
      <c r="E1849" s="89" t="s">
        <v>4010</v>
      </c>
      <c r="F1849" s="91">
        <v>605039</v>
      </c>
      <c r="G1849" s="91">
        <v>5100500</v>
      </c>
      <c r="H1849" s="87"/>
      <c r="I1849" s="90" t="s">
        <v>8902</v>
      </c>
      <c r="J1849" s="88" t="str">
        <f t="shared" si="28"/>
        <v>不重复</v>
      </c>
      <c r="K1849" s="88" t="str">
        <f t="shared" si="28"/>
        <v>不重复</v>
      </c>
    </row>
    <row r="1850" spans="1:11" ht="20.25" customHeight="1">
      <c r="A1850" s="89" t="s">
        <v>10098</v>
      </c>
      <c r="B1850" s="90" t="s">
        <v>8905</v>
      </c>
      <c r="C1850" s="90" t="s">
        <v>4088</v>
      </c>
      <c r="D1850" s="90" t="s">
        <v>4089</v>
      </c>
      <c r="E1850" s="89" t="s">
        <v>4010</v>
      </c>
      <c r="F1850" s="91">
        <v>605040</v>
      </c>
      <c r="G1850" s="91">
        <v>5100500</v>
      </c>
      <c r="H1850" s="87"/>
      <c r="I1850" s="90" t="s">
        <v>8879</v>
      </c>
      <c r="J1850" s="88" t="str">
        <f t="shared" si="28"/>
        <v>不重复</v>
      </c>
      <c r="K1850" s="88" t="str">
        <f t="shared" si="28"/>
        <v>不重复</v>
      </c>
    </row>
    <row r="1851" spans="1:11" ht="20.25" customHeight="1">
      <c r="A1851" s="89" t="s">
        <v>10099</v>
      </c>
      <c r="B1851" s="90" t="s">
        <v>8906</v>
      </c>
      <c r="C1851" s="90" t="s">
        <v>8907</v>
      </c>
      <c r="D1851" s="90" t="s">
        <v>4087</v>
      </c>
      <c r="E1851" s="89" t="s">
        <v>4010</v>
      </c>
      <c r="F1851" s="91">
        <v>605041</v>
      </c>
      <c r="G1851" s="91">
        <v>5100500</v>
      </c>
      <c r="H1851" s="87"/>
      <c r="I1851" s="90" t="s">
        <v>8908</v>
      </c>
      <c r="J1851" s="88" t="str">
        <f t="shared" si="28"/>
        <v>不重复</v>
      </c>
      <c r="K1851" s="88" t="str">
        <f t="shared" si="28"/>
        <v>不重复</v>
      </c>
    </row>
    <row r="1852" spans="1:11" ht="20.25" customHeight="1">
      <c r="A1852" s="89" t="s">
        <v>10100</v>
      </c>
      <c r="B1852" s="90" t="s">
        <v>8909</v>
      </c>
      <c r="C1852" s="90" t="s">
        <v>720</v>
      </c>
      <c r="D1852" s="90" t="s">
        <v>4093</v>
      </c>
      <c r="E1852" s="89" t="s">
        <v>4010</v>
      </c>
      <c r="F1852" s="91">
        <v>605042</v>
      </c>
      <c r="G1852" s="91">
        <v>5100500</v>
      </c>
      <c r="H1852" s="87"/>
      <c r="I1852" s="90" t="s">
        <v>8910</v>
      </c>
      <c r="J1852" s="88" t="str">
        <f t="shared" si="28"/>
        <v>重复</v>
      </c>
      <c r="K1852" s="88" t="str">
        <f t="shared" si="28"/>
        <v>不重复</v>
      </c>
    </row>
    <row r="1853" spans="1:11" ht="20.25" customHeight="1">
      <c r="A1853" s="84" t="s">
        <v>10101</v>
      </c>
      <c r="B1853" s="85" t="s">
        <v>8911</v>
      </c>
      <c r="C1853" s="85" t="s">
        <v>8912</v>
      </c>
      <c r="D1853" s="85" t="s">
        <v>8913</v>
      </c>
      <c r="E1853" s="84" t="s">
        <v>4010</v>
      </c>
      <c r="F1853" s="86">
        <v>605043</v>
      </c>
      <c r="G1853" s="86">
        <v>5100500</v>
      </c>
      <c r="H1853" s="87"/>
      <c r="I1853" s="85" t="s">
        <v>25</v>
      </c>
      <c r="J1853" s="88" t="str">
        <f t="shared" si="28"/>
        <v>不重复</v>
      </c>
      <c r="K1853" s="88" t="str">
        <f t="shared" si="28"/>
        <v>不重复</v>
      </c>
    </row>
    <row r="1854" spans="1:11" ht="20.25" customHeight="1">
      <c r="A1854" s="84" t="s">
        <v>10102</v>
      </c>
      <c r="B1854" s="85" t="s">
        <v>8914</v>
      </c>
      <c r="C1854" s="85" t="s">
        <v>8915</v>
      </c>
      <c r="D1854" s="85" t="s">
        <v>8916</v>
      </c>
      <c r="E1854" s="84" t="s">
        <v>4010</v>
      </c>
      <c r="F1854" s="86">
        <v>605044</v>
      </c>
      <c r="G1854" s="86">
        <v>5100500</v>
      </c>
      <c r="H1854" s="87"/>
      <c r="I1854" s="85" t="s">
        <v>8917</v>
      </c>
      <c r="J1854" s="88" t="str">
        <f t="shared" si="28"/>
        <v>不重复</v>
      </c>
      <c r="K1854" s="88" t="str">
        <f t="shared" si="28"/>
        <v>不重复</v>
      </c>
    </row>
    <row r="1855" spans="1:11" ht="20.25" customHeight="1">
      <c r="A1855" s="84" t="s">
        <v>10103</v>
      </c>
      <c r="B1855" s="85" t="s">
        <v>8918</v>
      </c>
      <c r="C1855" s="85" t="s">
        <v>8919</v>
      </c>
      <c r="D1855" s="85" t="s">
        <v>8920</v>
      </c>
      <c r="E1855" s="84" t="s">
        <v>4010</v>
      </c>
      <c r="F1855" s="86">
        <v>605045</v>
      </c>
      <c r="G1855" s="86">
        <v>5100500</v>
      </c>
      <c r="H1855" s="87"/>
      <c r="I1855" s="85" t="s">
        <v>25</v>
      </c>
      <c r="J1855" s="88" t="str">
        <f t="shared" si="28"/>
        <v>不重复</v>
      </c>
      <c r="K1855" s="88" t="str">
        <f t="shared" si="28"/>
        <v>不重复</v>
      </c>
    </row>
    <row r="1856" spans="1:11" ht="20.25" customHeight="1">
      <c r="A1856" s="84" t="s">
        <v>10104</v>
      </c>
      <c r="B1856" s="85" t="s">
        <v>8921</v>
      </c>
      <c r="C1856" s="85" t="s">
        <v>8922</v>
      </c>
      <c r="D1856" s="85" t="s">
        <v>8923</v>
      </c>
      <c r="E1856" s="84" t="s">
        <v>4010</v>
      </c>
      <c r="F1856" s="86">
        <v>605046</v>
      </c>
      <c r="G1856" s="86">
        <v>5100500</v>
      </c>
      <c r="H1856" s="87"/>
      <c r="I1856" s="85" t="s">
        <v>8894</v>
      </c>
      <c r="J1856" s="88" t="str">
        <f t="shared" si="28"/>
        <v>不重复</v>
      </c>
      <c r="K1856" s="88" t="str">
        <f t="shared" si="28"/>
        <v>不重复</v>
      </c>
    </row>
    <row r="1857" spans="1:11" ht="20.25" customHeight="1">
      <c r="A1857" s="89" t="s">
        <v>10105</v>
      </c>
      <c r="B1857" s="90" t="s">
        <v>8924</v>
      </c>
      <c r="C1857" s="90" t="s">
        <v>4073</v>
      </c>
      <c r="D1857" s="90" t="s">
        <v>4074</v>
      </c>
      <c r="E1857" s="89" t="s">
        <v>4010</v>
      </c>
      <c r="F1857" s="91">
        <v>605047</v>
      </c>
      <c r="G1857" s="91">
        <v>5100500</v>
      </c>
      <c r="H1857" s="87"/>
      <c r="I1857" s="90" t="s">
        <v>4058</v>
      </c>
      <c r="J1857" s="88" t="str">
        <f t="shared" si="28"/>
        <v>不重复</v>
      </c>
      <c r="K1857" s="88" t="str">
        <f t="shared" si="28"/>
        <v>不重复</v>
      </c>
    </row>
    <row r="1858" spans="1:11" ht="20.25" customHeight="1">
      <c r="A1858" s="89" t="s">
        <v>10106</v>
      </c>
      <c r="B1858" s="90" t="s">
        <v>8925</v>
      </c>
      <c r="C1858" s="90" t="s">
        <v>8926</v>
      </c>
      <c r="D1858" s="90" t="s">
        <v>4077</v>
      </c>
      <c r="E1858" s="89" t="s">
        <v>4010</v>
      </c>
      <c r="F1858" s="91">
        <v>605049</v>
      </c>
      <c r="G1858" s="91">
        <v>5100500</v>
      </c>
      <c r="H1858" s="87"/>
      <c r="I1858" s="90" t="s">
        <v>8927</v>
      </c>
      <c r="J1858" s="88" t="str">
        <f t="shared" si="28"/>
        <v>不重复</v>
      </c>
      <c r="K1858" s="88" t="str">
        <f t="shared" si="28"/>
        <v>不重复</v>
      </c>
    </row>
    <row r="1859" spans="1:11" ht="20.25" customHeight="1">
      <c r="A1859" s="89" t="s">
        <v>10107</v>
      </c>
      <c r="B1859" s="90" t="s">
        <v>4076</v>
      </c>
      <c r="C1859" s="90" t="s">
        <v>1759</v>
      </c>
      <c r="D1859" s="90" t="s">
        <v>4075</v>
      </c>
      <c r="E1859" s="89" t="s">
        <v>4010</v>
      </c>
      <c r="F1859" s="91">
        <v>605050</v>
      </c>
      <c r="G1859" s="91">
        <v>5100500</v>
      </c>
      <c r="H1859" s="87"/>
      <c r="I1859" s="90" t="s">
        <v>8928</v>
      </c>
      <c r="J1859" s="88" t="str">
        <f t="shared" si="29" ref="J1859:K1922">IF(COUNTIF(C:C,C1859)&gt;=2,"重复","不重复")</f>
        <v>重复</v>
      </c>
      <c r="K1859" s="88" t="str">
        <f t="shared" si="29"/>
        <v>不重复</v>
      </c>
    </row>
    <row r="1860" spans="1:11" ht="20.25" customHeight="1">
      <c r="A1860" s="89" t="s">
        <v>10108</v>
      </c>
      <c r="B1860" s="90" t="s">
        <v>8929</v>
      </c>
      <c r="C1860" s="90" t="s">
        <v>8930</v>
      </c>
      <c r="D1860" s="90" t="s">
        <v>8931</v>
      </c>
      <c r="E1860" s="89" t="s">
        <v>4010</v>
      </c>
      <c r="F1860" s="91">
        <v>605051</v>
      </c>
      <c r="G1860" s="91">
        <v>5100500</v>
      </c>
      <c r="H1860" s="87"/>
      <c r="I1860" s="90" t="s">
        <v>8932</v>
      </c>
      <c r="J1860" s="88" t="str">
        <f t="shared" si="29"/>
        <v>不重复</v>
      </c>
      <c r="K1860" s="88" t="str">
        <f t="shared" si="29"/>
        <v>不重复</v>
      </c>
    </row>
    <row r="1861" spans="1:11" ht="20.25" customHeight="1">
      <c r="A1861" s="89" t="s">
        <v>10109</v>
      </c>
      <c r="B1861" s="90" t="s">
        <v>8933</v>
      </c>
      <c r="C1861" s="90" t="s">
        <v>8934</v>
      </c>
      <c r="D1861" s="90" t="s">
        <v>4078</v>
      </c>
      <c r="E1861" s="89" t="s">
        <v>4010</v>
      </c>
      <c r="F1861" s="91">
        <v>605052</v>
      </c>
      <c r="G1861" s="91">
        <v>5100500</v>
      </c>
      <c r="H1861" s="87"/>
      <c r="I1861" s="90" t="s">
        <v>4058</v>
      </c>
      <c r="J1861" s="88" t="str">
        <f t="shared" si="29"/>
        <v>不重复</v>
      </c>
      <c r="K1861" s="88" t="str">
        <f t="shared" si="29"/>
        <v>不重复</v>
      </c>
    </row>
    <row r="1862" spans="1:11" ht="20.25" customHeight="1">
      <c r="A1862" s="84" t="s">
        <v>10110</v>
      </c>
      <c r="B1862" s="85" t="s">
        <v>8935</v>
      </c>
      <c r="C1862" s="85" t="s">
        <v>8936</v>
      </c>
      <c r="D1862" s="85" t="s">
        <v>8937</v>
      </c>
      <c r="E1862" s="84" t="s">
        <v>4010</v>
      </c>
      <c r="F1862" s="86">
        <v>605053</v>
      </c>
      <c r="G1862" s="86">
        <v>5100500</v>
      </c>
      <c r="H1862" s="87"/>
      <c r="I1862" s="85" t="s">
        <v>25</v>
      </c>
      <c r="J1862" s="88" t="str">
        <f t="shared" si="29"/>
        <v>不重复</v>
      </c>
      <c r="K1862" s="88" t="str">
        <f t="shared" si="29"/>
        <v>不重复</v>
      </c>
    </row>
    <row r="1863" spans="1:11" ht="20.25" customHeight="1">
      <c r="A1863" s="84" t="s">
        <v>10111</v>
      </c>
      <c r="B1863" s="85" t="s">
        <v>8938</v>
      </c>
      <c r="C1863" s="85" t="s">
        <v>3861</v>
      </c>
      <c r="D1863" s="85" t="s">
        <v>4103</v>
      </c>
      <c r="E1863" s="84" t="s">
        <v>4010</v>
      </c>
      <c r="F1863" s="86">
        <v>605054</v>
      </c>
      <c r="G1863" s="86">
        <v>5100500</v>
      </c>
      <c r="H1863" s="87"/>
      <c r="I1863" s="85" t="s">
        <v>8939</v>
      </c>
      <c r="J1863" s="88" t="str">
        <f t="shared" si="29"/>
        <v>重复</v>
      </c>
      <c r="K1863" s="88" t="str">
        <f t="shared" si="29"/>
        <v>不重复</v>
      </c>
    </row>
    <row r="1864" spans="1:11" ht="20.25" customHeight="1">
      <c r="A1864" s="84" t="s">
        <v>8940</v>
      </c>
      <c r="B1864" s="85" t="s">
        <v>8941</v>
      </c>
      <c r="C1864" s="85" t="s">
        <v>8942</v>
      </c>
      <c r="D1864" s="85" t="s">
        <v>8943</v>
      </c>
      <c r="E1864" s="84" t="s">
        <v>4010</v>
      </c>
      <c r="F1864" s="86">
        <v>910004</v>
      </c>
      <c r="G1864" s="86">
        <v>5100500</v>
      </c>
      <c r="H1864" s="87"/>
      <c r="I1864" s="85"/>
      <c r="J1864" s="88" t="str">
        <f t="shared" si="29"/>
        <v>不重复</v>
      </c>
      <c r="K1864" s="88" t="str">
        <f t="shared" si="29"/>
        <v>不重复</v>
      </c>
    </row>
    <row r="1865" spans="1:11" ht="20.25" customHeight="1">
      <c r="A1865" s="89" t="s">
        <v>10112</v>
      </c>
      <c r="B1865" s="90" t="s">
        <v>8944</v>
      </c>
      <c r="C1865" s="90" t="s">
        <v>2627</v>
      </c>
      <c r="D1865" s="90" t="s">
        <v>4085</v>
      </c>
      <c r="E1865" s="89" t="s">
        <v>4010</v>
      </c>
      <c r="F1865" s="91">
        <v>605056</v>
      </c>
      <c r="G1865" s="91">
        <v>5100500</v>
      </c>
      <c r="H1865" s="87"/>
      <c r="I1865" s="90" t="s">
        <v>8828</v>
      </c>
      <c r="J1865" s="88" t="str">
        <f t="shared" si="29"/>
        <v>重复</v>
      </c>
      <c r="K1865" s="88" t="str">
        <f t="shared" si="29"/>
        <v>不重复</v>
      </c>
    </row>
    <row r="1866" spans="1:11" ht="20.25" customHeight="1">
      <c r="A1866" s="89" t="s">
        <v>10113</v>
      </c>
      <c r="B1866" s="90" t="s">
        <v>8945</v>
      </c>
      <c r="C1866" s="90" t="s">
        <v>320</v>
      </c>
      <c r="D1866" s="90" t="s">
        <v>4086</v>
      </c>
      <c r="E1866" s="89" t="s">
        <v>4010</v>
      </c>
      <c r="F1866" s="91">
        <v>605057</v>
      </c>
      <c r="G1866" s="91">
        <v>5100500</v>
      </c>
      <c r="H1866" s="87"/>
      <c r="I1866" s="90" t="s">
        <v>8908</v>
      </c>
      <c r="J1866" s="88" t="str">
        <f t="shared" si="29"/>
        <v>重复</v>
      </c>
      <c r="K1866" s="88" t="str">
        <f t="shared" si="29"/>
        <v>不重复</v>
      </c>
    </row>
    <row r="1867" spans="1:11" ht="20.25" customHeight="1">
      <c r="A1867" s="89" t="s">
        <v>10114</v>
      </c>
      <c r="B1867" s="90" t="s">
        <v>8946</v>
      </c>
      <c r="C1867" s="90" t="s">
        <v>1366</v>
      </c>
      <c r="D1867" s="90" t="s">
        <v>4097</v>
      </c>
      <c r="E1867" s="89" t="s">
        <v>4010</v>
      </c>
      <c r="F1867" s="91">
        <v>605059</v>
      </c>
      <c r="G1867" s="91">
        <v>5100500</v>
      </c>
      <c r="H1867" s="87"/>
      <c r="I1867" s="90" t="s">
        <v>8908</v>
      </c>
      <c r="J1867" s="88" t="str">
        <f t="shared" si="29"/>
        <v>重复</v>
      </c>
      <c r="K1867" s="88" t="str">
        <f t="shared" si="29"/>
        <v>不重复</v>
      </c>
    </row>
    <row r="1868" spans="1:11" ht="20.25" customHeight="1">
      <c r="A1868" s="89" t="s">
        <v>10115</v>
      </c>
      <c r="B1868" s="90" t="s">
        <v>8947</v>
      </c>
      <c r="C1868" s="90" t="s">
        <v>4100</v>
      </c>
      <c r="D1868" s="90" t="s">
        <v>4101</v>
      </c>
      <c r="E1868" s="89" t="s">
        <v>4010</v>
      </c>
      <c r="F1868" s="91">
        <v>605060</v>
      </c>
      <c r="G1868" s="91">
        <v>5100500</v>
      </c>
      <c r="H1868" s="87"/>
      <c r="I1868" s="90" t="s">
        <v>2568</v>
      </c>
      <c r="J1868" s="88" t="str">
        <f t="shared" si="29"/>
        <v>不重复</v>
      </c>
      <c r="K1868" s="88" t="str">
        <f t="shared" si="29"/>
        <v>不重复</v>
      </c>
    </row>
    <row r="1869" spans="1:11" ht="20.25" customHeight="1">
      <c r="A1869" s="89" t="s">
        <v>10116</v>
      </c>
      <c r="B1869" s="90" t="s">
        <v>8948</v>
      </c>
      <c r="C1869" s="90" t="s">
        <v>479</v>
      </c>
      <c r="D1869" s="90" t="s">
        <v>8949</v>
      </c>
      <c r="E1869" s="89" t="s">
        <v>4010</v>
      </c>
      <c r="F1869" s="91">
        <v>605061</v>
      </c>
      <c r="G1869" s="91">
        <v>5100500</v>
      </c>
      <c r="H1869" s="87"/>
      <c r="I1869" s="90" t="s">
        <v>8910</v>
      </c>
      <c r="J1869" s="88" t="str">
        <f t="shared" si="29"/>
        <v>重复</v>
      </c>
      <c r="K1869" s="88" t="str">
        <f t="shared" si="29"/>
        <v>不重复</v>
      </c>
    </row>
    <row r="1870" spans="1:11" ht="20.25" customHeight="1">
      <c r="A1870" s="89" t="s">
        <v>10117</v>
      </c>
      <c r="B1870" s="90" t="s">
        <v>8950</v>
      </c>
      <c r="C1870" s="90" t="s">
        <v>479</v>
      </c>
      <c r="D1870" s="90" t="s">
        <v>4099</v>
      </c>
      <c r="E1870" s="89" t="s">
        <v>4010</v>
      </c>
      <c r="F1870" s="91">
        <v>605062</v>
      </c>
      <c r="G1870" s="91">
        <v>5100500</v>
      </c>
      <c r="H1870" s="87"/>
      <c r="I1870" s="90" t="s">
        <v>8910</v>
      </c>
      <c r="J1870" s="88" t="str">
        <f t="shared" si="29"/>
        <v>重复</v>
      </c>
      <c r="K1870" s="88" t="str">
        <f t="shared" si="29"/>
        <v>不重复</v>
      </c>
    </row>
    <row r="1871" spans="1:11" ht="20.25" customHeight="1">
      <c r="A1871" s="89" t="s">
        <v>10118</v>
      </c>
      <c r="B1871" s="90" t="s">
        <v>8951</v>
      </c>
      <c r="C1871" s="90" t="s">
        <v>2872</v>
      </c>
      <c r="D1871" s="90" t="s">
        <v>4098</v>
      </c>
      <c r="E1871" s="89" t="s">
        <v>4010</v>
      </c>
      <c r="F1871" s="91">
        <v>605063</v>
      </c>
      <c r="G1871" s="91">
        <v>5100500</v>
      </c>
      <c r="H1871" s="87"/>
      <c r="I1871" s="90" t="s">
        <v>8952</v>
      </c>
      <c r="J1871" s="88" t="str">
        <f t="shared" si="29"/>
        <v>重复</v>
      </c>
      <c r="K1871" s="88" t="str">
        <f t="shared" si="29"/>
        <v>不重复</v>
      </c>
    </row>
    <row r="1872" spans="1:11" ht="20.25" customHeight="1">
      <c r="A1872" s="89" t="s">
        <v>10119</v>
      </c>
      <c r="B1872" s="90" t="s">
        <v>8953</v>
      </c>
      <c r="C1872" s="90" t="s">
        <v>111</v>
      </c>
      <c r="D1872" s="90" t="s">
        <v>8954</v>
      </c>
      <c r="E1872" s="89" t="s">
        <v>4010</v>
      </c>
      <c r="F1872" s="91">
        <v>605065</v>
      </c>
      <c r="G1872" s="91">
        <v>5100500</v>
      </c>
      <c r="H1872" s="87"/>
      <c r="I1872" s="90" t="s">
        <v>8955</v>
      </c>
      <c r="J1872" s="88" t="str">
        <f t="shared" si="29"/>
        <v>重复</v>
      </c>
      <c r="K1872" s="88" t="str">
        <f t="shared" si="29"/>
        <v>不重复</v>
      </c>
    </row>
    <row r="1873" spans="1:11" ht="20.25" customHeight="1">
      <c r="A1873" s="89" t="s">
        <v>10120</v>
      </c>
      <c r="B1873" s="90" t="s">
        <v>8956</v>
      </c>
      <c r="C1873" s="90" t="s">
        <v>8957</v>
      </c>
      <c r="D1873" s="90" t="s">
        <v>8958</v>
      </c>
      <c r="E1873" s="89" t="s">
        <v>4010</v>
      </c>
      <c r="F1873" s="91">
        <v>605066</v>
      </c>
      <c r="G1873" s="91">
        <v>5100500</v>
      </c>
      <c r="H1873" s="87"/>
      <c r="I1873" s="90" t="s">
        <v>25</v>
      </c>
      <c r="J1873" s="88" t="str">
        <f t="shared" si="29"/>
        <v>不重复</v>
      </c>
      <c r="K1873" s="88" t="str">
        <f t="shared" si="29"/>
        <v>不重复</v>
      </c>
    </row>
    <row r="1874" spans="1:11" ht="20.25" customHeight="1">
      <c r="A1874" s="89" t="s">
        <v>10121</v>
      </c>
      <c r="B1874" s="90" t="s">
        <v>8959</v>
      </c>
      <c r="C1874" s="90" t="s">
        <v>4079</v>
      </c>
      <c r="D1874" s="90" t="s">
        <v>4080</v>
      </c>
      <c r="E1874" s="89" t="s">
        <v>4010</v>
      </c>
      <c r="F1874" s="91">
        <v>605067</v>
      </c>
      <c r="G1874" s="91">
        <v>5100500</v>
      </c>
      <c r="H1874" s="87"/>
      <c r="I1874" s="90" t="s">
        <v>8960</v>
      </c>
      <c r="J1874" s="88" t="str">
        <f t="shared" si="29"/>
        <v>不重复</v>
      </c>
      <c r="K1874" s="88" t="str">
        <f t="shared" si="29"/>
        <v>不重复</v>
      </c>
    </row>
    <row r="1875" spans="1:11" ht="20.25" customHeight="1">
      <c r="A1875" s="84" t="s">
        <v>10122</v>
      </c>
      <c r="B1875" s="85" t="s">
        <v>8961</v>
      </c>
      <c r="C1875" s="85" t="s">
        <v>1552</v>
      </c>
      <c r="D1875" s="85" t="s">
        <v>8962</v>
      </c>
      <c r="E1875" s="84" t="s">
        <v>4010</v>
      </c>
      <c r="F1875" s="86">
        <v>605068</v>
      </c>
      <c r="G1875" s="86">
        <v>5100500</v>
      </c>
      <c r="H1875" s="87"/>
      <c r="I1875" s="85" t="s">
        <v>25</v>
      </c>
      <c r="J1875" s="88" t="str">
        <f t="shared" si="29"/>
        <v>重复</v>
      </c>
      <c r="K1875" s="88" t="str">
        <f t="shared" si="29"/>
        <v>不重复</v>
      </c>
    </row>
    <row r="1876" spans="1:11" ht="20.25" customHeight="1">
      <c r="A1876" s="84" t="s">
        <v>10123</v>
      </c>
      <c r="B1876" s="85" t="s">
        <v>4081</v>
      </c>
      <c r="C1876" s="85" t="s">
        <v>1552</v>
      </c>
      <c r="D1876" s="85" t="s">
        <v>4082</v>
      </c>
      <c r="E1876" s="84" t="s">
        <v>4010</v>
      </c>
      <c r="F1876" s="86">
        <v>605069</v>
      </c>
      <c r="G1876" s="86">
        <v>5100500</v>
      </c>
      <c r="H1876" s="87"/>
      <c r="I1876" s="85" t="s">
        <v>4083</v>
      </c>
      <c r="J1876" s="88" t="str">
        <f t="shared" si="29"/>
        <v>重复</v>
      </c>
      <c r="K1876" s="88" t="str">
        <f t="shared" si="29"/>
        <v>不重复</v>
      </c>
    </row>
    <row r="1877" spans="1:11" ht="20.25" customHeight="1">
      <c r="A1877" s="84" t="s">
        <v>10124</v>
      </c>
      <c r="B1877" s="85" t="s">
        <v>8963</v>
      </c>
      <c r="C1877" s="85" t="s">
        <v>4004</v>
      </c>
      <c r="D1877" s="85" t="s">
        <v>4084</v>
      </c>
      <c r="E1877" s="84" t="s">
        <v>4010</v>
      </c>
      <c r="F1877" s="86">
        <v>605070</v>
      </c>
      <c r="G1877" s="86">
        <v>5100500</v>
      </c>
      <c r="H1877" s="87"/>
      <c r="I1877" s="85" t="s">
        <v>4058</v>
      </c>
      <c r="J1877" s="88" t="str">
        <f t="shared" si="29"/>
        <v>不重复</v>
      </c>
      <c r="K1877" s="88" t="str">
        <f t="shared" si="29"/>
        <v>不重复</v>
      </c>
    </row>
    <row r="1878" spans="1:11" ht="20.25" customHeight="1">
      <c r="A1878" s="84" t="s">
        <v>10125</v>
      </c>
      <c r="B1878" s="85" t="s">
        <v>4114</v>
      </c>
      <c r="C1878" s="85" t="s">
        <v>5255</v>
      </c>
      <c r="D1878" s="85" t="s">
        <v>8964</v>
      </c>
      <c r="E1878" s="84" t="s">
        <v>4010</v>
      </c>
      <c r="F1878" s="86">
        <v>605071</v>
      </c>
      <c r="G1878" s="86">
        <v>5100500</v>
      </c>
      <c r="H1878" s="87"/>
      <c r="I1878" s="85" t="s">
        <v>25</v>
      </c>
      <c r="J1878" s="88" t="str">
        <f t="shared" si="29"/>
        <v>不重复</v>
      </c>
      <c r="K1878" s="88" t="str">
        <f t="shared" si="29"/>
        <v>不重复</v>
      </c>
    </row>
    <row r="1879" spans="1:11" ht="20.25" customHeight="1">
      <c r="A1879" s="84" t="s">
        <v>10126</v>
      </c>
      <c r="B1879" s="85" t="s">
        <v>8965</v>
      </c>
      <c r="C1879" s="85" t="s">
        <v>1903</v>
      </c>
      <c r="D1879" s="85" t="s">
        <v>4105</v>
      </c>
      <c r="E1879" s="84" t="s">
        <v>4010</v>
      </c>
      <c r="F1879" s="86">
        <v>605072</v>
      </c>
      <c r="G1879" s="86">
        <v>5100500</v>
      </c>
      <c r="H1879" s="87"/>
      <c r="I1879" s="85" t="s">
        <v>8966</v>
      </c>
      <c r="J1879" s="88" t="str">
        <f t="shared" si="29"/>
        <v>重复</v>
      </c>
      <c r="K1879" s="88" t="str">
        <f t="shared" si="29"/>
        <v>不重复</v>
      </c>
    </row>
    <row r="1880" spans="1:11" ht="20.25" customHeight="1">
      <c r="A1880" s="84" t="s">
        <v>10127</v>
      </c>
      <c r="B1880" s="85" t="s">
        <v>8967</v>
      </c>
      <c r="C1880" s="85" t="s">
        <v>947</v>
      </c>
      <c r="D1880" s="85" t="s">
        <v>4113</v>
      </c>
      <c r="E1880" s="84" t="s">
        <v>4010</v>
      </c>
      <c r="F1880" s="86">
        <v>605073</v>
      </c>
      <c r="G1880" s="86">
        <v>5100500</v>
      </c>
      <c r="H1880" s="87"/>
      <c r="I1880" s="85" t="s">
        <v>8899</v>
      </c>
      <c r="J1880" s="88" t="str">
        <f t="shared" si="29"/>
        <v>重复</v>
      </c>
      <c r="K1880" s="88" t="str">
        <f t="shared" si="29"/>
        <v>不重复</v>
      </c>
    </row>
    <row r="1881" spans="1:11" ht="20.25" customHeight="1">
      <c r="A1881" s="84" t="s">
        <v>10128</v>
      </c>
      <c r="B1881" s="85" t="s">
        <v>8968</v>
      </c>
      <c r="C1881" s="85" t="s">
        <v>4037</v>
      </c>
      <c r="D1881" s="85" t="s">
        <v>4111</v>
      </c>
      <c r="E1881" s="84" t="s">
        <v>4010</v>
      </c>
      <c r="F1881" s="86">
        <v>605074</v>
      </c>
      <c r="G1881" s="86">
        <v>5100500</v>
      </c>
      <c r="H1881" s="87"/>
      <c r="I1881" s="85" t="s">
        <v>8869</v>
      </c>
      <c r="J1881" s="88" t="str">
        <f t="shared" si="29"/>
        <v>不重复</v>
      </c>
      <c r="K1881" s="88" t="str">
        <f t="shared" si="29"/>
        <v>不重复</v>
      </c>
    </row>
    <row r="1882" spans="1:11" ht="20.25" customHeight="1">
      <c r="A1882" s="84" t="s">
        <v>10129</v>
      </c>
      <c r="B1882" s="85" t="s">
        <v>8969</v>
      </c>
      <c r="C1882" s="85" t="s">
        <v>8970</v>
      </c>
      <c r="D1882" s="85" t="s">
        <v>4110</v>
      </c>
      <c r="E1882" s="84" t="s">
        <v>4010</v>
      </c>
      <c r="F1882" s="86">
        <v>605075</v>
      </c>
      <c r="G1882" s="86">
        <v>5100500</v>
      </c>
      <c r="H1882" s="87"/>
      <c r="I1882" s="85" t="s">
        <v>8971</v>
      </c>
      <c r="J1882" s="88" t="str">
        <f t="shared" si="29"/>
        <v>不重复</v>
      </c>
      <c r="K1882" s="88" t="str">
        <f t="shared" si="29"/>
        <v>不重复</v>
      </c>
    </row>
    <row r="1883" spans="1:11" ht="20.25" customHeight="1">
      <c r="A1883" s="84" t="s">
        <v>10130</v>
      </c>
      <c r="B1883" s="85" t="s">
        <v>8972</v>
      </c>
      <c r="C1883" s="85" t="s">
        <v>1556</v>
      </c>
      <c r="D1883" s="85" t="s">
        <v>4112</v>
      </c>
      <c r="E1883" s="84" t="s">
        <v>4010</v>
      </c>
      <c r="F1883" s="86">
        <v>605076</v>
      </c>
      <c r="G1883" s="86">
        <v>5100500</v>
      </c>
      <c r="H1883" s="87"/>
      <c r="I1883" s="85" t="s">
        <v>8973</v>
      </c>
      <c r="J1883" s="88" t="str">
        <f t="shared" si="29"/>
        <v>重复</v>
      </c>
      <c r="K1883" s="88" t="str">
        <f t="shared" si="29"/>
        <v>不重复</v>
      </c>
    </row>
    <row r="1884" spans="1:11" ht="20.25" customHeight="1">
      <c r="A1884" s="84" t="s">
        <v>10131</v>
      </c>
      <c r="B1884" s="85" t="s">
        <v>8974</v>
      </c>
      <c r="C1884" s="85" t="s">
        <v>1577</v>
      </c>
      <c r="D1884" s="85" t="s">
        <v>4104</v>
      </c>
      <c r="E1884" s="84" t="s">
        <v>4010</v>
      </c>
      <c r="F1884" s="86">
        <v>605077</v>
      </c>
      <c r="G1884" s="86">
        <v>5100500</v>
      </c>
      <c r="H1884" s="87"/>
      <c r="I1884" s="85" t="s">
        <v>5429</v>
      </c>
      <c r="J1884" s="88" t="str">
        <f t="shared" si="29"/>
        <v>重复</v>
      </c>
      <c r="K1884" s="88" t="str">
        <f t="shared" si="29"/>
        <v>不重复</v>
      </c>
    </row>
    <row r="1885" spans="1:11" ht="20.25" customHeight="1">
      <c r="A1885" s="84" t="s">
        <v>10132</v>
      </c>
      <c r="B1885" s="85" t="s">
        <v>8975</v>
      </c>
      <c r="C1885" s="85" t="s">
        <v>1577</v>
      </c>
      <c r="D1885" s="85" t="s">
        <v>4108</v>
      </c>
      <c r="E1885" s="84" t="s">
        <v>4010</v>
      </c>
      <c r="F1885" s="86">
        <v>605078</v>
      </c>
      <c r="G1885" s="86">
        <v>5100500</v>
      </c>
      <c r="H1885" s="87"/>
      <c r="I1885" s="85" t="s">
        <v>8976</v>
      </c>
      <c r="J1885" s="88" t="str">
        <f t="shared" si="29"/>
        <v>重复</v>
      </c>
      <c r="K1885" s="88" t="str">
        <f t="shared" si="29"/>
        <v>不重复</v>
      </c>
    </row>
    <row r="1886" spans="1:11" ht="20.25" customHeight="1">
      <c r="A1886" s="84" t="s">
        <v>10133</v>
      </c>
      <c r="B1886" s="85" t="s">
        <v>8977</v>
      </c>
      <c r="C1886" s="85" t="s">
        <v>4107</v>
      </c>
      <c r="D1886" s="85" t="s">
        <v>4109</v>
      </c>
      <c r="E1886" s="84" t="s">
        <v>4010</v>
      </c>
      <c r="F1886" s="86">
        <v>605079</v>
      </c>
      <c r="G1886" s="86">
        <v>5100500</v>
      </c>
      <c r="H1886" s="87"/>
      <c r="I1886" s="85" t="s">
        <v>4065</v>
      </c>
      <c r="J1886" s="88" t="str">
        <f t="shared" si="29"/>
        <v>不重复</v>
      </c>
      <c r="K1886" s="88" t="str">
        <f t="shared" si="29"/>
        <v>不重复</v>
      </c>
    </row>
    <row r="1887" spans="1:11" ht="20.25" customHeight="1">
      <c r="A1887" s="84" t="s">
        <v>10134</v>
      </c>
      <c r="B1887" s="85" t="s">
        <v>8978</v>
      </c>
      <c r="C1887" s="85" t="s">
        <v>8979</v>
      </c>
      <c r="D1887" s="85" t="s">
        <v>8980</v>
      </c>
      <c r="E1887" s="84" t="s">
        <v>4010</v>
      </c>
      <c r="F1887" s="86">
        <v>605080</v>
      </c>
      <c r="G1887" s="86">
        <v>5100500</v>
      </c>
      <c r="H1887" s="87"/>
      <c r="I1887" s="85" t="s">
        <v>25</v>
      </c>
      <c r="J1887" s="88" t="str">
        <f t="shared" si="29"/>
        <v>不重复</v>
      </c>
      <c r="K1887" s="88" t="str">
        <f t="shared" si="29"/>
        <v>不重复</v>
      </c>
    </row>
    <row r="1888" spans="1:11" ht="20.25" customHeight="1">
      <c r="A1888" s="84" t="s">
        <v>10135</v>
      </c>
      <c r="B1888" s="85" t="s">
        <v>8981</v>
      </c>
      <c r="C1888" s="85" t="s">
        <v>8982</v>
      </c>
      <c r="D1888" s="85" t="s">
        <v>4115</v>
      </c>
      <c r="E1888" s="84" t="s">
        <v>4010</v>
      </c>
      <c r="F1888" s="86">
        <v>605081</v>
      </c>
      <c r="G1888" s="86">
        <v>5100500</v>
      </c>
      <c r="H1888" s="87"/>
      <c r="I1888" s="85" t="s">
        <v>8983</v>
      </c>
      <c r="J1888" s="88" t="str">
        <f t="shared" si="29"/>
        <v>不重复</v>
      </c>
      <c r="K1888" s="88" t="str">
        <f t="shared" si="29"/>
        <v>不重复</v>
      </c>
    </row>
    <row r="1889" spans="1:11" ht="20.25" customHeight="1">
      <c r="A1889" s="84" t="s">
        <v>10136</v>
      </c>
      <c r="B1889" s="85" t="s">
        <v>8984</v>
      </c>
      <c r="C1889" s="85" t="s">
        <v>4102</v>
      </c>
      <c r="D1889" s="85" t="s">
        <v>8985</v>
      </c>
      <c r="E1889" s="84" t="s">
        <v>4010</v>
      </c>
      <c r="F1889" s="86">
        <v>605082</v>
      </c>
      <c r="G1889" s="86">
        <v>5100500</v>
      </c>
      <c r="H1889" s="87"/>
      <c r="I1889" s="85" t="s">
        <v>25</v>
      </c>
      <c r="J1889" s="88" t="str">
        <f t="shared" si="29"/>
        <v>不重复</v>
      </c>
      <c r="K1889" s="88" t="str">
        <f t="shared" si="29"/>
        <v>不重复</v>
      </c>
    </row>
    <row r="1890" spans="1:11" ht="20.25" customHeight="1">
      <c r="A1890" s="84" t="s">
        <v>10137</v>
      </c>
      <c r="B1890" s="85" t="s">
        <v>8986</v>
      </c>
      <c r="C1890" s="85" t="s">
        <v>1370</v>
      </c>
      <c r="D1890" s="85" t="s">
        <v>5256</v>
      </c>
      <c r="E1890" s="84" t="s">
        <v>4010</v>
      </c>
      <c r="F1890" s="86">
        <v>605083</v>
      </c>
      <c r="G1890" s="86">
        <v>5100500</v>
      </c>
      <c r="H1890" s="87"/>
      <c r="I1890" s="85" t="s">
        <v>8987</v>
      </c>
      <c r="J1890" s="88" t="str">
        <f t="shared" si="29"/>
        <v>不重复</v>
      </c>
      <c r="K1890" s="88" t="str">
        <f t="shared" si="29"/>
        <v>不重复</v>
      </c>
    </row>
    <row r="1891" spans="1:11" ht="20.25" customHeight="1">
      <c r="A1891" s="89" t="s">
        <v>10138</v>
      </c>
      <c r="B1891" s="90" t="s">
        <v>8988</v>
      </c>
      <c r="C1891" s="90" t="s">
        <v>5822</v>
      </c>
      <c r="D1891" s="90" t="s">
        <v>4116</v>
      </c>
      <c r="E1891" s="89" t="s">
        <v>4010</v>
      </c>
      <c r="F1891" s="91">
        <v>605085</v>
      </c>
      <c r="G1891" s="91">
        <v>5100500</v>
      </c>
      <c r="H1891" s="87"/>
      <c r="I1891" s="90" t="s">
        <v>8989</v>
      </c>
      <c r="J1891" s="88" t="str">
        <f t="shared" si="29"/>
        <v>重复</v>
      </c>
      <c r="K1891" s="88" t="str">
        <f t="shared" si="29"/>
        <v>不重复</v>
      </c>
    </row>
    <row r="1892" spans="1:11" ht="20.25" customHeight="1">
      <c r="A1892" s="84" t="s">
        <v>10139</v>
      </c>
      <c r="B1892" s="85" t="s">
        <v>4121</v>
      </c>
      <c r="C1892" s="85" t="s">
        <v>8990</v>
      </c>
      <c r="D1892" s="85" t="s">
        <v>4122</v>
      </c>
      <c r="E1892" s="84" t="s">
        <v>4010</v>
      </c>
      <c r="F1892" s="86">
        <v>605086</v>
      </c>
      <c r="G1892" s="86">
        <v>5100500</v>
      </c>
      <c r="H1892" s="87"/>
      <c r="I1892" s="85" t="s">
        <v>25</v>
      </c>
      <c r="J1892" s="88" t="str">
        <f t="shared" si="29"/>
        <v>不重复</v>
      </c>
      <c r="K1892" s="88" t="str">
        <f t="shared" si="29"/>
        <v>不重复</v>
      </c>
    </row>
    <row r="1893" spans="1:11" ht="20.25" customHeight="1">
      <c r="A1893" s="84" t="s">
        <v>10140</v>
      </c>
      <c r="B1893" s="85" t="s">
        <v>8991</v>
      </c>
      <c r="C1893" s="85" t="s">
        <v>3914</v>
      </c>
      <c r="D1893" s="85" t="s">
        <v>8992</v>
      </c>
      <c r="E1893" s="84" t="s">
        <v>4010</v>
      </c>
      <c r="F1893" s="86">
        <v>605087</v>
      </c>
      <c r="G1893" s="86">
        <v>5100500</v>
      </c>
      <c r="H1893" s="87"/>
      <c r="I1893" s="85" t="s">
        <v>8993</v>
      </c>
      <c r="J1893" s="88" t="str">
        <f t="shared" si="29"/>
        <v>重复</v>
      </c>
      <c r="K1893" s="88" t="str">
        <f t="shared" si="29"/>
        <v>不重复</v>
      </c>
    </row>
    <row r="1894" spans="1:11" ht="20.25" customHeight="1">
      <c r="A1894" s="84" t="s">
        <v>10141</v>
      </c>
      <c r="B1894" s="85" t="s">
        <v>4117</v>
      </c>
      <c r="C1894" s="85" t="s">
        <v>1535</v>
      </c>
      <c r="D1894" s="85" t="s">
        <v>4119</v>
      </c>
      <c r="E1894" s="84" t="s">
        <v>4010</v>
      </c>
      <c r="F1894" s="86">
        <v>605088</v>
      </c>
      <c r="G1894" s="86">
        <v>5100500</v>
      </c>
      <c r="H1894" s="87"/>
      <c r="I1894" s="85" t="s">
        <v>8994</v>
      </c>
      <c r="J1894" s="88" t="str">
        <f t="shared" si="29"/>
        <v>重复</v>
      </c>
      <c r="K1894" s="88" t="str">
        <f t="shared" si="29"/>
        <v>不重复</v>
      </c>
    </row>
    <row r="1895" spans="1:11" ht="20.25" customHeight="1">
      <c r="A1895" s="84" t="s">
        <v>10142</v>
      </c>
      <c r="B1895" s="85" t="s">
        <v>8995</v>
      </c>
      <c r="C1895" s="85" t="s">
        <v>8996</v>
      </c>
      <c r="D1895" s="85" t="s">
        <v>4120</v>
      </c>
      <c r="E1895" s="84" t="s">
        <v>4010</v>
      </c>
      <c r="F1895" s="86">
        <v>605089</v>
      </c>
      <c r="G1895" s="86">
        <v>5100500</v>
      </c>
      <c r="H1895" s="87"/>
      <c r="I1895" s="85" t="s">
        <v>8856</v>
      </c>
      <c r="J1895" s="88" t="str">
        <f t="shared" si="29"/>
        <v>不重复</v>
      </c>
      <c r="K1895" s="88" t="str">
        <f t="shared" si="29"/>
        <v>不重复</v>
      </c>
    </row>
    <row r="1896" spans="1:11" ht="20.25" customHeight="1">
      <c r="A1896" s="84" t="s">
        <v>10143</v>
      </c>
      <c r="B1896" s="85" t="s">
        <v>8997</v>
      </c>
      <c r="C1896" s="85" t="s">
        <v>3613</v>
      </c>
      <c r="D1896" s="85" t="s">
        <v>1572</v>
      </c>
      <c r="E1896" s="84" t="s">
        <v>4010</v>
      </c>
      <c r="F1896" s="86">
        <v>605090</v>
      </c>
      <c r="G1896" s="86">
        <v>5100500</v>
      </c>
      <c r="H1896" s="87"/>
      <c r="I1896" s="85" t="s">
        <v>4106</v>
      </c>
      <c r="J1896" s="88" t="str">
        <f t="shared" si="29"/>
        <v>重复</v>
      </c>
      <c r="K1896" s="88" t="str">
        <f t="shared" si="29"/>
        <v>不重复</v>
      </c>
    </row>
    <row r="1897" spans="1:11" ht="20.25" customHeight="1">
      <c r="A1897" s="89" t="s">
        <v>10144</v>
      </c>
      <c r="B1897" s="90" t="s">
        <v>8998</v>
      </c>
      <c r="C1897" s="90" t="s">
        <v>8999</v>
      </c>
      <c r="D1897" s="90" t="s">
        <v>4123</v>
      </c>
      <c r="E1897" s="89" t="s">
        <v>4010</v>
      </c>
      <c r="F1897" s="91">
        <v>605092</v>
      </c>
      <c r="G1897" s="91">
        <v>5100500</v>
      </c>
      <c r="H1897" s="87"/>
      <c r="I1897" s="90" t="s">
        <v>8894</v>
      </c>
      <c r="J1897" s="88" t="str">
        <f t="shared" si="29"/>
        <v>不重复</v>
      </c>
      <c r="K1897" s="88" t="str">
        <f t="shared" si="29"/>
        <v>不重复</v>
      </c>
    </row>
    <row r="1898" spans="1:11" ht="20.25" customHeight="1">
      <c r="A1898" s="89" t="s">
        <v>10145</v>
      </c>
      <c r="B1898" s="90" t="s">
        <v>9000</v>
      </c>
      <c r="C1898" s="90" t="s">
        <v>9001</v>
      </c>
      <c r="D1898" s="90" t="s">
        <v>4124</v>
      </c>
      <c r="E1898" s="89" t="s">
        <v>4010</v>
      </c>
      <c r="F1898" s="91">
        <v>605093</v>
      </c>
      <c r="G1898" s="91">
        <v>5100500</v>
      </c>
      <c r="H1898" s="87"/>
      <c r="I1898" s="90" t="s">
        <v>8908</v>
      </c>
      <c r="J1898" s="88" t="str">
        <f t="shared" si="29"/>
        <v>不重复</v>
      </c>
      <c r="K1898" s="88" t="str">
        <f t="shared" si="29"/>
        <v>不重复</v>
      </c>
    </row>
    <row r="1899" spans="1:11" ht="20.25" customHeight="1">
      <c r="A1899" s="84" t="s">
        <v>10146</v>
      </c>
      <c r="B1899" s="85" t="s">
        <v>9002</v>
      </c>
      <c r="C1899" s="85" t="s">
        <v>9003</v>
      </c>
      <c r="D1899" s="85" t="s">
        <v>778</v>
      </c>
      <c r="E1899" s="84" t="s">
        <v>4010</v>
      </c>
      <c r="F1899" s="86">
        <v>605094</v>
      </c>
      <c r="G1899" s="86">
        <v>5100500</v>
      </c>
      <c r="H1899" s="87"/>
      <c r="I1899" s="85" t="s">
        <v>25</v>
      </c>
      <c r="J1899" s="88" t="str">
        <f t="shared" si="29"/>
        <v>不重复</v>
      </c>
      <c r="K1899" s="88" t="str">
        <f t="shared" si="29"/>
        <v>不重复</v>
      </c>
    </row>
    <row r="1900" spans="1:11" ht="20.25" customHeight="1">
      <c r="A1900" s="84" t="s">
        <v>10147</v>
      </c>
      <c r="B1900" s="85" t="s">
        <v>9004</v>
      </c>
      <c r="C1900" s="85" t="s">
        <v>9005</v>
      </c>
      <c r="D1900" s="85" t="s">
        <v>4130</v>
      </c>
      <c r="E1900" s="84" t="s">
        <v>4010</v>
      </c>
      <c r="F1900" s="86">
        <v>605095</v>
      </c>
      <c r="G1900" s="86">
        <v>5100500</v>
      </c>
      <c r="H1900" s="87"/>
      <c r="I1900" s="85" t="s">
        <v>8966</v>
      </c>
      <c r="J1900" s="88" t="str">
        <f t="shared" si="29"/>
        <v>不重复</v>
      </c>
      <c r="K1900" s="88" t="str">
        <f t="shared" si="29"/>
        <v>不重复</v>
      </c>
    </row>
    <row r="1901" spans="1:11" ht="20.25" customHeight="1">
      <c r="A1901" s="89" t="s">
        <v>10148</v>
      </c>
      <c r="B1901" s="90" t="s">
        <v>4129</v>
      </c>
      <c r="C1901" s="90" t="s">
        <v>3267</v>
      </c>
      <c r="D1901" s="90" t="s">
        <v>9006</v>
      </c>
      <c r="E1901" s="89" t="s">
        <v>4010</v>
      </c>
      <c r="F1901" s="91">
        <v>605096</v>
      </c>
      <c r="G1901" s="91">
        <v>5100500</v>
      </c>
      <c r="H1901" s="87"/>
      <c r="I1901" s="90" t="s">
        <v>25</v>
      </c>
      <c r="J1901" s="88" t="str">
        <f t="shared" si="29"/>
        <v>重复</v>
      </c>
      <c r="K1901" s="88" t="str">
        <f t="shared" si="29"/>
        <v>不重复</v>
      </c>
    </row>
    <row r="1902" spans="1:11" ht="20.25" customHeight="1">
      <c r="A1902" s="89" t="s">
        <v>10149</v>
      </c>
      <c r="B1902" s="90" t="s">
        <v>9007</v>
      </c>
      <c r="C1902" s="90" t="s">
        <v>4040</v>
      </c>
      <c r="D1902" s="90" t="s">
        <v>4127</v>
      </c>
      <c r="E1902" s="89" t="s">
        <v>4010</v>
      </c>
      <c r="F1902" s="91">
        <v>605097</v>
      </c>
      <c r="G1902" s="91">
        <v>5100500</v>
      </c>
      <c r="H1902" s="87"/>
      <c r="I1902" s="90" t="s">
        <v>8894</v>
      </c>
      <c r="J1902" s="88" t="str">
        <f t="shared" si="29"/>
        <v>重复</v>
      </c>
      <c r="K1902" s="88" t="str">
        <f t="shared" si="29"/>
        <v>不重复</v>
      </c>
    </row>
    <row r="1903" spans="1:11" ht="20.25" customHeight="1">
      <c r="A1903" s="89" t="s">
        <v>10150</v>
      </c>
      <c r="B1903" s="90" t="s">
        <v>9008</v>
      </c>
      <c r="C1903" s="90" t="s">
        <v>5257</v>
      </c>
      <c r="D1903" s="90" t="s">
        <v>2064</v>
      </c>
      <c r="E1903" s="89" t="s">
        <v>4010</v>
      </c>
      <c r="F1903" s="91">
        <v>605098</v>
      </c>
      <c r="G1903" s="91">
        <v>5100500</v>
      </c>
      <c r="H1903" s="87"/>
      <c r="I1903" s="90" t="s">
        <v>8856</v>
      </c>
      <c r="J1903" s="88" t="str">
        <f t="shared" si="29"/>
        <v>不重复</v>
      </c>
      <c r="K1903" s="88" t="str">
        <f t="shared" si="29"/>
        <v>不重复</v>
      </c>
    </row>
    <row r="1904" spans="1:11" ht="20.25" customHeight="1">
      <c r="A1904" s="89" t="s">
        <v>10151</v>
      </c>
      <c r="B1904" s="90" t="s">
        <v>9009</v>
      </c>
      <c r="C1904" s="90" t="s">
        <v>9010</v>
      </c>
      <c r="D1904" s="90" t="s">
        <v>9011</v>
      </c>
      <c r="E1904" s="89" t="s">
        <v>4010</v>
      </c>
      <c r="F1904" s="91">
        <v>605099</v>
      </c>
      <c r="G1904" s="91">
        <v>5100500</v>
      </c>
      <c r="H1904" s="87"/>
      <c r="I1904" s="90" t="s">
        <v>9012</v>
      </c>
      <c r="J1904" s="88" t="str">
        <f t="shared" si="29"/>
        <v>不重复</v>
      </c>
      <c r="K1904" s="88" t="str">
        <f t="shared" si="29"/>
        <v>不重复</v>
      </c>
    </row>
    <row r="1905" spans="1:11" ht="20.25" customHeight="1">
      <c r="A1905" s="89" t="s">
        <v>10152</v>
      </c>
      <c r="B1905" s="90" t="s">
        <v>9013</v>
      </c>
      <c r="C1905" s="90" t="s">
        <v>9014</v>
      </c>
      <c r="D1905" s="90" t="s">
        <v>4125</v>
      </c>
      <c r="E1905" s="89" t="s">
        <v>4010</v>
      </c>
      <c r="F1905" s="91">
        <v>605100</v>
      </c>
      <c r="G1905" s="91">
        <v>5100500</v>
      </c>
      <c r="H1905" s="87"/>
      <c r="I1905" s="90" t="s">
        <v>8894</v>
      </c>
      <c r="J1905" s="88" t="str">
        <f t="shared" si="29"/>
        <v>不重复</v>
      </c>
      <c r="K1905" s="88" t="str">
        <f t="shared" si="29"/>
        <v>不重复</v>
      </c>
    </row>
    <row r="1906" spans="1:11" ht="20.25" customHeight="1">
      <c r="A1906" s="89" t="s">
        <v>10153</v>
      </c>
      <c r="B1906" s="90" t="s">
        <v>9015</v>
      </c>
      <c r="C1906" s="90" t="s">
        <v>1547</v>
      </c>
      <c r="D1906" s="90" t="s">
        <v>4126</v>
      </c>
      <c r="E1906" s="89" t="s">
        <v>4010</v>
      </c>
      <c r="F1906" s="91">
        <v>605101</v>
      </c>
      <c r="G1906" s="91">
        <v>5100500</v>
      </c>
      <c r="H1906" s="87"/>
      <c r="I1906" s="90" t="s">
        <v>8894</v>
      </c>
      <c r="J1906" s="88" t="str">
        <f t="shared" si="29"/>
        <v>重复</v>
      </c>
      <c r="K1906" s="88" t="str">
        <f t="shared" si="29"/>
        <v>不重复</v>
      </c>
    </row>
    <row r="1907" spans="1:11" ht="20.25" customHeight="1">
      <c r="A1907" s="84" t="s">
        <v>10154</v>
      </c>
      <c r="B1907" s="85" t="s">
        <v>9016</v>
      </c>
      <c r="C1907" s="85" t="s">
        <v>9017</v>
      </c>
      <c r="D1907" s="85" t="s">
        <v>9018</v>
      </c>
      <c r="E1907" s="84" t="s">
        <v>4010</v>
      </c>
      <c r="F1907" s="86">
        <v>605102</v>
      </c>
      <c r="G1907" s="86">
        <v>5100500</v>
      </c>
      <c r="H1907" s="87"/>
      <c r="I1907" s="85" t="s">
        <v>25</v>
      </c>
      <c r="J1907" s="88" t="str">
        <f t="shared" si="29"/>
        <v>不重复</v>
      </c>
      <c r="K1907" s="88" t="str">
        <f t="shared" si="29"/>
        <v>不重复</v>
      </c>
    </row>
    <row r="1908" spans="1:11" ht="20.25" customHeight="1">
      <c r="A1908" s="84" t="s">
        <v>10155</v>
      </c>
      <c r="B1908" s="85" t="s">
        <v>9019</v>
      </c>
      <c r="C1908" s="85" t="s">
        <v>3316</v>
      </c>
      <c r="D1908" s="85" t="s">
        <v>9020</v>
      </c>
      <c r="E1908" s="84" t="s">
        <v>4010</v>
      </c>
      <c r="F1908" s="86">
        <v>605103</v>
      </c>
      <c r="G1908" s="86">
        <v>5100500</v>
      </c>
      <c r="H1908" s="87"/>
      <c r="I1908" s="85" t="s">
        <v>8894</v>
      </c>
      <c r="J1908" s="88" t="str">
        <f t="shared" si="29"/>
        <v>重复</v>
      </c>
      <c r="K1908" s="88" t="str">
        <f t="shared" si="29"/>
        <v>不重复</v>
      </c>
    </row>
    <row r="1909" spans="1:11" ht="20.25" customHeight="1">
      <c r="A1909" s="84" t="s">
        <v>10156</v>
      </c>
      <c r="B1909" s="85" t="s">
        <v>4133</v>
      </c>
      <c r="C1909" s="85" t="s">
        <v>787</v>
      </c>
      <c r="D1909" s="85" t="s">
        <v>9021</v>
      </c>
      <c r="E1909" s="84" t="s">
        <v>4010</v>
      </c>
      <c r="F1909" s="86">
        <v>605104</v>
      </c>
      <c r="G1909" s="86">
        <v>5100500</v>
      </c>
      <c r="H1909" s="87"/>
      <c r="I1909" s="85" t="s">
        <v>25</v>
      </c>
      <c r="J1909" s="88" t="str">
        <f t="shared" si="29"/>
        <v>重复</v>
      </c>
      <c r="K1909" s="88" t="str">
        <f t="shared" si="29"/>
        <v>不重复</v>
      </c>
    </row>
    <row r="1910" spans="1:11" ht="20.25" customHeight="1">
      <c r="A1910" s="84" t="s">
        <v>10157</v>
      </c>
      <c r="B1910" s="85" t="s">
        <v>9022</v>
      </c>
      <c r="C1910" s="85" t="s">
        <v>9023</v>
      </c>
      <c r="D1910" s="85" t="s">
        <v>9024</v>
      </c>
      <c r="E1910" s="84" t="s">
        <v>4010</v>
      </c>
      <c r="F1910" s="86">
        <v>605105</v>
      </c>
      <c r="G1910" s="86">
        <v>5100500</v>
      </c>
      <c r="H1910" s="87"/>
      <c r="I1910" s="85" t="s">
        <v>8856</v>
      </c>
      <c r="J1910" s="88" t="str">
        <f t="shared" si="29"/>
        <v>不重复</v>
      </c>
      <c r="K1910" s="88" t="str">
        <f t="shared" si="29"/>
        <v>不重复</v>
      </c>
    </row>
    <row r="1911" spans="1:11" ht="20.25" customHeight="1">
      <c r="A1911" s="84" t="s">
        <v>10158</v>
      </c>
      <c r="B1911" s="85" t="s">
        <v>9025</v>
      </c>
      <c r="C1911" s="85" t="s">
        <v>2423</v>
      </c>
      <c r="D1911" s="85" t="s">
        <v>9026</v>
      </c>
      <c r="E1911" s="84" t="s">
        <v>4010</v>
      </c>
      <c r="F1911" s="86">
        <v>605106</v>
      </c>
      <c r="G1911" s="86">
        <v>5100500</v>
      </c>
      <c r="H1911" s="87"/>
      <c r="I1911" s="85" t="s">
        <v>8894</v>
      </c>
      <c r="J1911" s="88" t="str">
        <f t="shared" si="29"/>
        <v>重复</v>
      </c>
      <c r="K1911" s="88" t="str">
        <f t="shared" si="29"/>
        <v>不重复</v>
      </c>
    </row>
    <row r="1912" spans="1:11" ht="20.25" customHeight="1">
      <c r="A1912" s="84" t="s">
        <v>10159</v>
      </c>
      <c r="B1912" s="85" t="s">
        <v>9027</v>
      </c>
      <c r="C1912" s="85" t="s">
        <v>4271</v>
      </c>
      <c r="D1912" s="85" t="s">
        <v>4132</v>
      </c>
      <c r="E1912" s="84" t="s">
        <v>4010</v>
      </c>
      <c r="F1912" s="86">
        <v>605107</v>
      </c>
      <c r="G1912" s="86">
        <v>5100500</v>
      </c>
      <c r="H1912" s="87"/>
      <c r="I1912" s="85" t="s">
        <v>9028</v>
      </c>
      <c r="J1912" s="88" t="str">
        <f t="shared" si="29"/>
        <v>重复</v>
      </c>
      <c r="K1912" s="88" t="str">
        <f t="shared" si="29"/>
        <v>不重复</v>
      </c>
    </row>
    <row r="1913" spans="1:11" ht="20.25" customHeight="1">
      <c r="A1913" s="84" t="s">
        <v>10160</v>
      </c>
      <c r="B1913" s="85" t="s">
        <v>9029</v>
      </c>
      <c r="C1913" s="85" t="s">
        <v>1885</v>
      </c>
      <c r="D1913" s="85" t="s">
        <v>9030</v>
      </c>
      <c r="E1913" s="84" t="s">
        <v>4010</v>
      </c>
      <c r="F1913" s="86">
        <v>605108</v>
      </c>
      <c r="G1913" s="86">
        <v>5100500</v>
      </c>
      <c r="H1913" s="87"/>
      <c r="I1913" s="85" t="s">
        <v>8894</v>
      </c>
      <c r="J1913" s="88" t="str">
        <f t="shared" si="29"/>
        <v>重复</v>
      </c>
      <c r="K1913" s="88" t="str">
        <f t="shared" si="29"/>
        <v>不重复</v>
      </c>
    </row>
    <row r="1914" spans="1:11" ht="20.25" customHeight="1">
      <c r="A1914" s="89" t="s">
        <v>10161</v>
      </c>
      <c r="B1914" s="90" t="s">
        <v>9031</v>
      </c>
      <c r="C1914" s="90" t="s">
        <v>3267</v>
      </c>
      <c r="D1914" s="90" t="s">
        <v>9032</v>
      </c>
      <c r="E1914" s="89" t="s">
        <v>4010</v>
      </c>
      <c r="F1914" s="91">
        <v>605109</v>
      </c>
      <c r="G1914" s="91">
        <v>5100500</v>
      </c>
      <c r="H1914" s="87"/>
      <c r="I1914" s="90" t="s">
        <v>25</v>
      </c>
      <c r="J1914" s="88" t="str">
        <f t="shared" si="29"/>
        <v>重复</v>
      </c>
      <c r="K1914" s="88" t="str">
        <f t="shared" si="29"/>
        <v>不重复</v>
      </c>
    </row>
    <row r="1915" spans="1:11" ht="20.25" customHeight="1">
      <c r="A1915" s="89" t="s">
        <v>10162</v>
      </c>
      <c r="B1915" s="90" t="s">
        <v>9033</v>
      </c>
      <c r="C1915" s="90" t="s">
        <v>9034</v>
      </c>
      <c r="D1915" s="90" t="s">
        <v>9035</v>
      </c>
      <c r="E1915" s="89" t="s">
        <v>4010</v>
      </c>
      <c r="F1915" s="91">
        <v>605110</v>
      </c>
      <c r="G1915" s="91">
        <v>5100500</v>
      </c>
      <c r="H1915" s="87"/>
      <c r="I1915" s="90" t="s">
        <v>9012</v>
      </c>
      <c r="J1915" s="88" t="str">
        <f t="shared" si="29"/>
        <v>不重复</v>
      </c>
      <c r="K1915" s="88" t="str">
        <f t="shared" si="29"/>
        <v>不重复</v>
      </c>
    </row>
    <row r="1916" spans="1:11" ht="20.25" customHeight="1">
      <c r="A1916" s="89" t="s">
        <v>10163</v>
      </c>
      <c r="B1916" s="90" t="s">
        <v>4141</v>
      </c>
      <c r="C1916" s="90" t="s">
        <v>4142</v>
      </c>
      <c r="D1916" s="90" t="s">
        <v>3917</v>
      </c>
      <c r="E1916" s="89" t="s">
        <v>4010</v>
      </c>
      <c r="F1916" s="91">
        <v>605111</v>
      </c>
      <c r="G1916" s="91">
        <v>5100500</v>
      </c>
      <c r="H1916" s="87"/>
      <c r="I1916" s="90" t="s">
        <v>25</v>
      </c>
      <c r="J1916" s="88" t="str">
        <f t="shared" si="29"/>
        <v>重复</v>
      </c>
      <c r="K1916" s="88" t="str">
        <f t="shared" si="29"/>
        <v>不重复</v>
      </c>
    </row>
    <row r="1917" spans="1:11" ht="20.25" customHeight="1">
      <c r="A1917" s="89" t="s">
        <v>10164</v>
      </c>
      <c r="B1917" s="90" t="s">
        <v>9036</v>
      </c>
      <c r="C1917" s="90" t="s">
        <v>9037</v>
      </c>
      <c r="D1917" s="90" t="s">
        <v>4138</v>
      </c>
      <c r="E1917" s="89" t="s">
        <v>4010</v>
      </c>
      <c r="F1917" s="91">
        <v>605112</v>
      </c>
      <c r="G1917" s="91">
        <v>5100500</v>
      </c>
      <c r="H1917" s="87"/>
      <c r="I1917" s="90" t="s">
        <v>9038</v>
      </c>
      <c r="J1917" s="88" t="str">
        <f t="shared" si="29"/>
        <v>不重复</v>
      </c>
      <c r="K1917" s="88" t="str">
        <f t="shared" si="29"/>
        <v>不重复</v>
      </c>
    </row>
    <row r="1918" spans="1:11" ht="20.25" customHeight="1">
      <c r="A1918" s="89" t="s">
        <v>10165</v>
      </c>
      <c r="B1918" s="90" t="s">
        <v>4139</v>
      </c>
      <c r="C1918" s="90" t="s">
        <v>4140</v>
      </c>
      <c r="D1918" s="90" t="s">
        <v>9039</v>
      </c>
      <c r="E1918" s="89" t="s">
        <v>4010</v>
      </c>
      <c r="F1918" s="91">
        <v>605113</v>
      </c>
      <c r="G1918" s="91">
        <v>5100500</v>
      </c>
      <c r="H1918" s="87"/>
      <c r="I1918" s="90" t="s">
        <v>4026</v>
      </c>
      <c r="J1918" s="88" t="str">
        <f t="shared" si="29"/>
        <v>不重复</v>
      </c>
      <c r="K1918" s="88" t="str">
        <f t="shared" si="29"/>
        <v>不重复</v>
      </c>
    </row>
    <row r="1919" spans="1:11" ht="20.25" customHeight="1">
      <c r="A1919" s="89" t="s">
        <v>10166</v>
      </c>
      <c r="B1919" s="90" t="s">
        <v>9040</v>
      </c>
      <c r="C1919" s="90" t="s">
        <v>5931</v>
      </c>
      <c r="D1919" s="90" t="s">
        <v>4136</v>
      </c>
      <c r="E1919" s="89" t="s">
        <v>4010</v>
      </c>
      <c r="F1919" s="91">
        <v>605114</v>
      </c>
      <c r="G1919" s="91">
        <v>5100500</v>
      </c>
      <c r="H1919" s="87"/>
      <c r="I1919" s="90" t="s">
        <v>9012</v>
      </c>
      <c r="J1919" s="88" t="str">
        <f t="shared" si="29"/>
        <v>重复</v>
      </c>
      <c r="K1919" s="88" t="str">
        <f t="shared" si="29"/>
        <v>不重复</v>
      </c>
    </row>
    <row r="1920" spans="1:11" ht="20.25" customHeight="1">
      <c r="A1920" s="89" t="s">
        <v>10167</v>
      </c>
      <c r="B1920" s="90" t="s">
        <v>9041</v>
      </c>
      <c r="C1920" s="90" t="s">
        <v>9042</v>
      </c>
      <c r="D1920" s="90" t="s">
        <v>4135</v>
      </c>
      <c r="E1920" s="89" t="s">
        <v>4010</v>
      </c>
      <c r="F1920" s="91">
        <v>605115</v>
      </c>
      <c r="G1920" s="91">
        <v>5100500</v>
      </c>
      <c r="H1920" s="87"/>
      <c r="I1920" s="90" t="s">
        <v>1914</v>
      </c>
      <c r="J1920" s="88" t="str">
        <f t="shared" si="29"/>
        <v>重复</v>
      </c>
      <c r="K1920" s="88" t="str">
        <f t="shared" si="29"/>
        <v>不重复</v>
      </c>
    </row>
    <row r="1921" spans="1:11" ht="20.25" customHeight="1">
      <c r="A1921" s="89" t="s">
        <v>10168</v>
      </c>
      <c r="B1921" s="90" t="s">
        <v>9043</v>
      </c>
      <c r="C1921" s="90" t="s">
        <v>9042</v>
      </c>
      <c r="D1921" s="90" t="s">
        <v>4134</v>
      </c>
      <c r="E1921" s="89" t="s">
        <v>4010</v>
      </c>
      <c r="F1921" s="91">
        <v>605116</v>
      </c>
      <c r="G1921" s="91">
        <v>5100500</v>
      </c>
      <c r="H1921" s="87"/>
      <c r="I1921" s="90" t="s">
        <v>9044</v>
      </c>
      <c r="J1921" s="88" t="str">
        <f t="shared" si="29"/>
        <v>重复</v>
      </c>
      <c r="K1921" s="88" t="str">
        <f t="shared" si="29"/>
        <v>不重复</v>
      </c>
    </row>
    <row r="1922" spans="1:11" ht="20.25" customHeight="1">
      <c r="A1922" s="89" t="s">
        <v>10169</v>
      </c>
      <c r="B1922" s="90" t="s">
        <v>9045</v>
      </c>
      <c r="C1922" s="90" t="s">
        <v>1779</v>
      </c>
      <c r="D1922" s="90" t="s">
        <v>4137</v>
      </c>
      <c r="E1922" s="89" t="s">
        <v>4010</v>
      </c>
      <c r="F1922" s="91">
        <v>605117</v>
      </c>
      <c r="G1922" s="91">
        <v>5100500</v>
      </c>
      <c r="H1922" s="87"/>
      <c r="I1922" s="90" t="s">
        <v>8856</v>
      </c>
      <c r="J1922" s="88" t="str">
        <f t="shared" si="29"/>
        <v>重复</v>
      </c>
      <c r="K1922" s="88" t="str">
        <f t="shared" si="29"/>
        <v>不重复</v>
      </c>
    </row>
    <row r="1923" spans="1:11" ht="20.25" customHeight="1">
      <c r="A1923" s="89" t="s">
        <v>10170</v>
      </c>
      <c r="B1923" s="90" t="s">
        <v>9046</v>
      </c>
      <c r="C1923" s="90" t="s">
        <v>405</v>
      </c>
      <c r="D1923" s="90" t="s">
        <v>4145</v>
      </c>
      <c r="E1923" s="89" t="s">
        <v>4010</v>
      </c>
      <c r="F1923" s="91">
        <v>605119</v>
      </c>
      <c r="G1923" s="91">
        <v>5100500</v>
      </c>
      <c r="H1923" s="87"/>
      <c r="I1923" s="90" t="s">
        <v>9047</v>
      </c>
      <c r="J1923" s="88" t="str">
        <f t="shared" si="30" ref="J1923:K1986">IF(COUNTIF(C:C,C1923)&gt;=2,"重复","不重复")</f>
        <v>重复</v>
      </c>
      <c r="K1923" s="88" t="str">
        <f t="shared" si="30"/>
        <v>不重复</v>
      </c>
    </row>
    <row r="1924" spans="1:11" ht="20.25" customHeight="1">
      <c r="A1924" s="89" t="s">
        <v>10171</v>
      </c>
      <c r="B1924" s="90" t="s">
        <v>9048</v>
      </c>
      <c r="C1924" s="90" t="s">
        <v>9049</v>
      </c>
      <c r="D1924" s="90" t="s">
        <v>4146</v>
      </c>
      <c r="E1924" s="89" t="s">
        <v>4010</v>
      </c>
      <c r="F1924" s="91">
        <v>605120</v>
      </c>
      <c r="G1924" s="91">
        <v>5100500</v>
      </c>
      <c r="H1924" s="87"/>
      <c r="I1924" s="90" t="s">
        <v>9050</v>
      </c>
      <c r="J1924" s="88" t="str">
        <f t="shared" si="30"/>
        <v>不重复</v>
      </c>
      <c r="K1924" s="88" t="str">
        <f t="shared" si="30"/>
        <v>不重复</v>
      </c>
    </row>
    <row r="1925" spans="1:11" ht="20.25" customHeight="1">
      <c r="A1925" s="89" t="s">
        <v>10172</v>
      </c>
      <c r="B1925" s="90" t="s">
        <v>9051</v>
      </c>
      <c r="C1925" s="90" t="s">
        <v>9052</v>
      </c>
      <c r="D1925" s="90" t="s">
        <v>4147</v>
      </c>
      <c r="E1925" s="89" t="s">
        <v>4010</v>
      </c>
      <c r="F1925" s="91">
        <v>605121</v>
      </c>
      <c r="G1925" s="91">
        <v>5100500</v>
      </c>
      <c r="H1925" s="87"/>
      <c r="I1925" s="90" t="s">
        <v>9053</v>
      </c>
      <c r="J1925" s="88" t="str">
        <f t="shared" si="30"/>
        <v>不重复</v>
      </c>
      <c r="K1925" s="88" t="str">
        <f t="shared" si="30"/>
        <v>不重复</v>
      </c>
    </row>
    <row r="1926" spans="1:11" ht="20.25" customHeight="1">
      <c r="A1926" s="84" t="s">
        <v>10173</v>
      </c>
      <c r="B1926" s="85" t="s">
        <v>9054</v>
      </c>
      <c r="C1926" s="85" t="s">
        <v>9055</v>
      </c>
      <c r="D1926" s="85" t="s">
        <v>9056</v>
      </c>
      <c r="E1926" s="84" t="s">
        <v>4010</v>
      </c>
      <c r="F1926" s="86">
        <v>605122</v>
      </c>
      <c r="G1926" s="86">
        <v>5100500</v>
      </c>
      <c r="H1926" s="87"/>
      <c r="I1926" s="85" t="s">
        <v>25</v>
      </c>
      <c r="J1926" s="88" t="str">
        <f t="shared" si="30"/>
        <v>不重复</v>
      </c>
      <c r="K1926" s="88" t="str">
        <f t="shared" si="30"/>
        <v>不重复</v>
      </c>
    </row>
    <row r="1927" spans="1:11" ht="20.25" customHeight="1">
      <c r="A1927" s="84" t="s">
        <v>10174</v>
      </c>
      <c r="B1927" s="85" t="s">
        <v>9057</v>
      </c>
      <c r="C1927" s="85" t="s">
        <v>9058</v>
      </c>
      <c r="D1927" s="85" t="s">
        <v>9059</v>
      </c>
      <c r="E1927" s="84" t="s">
        <v>4010</v>
      </c>
      <c r="F1927" s="86">
        <v>605123</v>
      </c>
      <c r="G1927" s="86">
        <v>5100500</v>
      </c>
      <c r="H1927" s="87"/>
      <c r="I1927" s="85" t="s">
        <v>8894</v>
      </c>
      <c r="J1927" s="88" t="str">
        <f t="shared" si="30"/>
        <v>不重复</v>
      </c>
      <c r="K1927" s="88" t="str">
        <f t="shared" si="30"/>
        <v>不重复</v>
      </c>
    </row>
    <row r="1928" spans="1:11" ht="20.25" customHeight="1">
      <c r="A1928" s="84" t="s">
        <v>10175</v>
      </c>
      <c r="B1928" s="85" t="s">
        <v>9060</v>
      </c>
      <c r="C1928" s="85" t="s">
        <v>9061</v>
      </c>
      <c r="D1928" s="85" t="s">
        <v>9062</v>
      </c>
      <c r="E1928" s="84" t="s">
        <v>4010</v>
      </c>
      <c r="F1928" s="86">
        <v>605124</v>
      </c>
      <c r="G1928" s="86">
        <v>5100500</v>
      </c>
      <c r="H1928" s="87"/>
      <c r="I1928" s="85" t="s">
        <v>25</v>
      </c>
      <c r="J1928" s="88" t="str">
        <f t="shared" si="30"/>
        <v>不重复</v>
      </c>
      <c r="K1928" s="88" t="str">
        <f t="shared" si="30"/>
        <v>不重复</v>
      </c>
    </row>
    <row r="1929" spans="1:11" ht="20.25" customHeight="1">
      <c r="A1929" s="84" t="s">
        <v>10176</v>
      </c>
      <c r="B1929" s="85" t="s">
        <v>9063</v>
      </c>
      <c r="C1929" s="85" t="s">
        <v>9064</v>
      </c>
      <c r="D1929" s="85" t="s">
        <v>9065</v>
      </c>
      <c r="E1929" s="84" t="s">
        <v>4010</v>
      </c>
      <c r="F1929" s="86">
        <v>605125</v>
      </c>
      <c r="G1929" s="86">
        <v>5100500</v>
      </c>
      <c r="H1929" s="87"/>
      <c r="I1929" s="85" t="s">
        <v>8869</v>
      </c>
      <c r="J1929" s="88" t="str">
        <f t="shared" si="30"/>
        <v>不重复</v>
      </c>
      <c r="K1929" s="88" t="str">
        <f t="shared" si="30"/>
        <v>不重复</v>
      </c>
    </row>
    <row r="1930" spans="1:11" ht="20.25" customHeight="1">
      <c r="A1930" s="84" t="s">
        <v>10177</v>
      </c>
      <c r="B1930" s="85" t="s">
        <v>9066</v>
      </c>
      <c r="C1930" s="85" t="s">
        <v>9067</v>
      </c>
      <c r="D1930" s="85" t="s">
        <v>9068</v>
      </c>
      <c r="E1930" s="84" t="s">
        <v>4010</v>
      </c>
      <c r="F1930" s="86">
        <v>605126</v>
      </c>
      <c r="G1930" s="86">
        <v>5100500</v>
      </c>
      <c r="H1930" s="87"/>
      <c r="I1930" s="85" t="s">
        <v>25</v>
      </c>
      <c r="J1930" s="88" t="str">
        <f t="shared" si="30"/>
        <v>不重复</v>
      </c>
      <c r="K1930" s="88" t="str">
        <f t="shared" si="30"/>
        <v>不重复</v>
      </c>
    </row>
    <row r="1931" spans="1:11" ht="20.25" customHeight="1">
      <c r="A1931" s="84" t="s">
        <v>10178</v>
      </c>
      <c r="B1931" s="85" t="s">
        <v>9069</v>
      </c>
      <c r="C1931" s="85" t="s">
        <v>785</v>
      </c>
      <c r="D1931" s="85" t="s">
        <v>4144</v>
      </c>
      <c r="E1931" s="84" t="s">
        <v>4010</v>
      </c>
      <c r="F1931" s="86">
        <v>605127</v>
      </c>
      <c r="G1931" s="86">
        <v>5100500</v>
      </c>
      <c r="H1931" s="87"/>
      <c r="I1931" s="85" t="s">
        <v>9070</v>
      </c>
      <c r="J1931" s="88" t="str">
        <f t="shared" si="30"/>
        <v>重复</v>
      </c>
      <c r="K1931" s="88" t="str">
        <f t="shared" si="30"/>
        <v>不重复</v>
      </c>
    </row>
    <row r="1932" spans="1:11" ht="20.25" customHeight="1">
      <c r="A1932" s="84" t="s">
        <v>10179</v>
      </c>
      <c r="B1932" s="85" t="s">
        <v>4153</v>
      </c>
      <c r="C1932" s="85" t="s">
        <v>4149</v>
      </c>
      <c r="D1932" s="85" t="s">
        <v>4154</v>
      </c>
      <c r="E1932" s="84" t="s">
        <v>4010</v>
      </c>
      <c r="F1932" s="86">
        <v>605128</v>
      </c>
      <c r="G1932" s="86">
        <v>5100500</v>
      </c>
      <c r="H1932" s="87"/>
      <c r="I1932" s="85" t="s">
        <v>25</v>
      </c>
      <c r="J1932" s="88" t="str">
        <f t="shared" si="30"/>
        <v>不重复</v>
      </c>
      <c r="K1932" s="88" t="str">
        <f t="shared" si="30"/>
        <v>不重复</v>
      </c>
    </row>
    <row r="1933" spans="1:11" ht="20.25" customHeight="1">
      <c r="A1933" s="84" t="s">
        <v>10180</v>
      </c>
      <c r="B1933" s="85" t="s">
        <v>9071</v>
      </c>
      <c r="C1933" s="85" t="s">
        <v>3305</v>
      </c>
      <c r="D1933" s="85" t="s">
        <v>4150</v>
      </c>
      <c r="E1933" s="84" t="s">
        <v>4010</v>
      </c>
      <c r="F1933" s="86">
        <v>605129</v>
      </c>
      <c r="G1933" s="86">
        <v>5100500</v>
      </c>
      <c r="H1933" s="87"/>
      <c r="I1933" s="85" t="s">
        <v>8869</v>
      </c>
      <c r="J1933" s="88" t="str">
        <f t="shared" si="30"/>
        <v>重复</v>
      </c>
      <c r="K1933" s="88" t="str">
        <f t="shared" si="30"/>
        <v>不重复</v>
      </c>
    </row>
    <row r="1934" spans="1:11" ht="20.25" customHeight="1">
      <c r="A1934" s="84" t="s">
        <v>10181</v>
      </c>
      <c r="B1934" s="85" t="s">
        <v>9072</v>
      </c>
      <c r="C1934" s="85" t="s">
        <v>9073</v>
      </c>
      <c r="D1934" s="85" t="s">
        <v>4151</v>
      </c>
      <c r="E1934" s="84" t="s">
        <v>4010</v>
      </c>
      <c r="F1934" s="86">
        <v>605130</v>
      </c>
      <c r="G1934" s="86">
        <v>5100500</v>
      </c>
      <c r="H1934" s="87"/>
      <c r="I1934" s="85" t="s">
        <v>8894</v>
      </c>
      <c r="J1934" s="88" t="str">
        <f t="shared" si="30"/>
        <v>不重复</v>
      </c>
      <c r="K1934" s="88" t="str">
        <f t="shared" si="30"/>
        <v>不重复</v>
      </c>
    </row>
    <row r="1935" spans="1:11" ht="20.25" customHeight="1">
      <c r="A1935" s="84" t="s">
        <v>10182</v>
      </c>
      <c r="B1935" s="85" t="s">
        <v>9074</v>
      </c>
      <c r="C1935" s="85" t="s">
        <v>3521</v>
      </c>
      <c r="D1935" s="85" t="s">
        <v>4152</v>
      </c>
      <c r="E1935" s="84" t="s">
        <v>4010</v>
      </c>
      <c r="F1935" s="86">
        <v>605131</v>
      </c>
      <c r="G1935" s="86">
        <v>5100500</v>
      </c>
      <c r="H1935" s="87"/>
      <c r="I1935" s="85" t="s">
        <v>9075</v>
      </c>
      <c r="J1935" s="88" t="str">
        <f t="shared" si="30"/>
        <v>重复</v>
      </c>
      <c r="K1935" s="88" t="str">
        <f t="shared" si="30"/>
        <v>不重复</v>
      </c>
    </row>
    <row r="1936" spans="1:11" ht="20.25" customHeight="1">
      <c r="A1936" s="84" t="s">
        <v>10183</v>
      </c>
      <c r="B1936" s="85" t="s">
        <v>9076</v>
      </c>
      <c r="C1936" s="85" t="s">
        <v>9077</v>
      </c>
      <c r="D1936" s="85" t="s">
        <v>4148</v>
      </c>
      <c r="E1936" s="84" t="s">
        <v>4010</v>
      </c>
      <c r="F1936" s="86">
        <v>605132</v>
      </c>
      <c r="G1936" s="86">
        <v>5100500</v>
      </c>
      <c r="H1936" s="87"/>
      <c r="I1936" s="85" t="s">
        <v>8989</v>
      </c>
      <c r="J1936" s="88" t="str">
        <f t="shared" si="30"/>
        <v>不重复</v>
      </c>
      <c r="K1936" s="88" t="str">
        <f t="shared" si="30"/>
        <v>不重复</v>
      </c>
    </row>
    <row r="1937" spans="1:11" ht="20.25" customHeight="1">
      <c r="A1937" s="89" t="s">
        <v>10184</v>
      </c>
      <c r="B1937" s="90" t="s">
        <v>9078</v>
      </c>
      <c r="C1937" s="90" t="s">
        <v>9079</v>
      </c>
      <c r="D1937" s="90" t="s">
        <v>4161</v>
      </c>
      <c r="E1937" s="89" t="s">
        <v>4010</v>
      </c>
      <c r="F1937" s="91">
        <v>605134</v>
      </c>
      <c r="G1937" s="91">
        <v>5100500</v>
      </c>
      <c r="H1937" s="87"/>
      <c r="I1937" s="90" t="s">
        <v>9080</v>
      </c>
      <c r="J1937" s="88" t="str">
        <f t="shared" si="30"/>
        <v>不重复</v>
      </c>
      <c r="K1937" s="88" t="str">
        <f t="shared" si="30"/>
        <v>不重复</v>
      </c>
    </row>
    <row r="1938" spans="1:11" ht="20.25" customHeight="1">
      <c r="A1938" s="89" t="s">
        <v>10185</v>
      </c>
      <c r="B1938" s="90" t="s">
        <v>9081</v>
      </c>
      <c r="C1938" s="90" t="s">
        <v>1597</v>
      </c>
      <c r="D1938" s="90" t="s">
        <v>9082</v>
      </c>
      <c r="E1938" s="89" t="s">
        <v>4010</v>
      </c>
      <c r="F1938" s="91">
        <v>605135</v>
      </c>
      <c r="G1938" s="91">
        <v>5100500</v>
      </c>
      <c r="H1938" s="87"/>
      <c r="I1938" s="90" t="s">
        <v>25</v>
      </c>
      <c r="J1938" s="88" t="str">
        <f t="shared" si="30"/>
        <v>重复</v>
      </c>
      <c r="K1938" s="88" t="str">
        <f t="shared" si="30"/>
        <v>不重复</v>
      </c>
    </row>
    <row r="1939" spans="1:11" ht="20.25" customHeight="1">
      <c r="A1939" s="89" t="s">
        <v>10186</v>
      </c>
      <c r="B1939" s="90" t="s">
        <v>9083</v>
      </c>
      <c r="C1939" s="90" t="s">
        <v>1597</v>
      </c>
      <c r="D1939" s="90" t="s">
        <v>4164</v>
      </c>
      <c r="E1939" s="89" t="s">
        <v>4010</v>
      </c>
      <c r="F1939" s="91">
        <v>605136</v>
      </c>
      <c r="G1939" s="91">
        <v>5100500</v>
      </c>
      <c r="H1939" s="87"/>
      <c r="I1939" s="90" t="s">
        <v>9084</v>
      </c>
      <c r="J1939" s="88" t="str">
        <f t="shared" si="30"/>
        <v>重复</v>
      </c>
      <c r="K1939" s="88" t="str">
        <f t="shared" si="30"/>
        <v>不重复</v>
      </c>
    </row>
    <row r="1940" spans="1:11" ht="20.25" customHeight="1">
      <c r="A1940" s="89" t="s">
        <v>10187</v>
      </c>
      <c r="B1940" s="90" t="s">
        <v>9085</v>
      </c>
      <c r="C1940" s="90" t="s">
        <v>9086</v>
      </c>
      <c r="D1940" s="90" t="s">
        <v>9087</v>
      </c>
      <c r="E1940" s="89" t="s">
        <v>4010</v>
      </c>
      <c r="F1940" s="91">
        <v>605137</v>
      </c>
      <c r="G1940" s="91">
        <v>5100500</v>
      </c>
      <c r="H1940" s="87"/>
      <c r="I1940" s="90" t="s">
        <v>25</v>
      </c>
      <c r="J1940" s="88" t="str">
        <f t="shared" si="30"/>
        <v>重复</v>
      </c>
      <c r="K1940" s="88" t="str">
        <f t="shared" si="30"/>
        <v>不重复</v>
      </c>
    </row>
    <row r="1941" spans="1:11" ht="20.25" customHeight="1">
      <c r="A1941" s="89" t="s">
        <v>10188</v>
      </c>
      <c r="B1941" s="90" t="s">
        <v>9088</v>
      </c>
      <c r="C1941" s="90" t="s">
        <v>9089</v>
      </c>
      <c r="D1941" s="90" t="s">
        <v>4163</v>
      </c>
      <c r="E1941" s="89" t="s">
        <v>4010</v>
      </c>
      <c r="F1941" s="91">
        <v>605138</v>
      </c>
      <c r="G1941" s="91">
        <v>5100500</v>
      </c>
      <c r="H1941" s="87"/>
      <c r="I1941" s="90" t="s">
        <v>9090</v>
      </c>
      <c r="J1941" s="88" t="str">
        <f t="shared" si="30"/>
        <v>不重复</v>
      </c>
      <c r="K1941" s="88" t="str">
        <f t="shared" si="30"/>
        <v>不重复</v>
      </c>
    </row>
    <row r="1942" spans="1:11" ht="20.25" customHeight="1">
      <c r="A1942" s="89" t="s">
        <v>10189</v>
      </c>
      <c r="B1942" s="90" t="s">
        <v>9091</v>
      </c>
      <c r="C1942" s="90" t="s">
        <v>9092</v>
      </c>
      <c r="D1942" s="90" t="s">
        <v>9093</v>
      </c>
      <c r="E1942" s="89" t="s">
        <v>4010</v>
      </c>
      <c r="F1942" s="91">
        <v>605139</v>
      </c>
      <c r="G1942" s="91">
        <v>5100500</v>
      </c>
      <c r="H1942" s="87"/>
      <c r="I1942" s="90" t="s">
        <v>25</v>
      </c>
      <c r="J1942" s="88" t="str">
        <f t="shared" si="30"/>
        <v>不重复</v>
      </c>
      <c r="K1942" s="88" t="str">
        <f t="shared" si="30"/>
        <v>不重复</v>
      </c>
    </row>
    <row r="1943" spans="1:11" ht="20.25" customHeight="1">
      <c r="A1943" s="89" t="s">
        <v>10190</v>
      </c>
      <c r="B1943" s="90" t="s">
        <v>9094</v>
      </c>
      <c r="C1943" s="90" t="s">
        <v>9095</v>
      </c>
      <c r="D1943" s="90" t="s">
        <v>1537</v>
      </c>
      <c r="E1943" s="89" t="s">
        <v>4010</v>
      </c>
      <c r="F1943" s="91">
        <v>605140</v>
      </c>
      <c r="G1943" s="91">
        <v>5100500</v>
      </c>
      <c r="H1943" s="87"/>
      <c r="I1943" s="90" t="s">
        <v>9053</v>
      </c>
      <c r="J1943" s="88" t="str">
        <f t="shared" si="30"/>
        <v>不重复</v>
      </c>
      <c r="K1943" s="88" t="str">
        <f t="shared" si="30"/>
        <v>不重复</v>
      </c>
    </row>
    <row r="1944" spans="1:11" ht="20.25" customHeight="1">
      <c r="A1944" s="84" t="s">
        <v>10191</v>
      </c>
      <c r="B1944" s="85" t="s">
        <v>4172</v>
      </c>
      <c r="C1944" s="85" t="s">
        <v>4173</v>
      </c>
      <c r="D1944" s="85" t="s">
        <v>4174</v>
      </c>
      <c r="E1944" s="84" t="s">
        <v>4010</v>
      </c>
      <c r="F1944" s="86">
        <v>605141</v>
      </c>
      <c r="G1944" s="86">
        <v>5100500</v>
      </c>
      <c r="H1944" s="87"/>
      <c r="I1944" s="85" t="s">
        <v>25</v>
      </c>
      <c r="J1944" s="88" t="str">
        <f t="shared" si="30"/>
        <v>不重复</v>
      </c>
      <c r="K1944" s="88" t="str">
        <f t="shared" si="30"/>
        <v>不重复</v>
      </c>
    </row>
    <row r="1945" spans="1:11" ht="20.25" customHeight="1">
      <c r="A1945" s="84" t="s">
        <v>10192</v>
      </c>
      <c r="B1945" s="85" t="s">
        <v>9096</v>
      </c>
      <c r="C1945" s="85" t="s">
        <v>4165</v>
      </c>
      <c r="D1945" s="85" t="s">
        <v>4166</v>
      </c>
      <c r="E1945" s="84" t="s">
        <v>4010</v>
      </c>
      <c r="F1945" s="86">
        <v>605142</v>
      </c>
      <c r="G1945" s="86">
        <v>5100500</v>
      </c>
      <c r="H1945" s="87"/>
      <c r="I1945" s="85" t="s">
        <v>9097</v>
      </c>
      <c r="J1945" s="88" t="str">
        <f t="shared" si="30"/>
        <v>重复</v>
      </c>
      <c r="K1945" s="88" t="str">
        <f t="shared" si="30"/>
        <v>不重复</v>
      </c>
    </row>
    <row r="1946" spans="1:11" ht="20.25" customHeight="1">
      <c r="A1946" s="84" t="s">
        <v>10193</v>
      </c>
      <c r="B1946" s="85" t="s">
        <v>9098</v>
      </c>
      <c r="C1946" s="85" t="s">
        <v>4168</v>
      </c>
      <c r="D1946" s="85" t="s">
        <v>4169</v>
      </c>
      <c r="E1946" s="84" t="s">
        <v>4010</v>
      </c>
      <c r="F1946" s="86">
        <v>605143</v>
      </c>
      <c r="G1946" s="86">
        <v>5100500</v>
      </c>
      <c r="H1946" s="87"/>
      <c r="I1946" s="85" t="s">
        <v>8856</v>
      </c>
      <c r="J1946" s="88" t="str">
        <f t="shared" si="30"/>
        <v>不重复</v>
      </c>
      <c r="K1946" s="88" t="str">
        <f t="shared" si="30"/>
        <v>不重复</v>
      </c>
    </row>
    <row r="1947" spans="1:11" ht="20.25" customHeight="1">
      <c r="A1947" s="84" t="s">
        <v>10194</v>
      </c>
      <c r="B1947" s="85" t="s">
        <v>9099</v>
      </c>
      <c r="C1947" s="85" t="s">
        <v>4170</v>
      </c>
      <c r="D1947" s="85" t="s">
        <v>4171</v>
      </c>
      <c r="E1947" s="84" t="s">
        <v>4010</v>
      </c>
      <c r="F1947" s="86">
        <v>605144</v>
      </c>
      <c r="G1947" s="86">
        <v>5100500</v>
      </c>
      <c r="H1947" s="87"/>
      <c r="I1947" s="85" t="s">
        <v>9100</v>
      </c>
      <c r="J1947" s="88" t="str">
        <f t="shared" si="30"/>
        <v>不重复</v>
      </c>
      <c r="K1947" s="88" t="str">
        <f t="shared" si="30"/>
        <v>不重复</v>
      </c>
    </row>
    <row r="1948" spans="1:11" ht="20.25" customHeight="1">
      <c r="A1948" s="84" t="s">
        <v>10195</v>
      </c>
      <c r="B1948" s="85" t="s">
        <v>9101</v>
      </c>
      <c r="C1948" s="85" t="s">
        <v>1538</v>
      </c>
      <c r="D1948" s="85" t="s">
        <v>4167</v>
      </c>
      <c r="E1948" s="84" t="s">
        <v>4010</v>
      </c>
      <c r="F1948" s="86">
        <v>605145</v>
      </c>
      <c r="G1948" s="86">
        <v>5100500</v>
      </c>
      <c r="H1948" s="87"/>
      <c r="I1948" s="85" t="s">
        <v>9102</v>
      </c>
      <c r="J1948" s="88" t="str">
        <f t="shared" si="30"/>
        <v>不重复</v>
      </c>
      <c r="K1948" s="88" t="str">
        <f t="shared" si="30"/>
        <v>不重复</v>
      </c>
    </row>
    <row r="1949" spans="1:11" ht="20.25" customHeight="1">
      <c r="A1949" s="84" t="s">
        <v>10196</v>
      </c>
      <c r="B1949" s="85" t="s">
        <v>9103</v>
      </c>
      <c r="C1949" s="85" t="s">
        <v>256</v>
      </c>
      <c r="D1949" s="85" t="s">
        <v>9104</v>
      </c>
      <c r="E1949" s="84" t="s">
        <v>4010</v>
      </c>
      <c r="F1949" s="86">
        <v>605146</v>
      </c>
      <c r="G1949" s="86">
        <v>5100500</v>
      </c>
      <c r="H1949" s="87"/>
      <c r="I1949" s="85" t="s">
        <v>25</v>
      </c>
      <c r="J1949" s="88" t="str">
        <f t="shared" si="30"/>
        <v>重复</v>
      </c>
      <c r="K1949" s="88" t="str">
        <f t="shared" si="30"/>
        <v>不重复</v>
      </c>
    </row>
    <row r="1950" spans="1:11" ht="20.25" customHeight="1">
      <c r="A1950" s="84" t="s">
        <v>10197</v>
      </c>
      <c r="B1950" s="85" t="s">
        <v>9105</v>
      </c>
      <c r="C1950" s="85" t="s">
        <v>9106</v>
      </c>
      <c r="D1950" s="85" t="s">
        <v>4143</v>
      </c>
      <c r="E1950" s="84" t="s">
        <v>4010</v>
      </c>
      <c r="F1950" s="86">
        <v>605147</v>
      </c>
      <c r="G1950" s="86">
        <v>5100500</v>
      </c>
      <c r="H1950" s="87"/>
      <c r="I1950" s="85" t="s">
        <v>9053</v>
      </c>
      <c r="J1950" s="88" t="str">
        <f t="shared" si="30"/>
        <v>不重复</v>
      </c>
      <c r="K1950" s="88" t="str">
        <f t="shared" si="30"/>
        <v>不重复</v>
      </c>
    </row>
    <row r="1951" spans="1:11" ht="20.25" customHeight="1">
      <c r="A1951" s="84" t="s">
        <v>10198</v>
      </c>
      <c r="B1951" s="85" t="s">
        <v>4159</v>
      </c>
      <c r="C1951" s="85" t="s">
        <v>4006</v>
      </c>
      <c r="D1951" s="85" t="s">
        <v>4160</v>
      </c>
      <c r="E1951" s="84" t="s">
        <v>4010</v>
      </c>
      <c r="F1951" s="86">
        <v>605148</v>
      </c>
      <c r="G1951" s="86">
        <v>5100500</v>
      </c>
      <c r="H1951" s="87"/>
      <c r="I1951" s="85" t="s">
        <v>25</v>
      </c>
      <c r="J1951" s="88" t="str">
        <f t="shared" si="30"/>
        <v>不重复</v>
      </c>
      <c r="K1951" s="88" t="str">
        <f t="shared" si="30"/>
        <v>不重复</v>
      </c>
    </row>
    <row r="1952" spans="1:11" ht="20.25" customHeight="1">
      <c r="A1952" s="84" t="s">
        <v>10199</v>
      </c>
      <c r="B1952" s="85" t="s">
        <v>9107</v>
      </c>
      <c r="C1952" s="85" t="s">
        <v>9108</v>
      </c>
      <c r="D1952" s="85" t="s">
        <v>4155</v>
      </c>
      <c r="E1952" s="84" t="s">
        <v>4010</v>
      </c>
      <c r="F1952" s="86">
        <v>605149</v>
      </c>
      <c r="G1952" s="86">
        <v>5100500</v>
      </c>
      <c r="H1952" s="87"/>
      <c r="I1952" s="85" t="s">
        <v>8856</v>
      </c>
      <c r="J1952" s="88" t="str">
        <f t="shared" si="30"/>
        <v>不重复</v>
      </c>
      <c r="K1952" s="88" t="str">
        <f t="shared" si="30"/>
        <v>不重复</v>
      </c>
    </row>
    <row r="1953" spans="1:11" ht="20.25" customHeight="1">
      <c r="A1953" s="84" t="s">
        <v>10200</v>
      </c>
      <c r="B1953" s="85" t="s">
        <v>9109</v>
      </c>
      <c r="C1953" s="85" t="s">
        <v>9110</v>
      </c>
      <c r="D1953" s="85" t="s">
        <v>4158</v>
      </c>
      <c r="E1953" s="84" t="s">
        <v>4010</v>
      </c>
      <c r="F1953" s="86">
        <v>605150</v>
      </c>
      <c r="G1953" s="86">
        <v>5100500</v>
      </c>
      <c r="H1953" s="87"/>
      <c r="I1953" s="85" t="s">
        <v>8908</v>
      </c>
      <c r="J1953" s="88" t="str">
        <f t="shared" si="30"/>
        <v>不重复</v>
      </c>
      <c r="K1953" s="88" t="str">
        <f t="shared" si="30"/>
        <v>不重复</v>
      </c>
    </row>
    <row r="1954" spans="1:11" ht="20.25" customHeight="1">
      <c r="A1954" s="84" t="s">
        <v>10201</v>
      </c>
      <c r="B1954" s="85" t="s">
        <v>9111</v>
      </c>
      <c r="C1954" s="85" t="s">
        <v>2482</v>
      </c>
      <c r="D1954" s="85" t="s">
        <v>4157</v>
      </c>
      <c r="E1954" s="84" t="s">
        <v>4010</v>
      </c>
      <c r="F1954" s="86">
        <v>605151</v>
      </c>
      <c r="G1954" s="86">
        <v>5100500</v>
      </c>
      <c r="H1954" s="87"/>
      <c r="I1954" s="85" t="s">
        <v>9050</v>
      </c>
      <c r="J1954" s="88" t="str">
        <f t="shared" si="30"/>
        <v>重复</v>
      </c>
      <c r="K1954" s="88" t="str">
        <f t="shared" si="30"/>
        <v>不重复</v>
      </c>
    </row>
    <row r="1955" spans="1:11" ht="20.25" customHeight="1">
      <c r="A1955" s="84" t="s">
        <v>10202</v>
      </c>
      <c r="B1955" s="85" t="s">
        <v>9112</v>
      </c>
      <c r="C1955" s="85" t="s">
        <v>167</v>
      </c>
      <c r="D1955" s="85" t="s">
        <v>4156</v>
      </c>
      <c r="E1955" s="84" t="s">
        <v>4010</v>
      </c>
      <c r="F1955" s="86">
        <v>605152</v>
      </c>
      <c r="G1955" s="86">
        <v>5100500</v>
      </c>
      <c r="H1955" s="87"/>
      <c r="I1955" s="85" t="s">
        <v>9113</v>
      </c>
      <c r="J1955" s="88" t="str">
        <f t="shared" si="30"/>
        <v>重复</v>
      </c>
      <c r="K1955" s="88" t="str">
        <f t="shared" si="30"/>
        <v>不重复</v>
      </c>
    </row>
    <row r="1956" spans="1:11" ht="20.25" customHeight="1">
      <c r="A1956" s="84" t="s">
        <v>10203</v>
      </c>
      <c r="B1956" s="85" t="s">
        <v>9114</v>
      </c>
      <c r="C1956" s="85" t="s">
        <v>9115</v>
      </c>
      <c r="D1956" s="85" t="s">
        <v>9116</v>
      </c>
      <c r="E1956" s="84" t="s">
        <v>4010</v>
      </c>
      <c r="F1956" s="86">
        <v>605153</v>
      </c>
      <c r="G1956" s="86">
        <v>5100500</v>
      </c>
      <c r="H1956" s="87"/>
      <c r="I1956" s="85" t="s">
        <v>25</v>
      </c>
      <c r="J1956" s="88" t="str">
        <f t="shared" si="30"/>
        <v>不重复</v>
      </c>
      <c r="K1956" s="88" t="str">
        <f t="shared" si="30"/>
        <v>不重复</v>
      </c>
    </row>
    <row r="1957" spans="1:11" ht="20.25" customHeight="1">
      <c r="A1957" s="84" t="s">
        <v>10204</v>
      </c>
      <c r="B1957" s="85" t="s">
        <v>9117</v>
      </c>
      <c r="C1957" s="85" t="s">
        <v>2476</v>
      </c>
      <c r="D1957" s="85" t="s">
        <v>4162</v>
      </c>
      <c r="E1957" s="84" t="s">
        <v>4010</v>
      </c>
      <c r="F1957" s="86">
        <v>605154</v>
      </c>
      <c r="G1957" s="86">
        <v>5100500</v>
      </c>
      <c r="H1957" s="87"/>
      <c r="I1957" s="85" t="s">
        <v>8869</v>
      </c>
      <c r="J1957" s="88" t="str">
        <f t="shared" si="30"/>
        <v>不重复</v>
      </c>
      <c r="K1957" s="88" t="str">
        <f t="shared" si="30"/>
        <v>不重复</v>
      </c>
    </row>
    <row r="1958" spans="1:11" ht="20.25" customHeight="1">
      <c r="A1958" s="84" t="s">
        <v>10205</v>
      </c>
      <c r="B1958" s="85" t="s">
        <v>9118</v>
      </c>
      <c r="C1958" s="85" t="s">
        <v>9086</v>
      </c>
      <c r="D1958" s="85" t="s">
        <v>9119</v>
      </c>
      <c r="E1958" s="84" t="s">
        <v>4010</v>
      </c>
      <c r="F1958" s="86">
        <v>605155</v>
      </c>
      <c r="G1958" s="86">
        <v>5100500</v>
      </c>
      <c r="H1958" s="87"/>
      <c r="I1958" s="85" t="s">
        <v>25</v>
      </c>
      <c r="J1958" s="88" t="str">
        <f t="shared" si="30"/>
        <v>重复</v>
      </c>
      <c r="K1958" s="88" t="str">
        <f t="shared" si="30"/>
        <v>不重复</v>
      </c>
    </row>
    <row r="1959" spans="1:11" ht="20.25" customHeight="1">
      <c r="A1959" s="84" t="s">
        <v>10206</v>
      </c>
      <c r="B1959" s="85" t="s">
        <v>9120</v>
      </c>
      <c r="C1959" s="85" t="s">
        <v>9121</v>
      </c>
      <c r="D1959" s="85" t="s">
        <v>4176</v>
      </c>
      <c r="E1959" s="84" t="s">
        <v>4010</v>
      </c>
      <c r="F1959" s="86">
        <v>605156</v>
      </c>
      <c r="G1959" s="86">
        <v>5100500</v>
      </c>
      <c r="H1959" s="87"/>
      <c r="I1959" s="85" t="s">
        <v>9050</v>
      </c>
      <c r="J1959" s="88" t="str">
        <f t="shared" si="30"/>
        <v>不重复</v>
      </c>
      <c r="K1959" s="88" t="str">
        <f t="shared" si="30"/>
        <v>不重复</v>
      </c>
    </row>
    <row r="1960" spans="1:11" ht="20.25" customHeight="1">
      <c r="A1960" s="84" t="s">
        <v>10207</v>
      </c>
      <c r="B1960" s="85" t="s">
        <v>9122</v>
      </c>
      <c r="C1960" s="85" t="s">
        <v>9123</v>
      </c>
      <c r="D1960" s="85" t="s">
        <v>4175</v>
      </c>
      <c r="E1960" s="84" t="s">
        <v>4010</v>
      </c>
      <c r="F1960" s="86">
        <v>605157</v>
      </c>
      <c r="G1960" s="86">
        <v>5100500</v>
      </c>
      <c r="H1960" s="87"/>
      <c r="I1960" s="85" t="s">
        <v>9124</v>
      </c>
      <c r="J1960" s="88" t="str">
        <f t="shared" si="30"/>
        <v>不重复</v>
      </c>
      <c r="K1960" s="88" t="str">
        <f t="shared" si="30"/>
        <v>不重复</v>
      </c>
    </row>
    <row r="1961" spans="1:11" ht="20.25" customHeight="1">
      <c r="A1961" s="84" t="s">
        <v>10208</v>
      </c>
      <c r="B1961" s="85" t="s">
        <v>9125</v>
      </c>
      <c r="C1961" s="85" t="s">
        <v>3730</v>
      </c>
      <c r="D1961" s="85" t="s">
        <v>4177</v>
      </c>
      <c r="E1961" s="84" t="s">
        <v>4010</v>
      </c>
      <c r="F1961" s="86">
        <v>605158</v>
      </c>
      <c r="G1961" s="86">
        <v>5100500</v>
      </c>
      <c r="H1961" s="87"/>
      <c r="I1961" s="85" t="s">
        <v>8856</v>
      </c>
      <c r="J1961" s="88" t="str">
        <f t="shared" si="30"/>
        <v>重复</v>
      </c>
      <c r="K1961" s="88" t="str">
        <f t="shared" si="30"/>
        <v>不重复</v>
      </c>
    </row>
    <row r="1962" spans="1:11" ht="20.25" customHeight="1">
      <c r="A1962" s="89" t="s">
        <v>10209</v>
      </c>
      <c r="B1962" s="90" t="s">
        <v>9126</v>
      </c>
      <c r="C1962" s="90" t="s">
        <v>1582</v>
      </c>
      <c r="D1962" s="90" t="s">
        <v>4183</v>
      </c>
      <c r="E1962" s="89" t="s">
        <v>4010</v>
      </c>
      <c r="F1962" s="91">
        <v>605160</v>
      </c>
      <c r="G1962" s="91">
        <v>5100500</v>
      </c>
      <c r="H1962" s="87"/>
      <c r="I1962" s="90" t="s">
        <v>8894</v>
      </c>
      <c r="J1962" s="88" t="str">
        <f t="shared" si="30"/>
        <v>不重复</v>
      </c>
      <c r="K1962" s="88" t="str">
        <f t="shared" si="30"/>
        <v>不重复</v>
      </c>
    </row>
    <row r="1963" spans="1:11" ht="20.25" customHeight="1">
      <c r="A1963" s="89" t="s">
        <v>10210</v>
      </c>
      <c r="B1963" s="90" t="s">
        <v>9127</v>
      </c>
      <c r="C1963" s="90" t="s">
        <v>9128</v>
      </c>
      <c r="D1963" s="90" t="s">
        <v>4186</v>
      </c>
      <c r="E1963" s="89" t="s">
        <v>4010</v>
      </c>
      <c r="F1963" s="91">
        <v>605161</v>
      </c>
      <c r="G1963" s="91">
        <v>5100500</v>
      </c>
      <c r="H1963" s="87"/>
      <c r="I1963" s="90" t="s">
        <v>9129</v>
      </c>
      <c r="J1963" s="88" t="str">
        <f t="shared" si="30"/>
        <v>不重复</v>
      </c>
      <c r="K1963" s="88" t="str">
        <f t="shared" si="30"/>
        <v>不重复</v>
      </c>
    </row>
    <row r="1964" spans="1:11" ht="20.25" customHeight="1">
      <c r="A1964" s="89" t="s">
        <v>10211</v>
      </c>
      <c r="B1964" s="90" t="s">
        <v>9130</v>
      </c>
      <c r="C1964" s="90" t="s">
        <v>5750</v>
      </c>
      <c r="D1964" s="90" t="s">
        <v>4184</v>
      </c>
      <c r="E1964" s="89" t="s">
        <v>4010</v>
      </c>
      <c r="F1964" s="91">
        <v>605162</v>
      </c>
      <c r="G1964" s="91">
        <v>5100500</v>
      </c>
      <c r="H1964" s="87"/>
      <c r="I1964" s="90" t="s">
        <v>9131</v>
      </c>
      <c r="J1964" s="88" t="str">
        <f t="shared" si="30"/>
        <v>重复</v>
      </c>
      <c r="K1964" s="88" t="str">
        <f t="shared" si="30"/>
        <v>不重复</v>
      </c>
    </row>
    <row r="1965" spans="1:11" ht="20.25" customHeight="1">
      <c r="A1965" s="89" t="s">
        <v>10212</v>
      </c>
      <c r="B1965" s="90" t="s">
        <v>9132</v>
      </c>
      <c r="C1965" s="90" t="s">
        <v>9133</v>
      </c>
      <c r="D1965" s="90" t="s">
        <v>4185</v>
      </c>
      <c r="E1965" s="89" t="s">
        <v>4010</v>
      </c>
      <c r="F1965" s="91">
        <v>605163</v>
      </c>
      <c r="G1965" s="91">
        <v>5100500</v>
      </c>
      <c r="H1965" s="87"/>
      <c r="I1965" s="90" t="s">
        <v>8894</v>
      </c>
      <c r="J1965" s="88" t="str">
        <f t="shared" si="30"/>
        <v>不重复</v>
      </c>
      <c r="K1965" s="88" t="str">
        <f t="shared" si="30"/>
        <v>不重复</v>
      </c>
    </row>
    <row r="1966" spans="1:11" ht="20.25" customHeight="1">
      <c r="A1966" s="89" t="s">
        <v>10213</v>
      </c>
      <c r="B1966" s="90" t="s">
        <v>9134</v>
      </c>
      <c r="C1966" s="90" t="s">
        <v>5937</v>
      </c>
      <c r="D1966" s="90" t="s">
        <v>4187</v>
      </c>
      <c r="E1966" s="89" t="s">
        <v>4010</v>
      </c>
      <c r="F1966" s="91">
        <v>605164</v>
      </c>
      <c r="G1966" s="91">
        <v>5100500</v>
      </c>
      <c r="H1966" s="87"/>
      <c r="I1966" s="90" t="s">
        <v>8894</v>
      </c>
      <c r="J1966" s="88" t="str">
        <f t="shared" si="30"/>
        <v>重复</v>
      </c>
      <c r="K1966" s="88" t="str">
        <f t="shared" si="30"/>
        <v>不重复</v>
      </c>
    </row>
    <row r="1967" spans="1:11" ht="20.25" customHeight="1">
      <c r="A1967" s="89" t="s">
        <v>10214</v>
      </c>
      <c r="B1967" s="90" t="s">
        <v>9135</v>
      </c>
      <c r="C1967" s="90" t="s">
        <v>9136</v>
      </c>
      <c r="D1967" s="90" t="s">
        <v>9137</v>
      </c>
      <c r="E1967" s="89" t="s">
        <v>4010</v>
      </c>
      <c r="F1967" s="91">
        <v>605165</v>
      </c>
      <c r="G1967" s="91">
        <v>5100500</v>
      </c>
      <c r="H1967" s="87"/>
      <c r="I1967" s="90" t="s">
        <v>25</v>
      </c>
      <c r="J1967" s="88" t="str">
        <f t="shared" si="30"/>
        <v>不重复</v>
      </c>
      <c r="K1967" s="88" t="str">
        <f t="shared" si="30"/>
        <v>不重复</v>
      </c>
    </row>
    <row r="1968" spans="1:11" ht="20.25" customHeight="1">
      <c r="A1968" s="89" t="s">
        <v>10215</v>
      </c>
      <c r="B1968" s="90" t="s">
        <v>9138</v>
      </c>
      <c r="C1968" s="90" t="s">
        <v>9139</v>
      </c>
      <c r="D1968" s="90" t="s">
        <v>4179</v>
      </c>
      <c r="E1968" s="89" t="s">
        <v>4010</v>
      </c>
      <c r="F1968" s="91">
        <v>605166</v>
      </c>
      <c r="G1968" s="91">
        <v>5100500</v>
      </c>
      <c r="H1968" s="87"/>
      <c r="I1968" s="90" t="s">
        <v>1914</v>
      </c>
      <c r="J1968" s="88" t="str">
        <f t="shared" si="30"/>
        <v>不重复</v>
      </c>
      <c r="K1968" s="88" t="str">
        <f t="shared" si="30"/>
        <v>不重复</v>
      </c>
    </row>
    <row r="1969" spans="1:11" ht="20.25" customHeight="1">
      <c r="A1969" s="89" t="s">
        <v>10216</v>
      </c>
      <c r="B1969" s="90" t="s">
        <v>9140</v>
      </c>
      <c r="C1969" s="90" t="s">
        <v>1447</v>
      </c>
      <c r="D1969" s="90" t="s">
        <v>4178</v>
      </c>
      <c r="E1969" s="89" t="s">
        <v>4010</v>
      </c>
      <c r="F1969" s="91">
        <v>605167</v>
      </c>
      <c r="G1969" s="91">
        <v>5100500</v>
      </c>
      <c r="H1969" s="87"/>
      <c r="I1969" s="90" t="s">
        <v>8894</v>
      </c>
      <c r="J1969" s="88" t="str">
        <f t="shared" si="30"/>
        <v>重复</v>
      </c>
      <c r="K1969" s="88" t="str">
        <f t="shared" si="30"/>
        <v>不重复</v>
      </c>
    </row>
    <row r="1970" spans="1:11" ht="20.25" customHeight="1">
      <c r="A1970" s="84" t="s">
        <v>10217</v>
      </c>
      <c r="B1970" s="85" t="s">
        <v>4180</v>
      </c>
      <c r="C1970" s="85" t="s">
        <v>2399</v>
      </c>
      <c r="D1970" s="85" t="s">
        <v>9141</v>
      </c>
      <c r="E1970" s="84" t="s">
        <v>4010</v>
      </c>
      <c r="F1970" s="86">
        <v>605168</v>
      </c>
      <c r="G1970" s="86">
        <v>5100500</v>
      </c>
      <c r="H1970" s="87"/>
      <c r="I1970" s="85" t="s">
        <v>25</v>
      </c>
      <c r="J1970" s="88" t="str">
        <f t="shared" si="30"/>
        <v>重复</v>
      </c>
      <c r="K1970" s="88" t="str">
        <f t="shared" si="30"/>
        <v>不重复</v>
      </c>
    </row>
    <row r="1971" spans="1:11" ht="20.25" customHeight="1">
      <c r="A1971" s="84" t="s">
        <v>10218</v>
      </c>
      <c r="B1971" s="85" t="s">
        <v>9142</v>
      </c>
      <c r="C1971" s="85" t="s">
        <v>9143</v>
      </c>
      <c r="D1971" s="85" t="s">
        <v>2260</v>
      </c>
      <c r="E1971" s="84" t="s">
        <v>4010</v>
      </c>
      <c r="F1971" s="86">
        <v>605169</v>
      </c>
      <c r="G1971" s="86">
        <v>5100500</v>
      </c>
      <c r="H1971" s="87"/>
      <c r="I1971" s="85" t="s">
        <v>8894</v>
      </c>
      <c r="J1971" s="88" t="str">
        <f t="shared" si="30"/>
        <v>不重复</v>
      </c>
      <c r="K1971" s="88" t="str">
        <f t="shared" si="30"/>
        <v>不重复</v>
      </c>
    </row>
    <row r="1972" spans="1:11" ht="20.25" customHeight="1">
      <c r="A1972" s="84" t="s">
        <v>10219</v>
      </c>
      <c r="B1972" s="85" t="s">
        <v>9144</v>
      </c>
      <c r="C1972" s="85" t="s">
        <v>1885</v>
      </c>
      <c r="D1972" s="85" t="s">
        <v>9145</v>
      </c>
      <c r="E1972" s="84" t="s">
        <v>4010</v>
      </c>
      <c r="F1972" s="86">
        <v>605170</v>
      </c>
      <c r="G1972" s="86">
        <v>5100500</v>
      </c>
      <c r="H1972" s="87"/>
      <c r="I1972" s="85" t="s">
        <v>9146</v>
      </c>
      <c r="J1972" s="88" t="str">
        <f t="shared" si="30"/>
        <v>重复</v>
      </c>
      <c r="K1972" s="88" t="str">
        <f t="shared" si="30"/>
        <v>不重复</v>
      </c>
    </row>
    <row r="1973" spans="1:11" ht="20.25" customHeight="1">
      <c r="A1973" s="84" t="s">
        <v>10220</v>
      </c>
      <c r="B1973" s="85" t="s">
        <v>9147</v>
      </c>
      <c r="C1973" s="85" t="s">
        <v>9148</v>
      </c>
      <c r="D1973" s="85" t="s">
        <v>9149</v>
      </c>
      <c r="E1973" s="84" t="s">
        <v>4010</v>
      </c>
      <c r="F1973" s="86">
        <v>605171</v>
      </c>
      <c r="G1973" s="86">
        <v>5100500</v>
      </c>
      <c r="H1973" s="87"/>
      <c r="I1973" s="85" t="s">
        <v>3999</v>
      </c>
      <c r="J1973" s="88" t="str">
        <f t="shared" si="30"/>
        <v>不重复</v>
      </c>
      <c r="K1973" s="88" t="str">
        <f t="shared" si="30"/>
        <v>不重复</v>
      </c>
    </row>
    <row r="1974" spans="1:11" ht="20.25" customHeight="1">
      <c r="A1974" s="84" t="s">
        <v>10221</v>
      </c>
      <c r="B1974" s="85" t="s">
        <v>9150</v>
      </c>
      <c r="C1974" s="85" t="s">
        <v>1070</v>
      </c>
      <c r="D1974" s="85" t="s">
        <v>9151</v>
      </c>
      <c r="E1974" s="84" t="s">
        <v>4010</v>
      </c>
      <c r="F1974" s="86">
        <v>605172</v>
      </c>
      <c r="G1974" s="86">
        <v>5100500</v>
      </c>
      <c r="H1974" s="87"/>
      <c r="I1974" s="85" t="s">
        <v>9129</v>
      </c>
      <c r="J1974" s="88" t="str">
        <f t="shared" si="30"/>
        <v>重复</v>
      </c>
      <c r="K1974" s="88" t="str">
        <f t="shared" si="30"/>
        <v>不重复</v>
      </c>
    </row>
    <row r="1975" spans="1:11" ht="20.25" customHeight="1">
      <c r="A1975" s="84" t="s">
        <v>10222</v>
      </c>
      <c r="B1975" s="85" t="s">
        <v>9152</v>
      </c>
      <c r="C1975" s="85" t="s">
        <v>9153</v>
      </c>
      <c r="D1975" s="85" t="s">
        <v>9154</v>
      </c>
      <c r="E1975" s="84" t="s">
        <v>4010</v>
      </c>
      <c r="F1975" s="86">
        <v>605173</v>
      </c>
      <c r="G1975" s="86">
        <v>5100500</v>
      </c>
      <c r="H1975" s="87"/>
      <c r="I1975" s="85" t="s">
        <v>25</v>
      </c>
      <c r="J1975" s="88" t="str">
        <f t="shared" si="30"/>
        <v>不重复</v>
      </c>
      <c r="K1975" s="88" t="str">
        <f t="shared" si="30"/>
        <v>不重复</v>
      </c>
    </row>
    <row r="1976" spans="1:11" ht="20.25" customHeight="1">
      <c r="A1976" s="84" t="s">
        <v>10223</v>
      </c>
      <c r="B1976" s="85" t="s">
        <v>9155</v>
      </c>
      <c r="C1976" s="85" t="s">
        <v>9156</v>
      </c>
      <c r="D1976" s="85" t="s">
        <v>4182</v>
      </c>
      <c r="E1976" s="84" t="s">
        <v>4010</v>
      </c>
      <c r="F1976" s="86">
        <v>605174</v>
      </c>
      <c r="G1976" s="86">
        <v>5100500</v>
      </c>
      <c r="H1976" s="87"/>
      <c r="I1976" s="85" t="s">
        <v>8856</v>
      </c>
      <c r="J1976" s="88" t="str">
        <f t="shared" si="30"/>
        <v>不重复</v>
      </c>
      <c r="K1976" s="88" t="str">
        <f t="shared" si="30"/>
        <v>不重复</v>
      </c>
    </row>
    <row r="1977" spans="1:11" ht="20.25" customHeight="1">
      <c r="A1977" s="84" t="s">
        <v>10224</v>
      </c>
      <c r="B1977" s="85" t="s">
        <v>9157</v>
      </c>
      <c r="C1977" s="85" t="s">
        <v>1824</v>
      </c>
      <c r="D1977" s="85" t="s">
        <v>4181</v>
      </c>
      <c r="E1977" s="84" t="s">
        <v>4010</v>
      </c>
      <c r="F1977" s="86">
        <v>605175</v>
      </c>
      <c r="G1977" s="86">
        <v>5100500</v>
      </c>
      <c r="H1977" s="87"/>
      <c r="I1977" s="85" t="s">
        <v>8894</v>
      </c>
      <c r="J1977" s="88" t="str">
        <f t="shared" si="30"/>
        <v>重复</v>
      </c>
      <c r="K1977" s="88" t="str">
        <f t="shared" si="30"/>
        <v>不重复</v>
      </c>
    </row>
    <row r="1978" spans="1:11" ht="20.25" customHeight="1">
      <c r="A1978" s="84" t="s">
        <v>10225</v>
      </c>
      <c r="B1978" s="85" t="s">
        <v>9158</v>
      </c>
      <c r="C1978" s="85" t="s">
        <v>9159</v>
      </c>
      <c r="D1978" s="85" t="s">
        <v>9160</v>
      </c>
      <c r="E1978" s="84" t="s">
        <v>4010</v>
      </c>
      <c r="F1978" s="86">
        <v>605176</v>
      </c>
      <c r="G1978" s="86">
        <v>5100500</v>
      </c>
      <c r="H1978" s="87"/>
      <c r="I1978" s="85" t="s">
        <v>25</v>
      </c>
      <c r="J1978" s="88" t="str">
        <f t="shared" si="30"/>
        <v>重复</v>
      </c>
      <c r="K1978" s="88" t="str">
        <f t="shared" si="30"/>
        <v>不重复</v>
      </c>
    </row>
    <row r="1979" spans="1:11" ht="20.25" customHeight="1">
      <c r="A1979" s="84" t="s">
        <v>10226</v>
      </c>
      <c r="B1979" s="85" t="s">
        <v>9161</v>
      </c>
      <c r="C1979" s="85" t="s">
        <v>4034</v>
      </c>
      <c r="D1979" s="85" t="s">
        <v>9162</v>
      </c>
      <c r="E1979" s="84" t="s">
        <v>4010</v>
      </c>
      <c r="F1979" s="86">
        <v>605177</v>
      </c>
      <c r="G1979" s="86">
        <v>5100500</v>
      </c>
      <c r="H1979" s="87"/>
      <c r="I1979" s="85" t="s">
        <v>9050</v>
      </c>
      <c r="J1979" s="88" t="str">
        <f t="shared" si="30"/>
        <v>不重复</v>
      </c>
      <c r="K1979" s="88" t="str">
        <f t="shared" si="30"/>
        <v>不重复</v>
      </c>
    </row>
    <row r="1980" spans="1:11" ht="20.25" customHeight="1">
      <c r="A1980" s="84" t="s">
        <v>10227</v>
      </c>
      <c r="B1980" s="85" t="s">
        <v>9163</v>
      </c>
      <c r="C1980" s="85" t="s">
        <v>2305</v>
      </c>
      <c r="D1980" s="85" t="s">
        <v>9164</v>
      </c>
      <c r="E1980" s="84" t="s">
        <v>4010</v>
      </c>
      <c r="F1980" s="86">
        <v>605178</v>
      </c>
      <c r="G1980" s="86">
        <v>5100500</v>
      </c>
      <c r="H1980" s="87"/>
      <c r="I1980" s="85" t="s">
        <v>9050</v>
      </c>
      <c r="J1980" s="88" t="str">
        <f t="shared" si="30"/>
        <v>重复</v>
      </c>
      <c r="K1980" s="88" t="str">
        <f t="shared" si="30"/>
        <v>不重复</v>
      </c>
    </row>
    <row r="1981" spans="1:11" ht="20.25" customHeight="1">
      <c r="A1981" s="84" t="s">
        <v>10228</v>
      </c>
      <c r="B1981" s="85" t="s">
        <v>9165</v>
      </c>
      <c r="C1981" s="85" t="s">
        <v>2824</v>
      </c>
      <c r="D1981" s="85" t="s">
        <v>9166</v>
      </c>
      <c r="E1981" s="84" t="s">
        <v>4010</v>
      </c>
      <c r="F1981" s="86">
        <v>605179</v>
      </c>
      <c r="G1981" s="86">
        <v>5100500</v>
      </c>
      <c r="H1981" s="87"/>
      <c r="I1981" s="85" t="s">
        <v>9050</v>
      </c>
      <c r="J1981" s="88" t="str">
        <f t="shared" si="30"/>
        <v>重复</v>
      </c>
      <c r="K1981" s="88" t="str">
        <f t="shared" si="30"/>
        <v>不重复</v>
      </c>
    </row>
    <row r="1982" spans="1:11" ht="20.25" customHeight="1">
      <c r="A1982" s="84" t="s">
        <v>10229</v>
      </c>
      <c r="B1982" s="85" t="s">
        <v>9167</v>
      </c>
      <c r="C1982" s="85" t="s">
        <v>9168</v>
      </c>
      <c r="D1982" s="85" t="s">
        <v>9169</v>
      </c>
      <c r="E1982" s="84" t="s">
        <v>4010</v>
      </c>
      <c r="F1982" s="86">
        <v>605180</v>
      </c>
      <c r="G1982" s="86">
        <v>5100500</v>
      </c>
      <c r="H1982" s="87"/>
      <c r="I1982" s="85" t="s">
        <v>25</v>
      </c>
      <c r="J1982" s="88" t="str">
        <f t="shared" si="30"/>
        <v>不重复</v>
      </c>
      <c r="K1982" s="88" t="str">
        <f t="shared" si="30"/>
        <v>不重复</v>
      </c>
    </row>
    <row r="1983" spans="1:11" ht="20.25" customHeight="1">
      <c r="A1983" s="84" t="s">
        <v>10230</v>
      </c>
      <c r="B1983" s="85" t="s">
        <v>9170</v>
      </c>
      <c r="C1983" s="85" t="s">
        <v>9171</v>
      </c>
      <c r="D1983" s="85" t="s">
        <v>4188</v>
      </c>
      <c r="E1983" s="84" t="s">
        <v>4010</v>
      </c>
      <c r="F1983" s="86">
        <v>605181</v>
      </c>
      <c r="G1983" s="86">
        <v>5100500</v>
      </c>
      <c r="H1983" s="87"/>
      <c r="I1983" s="85" t="s">
        <v>8894</v>
      </c>
      <c r="J1983" s="88" t="str">
        <f t="shared" si="30"/>
        <v>不重复</v>
      </c>
      <c r="K1983" s="88" t="str">
        <f t="shared" si="30"/>
        <v>不重复</v>
      </c>
    </row>
    <row r="1984" spans="1:11" ht="20.25" customHeight="1">
      <c r="A1984" s="89" t="s">
        <v>9172</v>
      </c>
      <c r="B1984" s="90" t="s">
        <v>9173</v>
      </c>
      <c r="C1984" s="90" t="s">
        <v>4192</v>
      </c>
      <c r="D1984" s="90" t="s">
        <v>4193</v>
      </c>
      <c r="E1984" s="89" t="s">
        <v>4010</v>
      </c>
      <c r="F1984" s="91">
        <v>605182</v>
      </c>
      <c r="G1984" s="91">
        <v>5100500</v>
      </c>
      <c r="H1984" s="87"/>
      <c r="I1984" s="90" t="s">
        <v>25</v>
      </c>
      <c r="J1984" s="88" t="str">
        <f t="shared" si="30"/>
        <v>重复</v>
      </c>
      <c r="K1984" s="88" t="str">
        <f t="shared" si="30"/>
        <v>不重复</v>
      </c>
    </row>
    <row r="1985" spans="1:11" ht="20.25" customHeight="1">
      <c r="A1985" s="84" t="s">
        <v>9174</v>
      </c>
      <c r="B1985" s="85" t="s">
        <v>9175</v>
      </c>
      <c r="C1985" s="85" t="s">
        <v>4031</v>
      </c>
      <c r="D1985" s="85" t="s">
        <v>9176</v>
      </c>
      <c r="E1985" s="84" t="s">
        <v>4010</v>
      </c>
      <c r="F1985" s="86">
        <v>605183</v>
      </c>
      <c r="G1985" s="86">
        <v>5100500</v>
      </c>
      <c r="H1985" s="87"/>
      <c r="I1985" s="85" t="s">
        <v>25</v>
      </c>
      <c r="J1985" s="88" t="str">
        <f t="shared" si="30"/>
        <v>不重复</v>
      </c>
      <c r="K1985" s="88" t="str">
        <f t="shared" si="30"/>
        <v>不重复</v>
      </c>
    </row>
    <row r="1986" spans="1:11" ht="20.25" customHeight="1">
      <c r="A1986" s="84" t="s">
        <v>4022</v>
      </c>
      <c r="B1986" s="85" t="s">
        <v>4023</v>
      </c>
      <c r="C1986" s="85" t="s">
        <v>3111</v>
      </c>
      <c r="D1986" s="85" t="s">
        <v>4024</v>
      </c>
      <c r="E1986" s="84" t="s">
        <v>4010</v>
      </c>
      <c r="F1986" s="86">
        <v>605184</v>
      </c>
      <c r="G1986" s="86">
        <v>5100500</v>
      </c>
      <c r="H1986" s="87"/>
      <c r="I1986" s="85" t="s">
        <v>25</v>
      </c>
      <c r="J1986" s="88" t="str">
        <f t="shared" si="30"/>
        <v>重复</v>
      </c>
      <c r="K1986" s="88" t="str">
        <f t="shared" si="30"/>
        <v>不重复</v>
      </c>
    </row>
    <row r="1987" spans="1:11" ht="20.25" customHeight="1">
      <c r="A1987" s="89" t="s">
        <v>4014</v>
      </c>
      <c r="B1987" s="90" t="s">
        <v>4015</v>
      </c>
      <c r="C1987" s="90" t="s">
        <v>9177</v>
      </c>
      <c r="D1987" s="90" t="s">
        <v>4016</v>
      </c>
      <c r="E1987" s="89" t="s">
        <v>4010</v>
      </c>
      <c r="F1987" s="91">
        <v>605185</v>
      </c>
      <c r="G1987" s="91">
        <v>5100500</v>
      </c>
      <c r="H1987" s="87"/>
      <c r="I1987" s="90" t="s">
        <v>25</v>
      </c>
      <c r="J1987" s="88" t="str">
        <f t="shared" si="31" ref="J1987:K2050">IF(COUNTIF(C:C,C1987)&gt;=2,"重复","不重复")</f>
        <v>不重复</v>
      </c>
      <c r="K1987" s="88" t="str">
        <f t="shared" si="31"/>
        <v>不重复</v>
      </c>
    </row>
    <row r="1988" spans="1:11" ht="20.25" customHeight="1">
      <c r="A1988" s="84" t="s">
        <v>9178</v>
      </c>
      <c r="B1988" s="85" t="s">
        <v>9179</v>
      </c>
      <c r="C1988" s="85" t="s">
        <v>4192</v>
      </c>
      <c r="D1988" s="85" t="s">
        <v>9180</v>
      </c>
      <c r="E1988" s="84" t="s">
        <v>4010</v>
      </c>
      <c r="F1988" s="86">
        <v>605186</v>
      </c>
      <c r="G1988" s="86">
        <v>5100500</v>
      </c>
      <c r="H1988" s="87"/>
      <c r="I1988" s="85" t="s">
        <v>25</v>
      </c>
      <c r="J1988" s="88" t="str">
        <f t="shared" si="31"/>
        <v>重复</v>
      </c>
      <c r="K1988" s="88" t="str">
        <f t="shared" si="31"/>
        <v>不重复</v>
      </c>
    </row>
    <row r="1989" spans="1:11" ht="20.25" customHeight="1">
      <c r="A1989" s="84" t="s">
        <v>9181</v>
      </c>
      <c r="B1989" s="85" t="s">
        <v>9182</v>
      </c>
      <c r="C1989" s="85" t="s">
        <v>654</v>
      </c>
      <c r="D1989" s="85" t="s">
        <v>9183</v>
      </c>
      <c r="E1989" s="84" t="s">
        <v>4010</v>
      </c>
      <c r="F1989" s="86">
        <v>605187</v>
      </c>
      <c r="G1989" s="86">
        <v>5100500</v>
      </c>
      <c r="H1989" s="87"/>
      <c r="I1989" s="85" t="s">
        <v>25</v>
      </c>
      <c r="J1989" s="88" t="str">
        <f t="shared" si="31"/>
        <v>不重复</v>
      </c>
      <c r="K1989" s="88" t="str">
        <f t="shared" si="31"/>
        <v>不重复</v>
      </c>
    </row>
    <row r="1990" spans="1:11" ht="20.25" customHeight="1">
      <c r="A1990" s="84" t="s">
        <v>4025</v>
      </c>
      <c r="B1990" s="85" t="s">
        <v>9184</v>
      </c>
      <c r="C1990" s="85" t="s">
        <v>9185</v>
      </c>
      <c r="D1990" s="85" t="s">
        <v>9186</v>
      </c>
      <c r="E1990" s="84" t="s">
        <v>4010</v>
      </c>
      <c r="F1990" s="86">
        <v>605188</v>
      </c>
      <c r="G1990" s="86">
        <v>5100500</v>
      </c>
      <c r="H1990" s="87"/>
      <c r="I1990" s="85" t="s">
        <v>4035</v>
      </c>
      <c r="J1990" s="88" t="str">
        <f t="shared" si="31"/>
        <v>不重复</v>
      </c>
      <c r="K1990" s="88" t="str">
        <f t="shared" si="31"/>
        <v>不重复</v>
      </c>
    </row>
    <row r="1991" spans="1:11" ht="20.25" customHeight="1">
      <c r="A1991" s="89" t="s">
        <v>3992</v>
      </c>
      <c r="B1991" s="90" t="s">
        <v>9187</v>
      </c>
      <c r="C1991" s="90" t="s">
        <v>4007</v>
      </c>
      <c r="D1991" s="90" t="s">
        <v>9188</v>
      </c>
      <c r="E1991" s="89" t="s">
        <v>3992</v>
      </c>
      <c r="F1991" s="91">
        <v>606000</v>
      </c>
      <c r="G1991" s="91">
        <v>5100600</v>
      </c>
      <c r="H1991" s="87"/>
      <c r="I1991" s="90" t="s">
        <v>9189</v>
      </c>
      <c r="J1991" s="88" t="str">
        <f t="shared" si="31"/>
        <v>重复</v>
      </c>
      <c r="K1991" s="88" t="str">
        <f t="shared" si="31"/>
        <v>不重复</v>
      </c>
    </row>
    <row r="1992" spans="1:11" ht="20.25" customHeight="1">
      <c r="A1992" s="89" t="s">
        <v>9190</v>
      </c>
      <c r="B1992" s="90" t="s">
        <v>9191</v>
      </c>
      <c r="C1992" s="90" t="s">
        <v>124</v>
      </c>
      <c r="D1992" s="90" t="s">
        <v>2317</v>
      </c>
      <c r="E1992" s="89" t="s">
        <v>3992</v>
      </c>
      <c r="F1992" s="91">
        <v>606001</v>
      </c>
      <c r="G1992" s="91">
        <v>5100600</v>
      </c>
      <c r="H1992" s="87"/>
      <c r="I1992" s="90" t="s">
        <v>9192</v>
      </c>
      <c r="J1992" s="88" t="str">
        <f t="shared" si="31"/>
        <v>重复</v>
      </c>
      <c r="K1992" s="88" t="str">
        <f t="shared" si="31"/>
        <v>不重复</v>
      </c>
    </row>
    <row r="1993" spans="1:11" ht="20.25" customHeight="1">
      <c r="A1993" s="89" t="s">
        <v>3994</v>
      </c>
      <c r="B1993" s="90" t="s">
        <v>3995</v>
      </c>
      <c r="C1993" s="90" t="s">
        <v>3996</v>
      </c>
      <c r="D1993" s="90" t="s">
        <v>3997</v>
      </c>
      <c r="E1993" s="89" t="s">
        <v>3992</v>
      </c>
      <c r="F1993" s="91">
        <v>606002</v>
      </c>
      <c r="G1993" s="91">
        <v>5100600</v>
      </c>
      <c r="H1993" s="87"/>
      <c r="I1993" s="90" t="s">
        <v>25</v>
      </c>
      <c r="J1993" s="88" t="str">
        <f t="shared" si="31"/>
        <v>不重复</v>
      </c>
      <c r="K1993" s="88" t="str">
        <f t="shared" si="31"/>
        <v>不重复</v>
      </c>
    </row>
    <row r="1994" spans="1:11" ht="20.25" customHeight="1">
      <c r="A1994" s="89" t="s">
        <v>9193</v>
      </c>
      <c r="B1994" s="90" t="s">
        <v>9194</v>
      </c>
      <c r="C1994" s="90" t="s">
        <v>9195</v>
      </c>
      <c r="D1994" s="90" t="s">
        <v>9196</v>
      </c>
      <c r="E1994" s="89" t="s">
        <v>3992</v>
      </c>
      <c r="F1994" s="91">
        <v>606003</v>
      </c>
      <c r="G1994" s="91">
        <v>5100600</v>
      </c>
      <c r="H1994" s="87"/>
      <c r="I1994" s="90" t="s">
        <v>25</v>
      </c>
      <c r="J1994" s="88" t="str">
        <f t="shared" si="31"/>
        <v>不重复</v>
      </c>
      <c r="K1994" s="88" t="str">
        <f t="shared" si="31"/>
        <v>不重复</v>
      </c>
    </row>
    <row r="1995" spans="1:11" ht="20.25" customHeight="1">
      <c r="A1995" s="89" t="s">
        <v>9197</v>
      </c>
      <c r="B1995" s="90" t="s">
        <v>9198</v>
      </c>
      <c r="C1995" s="90" t="s">
        <v>3152</v>
      </c>
      <c r="D1995" s="90" t="s">
        <v>9199</v>
      </c>
      <c r="E1995" s="89" t="s">
        <v>3992</v>
      </c>
      <c r="F1995" s="91">
        <v>606004</v>
      </c>
      <c r="G1995" s="91">
        <v>5100600</v>
      </c>
      <c r="H1995" s="87"/>
      <c r="I1995" s="90" t="s">
        <v>25</v>
      </c>
      <c r="J1995" s="88" t="str">
        <f t="shared" si="31"/>
        <v>重复</v>
      </c>
      <c r="K1995" s="88" t="str">
        <f t="shared" si="31"/>
        <v>不重复</v>
      </c>
    </row>
    <row r="1996" spans="1:11" ht="20.25" customHeight="1">
      <c r="A1996" s="89" t="s">
        <v>9200</v>
      </c>
      <c r="B1996" s="90" t="s">
        <v>9201</v>
      </c>
      <c r="C1996" s="90" t="s">
        <v>1565</v>
      </c>
      <c r="D1996" s="90" t="s">
        <v>9202</v>
      </c>
      <c r="E1996" s="89" t="s">
        <v>3992</v>
      </c>
      <c r="F1996" s="91">
        <v>606005</v>
      </c>
      <c r="G1996" s="91">
        <v>5100600</v>
      </c>
      <c r="H1996" s="87"/>
      <c r="I1996" s="90" t="s">
        <v>25</v>
      </c>
      <c r="J1996" s="88" t="str">
        <f t="shared" si="31"/>
        <v>重复</v>
      </c>
      <c r="K1996" s="88" t="str">
        <f t="shared" si="31"/>
        <v>不重复</v>
      </c>
    </row>
    <row r="1997" spans="1:11" ht="20.25" customHeight="1">
      <c r="A1997" s="89" t="s">
        <v>3934</v>
      </c>
      <c r="B1997" s="90" t="s">
        <v>9203</v>
      </c>
      <c r="C1997" s="90" t="s">
        <v>3972</v>
      </c>
      <c r="D1997" s="90" t="s">
        <v>9204</v>
      </c>
      <c r="E1997" s="89" t="s">
        <v>3934</v>
      </c>
      <c r="F1997" s="91">
        <v>607000</v>
      </c>
      <c r="G1997" s="91">
        <v>5100700</v>
      </c>
      <c r="H1997" s="87"/>
      <c r="I1997" s="90" t="s">
        <v>9205</v>
      </c>
      <c r="J1997" s="88" t="str">
        <f t="shared" si="31"/>
        <v>重复</v>
      </c>
      <c r="K1997" s="88" t="str">
        <f t="shared" si="31"/>
        <v>不重复</v>
      </c>
    </row>
    <row r="1998" spans="1:11" ht="20.25" customHeight="1">
      <c r="A1998" s="89" t="s">
        <v>3931</v>
      </c>
      <c r="B1998" s="90" t="s">
        <v>9206</v>
      </c>
      <c r="C1998" s="90" t="s">
        <v>3932</v>
      </c>
      <c r="D1998" s="90" t="s">
        <v>3933</v>
      </c>
      <c r="E1998" s="89" t="s">
        <v>3934</v>
      </c>
      <c r="F1998" s="91">
        <v>607001</v>
      </c>
      <c r="G1998" s="91">
        <v>5100700</v>
      </c>
      <c r="H1998" s="87"/>
      <c r="I1998" s="90" t="s">
        <v>3935</v>
      </c>
      <c r="J1998" s="88" t="str">
        <f t="shared" si="31"/>
        <v>重复</v>
      </c>
      <c r="K1998" s="88" t="str">
        <f t="shared" si="31"/>
        <v>不重复</v>
      </c>
    </row>
    <row r="1999" spans="1:11" ht="20.25" customHeight="1">
      <c r="A1999" s="89" t="s">
        <v>3936</v>
      </c>
      <c r="B1999" s="90" t="s">
        <v>9207</v>
      </c>
      <c r="C1999" s="90" t="s">
        <v>3937</v>
      </c>
      <c r="D1999" s="90" t="s">
        <v>3938</v>
      </c>
      <c r="E1999" s="89" t="s">
        <v>3934</v>
      </c>
      <c r="F1999" s="91">
        <v>607002</v>
      </c>
      <c r="G1999" s="91">
        <v>5100700</v>
      </c>
      <c r="H1999" s="87"/>
      <c r="I1999" s="90" t="s">
        <v>3939</v>
      </c>
      <c r="J1999" s="88" t="str">
        <f t="shared" si="31"/>
        <v>不重复</v>
      </c>
      <c r="K1999" s="88" t="str">
        <f t="shared" si="31"/>
        <v>不重复</v>
      </c>
    </row>
    <row r="2000" spans="1:11" ht="20.25" customHeight="1">
      <c r="A2000" s="89" t="s">
        <v>3940</v>
      </c>
      <c r="B2000" s="90" t="s">
        <v>9208</v>
      </c>
      <c r="C2000" s="90" t="s">
        <v>3941</v>
      </c>
      <c r="D2000" s="90" t="s">
        <v>3942</v>
      </c>
      <c r="E2000" s="89" t="s">
        <v>3934</v>
      </c>
      <c r="F2000" s="91">
        <v>607003</v>
      </c>
      <c r="G2000" s="91">
        <v>5100700</v>
      </c>
      <c r="H2000" s="87"/>
      <c r="I2000" s="90" t="s">
        <v>3943</v>
      </c>
      <c r="J2000" s="88" t="str">
        <f t="shared" si="31"/>
        <v>不重复</v>
      </c>
      <c r="K2000" s="88" t="str">
        <f t="shared" si="31"/>
        <v>不重复</v>
      </c>
    </row>
    <row r="2001" spans="1:11" ht="20.25" customHeight="1">
      <c r="A2001" s="89" t="s">
        <v>3944</v>
      </c>
      <c r="B2001" s="90" t="s">
        <v>9209</v>
      </c>
      <c r="C2001" s="90" t="s">
        <v>1563</v>
      </c>
      <c r="D2001" s="90" t="s">
        <v>3945</v>
      </c>
      <c r="E2001" s="89" t="s">
        <v>3934</v>
      </c>
      <c r="F2001" s="91">
        <v>607004</v>
      </c>
      <c r="G2001" s="91">
        <v>5100700</v>
      </c>
      <c r="H2001" s="87"/>
      <c r="I2001" s="90" t="s">
        <v>3946</v>
      </c>
      <c r="J2001" s="88" t="str">
        <f t="shared" si="31"/>
        <v>重复</v>
      </c>
      <c r="K2001" s="88" t="str">
        <f t="shared" si="31"/>
        <v>不重复</v>
      </c>
    </row>
    <row r="2002" spans="1:11" ht="20.25" customHeight="1">
      <c r="A2002" s="89" t="s">
        <v>3947</v>
      </c>
      <c r="B2002" s="90" t="s">
        <v>9210</v>
      </c>
      <c r="C2002" s="90" t="s">
        <v>2025</v>
      </c>
      <c r="D2002" s="90" t="s">
        <v>3948</v>
      </c>
      <c r="E2002" s="89" t="s">
        <v>3934</v>
      </c>
      <c r="F2002" s="91">
        <v>607005</v>
      </c>
      <c r="G2002" s="91">
        <v>5100700</v>
      </c>
      <c r="H2002" s="87"/>
      <c r="I2002" s="90" t="s">
        <v>3946</v>
      </c>
      <c r="J2002" s="88" t="str">
        <f t="shared" si="31"/>
        <v>重复</v>
      </c>
      <c r="K2002" s="88" t="str">
        <f t="shared" si="31"/>
        <v>不重复</v>
      </c>
    </row>
    <row r="2003" spans="1:11" ht="20.25" customHeight="1">
      <c r="A2003" s="89" t="s">
        <v>3949</v>
      </c>
      <c r="B2003" s="90" t="s">
        <v>9211</v>
      </c>
      <c r="C2003" s="90" t="s">
        <v>3950</v>
      </c>
      <c r="D2003" s="90" t="s">
        <v>3951</v>
      </c>
      <c r="E2003" s="89" t="s">
        <v>3934</v>
      </c>
      <c r="F2003" s="91">
        <v>607006</v>
      </c>
      <c r="G2003" s="91">
        <v>5100700</v>
      </c>
      <c r="H2003" s="87"/>
      <c r="I2003" s="90" t="s">
        <v>3952</v>
      </c>
      <c r="J2003" s="88" t="str">
        <f t="shared" si="31"/>
        <v>重复</v>
      </c>
      <c r="K2003" s="88" t="str">
        <f t="shared" si="31"/>
        <v>不重复</v>
      </c>
    </row>
    <row r="2004" spans="1:11" ht="20.25" customHeight="1">
      <c r="A2004" s="89" t="s">
        <v>3953</v>
      </c>
      <c r="B2004" s="90" t="s">
        <v>9212</v>
      </c>
      <c r="C2004" s="90" t="s">
        <v>1907</v>
      </c>
      <c r="D2004" s="90" t="s">
        <v>3954</v>
      </c>
      <c r="E2004" s="89" t="s">
        <v>3934</v>
      </c>
      <c r="F2004" s="91">
        <v>607007</v>
      </c>
      <c r="G2004" s="91">
        <v>5100700</v>
      </c>
      <c r="H2004" s="87"/>
      <c r="I2004" s="90" t="s">
        <v>3955</v>
      </c>
      <c r="J2004" s="88" t="str">
        <f t="shared" si="31"/>
        <v>重复</v>
      </c>
      <c r="K2004" s="88" t="str">
        <f t="shared" si="31"/>
        <v>不重复</v>
      </c>
    </row>
    <row r="2005" spans="1:11" ht="20.25" customHeight="1">
      <c r="A2005" s="89" t="s">
        <v>3956</v>
      </c>
      <c r="B2005" s="90" t="s">
        <v>9213</v>
      </c>
      <c r="C2005" s="90" t="s">
        <v>3957</v>
      </c>
      <c r="D2005" s="90" t="s">
        <v>3958</v>
      </c>
      <c r="E2005" s="89" t="s">
        <v>3934</v>
      </c>
      <c r="F2005" s="91">
        <v>607008</v>
      </c>
      <c r="G2005" s="91">
        <v>5100700</v>
      </c>
      <c r="H2005" s="87"/>
      <c r="I2005" s="90" t="s">
        <v>3959</v>
      </c>
      <c r="J2005" s="88" t="str">
        <f t="shared" si="31"/>
        <v>不重复</v>
      </c>
      <c r="K2005" s="88" t="str">
        <f t="shared" si="31"/>
        <v>不重复</v>
      </c>
    </row>
    <row r="2006" spans="1:11" ht="20.25" customHeight="1">
      <c r="A2006" s="89" t="s">
        <v>3962</v>
      </c>
      <c r="B2006" s="90" t="s">
        <v>3963</v>
      </c>
      <c r="C2006" s="90" t="s">
        <v>1660</v>
      </c>
      <c r="D2006" s="90" t="s">
        <v>3964</v>
      </c>
      <c r="E2006" s="89" t="s">
        <v>3934</v>
      </c>
      <c r="F2006" s="91">
        <v>607009</v>
      </c>
      <c r="G2006" s="91">
        <v>5100700</v>
      </c>
      <c r="H2006" s="87"/>
      <c r="I2006" s="90" t="s">
        <v>25</v>
      </c>
      <c r="J2006" s="88" t="str">
        <f t="shared" si="31"/>
        <v>不重复</v>
      </c>
      <c r="K2006" s="88" t="str">
        <f t="shared" si="31"/>
        <v>不重复</v>
      </c>
    </row>
    <row r="2007" spans="1:11" ht="20.25" customHeight="1">
      <c r="A2007" s="89" t="s">
        <v>3960</v>
      </c>
      <c r="B2007" s="90" t="s">
        <v>9214</v>
      </c>
      <c r="C2007" s="90" t="s">
        <v>3048</v>
      </c>
      <c r="D2007" s="90" t="s">
        <v>9215</v>
      </c>
      <c r="E2007" s="89" t="s">
        <v>3934</v>
      </c>
      <c r="F2007" s="91">
        <v>607010</v>
      </c>
      <c r="G2007" s="91">
        <v>5100700</v>
      </c>
      <c r="H2007" s="87"/>
      <c r="I2007" s="90" t="s">
        <v>3961</v>
      </c>
      <c r="J2007" s="88" t="str">
        <f t="shared" si="31"/>
        <v>重复</v>
      </c>
      <c r="K2007" s="88" t="str">
        <f t="shared" si="31"/>
        <v>不重复</v>
      </c>
    </row>
    <row r="2008" spans="1:11" ht="20.25" customHeight="1">
      <c r="A2008" s="89" t="s">
        <v>3965</v>
      </c>
      <c r="B2008" s="90" t="s">
        <v>9216</v>
      </c>
      <c r="C2008" s="90" t="s">
        <v>3966</v>
      </c>
      <c r="D2008" s="90" t="s">
        <v>3967</v>
      </c>
      <c r="E2008" s="89" t="s">
        <v>3934</v>
      </c>
      <c r="F2008" s="91">
        <v>607012</v>
      </c>
      <c r="G2008" s="91">
        <v>5100700</v>
      </c>
      <c r="H2008" s="87"/>
      <c r="I2008" s="90" t="s">
        <v>3794</v>
      </c>
      <c r="J2008" s="88" t="str">
        <f t="shared" si="31"/>
        <v>不重复</v>
      </c>
      <c r="K2008" s="88" t="str">
        <f t="shared" si="31"/>
        <v>不重复</v>
      </c>
    </row>
    <row r="2009" spans="1:11" ht="20.25" customHeight="1">
      <c r="A2009" s="89" t="s">
        <v>3968</v>
      </c>
      <c r="B2009" s="90" t="s">
        <v>9217</v>
      </c>
      <c r="C2009" s="90" t="s">
        <v>3950</v>
      </c>
      <c r="D2009" s="90" t="s">
        <v>3969</v>
      </c>
      <c r="E2009" s="89" t="s">
        <v>3934</v>
      </c>
      <c r="F2009" s="91">
        <v>607013</v>
      </c>
      <c r="G2009" s="91">
        <v>5100700</v>
      </c>
      <c r="H2009" s="87"/>
      <c r="I2009" s="90" t="s">
        <v>3970</v>
      </c>
      <c r="J2009" s="88" t="str">
        <f t="shared" si="31"/>
        <v>重复</v>
      </c>
      <c r="K2009" s="88" t="str">
        <f t="shared" si="31"/>
        <v>不重复</v>
      </c>
    </row>
    <row r="2010" spans="1:11" ht="20.25" customHeight="1">
      <c r="A2010" s="89" t="s">
        <v>3971</v>
      </c>
      <c r="B2010" s="90" t="s">
        <v>9218</v>
      </c>
      <c r="C2010" s="90" t="s">
        <v>3972</v>
      </c>
      <c r="D2010" s="90" t="s">
        <v>3973</v>
      </c>
      <c r="E2010" s="89" t="s">
        <v>3934</v>
      </c>
      <c r="F2010" s="91">
        <v>607014</v>
      </c>
      <c r="G2010" s="91">
        <v>5100700</v>
      </c>
      <c r="H2010" s="87"/>
      <c r="I2010" s="90" t="s">
        <v>3974</v>
      </c>
      <c r="J2010" s="88" t="str">
        <f t="shared" si="31"/>
        <v>重复</v>
      </c>
      <c r="K2010" s="88" t="str">
        <f t="shared" si="31"/>
        <v>不重复</v>
      </c>
    </row>
    <row r="2011" spans="1:11" ht="20.25" customHeight="1">
      <c r="A2011" s="89" t="s">
        <v>3975</v>
      </c>
      <c r="B2011" s="90" t="s">
        <v>9219</v>
      </c>
      <c r="C2011" s="90" t="s">
        <v>1556</v>
      </c>
      <c r="D2011" s="90" t="s">
        <v>3976</v>
      </c>
      <c r="E2011" s="89" t="s">
        <v>3934</v>
      </c>
      <c r="F2011" s="91">
        <v>607015</v>
      </c>
      <c r="G2011" s="91">
        <v>5100700</v>
      </c>
      <c r="H2011" s="87"/>
      <c r="I2011" s="90" t="s">
        <v>3977</v>
      </c>
      <c r="J2011" s="88" t="str">
        <f t="shared" si="31"/>
        <v>重复</v>
      </c>
      <c r="K2011" s="88" t="str">
        <f t="shared" si="31"/>
        <v>不重复</v>
      </c>
    </row>
    <row r="2012" spans="1:11" ht="20.25" customHeight="1">
      <c r="A2012" s="89" t="s">
        <v>3978</v>
      </c>
      <c r="B2012" s="90" t="s">
        <v>9220</v>
      </c>
      <c r="C2012" s="90" t="s">
        <v>3979</v>
      </c>
      <c r="D2012" s="90" t="s">
        <v>3980</v>
      </c>
      <c r="E2012" s="89" t="s">
        <v>3934</v>
      </c>
      <c r="F2012" s="91">
        <v>607016</v>
      </c>
      <c r="G2012" s="91">
        <v>5100700</v>
      </c>
      <c r="H2012" s="87"/>
      <c r="I2012" s="90" t="s">
        <v>3974</v>
      </c>
      <c r="J2012" s="88" t="str">
        <f t="shared" si="31"/>
        <v>不重复</v>
      </c>
      <c r="K2012" s="88" t="str">
        <f t="shared" si="31"/>
        <v>不重复</v>
      </c>
    </row>
    <row r="2013" spans="1:11" ht="20.25" customHeight="1">
      <c r="A2013" s="89" t="s">
        <v>3981</v>
      </c>
      <c r="B2013" s="90" t="s">
        <v>9221</v>
      </c>
      <c r="C2013" s="90" t="s">
        <v>3982</v>
      </c>
      <c r="D2013" s="90" t="s">
        <v>3983</v>
      </c>
      <c r="E2013" s="89" t="s">
        <v>3934</v>
      </c>
      <c r="F2013" s="91">
        <v>607018</v>
      </c>
      <c r="G2013" s="91">
        <v>5100700</v>
      </c>
      <c r="H2013" s="87"/>
      <c r="I2013" s="90" t="s">
        <v>3939</v>
      </c>
      <c r="J2013" s="88" t="str">
        <f t="shared" si="31"/>
        <v>不重复</v>
      </c>
      <c r="K2013" s="88" t="str">
        <f t="shared" si="31"/>
        <v>不重复</v>
      </c>
    </row>
    <row r="2014" spans="1:11" ht="20.25" customHeight="1">
      <c r="A2014" s="89" t="s">
        <v>3987</v>
      </c>
      <c r="B2014" s="90" t="s">
        <v>9222</v>
      </c>
      <c r="C2014" s="90" t="s">
        <v>3988</v>
      </c>
      <c r="D2014" s="90" t="s">
        <v>3989</v>
      </c>
      <c r="E2014" s="89" t="s">
        <v>3934</v>
      </c>
      <c r="F2014" s="91">
        <v>607019</v>
      </c>
      <c r="G2014" s="91">
        <v>5100700</v>
      </c>
      <c r="H2014" s="87"/>
      <c r="I2014" s="90" t="s">
        <v>3939</v>
      </c>
      <c r="J2014" s="88" t="str">
        <f t="shared" si="31"/>
        <v>不重复</v>
      </c>
      <c r="K2014" s="88" t="str">
        <f t="shared" si="31"/>
        <v>不重复</v>
      </c>
    </row>
    <row r="2015" spans="1:11" ht="20.25" customHeight="1">
      <c r="A2015" s="89" t="s">
        <v>3984</v>
      </c>
      <c r="B2015" s="90" t="s">
        <v>9223</v>
      </c>
      <c r="C2015" s="90" t="s">
        <v>3985</v>
      </c>
      <c r="D2015" s="90" t="s">
        <v>3986</v>
      </c>
      <c r="E2015" s="89" t="s">
        <v>3934</v>
      </c>
      <c r="F2015" s="91">
        <v>607020</v>
      </c>
      <c r="G2015" s="91">
        <v>5100700</v>
      </c>
      <c r="H2015" s="87"/>
      <c r="I2015" s="90" t="s">
        <v>3939</v>
      </c>
      <c r="J2015" s="88" t="str">
        <f t="shared" si="31"/>
        <v>不重复</v>
      </c>
      <c r="K2015" s="88" t="str">
        <f t="shared" si="31"/>
        <v>不重复</v>
      </c>
    </row>
    <row r="2016" spans="1:11" ht="20.25" customHeight="1">
      <c r="A2016" s="89" t="s">
        <v>4194</v>
      </c>
      <c r="B2016" s="90" t="s">
        <v>9224</v>
      </c>
      <c r="C2016" s="90" t="s">
        <v>4195</v>
      </c>
      <c r="D2016" s="90" t="s">
        <v>4196</v>
      </c>
      <c r="E2016" s="89" t="s">
        <v>4197</v>
      </c>
      <c r="F2016" s="91">
        <v>608000</v>
      </c>
      <c r="G2016" s="91">
        <v>5100800</v>
      </c>
      <c r="H2016" s="87"/>
      <c r="I2016" s="90" t="s">
        <v>9225</v>
      </c>
      <c r="J2016" s="88" t="str">
        <f t="shared" si="31"/>
        <v>重复</v>
      </c>
      <c r="K2016" s="88" t="str">
        <f t="shared" si="31"/>
        <v>不重复</v>
      </c>
    </row>
    <row r="2017" spans="1:11" ht="20.25" customHeight="1">
      <c r="A2017" s="84" t="s">
        <v>4216</v>
      </c>
      <c r="B2017" s="85" t="s">
        <v>4217</v>
      </c>
      <c r="C2017" s="85" t="s">
        <v>4195</v>
      </c>
      <c r="D2017" s="85" t="s">
        <v>4190</v>
      </c>
      <c r="E2017" s="84" t="s">
        <v>4197</v>
      </c>
      <c r="F2017" s="86">
        <v>608001</v>
      </c>
      <c r="G2017" s="86">
        <v>5100800</v>
      </c>
      <c r="H2017" s="87"/>
      <c r="I2017" s="85" t="s">
        <v>25</v>
      </c>
      <c r="J2017" s="88" t="str">
        <f t="shared" si="31"/>
        <v>重复</v>
      </c>
      <c r="K2017" s="88" t="str">
        <f t="shared" si="31"/>
        <v>不重复</v>
      </c>
    </row>
    <row r="2018" spans="1:11" ht="20.25" customHeight="1">
      <c r="A2018" s="84" t="s">
        <v>9226</v>
      </c>
      <c r="B2018" s="85" t="s">
        <v>9227</v>
      </c>
      <c r="C2018" s="85" t="s">
        <v>4207</v>
      </c>
      <c r="D2018" s="85" t="s">
        <v>4208</v>
      </c>
      <c r="E2018" s="84" t="s">
        <v>4197</v>
      </c>
      <c r="F2018" s="86">
        <v>608002</v>
      </c>
      <c r="G2018" s="86">
        <v>5100800</v>
      </c>
      <c r="H2018" s="87"/>
      <c r="I2018" s="85" t="s">
        <v>9228</v>
      </c>
      <c r="J2018" s="88" t="str">
        <f t="shared" si="31"/>
        <v>不重复</v>
      </c>
      <c r="K2018" s="88" t="str">
        <f t="shared" si="31"/>
        <v>不重复</v>
      </c>
    </row>
    <row r="2019" spans="1:11" ht="20.25" customHeight="1">
      <c r="A2019" s="84" t="s">
        <v>9229</v>
      </c>
      <c r="B2019" s="85" t="s">
        <v>9230</v>
      </c>
      <c r="C2019" s="85" t="s">
        <v>1444</v>
      </c>
      <c r="D2019" s="85" t="s">
        <v>4199</v>
      </c>
      <c r="E2019" s="84" t="s">
        <v>4197</v>
      </c>
      <c r="F2019" s="86">
        <v>608003</v>
      </c>
      <c r="G2019" s="86">
        <v>5100800</v>
      </c>
      <c r="H2019" s="87"/>
      <c r="I2019" s="85" t="s">
        <v>9231</v>
      </c>
      <c r="J2019" s="88" t="str">
        <f t="shared" si="31"/>
        <v>重复</v>
      </c>
      <c r="K2019" s="88" t="str">
        <f t="shared" si="31"/>
        <v>不重复</v>
      </c>
    </row>
    <row r="2020" spans="1:11" ht="20.25" customHeight="1">
      <c r="A2020" s="84" t="s">
        <v>9232</v>
      </c>
      <c r="B2020" s="85" t="s">
        <v>9233</v>
      </c>
      <c r="C2020" s="85" t="s">
        <v>4200</v>
      </c>
      <c r="D2020" s="85" t="s">
        <v>4201</v>
      </c>
      <c r="E2020" s="84" t="s">
        <v>4197</v>
      </c>
      <c r="F2020" s="86">
        <v>608004</v>
      </c>
      <c r="G2020" s="86">
        <v>5100800</v>
      </c>
      <c r="H2020" s="87"/>
      <c r="I2020" s="85" t="s">
        <v>9234</v>
      </c>
      <c r="J2020" s="88" t="str">
        <f t="shared" si="31"/>
        <v>不重复</v>
      </c>
      <c r="K2020" s="88" t="str">
        <f t="shared" si="31"/>
        <v>不重复</v>
      </c>
    </row>
    <row r="2021" spans="1:11" ht="20.25" customHeight="1">
      <c r="A2021" s="84" t="s">
        <v>9235</v>
      </c>
      <c r="B2021" s="85" t="s">
        <v>4205</v>
      </c>
      <c r="C2021" s="85" t="s">
        <v>3998</v>
      </c>
      <c r="D2021" s="85" t="s">
        <v>4206</v>
      </c>
      <c r="E2021" s="84" t="s">
        <v>4197</v>
      </c>
      <c r="F2021" s="86">
        <v>608005</v>
      </c>
      <c r="G2021" s="86">
        <v>5100800</v>
      </c>
      <c r="H2021" s="87"/>
      <c r="I2021" s="85" t="s">
        <v>9236</v>
      </c>
      <c r="J2021" s="88" t="str">
        <f t="shared" si="31"/>
        <v>不重复</v>
      </c>
      <c r="K2021" s="88" t="str">
        <f t="shared" si="31"/>
        <v>不重复</v>
      </c>
    </row>
    <row r="2022" spans="1:11" ht="20.25" customHeight="1">
      <c r="A2022" s="84" t="s">
        <v>4209</v>
      </c>
      <c r="B2022" s="85" t="s">
        <v>9237</v>
      </c>
      <c r="C2022" s="85" t="s">
        <v>210</v>
      </c>
      <c r="D2022" s="85" t="s">
        <v>4210</v>
      </c>
      <c r="E2022" s="84" t="s">
        <v>4197</v>
      </c>
      <c r="F2022" s="86">
        <v>608006</v>
      </c>
      <c r="G2022" s="86">
        <v>5100800</v>
      </c>
      <c r="H2022" s="87"/>
      <c r="I2022" s="85" t="s">
        <v>9238</v>
      </c>
      <c r="J2022" s="88" t="str">
        <f t="shared" si="31"/>
        <v>重复</v>
      </c>
      <c r="K2022" s="88" t="str">
        <f t="shared" si="31"/>
        <v>不重复</v>
      </c>
    </row>
    <row r="2023" spans="1:11" ht="20.25" customHeight="1">
      <c r="A2023" s="84" t="s">
        <v>4211</v>
      </c>
      <c r="B2023" s="85" t="s">
        <v>9239</v>
      </c>
      <c r="C2023" s="85" t="s">
        <v>650</v>
      </c>
      <c r="D2023" s="85" t="s">
        <v>4212</v>
      </c>
      <c r="E2023" s="84" t="s">
        <v>4197</v>
      </c>
      <c r="F2023" s="86">
        <v>608007</v>
      </c>
      <c r="G2023" s="86">
        <v>5100800</v>
      </c>
      <c r="H2023" s="87"/>
      <c r="I2023" s="85" t="s">
        <v>9231</v>
      </c>
      <c r="J2023" s="88" t="str">
        <f t="shared" si="31"/>
        <v>重复</v>
      </c>
      <c r="K2023" s="88" t="str">
        <f t="shared" si="31"/>
        <v>不重复</v>
      </c>
    </row>
    <row r="2024" spans="1:11" ht="20.25" customHeight="1">
      <c r="A2024" s="84" t="s">
        <v>9240</v>
      </c>
      <c r="B2024" s="85" t="s">
        <v>4202</v>
      </c>
      <c r="C2024" s="85" t="s">
        <v>1939</v>
      </c>
      <c r="D2024" s="85" t="s">
        <v>4203</v>
      </c>
      <c r="E2024" s="84" t="s">
        <v>4197</v>
      </c>
      <c r="F2024" s="86">
        <v>608008</v>
      </c>
      <c r="G2024" s="86">
        <v>5100800</v>
      </c>
      <c r="H2024" s="87"/>
      <c r="I2024" s="85" t="s">
        <v>9241</v>
      </c>
      <c r="J2024" s="88" t="str">
        <f t="shared" si="31"/>
        <v>重复</v>
      </c>
      <c r="K2024" s="88" t="str">
        <f t="shared" si="31"/>
        <v>不重复</v>
      </c>
    </row>
    <row r="2025" spans="1:11" ht="20.25" customHeight="1">
      <c r="A2025" s="84" t="s">
        <v>9242</v>
      </c>
      <c r="B2025" s="85" t="s">
        <v>9243</v>
      </c>
      <c r="C2025" s="85" t="s">
        <v>176</v>
      </c>
      <c r="D2025" s="85" t="s">
        <v>4215</v>
      </c>
      <c r="E2025" s="84" t="s">
        <v>4197</v>
      </c>
      <c r="F2025" s="86">
        <v>608009</v>
      </c>
      <c r="G2025" s="86">
        <v>5100800</v>
      </c>
      <c r="H2025" s="87"/>
      <c r="I2025" s="85" t="s">
        <v>9238</v>
      </c>
      <c r="J2025" s="88" t="str">
        <f t="shared" si="31"/>
        <v>重复</v>
      </c>
      <c r="K2025" s="88" t="str">
        <f t="shared" si="31"/>
        <v>不重复</v>
      </c>
    </row>
    <row r="2026" spans="1:11" ht="20.25" customHeight="1">
      <c r="A2026" s="84" t="s">
        <v>4213</v>
      </c>
      <c r="B2026" s="85" t="s">
        <v>9244</v>
      </c>
      <c r="C2026" s="85" t="s">
        <v>4002</v>
      </c>
      <c r="D2026" s="85" t="s">
        <v>4214</v>
      </c>
      <c r="E2026" s="84" t="s">
        <v>4197</v>
      </c>
      <c r="F2026" s="86">
        <v>608010</v>
      </c>
      <c r="G2026" s="86">
        <v>5100800</v>
      </c>
      <c r="H2026" s="87"/>
      <c r="I2026" s="85" t="s">
        <v>8454</v>
      </c>
      <c r="J2026" s="88" t="str">
        <f t="shared" si="31"/>
        <v>不重复</v>
      </c>
      <c r="K2026" s="88" t="str">
        <f t="shared" si="31"/>
        <v>不重复</v>
      </c>
    </row>
    <row r="2027" spans="1:11" ht="20.25" customHeight="1">
      <c r="A2027" s="84" t="s">
        <v>9245</v>
      </c>
      <c r="B2027" s="85" t="s">
        <v>9246</v>
      </c>
      <c r="C2027" s="85" t="s">
        <v>2492</v>
      </c>
      <c r="D2027" s="85" t="s">
        <v>4204</v>
      </c>
      <c r="E2027" s="84" t="s">
        <v>4197</v>
      </c>
      <c r="F2027" s="86">
        <v>608011</v>
      </c>
      <c r="G2027" s="86">
        <v>5100800</v>
      </c>
      <c r="H2027" s="87"/>
      <c r="I2027" s="85" t="s">
        <v>9241</v>
      </c>
      <c r="J2027" s="88" t="str">
        <f t="shared" si="31"/>
        <v>重复</v>
      </c>
      <c r="K2027" s="88" t="str">
        <f t="shared" si="31"/>
        <v>不重复</v>
      </c>
    </row>
    <row r="2028" spans="1:11" ht="20.25" customHeight="1">
      <c r="A2028" s="84" t="s">
        <v>9247</v>
      </c>
      <c r="B2028" s="85" t="s">
        <v>9248</v>
      </c>
      <c r="C2028" s="85" t="s">
        <v>120</v>
      </c>
      <c r="D2028" s="85" t="s">
        <v>4198</v>
      </c>
      <c r="E2028" s="84" t="s">
        <v>4197</v>
      </c>
      <c r="F2028" s="86">
        <v>608012</v>
      </c>
      <c r="G2028" s="86">
        <v>5100800</v>
      </c>
      <c r="H2028" s="87"/>
      <c r="I2028" s="85" t="s">
        <v>9249</v>
      </c>
      <c r="J2028" s="88" t="str">
        <f t="shared" si="31"/>
        <v>重复</v>
      </c>
      <c r="K2028" s="88" t="str">
        <f t="shared" si="31"/>
        <v>不重复</v>
      </c>
    </row>
    <row r="2029" spans="1:11" ht="20.25" customHeight="1">
      <c r="A2029" s="84" t="s">
        <v>4223</v>
      </c>
      <c r="B2029" s="85" t="s">
        <v>4224</v>
      </c>
      <c r="C2029" s="85" t="s">
        <v>4225</v>
      </c>
      <c r="D2029" s="85" t="s">
        <v>9250</v>
      </c>
      <c r="E2029" s="84" t="s">
        <v>4197</v>
      </c>
      <c r="F2029" s="86">
        <v>608013</v>
      </c>
      <c r="G2029" s="86">
        <v>5100800</v>
      </c>
      <c r="H2029" s="87"/>
      <c r="I2029" s="85" t="s">
        <v>25</v>
      </c>
      <c r="J2029" s="88" t="str">
        <f t="shared" si="31"/>
        <v>不重复</v>
      </c>
      <c r="K2029" s="88" t="str">
        <f t="shared" si="31"/>
        <v>不重复</v>
      </c>
    </row>
    <row r="2030" spans="1:11" ht="20.25" customHeight="1">
      <c r="A2030" s="84" t="s">
        <v>4218</v>
      </c>
      <c r="B2030" s="85" t="s">
        <v>9251</v>
      </c>
      <c r="C2030" s="85" t="s">
        <v>4219</v>
      </c>
      <c r="D2030" s="85" t="s">
        <v>4220</v>
      </c>
      <c r="E2030" s="84" t="s">
        <v>4197</v>
      </c>
      <c r="F2030" s="86">
        <v>608014</v>
      </c>
      <c r="G2030" s="86">
        <v>5100800</v>
      </c>
      <c r="H2030" s="87"/>
      <c r="I2030" s="85" t="s">
        <v>9252</v>
      </c>
      <c r="J2030" s="88" t="str">
        <f t="shared" si="31"/>
        <v>不重复</v>
      </c>
      <c r="K2030" s="88" t="str">
        <f t="shared" si="31"/>
        <v>不重复</v>
      </c>
    </row>
    <row r="2031" spans="1:11" ht="20.25" customHeight="1">
      <c r="A2031" s="84" t="s">
        <v>4221</v>
      </c>
      <c r="B2031" s="85" t="s">
        <v>9253</v>
      </c>
      <c r="C2031" s="85" t="s">
        <v>3267</v>
      </c>
      <c r="D2031" s="85" t="s">
        <v>4222</v>
      </c>
      <c r="E2031" s="84" t="s">
        <v>4197</v>
      </c>
      <c r="F2031" s="86">
        <v>608015</v>
      </c>
      <c r="G2031" s="86">
        <v>5100800</v>
      </c>
      <c r="H2031" s="87"/>
      <c r="I2031" s="85" t="s">
        <v>9254</v>
      </c>
      <c r="J2031" s="88" t="str">
        <f t="shared" si="31"/>
        <v>重复</v>
      </c>
      <c r="K2031" s="88" t="str">
        <f t="shared" si="31"/>
        <v>不重复</v>
      </c>
    </row>
    <row r="2032" spans="1:11" ht="20.25" customHeight="1">
      <c r="A2032" s="89" t="s">
        <v>4256</v>
      </c>
      <c r="B2032" s="90" t="s">
        <v>4257</v>
      </c>
      <c r="C2032" s="90" t="s">
        <v>372</v>
      </c>
      <c r="D2032" s="90" t="s">
        <v>9255</v>
      </c>
      <c r="E2032" s="89" t="s">
        <v>4197</v>
      </c>
      <c r="F2032" s="91">
        <v>608016</v>
      </c>
      <c r="G2032" s="91">
        <v>5100800</v>
      </c>
      <c r="H2032" s="87"/>
      <c r="I2032" s="90" t="s">
        <v>25</v>
      </c>
      <c r="J2032" s="88" t="str">
        <f t="shared" si="31"/>
        <v>重复</v>
      </c>
      <c r="K2032" s="88" t="str">
        <f t="shared" si="31"/>
        <v>不重复</v>
      </c>
    </row>
    <row r="2033" spans="1:11" ht="20.25" customHeight="1">
      <c r="A2033" s="89" t="s">
        <v>4232</v>
      </c>
      <c r="B2033" s="90" t="s">
        <v>9256</v>
      </c>
      <c r="C2033" s="90" t="s">
        <v>656</v>
      </c>
      <c r="D2033" s="90" t="s">
        <v>305</v>
      </c>
      <c r="E2033" s="89" t="s">
        <v>4197</v>
      </c>
      <c r="F2033" s="91">
        <v>608017</v>
      </c>
      <c r="G2033" s="91">
        <v>5100800</v>
      </c>
      <c r="H2033" s="87"/>
      <c r="I2033" s="90" t="s">
        <v>3739</v>
      </c>
      <c r="J2033" s="88" t="str">
        <f t="shared" si="31"/>
        <v>不重复</v>
      </c>
      <c r="K2033" s="88" t="str">
        <f t="shared" si="31"/>
        <v>不重复</v>
      </c>
    </row>
    <row r="2034" spans="1:11" ht="20.25" customHeight="1">
      <c r="A2034" s="89" t="s">
        <v>4230</v>
      </c>
      <c r="B2034" s="90" t="s">
        <v>9257</v>
      </c>
      <c r="C2034" s="90" t="s">
        <v>3108</v>
      </c>
      <c r="D2034" s="90" t="s">
        <v>4231</v>
      </c>
      <c r="E2034" s="89" t="s">
        <v>4197</v>
      </c>
      <c r="F2034" s="91">
        <v>608018</v>
      </c>
      <c r="G2034" s="91">
        <v>5100800</v>
      </c>
      <c r="H2034" s="87"/>
      <c r="I2034" s="90" t="s">
        <v>9258</v>
      </c>
      <c r="J2034" s="88" t="str">
        <f t="shared" si="31"/>
        <v>重复</v>
      </c>
      <c r="K2034" s="88" t="str">
        <f t="shared" si="31"/>
        <v>不重复</v>
      </c>
    </row>
    <row r="2035" spans="1:11" ht="20.25" customHeight="1">
      <c r="A2035" s="89" t="s">
        <v>4250</v>
      </c>
      <c r="B2035" s="90" t="s">
        <v>9259</v>
      </c>
      <c r="C2035" s="90" t="s">
        <v>4251</v>
      </c>
      <c r="D2035" s="90" t="s">
        <v>4252</v>
      </c>
      <c r="E2035" s="89" t="s">
        <v>4197</v>
      </c>
      <c r="F2035" s="91">
        <v>608019</v>
      </c>
      <c r="G2035" s="91">
        <v>5100800</v>
      </c>
      <c r="H2035" s="87"/>
      <c r="I2035" s="90" t="s">
        <v>9238</v>
      </c>
      <c r="J2035" s="88" t="str">
        <f t="shared" si="31"/>
        <v>不重复</v>
      </c>
      <c r="K2035" s="88" t="str">
        <f t="shared" si="31"/>
        <v>不重复</v>
      </c>
    </row>
    <row r="2036" spans="1:11" ht="20.25" customHeight="1">
      <c r="A2036" s="89" t="s">
        <v>4248</v>
      </c>
      <c r="B2036" s="90" t="s">
        <v>9260</v>
      </c>
      <c r="C2036" s="90" t="s">
        <v>3431</v>
      </c>
      <c r="D2036" s="90" t="s">
        <v>4249</v>
      </c>
      <c r="E2036" s="89" t="s">
        <v>4197</v>
      </c>
      <c r="F2036" s="91">
        <v>608020</v>
      </c>
      <c r="G2036" s="91">
        <v>5100800</v>
      </c>
      <c r="H2036" s="87"/>
      <c r="I2036" s="90" t="s">
        <v>8454</v>
      </c>
      <c r="J2036" s="88" t="str">
        <f t="shared" si="31"/>
        <v>重复</v>
      </c>
      <c r="K2036" s="88" t="str">
        <f t="shared" si="31"/>
        <v>不重复</v>
      </c>
    </row>
    <row r="2037" spans="1:11" ht="20.25" customHeight="1">
      <c r="A2037" s="89" t="s">
        <v>4228</v>
      </c>
      <c r="B2037" s="90" t="s">
        <v>9261</v>
      </c>
      <c r="C2037" s="90" t="s">
        <v>863</v>
      </c>
      <c r="D2037" s="90" t="s">
        <v>4229</v>
      </c>
      <c r="E2037" s="89" t="s">
        <v>4197</v>
      </c>
      <c r="F2037" s="91">
        <v>608021</v>
      </c>
      <c r="G2037" s="91">
        <v>5100800</v>
      </c>
      <c r="H2037" s="87"/>
      <c r="I2037" s="90" t="s">
        <v>9231</v>
      </c>
      <c r="J2037" s="88" t="str">
        <f t="shared" si="31"/>
        <v>重复</v>
      </c>
      <c r="K2037" s="88" t="str">
        <f t="shared" si="31"/>
        <v>不重复</v>
      </c>
    </row>
    <row r="2038" spans="1:11" ht="20.25" customHeight="1">
      <c r="A2038" s="89" t="s">
        <v>4235</v>
      </c>
      <c r="B2038" s="90" t="s">
        <v>9262</v>
      </c>
      <c r="C2038" s="90" t="s">
        <v>4236</v>
      </c>
      <c r="D2038" s="90" t="s">
        <v>4237</v>
      </c>
      <c r="E2038" s="89" t="s">
        <v>4197</v>
      </c>
      <c r="F2038" s="91">
        <v>608022</v>
      </c>
      <c r="G2038" s="91">
        <v>5100800</v>
      </c>
      <c r="H2038" s="87"/>
      <c r="I2038" s="90" t="s">
        <v>9263</v>
      </c>
      <c r="J2038" s="88" t="str">
        <f t="shared" si="31"/>
        <v>不重复</v>
      </c>
      <c r="K2038" s="88" t="str">
        <f t="shared" si="31"/>
        <v>不重复</v>
      </c>
    </row>
    <row r="2039" spans="1:11" ht="20.25" customHeight="1">
      <c r="A2039" s="89" t="s">
        <v>4233</v>
      </c>
      <c r="B2039" s="90" t="s">
        <v>9264</v>
      </c>
      <c r="C2039" s="90" t="s">
        <v>1556</v>
      </c>
      <c r="D2039" s="90" t="s">
        <v>4234</v>
      </c>
      <c r="E2039" s="89" t="s">
        <v>4197</v>
      </c>
      <c r="F2039" s="91">
        <v>608023</v>
      </c>
      <c r="G2039" s="91">
        <v>5100800</v>
      </c>
      <c r="H2039" s="87"/>
      <c r="I2039" s="90" t="s">
        <v>9265</v>
      </c>
      <c r="J2039" s="88" t="str">
        <f t="shared" si="31"/>
        <v>重复</v>
      </c>
      <c r="K2039" s="88" t="str">
        <f t="shared" si="31"/>
        <v>不重复</v>
      </c>
    </row>
    <row r="2040" spans="1:11" ht="20.25" customHeight="1">
      <c r="A2040" s="89" t="s">
        <v>4253</v>
      </c>
      <c r="B2040" s="90" t="s">
        <v>9266</v>
      </c>
      <c r="C2040" s="90" t="s">
        <v>4254</v>
      </c>
      <c r="D2040" s="90" t="s">
        <v>9267</v>
      </c>
      <c r="E2040" s="89" t="s">
        <v>4197</v>
      </c>
      <c r="F2040" s="91">
        <v>608024</v>
      </c>
      <c r="G2040" s="91">
        <v>5100800</v>
      </c>
      <c r="H2040" s="87"/>
      <c r="I2040" s="90" t="s">
        <v>8454</v>
      </c>
      <c r="J2040" s="88" t="str">
        <f t="shared" si="31"/>
        <v>不重复</v>
      </c>
      <c r="K2040" s="88" t="str">
        <f t="shared" si="31"/>
        <v>不重复</v>
      </c>
    </row>
    <row r="2041" spans="1:11" ht="20.25" customHeight="1">
      <c r="A2041" s="89" t="s">
        <v>4245</v>
      </c>
      <c r="B2041" s="90" t="s">
        <v>9268</v>
      </c>
      <c r="C2041" s="90" t="s">
        <v>4246</v>
      </c>
      <c r="D2041" s="90" t="s">
        <v>4247</v>
      </c>
      <c r="E2041" s="89" t="s">
        <v>4197</v>
      </c>
      <c r="F2041" s="91">
        <v>608025</v>
      </c>
      <c r="G2041" s="91">
        <v>5100800</v>
      </c>
      <c r="H2041" s="87"/>
      <c r="I2041" s="90" t="s">
        <v>9241</v>
      </c>
      <c r="J2041" s="88" t="str">
        <f t="shared" si="31"/>
        <v>重复</v>
      </c>
      <c r="K2041" s="88" t="str">
        <f t="shared" si="31"/>
        <v>不重复</v>
      </c>
    </row>
    <row r="2042" spans="1:11" ht="20.25" customHeight="1">
      <c r="A2042" s="89" t="s">
        <v>4226</v>
      </c>
      <c r="B2042" s="90" t="s">
        <v>9269</v>
      </c>
      <c r="C2042" s="90" t="s">
        <v>182</v>
      </c>
      <c r="D2042" s="90" t="s">
        <v>4227</v>
      </c>
      <c r="E2042" s="89" t="s">
        <v>4197</v>
      </c>
      <c r="F2042" s="91">
        <v>608026</v>
      </c>
      <c r="G2042" s="91">
        <v>5100800</v>
      </c>
      <c r="H2042" s="87"/>
      <c r="I2042" s="90" t="s">
        <v>9231</v>
      </c>
      <c r="J2042" s="88" t="str">
        <f t="shared" si="31"/>
        <v>重复</v>
      </c>
      <c r="K2042" s="88" t="str">
        <f t="shared" si="31"/>
        <v>不重复</v>
      </c>
    </row>
    <row r="2043" spans="1:11" ht="20.25" customHeight="1">
      <c r="A2043" s="89" t="s">
        <v>9270</v>
      </c>
      <c r="B2043" s="90" t="s">
        <v>9271</v>
      </c>
      <c r="C2043" s="90" t="s">
        <v>4240</v>
      </c>
      <c r="D2043" s="90" t="s">
        <v>4241</v>
      </c>
      <c r="E2043" s="89" t="s">
        <v>4197</v>
      </c>
      <c r="F2043" s="91">
        <v>608027</v>
      </c>
      <c r="G2043" s="91">
        <v>5100800</v>
      </c>
      <c r="H2043" s="87"/>
      <c r="I2043" s="90" t="s">
        <v>9272</v>
      </c>
      <c r="J2043" s="88" t="str">
        <f t="shared" si="31"/>
        <v>不重复</v>
      </c>
      <c r="K2043" s="88" t="str">
        <f t="shared" si="31"/>
        <v>不重复</v>
      </c>
    </row>
    <row r="2044" spans="1:11" ht="20.25" customHeight="1">
      <c r="A2044" s="89" t="s">
        <v>9273</v>
      </c>
      <c r="B2044" s="90" t="s">
        <v>9274</v>
      </c>
      <c r="C2044" s="90" t="s">
        <v>4255</v>
      </c>
      <c r="D2044" s="90" t="s">
        <v>9275</v>
      </c>
      <c r="E2044" s="89" t="s">
        <v>4197</v>
      </c>
      <c r="F2044" s="91">
        <v>608028</v>
      </c>
      <c r="G2044" s="91">
        <v>5100800</v>
      </c>
      <c r="H2044" s="87"/>
      <c r="I2044" s="90" t="s">
        <v>9276</v>
      </c>
      <c r="J2044" s="88" t="str">
        <f t="shared" si="31"/>
        <v>不重复</v>
      </c>
      <c r="K2044" s="88" t="str">
        <f t="shared" si="31"/>
        <v>不重复</v>
      </c>
    </row>
    <row r="2045" spans="1:11" ht="20.25" customHeight="1">
      <c r="A2045" s="89" t="s">
        <v>4242</v>
      </c>
      <c r="B2045" s="90" t="s">
        <v>9277</v>
      </c>
      <c r="C2045" s="90" t="s">
        <v>4243</v>
      </c>
      <c r="D2045" s="90" t="s">
        <v>4244</v>
      </c>
      <c r="E2045" s="89" t="s">
        <v>4197</v>
      </c>
      <c r="F2045" s="91">
        <v>608029</v>
      </c>
      <c r="G2045" s="91">
        <v>5100800</v>
      </c>
      <c r="H2045" s="87"/>
      <c r="I2045" s="90" t="s">
        <v>9238</v>
      </c>
      <c r="J2045" s="88" t="str">
        <f t="shared" si="31"/>
        <v>重复</v>
      </c>
      <c r="K2045" s="88" t="str">
        <f t="shared" si="31"/>
        <v>不重复</v>
      </c>
    </row>
    <row r="2046" spans="1:11" ht="20.25" customHeight="1">
      <c r="A2046" s="89" t="s">
        <v>9278</v>
      </c>
      <c r="B2046" s="90" t="s">
        <v>9279</v>
      </c>
      <c r="C2046" s="90" t="s">
        <v>4238</v>
      </c>
      <c r="D2046" s="90" t="s">
        <v>4239</v>
      </c>
      <c r="E2046" s="89" t="s">
        <v>4197</v>
      </c>
      <c r="F2046" s="91">
        <v>608030</v>
      </c>
      <c r="G2046" s="91">
        <v>5100800</v>
      </c>
      <c r="H2046" s="87"/>
      <c r="I2046" s="90" t="s">
        <v>9231</v>
      </c>
      <c r="J2046" s="88" t="str">
        <f t="shared" si="31"/>
        <v>不重复</v>
      </c>
      <c r="K2046" s="88" t="str">
        <f t="shared" si="31"/>
        <v>不重复</v>
      </c>
    </row>
    <row r="2047" spans="1:11" ht="20.25" customHeight="1">
      <c r="A2047" s="84" t="s">
        <v>4273</v>
      </c>
      <c r="B2047" s="85" t="s">
        <v>4274</v>
      </c>
      <c r="C2047" s="85" t="s">
        <v>652</v>
      </c>
      <c r="D2047" s="85" t="s">
        <v>9280</v>
      </c>
      <c r="E2047" s="84" t="s">
        <v>4197</v>
      </c>
      <c r="F2047" s="86">
        <v>608031</v>
      </c>
      <c r="G2047" s="86">
        <v>5100800</v>
      </c>
      <c r="H2047" s="87"/>
      <c r="I2047" s="85" t="s">
        <v>25</v>
      </c>
      <c r="J2047" s="88" t="str">
        <f t="shared" si="31"/>
        <v>不重复</v>
      </c>
      <c r="K2047" s="88" t="str">
        <f t="shared" si="31"/>
        <v>不重复</v>
      </c>
    </row>
    <row r="2048" spans="1:11" ht="20.25" customHeight="1">
      <c r="A2048" s="84" t="s">
        <v>4270</v>
      </c>
      <c r="B2048" s="85" t="s">
        <v>9281</v>
      </c>
      <c r="C2048" s="85" t="s">
        <v>4271</v>
      </c>
      <c r="D2048" s="85" t="s">
        <v>4272</v>
      </c>
      <c r="E2048" s="84" t="s">
        <v>4197</v>
      </c>
      <c r="F2048" s="86">
        <v>608032</v>
      </c>
      <c r="G2048" s="86">
        <v>5100800</v>
      </c>
      <c r="H2048" s="87"/>
      <c r="I2048" s="85" t="s">
        <v>8454</v>
      </c>
      <c r="J2048" s="88" t="str">
        <f t="shared" si="31"/>
        <v>重复</v>
      </c>
      <c r="K2048" s="88" t="str">
        <f t="shared" si="31"/>
        <v>不重复</v>
      </c>
    </row>
    <row r="2049" spans="1:11" ht="20.25" customHeight="1">
      <c r="A2049" s="84" t="s">
        <v>4258</v>
      </c>
      <c r="B2049" s="85" t="s">
        <v>9282</v>
      </c>
      <c r="C2049" s="85" t="s">
        <v>4259</v>
      </c>
      <c r="D2049" s="85" t="s">
        <v>4260</v>
      </c>
      <c r="E2049" s="84" t="s">
        <v>4197</v>
      </c>
      <c r="F2049" s="86">
        <v>608033</v>
      </c>
      <c r="G2049" s="86">
        <v>5100800</v>
      </c>
      <c r="H2049" s="87"/>
      <c r="I2049" s="85" t="s">
        <v>8454</v>
      </c>
      <c r="J2049" s="88" t="str">
        <f t="shared" si="31"/>
        <v>重复</v>
      </c>
      <c r="K2049" s="88" t="str">
        <f t="shared" si="31"/>
        <v>不重复</v>
      </c>
    </row>
    <row r="2050" spans="1:11" ht="20.25" customHeight="1">
      <c r="A2050" s="84" t="s">
        <v>4261</v>
      </c>
      <c r="B2050" s="85" t="s">
        <v>9283</v>
      </c>
      <c r="C2050" s="85" t="s">
        <v>4262</v>
      </c>
      <c r="D2050" s="85" t="s">
        <v>4263</v>
      </c>
      <c r="E2050" s="84" t="s">
        <v>4197</v>
      </c>
      <c r="F2050" s="86">
        <v>608034</v>
      </c>
      <c r="G2050" s="86">
        <v>5100800</v>
      </c>
      <c r="H2050" s="87"/>
      <c r="I2050" s="85" t="s">
        <v>9284</v>
      </c>
      <c r="J2050" s="88" t="str">
        <f t="shared" si="31"/>
        <v>不重复</v>
      </c>
      <c r="K2050" s="88" t="str">
        <f t="shared" si="31"/>
        <v>不重复</v>
      </c>
    </row>
    <row r="2051" spans="1:11" ht="20.25" customHeight="1">
      <c r="A2051" s="84" t="s">
        <v>4264</v>
      </c>
      <c r="B2051" s="85" t="s">
        <v>9285</v>
      </c>
      <c r="C2051" s="85" t="s">
        <v>4265</v>
      </c>
      <c r="D2051" s="85" t="s">
        <v>4266</v>
      </c>
      <c r="E2051" s="84" t="s">
        <v>4197</v>
      </c>
      <c r="F2051" s="86">
        <v>608035</v>
      </c>
      <c r="G2051" s="86">
        <v>5100800</v>
      </c>
      <c r="H2051" s="87"/>
      <c r="I2051" s="85" t="s">
        <v>9238</v>
      </c>
      <c r="J2051" s="88" t="str">
        <f t="shared" si="32" ref="J2051:K2114">IF(COUNTIF(C:C,C2051)&gt;=2,"重复","不重复")</f>
        <v>重复</v>
      </c>
      <c r="K2051" s="88" t="str">
        <f t="shared" si="32"/>
        <v>不重复</v>
      </c>
    </row>
    <row r="2052" spans="1:11" ht="20.25" customHeight="1">
      <c r="A2052" s="84" t="s">
        <v>4267</v>
      </c>
      <c r="B2052" s="85" t="s">
        <v>9286</v>
      </c>
      <c r="C2052" s="85" t="s">
        <v>4268</v>
      </c>
      <c r="D2052" s="85" t="s">
        <v>4269</v>
      </c>
      <c r="E2052" s="84" t="s">
        <v>4197</v>
      </c>
      <c r="F2052" s="86">
        <v>608036</v>
      </c>
      <c r="G2052" s="86">
        <v>5100800</v>
      </c>
      <c r="H2052" s="87"/>
      <c r="I2052" s="85" t="s">
        <v>9238</v>
      </c>
      <c r="J2052" s="88" t="str">
        <f t="shared" si="32"/>
        <v>不重复</v>
      </c>
      <c r="K2052" s="88" t="str">
        <f t="shared" si="32"/>
        <v>不重复</v>
      </c>
    </row>
    <row r="2053" spans="1:11" ht="20.25" customHeight="1">
      <c r="A2053" s="84" t="s">
        <v>9287</v>
      </c>
      <c r="B2053" s="85" t="s">
        <v>9288</v>
      </c>
      <c r="C2053" s="85" t="s">
        <v>346</v>
      </c>
      <c r="D2053" s="85" t="s">
        <v>4275</v>
      </c>
      <c r="E2053" s="84" t="s">
        <v>4197</v>
      </c>
      <c r="F2053" s="86">
        <v>608037</v>
      </c>
      <c r="G2053" s="86">
        <v>5100800</v>
      </c>
      <c r="H2053" s="87"/>
      <c r="I2053" s="85" t="s">
        <v>25</v>
      </c>
      <c r="J2053" s="88" t="str">
        <f t="shared" si="32"/>
        <v>重复</v>
      </c>
      <c r="K2053" s="88" t="str">
        <f t="shared" si="32"/>
        <v>不重复</v>
      </c>
    </row>
    <row r="2054" spans="1:11" ht="20.25" customHeight="1">
      <c r="A2054" s="84" t="s">
        <v>4278</v>
      </c>
      <c r="B2054" s="85" t="s">
        <v>9289</v>
      </c>
      <c r="C2054" s="85" t="s">
        <v>4279</v>
      </c>
      <c r="D2054" s="85" t="s">
        <v>4280</v>
      </c>
      <c r="E2054" s="84" t="s">
        <v>4197</v>
      </c>
      <c r="F2054" s="86">
        <v>608038</v>
      </c>
      <c r="G2054" s="86">
        <v>5100800</v>
      </c>
      <c r="H2054" s="87"/>
      <c r="I2054" s="85" t="s">
        <v>9290</v>
      </c>
      <c r="J2054" s="88" t="str">
        <f t="shared" si="32"/>
        <v>不重复</v>
      </c>
      <c r="K2054" s="88" t="str">
        <f t="shared" si="32"/>
        <v>不重复</v>
      </c>
    </row>
    <row r="2055" spans="1:11" ht="20.25" customHeight="1">
      <c r="A2055" s="84" t="s">
        <v>4276</v>
      </c>
      <c r="B2055" s="85" t="s">
        <v>9291</v>
      </c>
      <c r="C2055" s="85" t="s">
        <v>1540</v>
      </c>
      <c r="D2055" s="85" t="s">
        <v>4277</v>
      </c>
      <c r="E2055" s="84" t="s">
        <v>4197</v>
      </c>
      <c r="F2055" s="86">
        <v>608039</v>
      </c>
      <c r="G2055" s="86">
        <v>5100800</v>
      </c>
      <c r="H2055" s="87"/>
      <c r="I2055" s="85" t="s">
        <v>9292</v>
      </c>
      <c r="J2055" s="88" t="str">
        <f t="shared" si="32"/>
        <v>不重复</v>
      </c>
      <c r="K2055" s="88" t="str">
        <f t="shared" si="32"/>
        <v>不重复</v>
      </c>
    </row>
    <row r="2056" spans="1:11" ht="20.25" customHeight="1">
      <c r="A2056" s="84" t="s">
        <v>4281</v>
      </c>
      <c r="B2056" s="85" t="s">
        <v>9293</v>
      </c>
      <c r="C2056" s="85" t="s">
        <v>4282</v>
      </c>
      <c r="D2056" s="85" t="s">
        <v>4283</v>
      </c>
      <c r="E2056" s="84" t="s">
        <v>4197</v>
      </c>
      <c r="F2056" s="86">
        <v>608040</v>
      </c>
      <c r="G2056" s="86">
        <v>5100800</v>
      </c>
      <c r="H2056" s="87"/>
      <c r="I2056" s="85" t="s">
        <v>9265</v>
      </c>
      <c r="J2056" s="88" t="str">
        <f t="shared" si="32"/>
        <v>不重复</v>
      </c>
      <c r="K2056" s="88" t="str">
        <f t="shared" si="32"/>
        <v>不重复</v>
      </c>
    </row>
    <row r="2057" spans="1:11" ht="20.25" customHeight="1">
      <c r="A2057" s="84" t="s">
        <v>4300</v>
      </c>
      <c r="B2057" s="85" t="s">
        <v>4301</v>
      </c>
      <c r="C2057" s="85" t="s">
        <v>4290</v>
      </c>
      <c r="D2057" s="85" t="s">
        <v>4302</v>
      </c>
      <c r="E2057" s="84" t="s">
        <v>4197</v>
      </c>
      <c r="F2057" s="86">
        <v>608041</v>
      </c>
      <c r="G2057" s="86">
        <v>5100800</v>
      </c>
      <c r="H2057" s="87"/>
      <c r="I2057" s="85" t="s">
        <v>25</v>
      </c>
      <c r="J2057" s="88" t="str">
        <f t="shared" si="32"/>
        <v>重复</v>
      </c>
      <c r="K2057" s="88" t="str">
        <f t="shared" si="32"/>
        <v>重复</v>
      </c>
    </row>
    <row r="2058" spans="1:11" ht="20.25" customHeight="1">
      <c r="A2058" s="84" t="s">
        <v>9294</v>
      </c>
      <c r="B2058" s="85" t="s">
        <v>9295</v>
      </c>
      <c r="C2058" s="85" t="s">
        <v>4292</v>
      </c>
      <c r="D2058" s="85" t="s">
        <v>4293</v>
      </c>
      <c r="E2058" s="84" t="s">
        <v>4197</v>
      </c>
      <c r="F2058" s="86">
        <v>608042</v>
      </c>
      <c r="G2058" s="86">
        <v>5100800</v>
      </c>
      <c r="H2058" s="87"/>
      <c r="I2058" s="85" t="s">
        <v>9238</v>
      </c>
      <c r="J2058" s="88" t="str">
        <f t="shared" si="32"/>
        <v>重复</v>
      </c>
      <c r="K2058" s="88" t="str">
        <f t="shared" si="32"/>
        <v>不重复</v>
      </c>
    </row>
    <row r="2059" spans="1:11" ht="20.25" customHeight="1">
      <c r="A2059" s="84" t="s">
        <v>9296</v>
      </c>
      <c r="B2059" s="85" t="s">
        <v>9297</v>
      </c>
      <c r="C2059" s="85" t="s">
        <v>3141</v>
      </c>
      <c r="D2059" s="85" t="s">
        <v>4286</v>
      </c>
      <c r="E2059" s="84" t="s">
        <v>4197</v>
      </c>
      <c r="F2059" s="86">
        <v>608043</v>
      </c>
      <c r="G2059" s="86">
        <v>5100800</v>
      </c>
      <c r="H2059" s="87"/>
      <c r="I2059" s="85" t="s">
        <v>8454</v>
      </c>
      <c r="J2059" s="88" t="str">
        <f t="shared" si="32"/>
        <v>重复</v>
      </c>
      <c r="K2059" s="88" t="str">
        <f t="shared" si="32"/>
        <v>不重复</v>
      </c>
    </row>
    <row r="2060" spans="1:11" ht="20.25" customHeight="1">
      <c r="A2060" s="84" t="s">
        <v>9298</v>
      </c>
      <c r="B2060" s="85" t="s">
        <v>9299</v>
      </c>
      <c r="C2060" s="85" t="s">
        <v>4284</v>
      </c>
      <c r="D2060" s="85" t="s">
        <v>4285</v>
      </c>
      <c r="E2060" s="84" t="s">
        <v>4197</v>
      </c>
      <c r="F2060" s="86">
        <v>608044</v>
      </c>
      <c r="G2060" s="86">
        <v>5100800</v>
      </c>
      <c r="H2060" s="87"/>
      <c r="I2060" s="85" t="s">
        <v>9238</v>
      </c>
      <c r="J2060" s="88" t="str">
        <f t="shared" si="32"/>
        <v>不重复</v>
      </c>
      <c r="K2060" s="88" t="str">
        <f t="shared" si="32"/>
        <v>重复</v>
      </c>
    </row>
    <row r="2061" spans="1:11" ht="20.25" customHeight="1">
      <c r="A2061" s="84" t="s">
        <v>9300</v>
      </c>
      <c r="B2061" s="85" t="s">
        <v>9301</v>
      </c>
      <c r="C2061" s="85" t="s">
        <v>4290</v>
      </c>
      <c r="D2061" s="85" t="s">
        <v>4291</v>
      </c>
      <c r="E2061" s="84" t="s">
        <v>4197</v>
      </c>
      <c r="F2061" s="86">
        <v>608045</v>
      </c>
      <c r="G2061" s="86">
        <v>5100800</v>
      </c>
      <c r="H2061" s="87"/>
      <c r="I2061" s="85" t="s">
        <v>9238</v>
      </c>
      <c r="J2061" s="88" t="str">
        <f t="shared" si="32"/>
        <v>重复</v>
      </c>
      <c r="K2061" s="88" t="str">
        <f t="shared" si="32"/>
        <v>不重复</v>
      </c>
    </row>
    <row r="2062" spans="1:11" ht="20.25" customHeight="1">
      <c r="A2062" s="84" t="s">
        <v>4295</v>
      </c>
      <c r="B2062" s="85" t="s">
        <v>9302</v>
      </c>
      <c r="C2062" s="85" t="s">
        <v>4296</v>
      </c>
      <c r="D2062" s="85" t="s">
        <v>4297</v>
      </c>
      <c r="E2062" s="84" t="s">
        <v>4197</v>
      </c>
      <c r="F2062" s="86">
        <v>608046</v>
      </c>
      <c r="G2062" s="86">
        <v>5100800</v>
      </c>
      <c r="H2062" s="87"/>
      <c r="I2062" s="85" t="s">
        <v>9303</v>
      </c>
      <c r="J2062" s="88" t="str">
        <f t="shared" si="32"/>
        <v>不重复</v>
      </c>
      <c r="K2062" s="88" t="str">
        <f t="shared" si="32"/>
        <v>不重复</v>
      </c>
    </row>
    <row r="2063" spans="1:11" ht="20.25" customHeight="1">
      <c r="A2063" s="84" t="s">
        <v>9304</v>
      </c>
      <c r="B2063" s="85" t="s">
        <v>9305</v>
      </c>
      <c r="C2063" s="85" t="s">
        <v>2087</v>
      </c>
      <c r="D2063" s="85" t="s">
        <v>4289</v>
      </c>
      <c r="E2063" s="84" t="s">
        <v>4197</v>
      </c>
      <c r="F2063" s="86">
        <v>608047</v>
      </c>
      <c r="G2063" s="86">
        <v>5100800</v>
      </c>
      <c r="H2063" s="87"/>
      <c r="I2063" s="85" t="s">
        <v>9238</v>
      </c>
      <c r="J2063" s="88" t="str">
        <f t="shared" si="32"/>
        <v>重复</v>
      </c>
      <c r="K2063" s="88" t="str">
        <f t="shared" si="32"/>
        <v>不重复</v>
      </c>
    </row>
    <row r="2064" spans="1:11" ht="20.25" customHeight="1">
      <c r="A2064" s="84" t="s">
        <v>9306</v>
      </c>
      <c r="B2064" s="85" t="s">
        <v>9307</v>
      </c>
      <c r="C2064" s="85" t="s">
        <v>4292</v>
      </c>
      <c r="D2064" s="85" t="s">
        <v>4294</v>
      </c>
      <c r="E2064" s="84" t="s">
        <v>4197</v>
      </c>
      <c r="F2064" s="86">
        <v>608048</v>
      </c>
      <c r="G2064" s="86">
        <v>5100800</v>
      </c>
      <c r="H2064" s="87"/>
      <c r="I2064" s="85" t="s">
        <v>9276</v>
      </c>
      <c r="J2064" s="88" t="str">
        <f t="shared" si="32"/>
        <v>重复</v>
      </c>
      <c r="K2064" s="88" t="str">
        <f t="shared" si="32"/>
        <v>不重复</v>
      </c>
    </row>
    <row r="2065" spans="1:11" ht="20.25" customHeight="1">
      <c r="A2065" s="84" t="s">
        <v>9308</v>
      </c>
      <c r="B2065" s="85" t="s">
        <v>9309</v>
      </c>
      <c r="C2065" s="85" t="s">
        <v>4287</v>
      </c>
      <c r="D2065" s="85" t="s">
        <v>4288</v>
      </c>
      <c r="E2065" s="84" t="s">
        <v>4197</v>
      </c>
      <c r="F2065" s="86">
        <v>608049</v>
      </c>
      <c r="G2065" s="86">
        <v>5100800</v>
      </c>
      <c r="H2065" s="87"/>
      <c r="I2065" s="85" t="s">
        <v>8454</v>
      </c>
      <c r="J2065" s="88" t="str">
        <f t="shared" si="32"/>
        <v>不重复</v>
      </c>
      <c r="K2065" s="88" t="str">
        <f t="shared" si="32"/>
        <v>不重复</v>
      </c>
    </row>
    <row r="2066" spans="1:11" ht="20.25" customHeight="1">
      <c r="A2066" s="84" t="s">
        <v>4298</v>
      </c>
      <c r="B2066" s="85" t="s">
        <v>9310</v>
      </c>
      <c r="C2066" s="85" t="s">
        <v>3705</v>
      </c>
      <c r="D2066" s="85" t="s">
        <v>4299</v>
      </c>
      <c r="E2066" s="84" t="s">
        <v>4197</v>
      </c>
      <c r="F2066" s="86">
        <v>608050</v>
      </c>
      <c r="G2066" s="86">
        <v>5100800</v>
      </c>
      <c r="H2066" s="87"/>
      <c r="I2066" s="85" t="s">
        <v>9263</v>
      </c>
      <c r="J2066" s="88" t="str">
        <f t="shared" si="32"/>
        <v>重复</v>
      </c>
      <c r="K2066" s="88" t="str">
        <f t="shared" si="32"/>
        <v>不重复</v>
      </c>
    </row>
    <row r="2067" spans="1:11" ht="20.25" customHeight="1">
      <c r="A2067" s="84" t="s">
        <v>9311</v>
      </c>
      <c r="B2067" s="85" t="s">
        <v>9312</v>
      </c>
      <c r="C2067" s="85" t="s">
        <v>1076</v>
      </c>
      <c r="D2067" s="85" t="s">
        <v>1682</v>
      </c>
      <c r="E2067" s="84" t="s">
        <v>4197</v>
      </c>
      <c r="F2067" s="86">
        <v>608051</v>
      </c>
      <c r="G2067" s="86">
        <v>5100800</v>
      </c>
      <c r="H2067" s="87"/>
      <c r="I2067" s="85" t="s">
        <v>9238</v>
      </c>
      <c r="J2067" s="88" t="str">
        <f t="shared" si="32"/>
        <v>重复</v>
      </c>
      <c r="K2067" s="88" t="str">
        <f t="shared" si="32"/>
        <v>不重复</v>
      </c>
    </row>
    <row r="2068" spans="1:11" ht="20.25" customHeight="1">
      <c r="A2068" s="89" t="s">
        <v>4337</v>
      </c>
      <c r="B2068" s="90" t="s">
        <v>4338</v>
      </c>
      <c r="C2068" s="90" t="s">
        <v>650</v>
      </c>
      <c r="D2068" s="90" t="s">
        <v>3041</v>
      </c>
      <c r="E2068" s="89" t="s">
        <v>4305</v>
      </c>
      <c r="F2068" s="91">
        <v>609000</v>
      </c>
      <c r="G2068" s="91">
        <v>5100900</v>
      </c>
      <c r="H2068" s="87"/>
      <c r="I2068" s="90" t="s">
        <v>25</v>
      </c>
      <c r="J2068" s="88" t="str">
        <f t="shared" si="32"/>
        <v>重复</v>
      </c>
      <c r="K2068" s="88" t="str">
        <f t="shared" si="32"/>
        <v>不重复</v>
      </c>
    </row>
    <row r="2069" spans="1:11" ht="20.25" customHeight="1">
      <c r="A2069" s="89" t="s">
        <v>4323</v>
      </c>
      <c r="B2069" s="90" t="s">
        <v>9313</v>
      </c>
      <c r="C2069" s="90" t="s">
        <v>4324</v>
      </c>
      <c r="D2069" s="90" t="s">
        <v>4325</v>
      </c>
      <c r="E2069" s="89" t="s">
        <v>4305</v>
      </c>
      <c r="F2069" s="91">
        <v>609001</v>
      </c>
      <c r="G2069" s="91">
        <v>5100900</v>
      </c>
      <c r="H2069" s="87"/>
      <c r="I2069" s="90" t="s">
        <v>4326</v>
      </c>
      <c r="J2069" s="88" t="str">
        <f t="shared" si="32"/>
        <v>不重复</v>
      </c>
      <c r="K2069" s="88" t="str">
        <f t="shared" si="32"/>
        <v>不重复</v>
      </c>
    </row>
    <row r="2070" spans="1:11" ht="20.25" customHeight="1">
      <c r="A2070" s="89" t="s">
        <v>9314</v>
      </c>
      <c r="B2070" s="90" t="s">
        <v>9315</v>
      </c>
      <c r="C2070" s="90" t="s">
        <v>1805</v>
      </c>
      <c r="D2070" s="90" t="s">
        <v>4327</v>
      </c>
      <c r="E2070" s="89" t="s">
        <v>4305</v>
      </c>
      <c r="F2070" s="91">
        <v>609002</v>
      </c>
      <c r="G2070" s="91">
        <v>5100900</v>
      </c>
      <c r="H2070" s="87"/>
      <c r="I2070" s="90" t="s">
        <v>9316</v>
      </c>
      <c r="J2070" s="88" t="str">
        <f t="shared" si="32"/>
        <v>不重复</v>
      </c>
      <c r="K2070" s="88" t="str">
        <f t="shared" si="32"/>
        <v>不重复</v>
      </c>
    </row>
    <row r="2071" spans="1:11" ht="20.25" customHeight="1">
      <c r="A2071" s="89" t="s">
        <v>4328</v>
      </c>
      <c r="B2071" s="90" t="s">
        <v>9317</v>
      </c>
      <c r="C2071" s="90" t="s">
        <v>2077</v>
      </c>
      <c r="D2071" s="90" t="s">
        <v>4329</v>
      </c>
      <c r="E2071" s="89" t="s">
        <v>4305</v>
      </c>
      <c r="F2071" s="91">
        <v>609003</v>
      </c>
      <c r="G2071" s="91">
        <v>5100900</v>
      </c>
      <c r="H2071" s="87"/>
      <c r="I2071" s="90" t="s">
        <v>9318</v>
      </c>
      <c r="J2071" s="88" t="str">
        <f t="shared" si="32"/>
        <v>重复</v>
      </c>
      <c r="K2071" s="88" t="str">
        <f t="shared" si="32"/>
        <v>不重复</v>
      </c>
    </row>
    <row r="2072" spans="1:11" ht="20.25" customHeight="1">
      <c r="A2072" s="89" t="s">
        <v>4330</v>
      </c>
      <c r="B2072" s="90" t="s">
        <v>9319</v>
      </c>
      <c r="C2072" s="90" t="s">
        <v>2212</v>
      </c>
      <c r="D2072" s="90" t="s">
        <v>4331</v>
      </c>
      <c r="E2072" s="89" t="s">
        <v>4305</v>
      </c>
      <c r="F2072" s="91">
        <v>609004</v>
      </c>
      <c r="G2072" s="91">
        <v>5100900</v>
      </c>
      <c r="H2072" s="87"/>
      <c r="I2072" s="90" t="s">
        <v>9318</v>
      </c>
      <c r="J2072" s="88" t="str">
        <f t="shared" si="32"/>
        <v>重复</v>
      </c>
      <c r="K2072" s="88" t="str">
        <f t="shared" si="32"/>
        <v>不重复</v>
      </c>
    </row>
    <row r="2073" spans="1:11" ht="20.25" customHeight="1">
      <c r="A2073" s="89" t="s">
        <v>4332</v>
      </c>
      <c r="B2073" s="90" t="s">
        <v>9320</v>
      </c>
      <c r="C2073" s="90" t="s">
        <v>4333</v>
      </c>
      <c r="D2073" s="90" t="s">
        <v>4334</v>
      </c>
      <c r="E2073" s="89" t="s">
        <v>4305</v>
      </c>
      <c r="F2073" s="91">
        <v>609005</v>
      </c>
      <c r="G2073" s="91">
        <v>5100900</v>
      </c>
      <c r="H2073" s="87"/>
      <c r="I2073" s="90" t="s">
        <v>9318</v>
      </c>
      <c r="J2073" s="88" t="str">
        <f t="shared" si="32"/>
        <v>重复</v>
      </c>
      <c r="K2073" s="88" t="str">
        <f t="shared" si="32"/>
        <v>不重复</v>
      </c>
    </row>
    <row r="2074" spans="1:11" ht="20.25" customHeight="1">
      <c r="A2074" s="89" t="s">
        <v>4335</v>
      </c>
      <c r="B2074" s="90" t="s">
        <v>9321</v>
      </c>
      <c r="C2074" s="90" t="s">
        <v>2077</v>
      </c>
      <c r="D2074" s="90" t="s">
        <v>4336</v>
      </c>
      <c r="E2074" s="89" t="s">
        <v>4305</v>
      </c>
      <c r="F2074" s="91">
        <v>609006</v>
      </c>
      <c r="G2074" s="91">
        <v>5100900</v>
      </c>
      <c r="H2074" s="87"/>
      <c r="I2074" s="90" t="s">
        <v>9249</v>
      </c>
      <c r="J2074" s="88" t="str">
        <f t="shared" si="32"/>
        <v>重复</v>
      </c>
      <c r="K2074" s="88" t="str">
        <f t="shared" si="32"/>
        <v>不重复</v>
      </c>
    </row>
    <row r="2075" spans="1:11" ht="20.25" customHeight="1">
      <c r="A2075" s="89" t="s">
        <v>4320</v>
      </c>
      <c r="B2075" s="90" t="s">
        <v>4321</v>
      </c>
      <c r="C2075" s="90" t="s">
        <v>723</v>
      </c>
      <c r="D2075" s="90" t="s">
        <v>4322</v>
      </c>
      <c r="E2075" s="89" t="s">
        <v>4305</v>
      </c>
      <c r="F2075" s="91">
        <v>609007</v>
      </c>
      <c r="G2075" s="91">
        <v>5100900</v>
      </c>
      <c r="H2075" s="87"/>
      <c r="I2075" s="90" t="s">
        <v>25</v>
      </c>
      <c r="J2075" s="88" t="str">
        <f t="shared" si="32"/>
        <v>重复</v>
      </c>
      <c r="K2075" s="88" t="str">
        <f t="shared" si="32"/>
        <v>不重复</v>
      </c>
    </row>
    <row r="2076" spans="1:11" ht="20.25" customHeight="1">
      <c r="A2076" s="89" t="s">
        <v>4303</v>
      </c>
      <c r="B2076" s="90" t="s">
        <v>9322</v>
      </c>
      <c r="C2076" s="90" t="s">
        <v>206</v>
      </c>
      <c r="D2076" s="90" t="s">
        <v>4304</v>
      </c>
      <c r="E2076" s="89" t="s">
        <v>4305</v>
      </c>
      <c r="F2076" s="91">
        <v>609008</v>
      </c>
      <c r="G2076" s="91">
        <v>5100900</v>
      </c>
      <c r="H2076" s="87"/>
      <c r="I2076" s="90" t="s">
        <v>9323</v>
      </c>
      <c r="J2076" s="88" t="str">
        <f t="shared" si="32"/>
        <v>重复</v>
      </c>
      <c r="K2076" s="88" t="str">
        <f t="shared" si="32"/>
        <v>不重复</v>
      </c>
    </row>
    <row r="2077" spans="1:11" ht="20.25" customHeight="1">
      <c r="A2077" s="89" t="s">
        <v>4306</v>
      </c>
      <c r="B2077" s="90" t="s">
        <v>9324</v>
      </c>
      <c r="C2077" s="90" t="s">
        <v>4307</v>
      </c>
      <c r="D2077" s="90" t="s">
        <v>4308</v>
      </c>
      <c r="E2077" s="89" t="s">
        <v>4305</v>
      </c>
      <c r="F2077" s="91">
        <v>609009</v>
      </c>
      <c r="G2077" s="91">
        <v>5100900</v>
      </c>
      <c r="H2077" s="87"/>
      <c r="I2077" s="90" t="s">
        <v>9325</v>
      </c>
      <c r="J2077" s="88" t="str">
        <f t="shared" si="32"/>
        <v>不重复</v>
      </c>
      <c r="K2077" s="88" t="str">
        <f t="shared" si="32"/>
        <v>不重复</v>
      </c>
    </row>
    <row r="2078" spans="1:11" ht="20.25" customHeight="1">
      <c r="A2078" s="89" t="s">
        <v>4309</v>
      </c>
      <c r="B2078" s="90" t="s">
        <v>9326</v>
      </c>
      <c r="C2078" s="90" t="s">
        <v>235</v>
      </c>
      <c r="D2078" s="90" t="s">
        <v>4310</v>
      </c>
      <c r="E2078" s="89" t="s">
        <v>4305</v>
      </c>
      <c r="F2078" s="91">
        <v>609010</v>
      </c>
      <c r="G2078" s="91">
        <v>5100900</v>
      </c>
      <c r="H2078" s="87"/>
      <c r="I2078" s="90" t="s">
        <v>9327</v>
      </c>
      <c r="J2078" s="88" t="str">
        <f t="shared" si="32"/>
        <v>重复</v>
      </c>
      <c r="K2078" s="88" t="str">
        <f t="shared" si="32"/>
        <v>不重复</v>
      </c>
    </row>
    <row r="2079" spans="1:11" ht="20.25" customHeight="1">
      <c r="A2079" s="89" t="s">
        <v>4311</v>
      </c>
      <c r="B2079" s="90" t="s">
        <v>9328</v>
      </c>
      <c r="C2079" s="90" t="s">
        <v>4312</v>
      </c>
      <c r="D2079" s="90" t="s">
        <v>4313</v>
      </c>
      <c r="E2079" s="89" t="s">
        <v>4305</v>
      </c>
      <c r="F2079" s="91">
        <v>609011</v>
      </c>
      <c r="G2079" s="91">
        <v>5100900</v>
      </c>
      <c r="H2079" s="87"/>
      <c r="I2079" s="90" t="s">
        <v>9329</v>
      </c>
      <c r="J2079" s="88" t="str">
        <f t="shared" si="32"/>
        <v>不重复</v>
      </c>
      <c r="K2079" s="88" t="str">
        <f t="shared" si="32"/>
        <v>不重复</v>
      </c>
    </row>
    <row r="2080" spans="1:11" ht="20.25" customHeight="1">
      <c r="A2080" s="89" t="s">
        <v>4314</v>
      </c>
      <c r="B2080" s="90" t="s">
        <v>9330</v>
      </c>
      <c r="C2080" s="90" t="s">
        <v>4315</v>
      </c>
      <c r="D2080" s="90" t="s">
        <v>4316</v>
      </c>
      <c r="E2080" s="89" t="s">
        <v>4305</v>
      </c>
      <c r="F2080" s="91">
        <v>609012</v>
      </c>
      <c r="G2080" s="91">
        <v>5100900</v>
      </c>
      <c r="H2080" s="87"/>
      <c r="I2080" s="90" t="s">
        <v>9331</v>
      </c>
      <c r="J2080" s="88" t="str">
        <f t="shared" si="32"/>
        <v>不重复</v>
      </c>
      <c r="K2080" s="88" t="str">
        <f t="shared" si="32"/>
        <v>不重复</v>
      </c>
    </row>
    <row r="2081" spans="1:11" ht="20.25" customHeight="1">
      <c r="A2081" s="89" t="s">
        <v>4317</v>
      </c>
      <c r="B2081" s="90" t="s">
        <v>9332</v>
      </c>
      <c r="C2081" s="90" t="s">
        <v>4318</v>
      </c>
      <c r="D2081" s="90" t="s">
        <v>4319</v>
      </c>
      <c r="E2081" s="89" t="s">
        <v>4305</v>
      </c>
      <c r="F2081" s="91">
        <v>609013</v>
      </c>
      <c r="G2081" s="91">
        <v>5100900</v>
      </c>
      <c r="H2081" s="87"/>
      <c r="I2081" s="90" t="s">
        <v>9323</v>
      </c>
      <c r="J2081" s="88" t="str">
        <f t="shared" si="32"/>
        <v>不重复</v>
      </c>
      <c r="K2081" s="88" t="str">
        <f t="shared" si="32"/>
        <v>不重复</v>
      </c>
    </row>
    <row r="2082" spans="1:11" ht="20.25" customHeight="1">
      <c r="A2082" s="84" t="s">
        <v>4347</v>
      </c>
      <c r="B2082" s="85" t="s">
        <v>4348</v>
      </c>
      <c r="C2082" s="85" t="s">
        <v>650</v>
      </c>
      <c r="D2082" s="85" t="s">
        <v>4349</v>
      </c>
      <c r="E2082" s="84" t="s">
        <v>4305</v>
      </c>
      <c r="F2082" s="86">
        <v>609014</v>
      </c>
      <c r="G2082" s="86">
        <v>5100900</v>
      </c>
      <c r="H2082" s="87"/>
      <c r="I2082" s="85" t="s">
        <v>25</v>
      </c>
      <c r="J2082" s="88" t="str">
        <f t="shared" si="32"/>
        <v>重复</v>
      </c>
      <c r="K2082" s="88" t="str">
        <f t="shared" si="32"/>
        <v>不重复</v>
      </c>
    </row>
    <row r="2083" spans="1:11" ht="20.25" customHeight="1">
      <c r="A2083" s="84" t="s">
        <v>4339</v>
      </c>
      <c r="B2083" s="85" t="s">
        <v>9333</v>
      </c>
      <c r="C2083" s="85" t="s">
        <v>4340</v>
      </c>
      <c r="D2083" s="85" t="s">
        <v>667</v>
      </c>
      <c r="E2083" s="84" t="s">
        <v>4305</v>
      </c>
      <c r="F2083" s="86">
        <v>609015</v>
      </c>
      <c r="G2083" s="86">
        <v>5100900</v>
      </c>
      <c r="H2083" s="87"/>
      <c r="I2083" s="85" t="s">
        <v>4341</v>
      </c>
      <c r="J2083" s="88" t="str">
        <f t="shared" si="32"/>
        <v>不重复</v>
      </c>
      <c r="K2083" s="88" t="str">
        <f t="shared" si="32"/>
        <v>不重复</v>
      </c>
    </row>
    <row r="2084" spans="1:11" ht="20.25" customHeight="1">
      <c r="A2084" s="84" t="s">
        <v>4342</v>
      </c>
      <c r="B2084" s="85" t="s">
        <v>9334</v>
      </c>
      <c r="C2084" s="85" t="s">
        <v>2212</v>
      </c>
      <c r="D2084" s="85" t="s">
        <v>4343</v>
      </c>
      <c r="E2084" s="84" t="s">
        <v>4305</v>
      </c>
      <c r="F2084" s="86">
        <v>609016</v>
      </c>
      <c r="G2084" s="86">
        <v>5100900</v>
      </c>
      <c r="H2084" s="87"/>
      <c r="I2084" s="85" t="s">
        <v>3739</v>
      </c>
      <c r="J2084" s="88" t="str">
        <f t="shared" si="32"/>
        <v>重复</v>
      </c>
      <c r="K2084" s="88" t="str">
        <f t="shared" si="32"/>
        <v>不重复</v>
      </c>
    </row>
    <row r="2085" spans="1:11" ht="20.25" customHeight="1">
      <c r="A2085" s="84" t="s">
        <v>4344</v>
      </c>
      <c r="B2085" s="85" t="s">
        <v>9335</v>
      </c>
      <c r="C2085" s="85" t="s">
        <v>4345</v>
      </c>
      <c r="D2085" s="85" t="s">
        <v>4346</v>
      </c>
      <c r="E2085" s="84" t="s">
        <v>4305</v>
      </c>
      <c r="F2085" s="86">
        <v>609017</v>
      </c>
      <c r="G2085" s="86">
        <v>5100900</v>
      </c>
      <c r="H2085" s="87"/>
      <c r="I2085" s="85" t="s">
        <v>4035</v>
      </c>
      <c r="J2085" s="88" t="str">
        <f t="shared" si="32"/>
        <v>不重复</v>
      </c>
      <c r="K2085" s="88" t="str">
        <f t="shared" si="32"/>
        <v>不重复</v>
      </c>
    </row>
    <row r="2086" spans="1:11" ht="20.25" customHeight="1">
      <c r="A2086" s="89" t="s">
        <v>4366</v>
      </c>
      <c r="B2086" s="90" t="s">
        <v>4367</v>
      </c>
      <c r="C2086" s="90" t="s">
        <v>4351</v>
      </c>
      <c r="D2086" s="90" t="s">
        <v>1534</v>
      </c>
      <c r="E2086" s="89" t="s">
        <v>4305</v>
      </c>
      <c r="F2086" s="91">
        <v>609018</v>
      </c>
      <c r="G2086" s="91">
        <v>5100900</v>
      </c>
      <c r="H2086" s="87"/>
      <c r="I2086" s="90" t="s">
        <v>25</v>
      </c>
      <c r="J2086" s="88" t="str">
        <f t="shared" si="32"/>
        <v>重复</v>
      </c>
      <c r="K2086" s="88" t="str">
        <f t="shared" si="32"/>
        <v>重复</v>
      </c>
    </row>
    <row r="2087" spans="1:11" ht="20.25" customHeight="1">
      <c r="A2087" s="89" t="s">
        <v>9336</v>
      </c>
      <c r="B2087" s="90" t="s">
        <v>9337</v>
      </c>
      <c r="C2087" s="90" t="s">
        <v>9338</v>
      </c>
      <c r="D2087" s="90" t="s">
        <v>9339</v>
      </c>
      <c r="E2087" s="89" t="s">
        <v>4305</v>
      </c>
      <c r="F2087" s="91">
        <v>609019</v>
      </c>
      <c r="G2087" s="91">
        <v>5100900</v>
      </c>
      <c r="H2087" s="87"/>
      <c r="I2087" s="90" t="s">
        <v>9340</v>
      </c>
      <c r="J2087" s="88" t="str">
        <f t="shared" si="32"/>
        <v>不重复</v>
      </c>
      <c r="K2087" s="88" t="str">
        <f t="shared" si="32"/>
        <v>不重复</v>
      </c>
    </row>
    <row r="2088" spans="1:11" ht="20.25" customHeight="1">
      <c r="A2088" s="89" t="s">
        <v>4350</v>
      </c>
      <c r="B2088" s="90" t="s">
        <v>9341</v>
      </c>
      <c r="C2088" s="90" t="s">
        <v>4351</v>
      </c>
      <c r="D2088" s="90" t="s">
        <v>4352</v>
      </c>
      <c r="E2088" s="89" t="s">
        <v>4305</v>
      </c>
      <c r="F2088" s="91">
        <v>609020</v>
      </c>
      <c r="G2088" s="91">
        <v>5100900</v>
      </c>
      <c r="H2088" s="87"/>
      <c r="I2088" s="90" t="s">
        <v>9342</v>
      </c>
      <c r="J2088" s="88" t="str">
        <f t="shared" si="32"/>
        <v>重复</v>
      </c>
      <c r="K2088" s="88" t="str">
        <f t="shared" si="32"/>
        <v>不重复</v>
      </c>
    </row>
    <row r="2089" spans="1:11" ht="20.25" customHeight="1">
      <c r="A2089" s="89" t="s">
        <v>4354</v>
      </c>
      <c r="B2089" s="90" t="s">
        <v>9343</v>
      </c>
      <c r="C2089" s="90" t="s">
        <v>4355</v>
      </c>
      <c r="D2089" s="90" t="s">
        <v>4356</v>
      </c>
      <c r="E2089" s="89" t="s">
        <v>4305</v>
      </c>
      <c r="F2089" s="91">
        <v>609021</v>
      </c>
      <c r="G2089" s="91">
        <v>5100900</v>
      </c>
      <c r="H2089" s="87"/>
      <c r="I2089" s="90" t="s">
        <v>4018</v>
      </c>
      <c r="J2089" s="88" t="str">
        <f t="shared" si="32"/>
        <v>不重复</v>
      </c>
      <c r="K2089" s="88" t="str">
        <f t="shared" si="32"/>
        <v>不重复</v>
      </c>
    </row>
    <row r="2090" spans="1:11" ht="20.25" customHeight="1">
      <c r="A2090" s="89" t="s">
        <v>4357</v>
      </c>
      <c r="B2090" s="90" t="s">
        <v>9344</v>
      </c>
      <c r="C2090" s="90" t="s">
        <v>3864</v>
      </c>
      <c r="D2090" s="90" t="s">
        <v>1539</v>
      </c>
      <c r="E2090" s="89" t="s">
        <v>4305</v>
      </c>
      <c r="F2090" s="91">
        <v>609022</v>
      </c>
      <c r="G2090" s="91">
        <v>5100900</v>
      </c>
      <c r="H2090" s="87"/>
      <c r="I2090" s="90" t="s">
        <v>4358</v>
      </c>
      <c r="J2090" s="88" t="str">
        <f t="shared" si="32"/>
        <v>重复</v>
      </c>
      <c r="K2090" s="88" t="str">
        <f t="shared" si="32"/>
        <v>不重复</v>
      </c>
    </row>
    <row r="2091" spans="1:11" ht="20.25" customHeight="1">
      <c r="A2091" s="89" t="s">
        <v>4359</v>
      </c>
      <c r="B2091" s="90" t="s">
        <v>9345</v>
      </c>
      <c r="C2091" s="90" t="s">
        <v>4360</v>
      </c>
      <c r="D2091" s="90" t="s">
        <v>4361</v>
      </c>
      <c r="E2091" s="89" t="s">
        <v>4305</v>
      </c>
      <c r="F2091" s="91">
        <v>609023</v>
      </c>
      <c r="G2091" s="91">
        <v>5100900</v>
      </c>
      <c r="H2091" s="87"/>
      <c r="I2091" s="90" t="s">
        <v>4362</v>
      </c>
      <c r="J2091" s="88" t="str">
        <f t="shared" si="32"/>
        <v>不重复</v>
      </c>
      <c r="K2091" s="88" t="str">
        <f t="shared" si="32"/>
        <v>不重复</v>
      </c>
    </row>
    <row r="2092" spans="1:11" ht="20.25" customHeight="1">
      <c r="A2092" s="89" t="s">
        <v>4363</v>
      </c>
      <c r="B2092" s="90" t="s">
        <v>9346</v>
      </c>
      <c r="C2092" s="90" t="s">
        <v>4364</v>
      </c>
      <c r="D2092" s="90" t="s">
        <v>4365</v>
      </c>
      <c r="E2092" s="89" t="s">
        <v>4305</v>
      </c>
      <c r="F2092" s="91">
        <v>609024</v>
      </c>
      <c r="G2092" s="91">
        <v>5100800</v>
      </c>
      <c r="H2092" s="87"/>
      <c r="I2092" s="90" t="s">
        <v>4353</v>
      </c>
      <c r="J2092" s="88" t="str">
        <f t="shared" si="32"/>
        <v>不重复</v>
      </c>
      <c r="K2092" s="88" t="str">
        <f t="shared" si="32"/>
        <v>不重复</v>
      </c>
    </row>
    <row r="2093" spans="1:11" ht="20.25" customHeight="1">
      <c r="A2093" s="89" t="s">
        <v>4375</v>
      </c>
      <c r="B2093" s="90" t="s">
        <v>9347</v>
      </c>
      <c r="C2093" s="90" t="s">
        <v>4376</v>
      </c>
      <c r="D2093" s="90" t="s">
        <v>9348</v>
      </c>
      <c r="E2093" s="89" t="s">
        <v>4305</v>
      </c>
      <c r="F2093" s="91">
        <v>609025</v>
      </c>
      <c r="G2093" s="91">
        <v>5100800</v>
      </c>
      <c r="H2093" s="87"/>
      <c r="I2093" s="90" t="s">
        <v>9349</v>
      </c>
      <c r="J2093" s="88" t="str">
        <f t="shared" si="32"/>
        <v>不重复</v>
      </c>
      <c r="K2093" s="88" t="str">
        <f t="shared" si="32"/>
        <v>不重复</v>
      </c>
    </row>
    <row r="2094" spans="1:11" ht="20.25" customHeight="1">
      <c r="A2094" s="89" t="s">
        <v>9350</v>
      </c>
      <c r="B2094" s="90" t="s">
        <v>4368</v>
      </c>
      <c r="C2094" s="90" t="s">
        <v>2816</v>
      </c>
      <c r="D2094" s="90" t="s">
        <v>9351</v>
      </c>
      <c r="E2094" s="89" t="s">
        <v>4305</v>
      </c>
      <c r="F2094" s="91">
        <v>609026</v>
      </c>
      <c r="G2094" s="91">
        <v>5100800</v>
      </c>
      <c r="H2094" s="87"/>
      <c r="I2094" s="90" t="s">
        <v>9352</v>
      </c>
      <c r="J2094" s="88" t="str">
        <f t="shared" si="32"/>
        <v>重复</v>
      </c>
      <c r="K2094" s="88" t="str">
        <f t="shared" si="32"/>
        <v>不重复</v>
      </c>
    </row>
    <row r="2095" spans="1:11" ht="20.25" customHeight="1">
      <c r="A2095" s="89" t="s">
        <v>9353</v>
      </c>
      <c r="B2095" s="90" t="s">
        <v>9354</v>
      </c>
      <c r="C2095" s="90" t="s">
        <v>9355</v>
      </c>
      <c r="D2095" s="90" t="s">
        <v>9356</v>
      </c>
      <c r="E2095" s="89" t="s">
        <v>4305</v>
      </c>
      <c r="F2095" s="91">
        <v>609027</v>
      </c>
      <c r="G2095" s="91">
        <v>5100800</v>
      </c>
      <c r="H2095" s="87"/>
      <c r="I2095" s="90" t="s">
        <v>9357</v>
      </c>
      <c r="J2095" s="88" t="str">
        <f t="shared" si="32"/>
        <v>不重复</v>
      </c>
      <c r="K2095" s="88" t="str">
        <f t="shared" si="32"/>
        <v>不重复</v>
      </c>
    </row>
    <row r="2096" spans="1:11" ht="20.25" customHeight="1">
      <c r="A2096" s="84" t="s">
        <v>4369</v>
      </c>
      <c r="B2096" s="85" t="s">
        <v>9358</v>
      </c>
      <c r="C2096" s="85" t="s">
        <v>9359</v>
      </c>
      <c r="D2096" s="85" t="s">
        <v>9360</v>
      </c>
      <c r="E2096" s="84" t="s">
        <v>4305</v>
      </c>
      <c r="F2096" s="86">
        <v>609028</v>
      </c>
      <c r="G2096" s="86">
        <v>5100800</v>
      </c>
      <c r="H2096" s="87"/>
      <c r="I2096" s="85" t="s">
        <v>9361</v>
      </c>
      <c r="J2096" s="88" t="str">
        <f t="shared" si="32"/>
        <v>不重复</v>
      </c>
      <c r="K2096" s="88" t="str">
        <f t="shared" si="32"/>
        <v>不重复</v>
      </c>
    </row>
    <row r="2097" spans="1:11" ht="20.25" customHeight="1">
      <c r="A2097" s="84" t="s">
        <v>4372</v>
      </c>
      <c r="B2097" s="85" t="s">
        <v>4373</v>
      </c>
      <c r="C2097" s="85" t="s">
        <v>4374</v>
      </c>
      <c r="D2097" s="85" t="s">
        <v>9362</v>
      </c>
      <c r="E2097" s="84" t="s">
        <v>4305</v>
      </c>
      <c r="F2097" s="86">
        <v>609029</v>
      </c>
      <c r="G2097" s="86">
        <v>5100800</v>
      </c>
      <c r="H2097" s="87"/>
      <c r="I2097" s="85" t="s">
        <v>25</v>
      </c>
      <c r="J2097" s="88" t="str">
        <f t="shared" si="32"/>
        <v>不重复</v>
      </c>
      <c r="K2097" s="88" t="str">
        <f t="shared" si="32"/>
        <v>不重复</v>
      </c>
    </row>
    <row r="2098" spans="1:11" ht="20.25" customHeight="1">
      <c r="A2098" s="89" t="s">
        <v>9363</v>
      </c>
      <c r="B2098" s="90" t="s">
        <v>4370</v>
      </c>
      <c r="C2098" s="90" t="s">
        <v>4001</v>
      </c>
      <c r="D2098" s="90" t="s">
        <v>4371</v>
      </c>
      <c r="E2098" s="89" t="s">
        <v>4305</v>
      </c>
      <c r="F2098" s="91">
        <v>609030</v>
      </c>
      <c r="G2098" s="91">
        <v>5100800</v>
      </c>
      <c r="H2098" s="87"/>
      <c r="I2098" s="90" t="s">
        <v>9364</v>
      </c>
      <c r="J2098" s="88" t="str">
        <f t="shared" si="32"/>
        <v>重复</v>
      </c>
      <c r="K2098" s="88" t="str">
        <f t="shared" si="32"/>
        <v>不重复</v>
      </c>
    </row>
    <row r="2099" spans="1:11" ht="20.25" customHeight="1">
      <c r="A2099" s="89" t="s">
        <v>9365</v>
      </c>
      <c r="B2099" s="90" t="s">
        <v>9366</v>
      </c>
      <c r="C2099" s="90" t="s">
        <v>320</v>
      </c>
      <c r="D2099" s="90" t="s">
        <v>9367</v>
      </c>
      <c r="E2099" s="89" t="s">
        <v>4305</v>
      </c>
      <c r="F2099" s="91">
        <v>609031</v>
      </c>
      <c r="G2099" s="91">
        <v>5100800</v>
      </c>
      <c r="H2099" s="87"/>
      <c r="I2099" s="90" t="s">
        <v>25</v>
      </c>
      <c r="J2099" s="88" t="str">
        <f t="shared" si="32"/>
        <v>重复</v>
      </c>
      <c r="K2099" s="88" t="str">
        <f t="shared" si="32"/>
        <v>不重复</v>
      </c>
    </row>
    <row r="2100" spans="1:11" ht="20.25" customHeight="1">
      <c r="A2100" s="84" t="s">
        <v>9368</v>
      </c>
      <c r="B2100" s="85" t="s">
        <v>9369</v>
      </c>
      <c r="C2100" s="85" t="s">
        <v>9370</v>
      </c>
      <c r="D2100" s="85" t="s">
        <v>9371</v>
      </c>
      <c r="E2100" s="84" t="s">
        <v>4378</v>
      </c>
      <c r="F2100" s="86">
        <v>700000</v>
      </c>
      <c r="G2100" s="86">
        <v>5110000</v>
      </c>
      <c r="H2100" s="87"/>
      <c r="I2100" s="85" t="s">
        <v>25</v>
      </c>
      <c r="J2100" s="88" t="str">
        <f t="shared" si="32"/>
        <v>不重复</v>
      </c>
      <c r="K2100" s="88" t="str">
        <f t="shared" si="32"/>
        <v>不重复</v>
      </c>
    </row>
    <row r="2101" spans="1:11" ht="20.25" customHeight="1">
      <c r="A2101" s="84" t="s">
        <v>9372</v>
      </c>
      <c r="B2101" s="85" t="s">
        <v>9373</v>
      </c>
      <c r="C2101" s="85" t="s">
        <v>3871</v>
      </c>
      <c r="D2101" s="85" t="s">
        <v>9374</v>
      </c>
      <c r="E2101" s="84" t="s">
        <v>4378</v>
      </c>
      <c r="F2101" s="86">
        <v>700001</v>
      </c>
      <c r="G2101" s="86">
        <v>5110000</v>
      </c>
      <c r="H2101" s="87"/>
      <c r="I2101" s="85" t="s">
        <v>9375</v>
      </c>
      <c r="J2101" s="88" t="str">
        <f t="shared" si="32"/>
        <v>重复</v>
      </c>
      <c r="K2101" s="88" t="str">
        <f t="shared" si="32"/>
        <v>不重复</v>
      </c>
    </row>
    <row r="2102" spans="1:11" ht="20.25" customHeight="1">
      <c r="A2102" s="84" t="s">
        <v>9376</v>
      </c>
      <c r="B2102" s="85" t="s">
        <v>9377</v>
      </c>
      <c r="C2102" s="85" t="s">
        <v>9378</v>
      </c>
      <c r="D2102" s="85" t="s">
        <v>9379</v>
      </c>
      <c r="E2102" s="84" t="s">
        <v>4378</v>
      </c>
      <c r="F2102" s="86">
        <v>700002</v>
      </c>
      <c r="G2102" s="86">
        <v>5110000</v>
      </c>
      <c r="H2102" s="87"/>
      <c r="I2102" s="85" t="s">
        <v>9380</v>
      </c>
      <c r="J2102" s="88" t="str">
        <f t="shared" si="32"/>
        <v>不重复</v>
      </c>
      <c r="K2102" s="88" t="str">
        <f t="shared" si="32"/>
        <v>不重复</v>
      </c>
    </row>
    <row r="2103" spans="1:11" ht="20.25" customHeight="1">
      <c r="A2103" s="89" t="s">
        <v>9381</v>
      </c>
      <c r="B2103" s="90" t="s">
        <v>4379</v>
      </c>
      <c r="C2103" s="90" t="s">
        <v>9382</v>
      </c>
      <c r="D2103" s="90" t="s">
        <v>4380</v>
      </c>
      <c r="E2103" s="89" t="s">
        <v>4378</v>
      </c>
      <c r="F2103" s="91">
        <v>700003</v>
      </c>
      <c r="G2103" s="91">
        <v>5110000</v>
      </c>
      <c r="H2103" s="87"/>
      <c r="I2103" s="90" t="s">
        <v>25</v>
      </c>
      <c r="J2103" s="88" t="str">
        <f t="shared" si="32"/>
        <v>不重复</v>
      </c>
      <c r="K2103" s="88" t="str">
        <f t="shared" si="32"/>
        <v>不重复</v>
      </c>
    </row>
    <row r="2104" spans="1:11" ht="20.25" customHeight="1">
      <c r="A2104" s="89" t="s">
        <v>9383</v>
      </c>
      <c r="B2104" s="90" t="s">
        <v>9384</v>
      </c>
      <c r="C2104" s="90" t="s">
        <v>9385</v>
      </c>
      <c r="D2104" s="90" t="s">
        <v>4377</v>
      </c>
      <c r="E2104" s="89" t="s">
        <v>4378</v>
      </c>
      <c r="F2104" s="91">
        <v>700004</v>
      </c>
      <c r="G2104" s="91">
        <v>5110000</v>
      </c>
      <c r="H2104" s="87"/>
      <c r="I2104" s="90" t="s">
        <v>9386</v>
      </c>
      <c r="J2104" s="88" t="str">
        <f t="shared" si="32"/>
        <v>不重复</v>
      </c>
      <c r="K2104" s="88" t="str">
        <f t="shared" si="32"/>
        <v>不重复</v>
      </c>
    </row>
    <row r="2105" spans="1:11" ht="20.25" customHeight="1">
      <c r="A2105" s="89" t="s">
        <v>9387</v>
      </c>
      <c r="B2105" s="90" t="s">
        <v>9388</v>
      </c>
      <c r="C2105" s="90" t="s">
        <v>1571</v>
      </c>
      <c r="D2105" s="90" t="s">
        <v>9389</v>
      </c>
      <c r="E2105" s="89" t="s">
        <v>4378</v>
      </c>
      <c r="F2105" s="91">
        <v>700005</v>
      </c>
      <c r="G2105" s="91">
        <v>5110000</v>
      </c>
      <c r="H2105" s="87"/>
      <c r="I2105" s="90" t="s">
        <v>9390</v>
      </c>
      <c r="J2105" s="88" t="str">
        <f t="shared" si="32"/>
        <v>不重复</v>
      </c>
      <c r="K2105" s="88" t="str">
        <f t="shared" si="32"/>
        <v>不重复</v>
      </c>
    </row>
    <row r="2106" spans="1:11" ht="20.25" customHeight="1">
      <c r="A2106" s="89" t="s">
        <v>9391</v>
      </c>
      <c r="B2106" s="90" t="s">
        <v>4390</v>
      </c>
      <c r="C2106" s="90" t="s">
        <v>9392</v>
      </c>
      <c r="D2106" s="90" t="s">
        <v>4391</v>
      </c>
      <c r="E2106" s="89" t="s">
        <v>4378</v>
      </c>
      <c r="F2106" s="91">
        <v>700006</v>
      </c>
      <c r="G2106" s="91">
        <v>5110000</v>
      </c>
      <c r="H2106" s="87"/>
      <c r="I2106" s="90" t="s">
        <v>9393</v>
      </c>
      <c r="J2106" s="88" t="str">
        <f t="shared" si="32"/>
        <v>不重复</v>
      </c>
      <c r="K2106" s="88" t="str">
        <f t="shared" si="32"/>
        <v>不重复</v>
      </c>
    </row>
    <row r="2107" spans="1:11" ht="20.25" customHeight="1">
      <c r="A2107" s="89" t="s">
        <v>9394</v>
      </c>
      <c r="B2107" s="90" t="s">
        <v>9395</v>
      </c>
      <c r="C2107" s="90" t="s">
        <v>4392</v>
      </c>
      <c r="D2107" s="90" t="s">
        <v>4393</v>
      </c>
      <c r="E2107" s="89" t="s">
        <v>4378</v>
      </c>
      <c r="F2107" s="91">
        <v>700007</v>
      </c>
      <c r="G2107" s="91">
        <v>5110000</v>
      </c>
      <c r="H2107" s="87"/>
      <c r="I2107" s="90" t="s">
        <v>9396</v>
      </c>
      <c r="J2107" s="88" t="str">
        <f t="shared" si="32"/>
        <v>不重复</v>
      </c>
      <c r="K2107" s="88" t="str">
        <f t="shared" si="32"/>
        <v>不重复</v>
      </c>
    </row>
    <row r="2108" spans="1:11" ht="20.25" customHeight="1">
      <c r="A2108" s="89" t="s">
        <v>9397</v>
      </c>
      <c r="B2108" s="90" t="s">
        <v>9398</v>
      </c>
      <c r="C2108" s="90" t="s">
        <v>1398</v>
      </c>
      <c r="D2108" s="90" t="s">
        <v>9399</v>
      </c>
      <c r="E2108" s="89" t="s">
        <v>4378</v>
      </c>
      <c r="F2108" s="91">
        <v>700008</v>
      </c>
      <c r="G2108" s="91">
        <v>5110000</v>
      </c>
      <c r="H2108" s="87"/>
      <c r="I2108" s="90" t="s">
        <v>25</v>
      </c>
      <c r="J2108" s="88" t="str">
        <f t="shared" si="32"/>
        <v>重复</v>
      </c>
      <c r="K2108" s="88" t="str">
        <f t="shared" si="32"/>
        <v>不重复</v>
      </c>
    </row>
    <row r="2109" spans="1:11" ht="20.25" customHeight="1">
      <c r="A2109" s="89" t="s">
        <v>9400</v>
      </c>
      <c r="B2109" s="90" t="s">
        <v>9401</v>
      </c>
      <c r="C2109" s="90" t="s">
        <v>2466</v>
      </c>
      <c r="D2109" s="90" t="s">
        <v>9402</v>
      </c>
      <c r="E2109" s="89" t="s">
        <v>4378</v>
      </c>
      <c r="F2109" s="91">
        <v>700009</v>
      </c>
      <c r="G2109" s="91">
        <v>5110000</v>
      </c>
      <c r="H2109" s="87"/>
      <c r="I2109" s="90" t="s">
        <v>9403</v>
      </c>
      <c r="J2109" s="88" t="str">
        <f t="shared" si="32"/>
        <v>重复</v>
      </c>
      <c r="K2109" s="88" t="str">
        <f t="shared" si="32"/>
        <v>不重复</v>
      </c>
    </row>
    <row r="2110" spans="1:11" ht="20.25" customHeight="1">
      <c r="A2110" s="89" t="s">
        <v>9404</v>
      </c>
      <c r="B2110" s="90" t="s">
        <v>9405</v>
      </c>
      <c r="C2110" s="90" t="s">
        <v>9406</v>
      </c>
      <c r="D2110" s="90" t="s">
        <v>9407</v>
      </c>
      <c r="E2110" s="89" t="s">
        <v>4378</v>
      </c>
      <c r="F2110" s="91">
        <v>700010</v>
      </c>
      <c r="G2110" s="91">
        <v>5110000</v>
      </c>
      <c r="H2110" s="87"/>
      <c r="I2110" s="90" t="s">
        <v>25</v>
      </c>
      <c r="J2110" s="88" t="str">
        <f t="shared" si="32"/>
        <v>不重复</v>
      </c>
      <c r="K2110" s="88" t="str">
        <f t="shared" si="32"/>
        <v>不重复</v>
      </c>
    </row>
    <row r="2111" spans="1:11" ht="20.25" customHeight="1">
      <c r="A2111" s="89" t="s">
        <v>4381</v>
      </c>
      <c r="B2111" s="90" t="s">
        <v>9408</v>
      </c>
      <c r="C2111" s="90" t="s">
        <v>1556</v>
      </c>
      <c r="D2111" s="90" t="s">
        <v>4382</v>
      </c>
      <c r="E2111" s="89" t="s">
        <v>4378</v>
      </c>
      <c r="F2111" s="91">
        <v>700011</v>
      </c>
      <c r="G2111" s="91">
        <v>5110000</v>
      </c>
      <c r="H2111" s="87"/>
      <c r="I2111" s="90" t="s">
        <v>9409</v>
      </c>
      <c r="J2111" s="88" t="str">
        <f t="shared" si="32"/>
        <v>重复</v>
      </c>
      <c r="K2111" s="88" t="str">
        <f t="shared" si="32"/>
        <v>不重复</v>
      </c>
    </row>
    <row r="2112" spans="1:11" ht="20.25" customHeight="1">
      <c r="A2112" s="89" t="s">
        <v>4384</v>
      </c>
      <c r="B2112" s="90" t="s">
        <v>9410</v>
      </c>
      <c r="C2112" s="90" t="s">
        <v>994</v>
      </c>
      <c r="D2112" s="90" t="s">
        <v>4386</v>
      </c>
      <c r="E2112" s="89" t="s">
        <v>4378</v>
      </c>
      <c r="F2112" s="91">
        <v>700012</v>
      </c>
      <c r="G2112" s="91">
        <v>5110000</v>
      </c>
      <c r="H2112" s="87"/>
      <c r="I2112" s="90" t="s">
        <v>9411</v>
      </c>
      <c r="J2112" s="88" t="str">
        <f t="shared" si="32"/>
        <v>重复</v>
      </c>
      <c r="K2112" s="88" t="str">
        <f t="shared" si="32"/>
        <v>不重复</v>
      </c>
    </row>
    <row r="2113" spans="1:11" ht="20.25" customHeight="1">
      <c r="A2113" s="84" t="s">
        <v>9412</v>
      </c>
      <c r="B2113" s="85" t="s">
        <v>9413</v>
      </c>
      <c r="C2113" s="85" t="s">
        <v>9414</v>
      </c>
      <c r="D2113" s="85" t="s">
        <v>9415</v>
      </c>
      <c r="E2113" s="84" t="s">
        <v>4378</v>
      </c>
      <c r="F2113" s="86">
        <v>700013</v>
      </c>
      <c r="G2113" s="86">
        <v>5110000</v>
      </c>
      <c r="H2113" s="87"/>
      <c r="I2113" s="85" t="s">
        <v>25</v>
      </c>
      <c r="J2113" s="88" t="str">
        <f t="shared" si="32"/>
        <v>不重复</v>
      </c>
      <c r="K2113" s="88" t="str">
        <f t="shared" si="32"/>
        <v>不重复</v>
      </c>
    </row>
    <row r="2114" spans="1:11" ht="20.25" customHeight="1">
      <c r="A2114" s="84" t="s">
        <v>4387</v>
      </c>
      <c r="B2114" s="85" t="s">
        <v>9416</v>
      </c>
      <c r="C2114" s="85" t="s">
        <v>4388</v>
      </c>
      <c r="D2114" s="85" t="s">
        <v>4389</v>
      </c>
      <c r="E2114" s="84" t="s">
        <v>4378</v>
      </c>
      <c r="F2114" s="86">
        <v>700014</v>
      </c>
      <c r="G2114" s="86">
        <v>5110000</v>
      </c>
      <c r="H2114" s="87"/>
      <c r="I2114" s="85" t="s">
        <v>9417</v>
      </c>
      <c r="J2114" s="88" t="str">
        <f t="shared" si="32"/>
        <v>重复</v>
      </c>
      <c r="K2114" s="88" t="str">
        <f t="shared" si="32"/>
        <v>不重复</v>
      </c>
    </row>
    <row r="2115" spans="1:11" ht="20.25" customHeight="1">
      <c r="A2115" s="84" t="s">
        <v>4488</v>
      </c>
      <c r="B2115" s="85" t="s">
        <v>4489</v>
      </c>
      <c r="C2115" s="85" t="s">
        <v>1526</v>
      </c>
      <c r="D2115" s="85" t="s">
        <v>4491</v>
      </c>
      <c r="E2115" s="84" t="s">
        <v>4378</v>
      </c>
      <c r="F2115" s="86">
        <v>700015</v>
      </c>
      <c r="G2115" s="86">
        <v>5110000</v>
      </c>
      <c r="H2115" s="87"/>
      <c r="I2115" s="85" t="s">
        <v>25</v>
      </c>
      <c r="J2115" s="88" t="str">
        <f t="shared" si="33" ref="J2115:K2178">IF(COUNTIF(C:C,C2115)&gt;=2,"重复","不重复")</f>
        <v>重复</v>
      </c>
      <c r="K2115" s="88" t="str">
        <f t="shared" si="33"/>
        <v>重复</v>
      </c>
    </row>
    <row r="2116" spans="1:11" ht="20.25" customHeight="1">
      <c r="A2116" s="84" t="s">
        <v>9418</v>
      </c>
      <c r="B2116" s="85" t="s">
        <v>9419</v>
      </c>
      <c r="C2116" s="85" t="s">
        <v>9420</v>
      </c>
      <c r="D2116" s="85" t="s">
        <v>9421</v>
      </c>
      <c r="E2116" s="84" t="s">
        <v>4378</v>
      </c>
      <c r="F2116" s="86">
        <v>700016</v>
      </c>
      <c r="G2116" s="86">
        <v>5110000</v>
      </c>
      <c r="H2116" s="87"/>
      <c r="I2116" s="85" t="s">
        <v>9422</v>
      </c>
      <c r="J2116" s="88" t="str">
        <f t="shared" si="33"/>
        <v>不重复</v>
      </c>
      <c r="K2116" s="88" t="str">
        <f t="shared" si="33"/>
        <v>不重复</v>
      </c>
    </row>
    <row r="2117" spans="1:11" ht="20.25" customHeight="1">
      <c r="A2117" s="84" t="s">
        <v>4437</v>
      </c>
      <c r="B2117" s="85" t="s">
        <v>9423</v>
      </c>
      <c r="C2117" s="85" t="s">
        <v>4439</v>
      </c>
      <c r="D2117" s="85" t="s">
        <v>4440</v>
      </c>
      <c r="E2117" s="84" t="s">
        <v>4378</v>
      </c>
      <c r="F2117" s="86">
        <v>700017</v>
      </c>
      <c r="G2117" s="86">
        <v>5110000</v>
      </c>
      <c r="H2117" s="87"/>
      <c r="I2117" s="85" t="s">
        <v>9424</v>
      </c>
      <c r="J2117" s="88" t="str">
        <f t="shared" si="33"/>
        <v>重复</v>
      </c>
      <c r="K2117" s="88" t="str">
        <f t="shared" si="33"/>
        <v>重复</v>
      </c>
    </row>
    <row r="2118" spans="1:11" ht="20.25" customHeight="1">
      <c r="A2118" s="84" t="s">
        <v>4415</v>
      </c>
      <c r="B2118" s="85" t="s">
        <v>9425</v>
      </c>
      <c r="C2118" s="85" t="s">
        <v>4416</v>
      </c>
      <c r="D2118" s="85" t="s">
        <v>4417</v>
      </c>
      <c r="E2118" s="84" t="s">
        <v>4378</v>
      </c>
      <c r="F2118" s="86">
        <v>700018</v>
      </c>
      <c r="G2118" s="86">
        <v>5110000</v>
      </c>
      <c r="H2118" s="87"/>
      <c r="I2118" s="85" t="s">
        <v>6394</v>
      </c>
      <c r="J2118" s="88" t="str">
        <f t="shared" si="33"/>
        <v>不重复</v>
      </c>
      <c r="K2118" s="88" t="str">
        <f t="shared" si="33"/>
        <v>不重复</v>
      </c>
    </row>
    <row r="2119" spans="1:11" ht="20.25" customHeight="1">
      <c r="A2119" s="84" t="s">
        <v>9426</v>
      </c>
      <c r="B2119" s="85" t="s">
        <v>9427</v>
      </c>
      <c r="C2119" s="85" t="s">
        <v>97</v>
      </c>
      <c r="D2119" s="85" t="s">
        <v>4425</v>
      </c>
      <c r="E2119" s="84" t="s">
        <v>4378</v>
      </c>
      <c r="F2119" s="86">
        <v>700019</v>
      </c>
      <c r="G2119" s="86">
        <v>5110000</v>
      </c>
      <c r="H2119" s="87"/>
      <c r="I2119" s="85" t="s">
        <v>9428</v>
      </c>
      <c r="J2119" s="88" t="str">
        <f t="shared" si="33"/>
        <v>不重复</v>
      </c>
      <c r="K2119" s="88" t="str">
        <f t="shared" si="33"/>
        <v>重复</v>
      </c>
    </row>
    <row r="2120" spans="1:11" ht="20.25" customHeight="1">
      <c r="A2120" s="84" t="s">
        <v>9429</v>
      </c>
      <c r="B2120" s="85" t="s">
        <v>9430</v>
      </c>
      <c r="C2120" s="85" t="s">
        <v>4428</v>
      </c>
      <c r="D2120" s="85" t="s">
        <v>9431</v>
      </c>
      <c r="E2120" s="84" t="s">
        <v>4378</v>
      </c>
      <c r="F2120" s="86">
        <v>700020</v>
      </c>
      <c r="G2120" s="86">
        <v>5110000</v>
      </c>
      <c r="H2120" s="87"/>
      <c r="I2120" s="85" t="s">
        <v>9432</v>
      </c>
      <c r="J2120" s="88" t="str">
        <f t="shared" si="33"/>
        <v>重复</v>
      </c>
      <c r="K2120" s="88" t="str">
        <f t="shared" si="33"/>
        <v>不重复</v>
      </c>
    </row>
    <row r="2121" spans="1:11" ht="20.25" customHeight="1">
      <c r="A2121" s="84" t="s">
        <v>4426</v>
      </c>
      <c r="B2121" s="85" t="s">
        <v>9433</v>
      </c>
      <c r="C2121" s="85" t="s">
        <v>4428</v>
      </c>
      <c r="D2121" s="85" t="s">
        <v>4429</v>
      </c>
      <c r="E2121" s="84" t="s">
        <v>4378</v>
      </c>
      <c r="F2121" s="86">
        <v>700021</v>
      </c>
      <c r="G2121" s="86">
        <v>5110000</v>
      </c>
      <c r="H2121" s="87"/>
      <c r="I2121" s="85" t="s">
        <v>9434</v>
      </c>
      <c r="J2121" s="88" t="str">
        <f t="shared" si="33"/>
        <v>重复</v>
      </c>
      <c r="K2121" s="88" t="str">
        <f t="shared" si="33"/>
        <v>重复</v>
      </c>
    </row>
    <row r="2122" spans="1:11" ht="20.25" customHeight="1">
      <c r="A2122" s="84" t="s">
        <v>4446</v>
      </c>
      <c r="B2122" s="85" t="s">
        <v>9435</v>
      </c>
      <c r="C2122" s="85" t="s">
        <v>4448</v>
      </c>
      <c r="D2122" s="85" t="s">
        <v>9436</v>
      </c>
      <c r="E2122" s="84" t="s">
        <v>4378</v>
      </c>
      <c r="F2122" s="86">
        <v>700022</v>
      </c>
      <c r="G2122" s="86">
        <v>5110000</v>
      </c>
      <c r="H2122" s="87"/>
      <c r="I2122" s="85" t="s">
        <v>9437</v>
      </c>
      <c r="J2122" s="88" t="str">
        <f t="shared" si="33"/>
        <v>重复</v>
      </c>
      <c r="K2122" s="88" t="str">
        <f t="shared" si="33"/>
        <v>不重复</v>
      </c>
    </row>
    <row r="2123" spans="1:11" ht="20.25" customHeight="1">
      <c r="A2123" s="84" t="s">
        <v>9438</v>
      </c>
      <c r="B2123" s="85" t="s">
        <v>9439</v>
      </c>
      <c r="C2123" s="85" t="s">
        <v>9440</v>
      </c>
      <c r="D2123" s="85" t="s">
        <v>4449</v>
      </c>
      <c r="E2123" s="84" t="s">
        <v>4378</v>
      </c>
      <c r="F2123" s="86">
        <v>700023</v>
      </c>
      <c r="G2123" s="86">
        <v>5110000</v>
      </c>
      <c r="H2123" s="87"/>
      <c r="I2123" s="85" t="s">
        <v>9432</v>
      </c>
      <c r="J2123" s="88" t="str">
        <f t="shared" si="33"/>
        <v>不重复</v>
      </c>
      <c r="K2123" s="88" t="str">
        <f t="shared" si="33"/>
        <v>重复</v>
      </c>
    </row>
    <row r="2124" spans="1:11" ht="20.25" customHeight="1">
      <c r="A2124" s="84" t="s">
        <v>4394</v>
      </c>
      <c r="B2124" s="85" t="s">
        <v>9441</v>
      </c>
      <c r="C2124" s="85" t="s">
        <v>4395</v>
      </c>
      <c r="D2124" s="85" t="s">
        <v>4396</v>
      </c>
      <c r="E2124" s="84" t="s">
        <v>4378</v>
      </c>
      <c r="F2124" s="86">
        <v>700024</v>
      </c>
      <c r="G2124" s="86">
        <v>5110000</v>
      </c>
      <c r="H2124" s="87"/>
      <c r="I2124" s="85" t="s">
        <v>9442</v>
      </c>
      <c r="J2124" s="88" t="str">
        <f t="shared" si="33"/>
        <v>不重复</v>
      </c>
      <c r="K2124" s="88" t="str">
        <f t="shared" si="33"/>
        <v>不重复</v>
      </c>
    </row>
    <row r="2125" spans="1:11" ht="20.25" customHeight="1">
      <c r="A2125" s="84" t="s">
        <v>4413</v>
      </c>
      <c r="B2125" s="85" t="s">
        <v>9443</v>
      </c>
      <c r="C2125" s="85" t="s">
        <v>4265</v>
      </c>
      <c r="D2125" s="85" t="s">
        <v>4414</v>
      </c>
      <c r="E2125" s="84" t="s">
        <v>4378</v>
      </c>
      <c r="F2125" s="86">
        <v>700025</v>
      </c>
      <c r="G2125" s="86">
        <v>5110000</v>
      </c>
      <c r="H2125" s="87"/>
      <c r="I2125" s="85" t="s">
        <v>9422</v>
      </c>
      <c r="J2125" s="88" t="str">
        <f t="shared" si="33"/>
        <v>重复</v>
      </c>
      <c r="K2125" s="88" t="str">
        <f t="shared" si="33"/>
        <v>不重复</v>
      </c>
    </row>
    <row r="2126" spans="1:11" ht="20.25" customHeight="1">
      <c r="A2126" s="84" t="s">
        <v>9444</v>
      </c>
      <c r="B2126" s="85" t="s">
        <v>9445</v>
      </c>
      <c r="C2126" s="85" t="s">
        <v>4398</v>
      </c>
      <c r="D2126" s="85" t="s">
        <v>4399</v>
      </c>
      <c r="E2126" s="84" t="s">
        <v>4378</v>
      </c>
      <c r="F2126" s="86">
        <v>700026</v>
      </c>
      <c r="G2126" s="86">
        <v>5110000</v>
      </c>
      <c r="H2126" s="87"/>
      <c r="I2126" s="85" t="s">
        <v>9446</v>
      </c>
      <c r="J2126" s="88" t="str">
        <f t="shared" si="33"/>
        <v>不重复</v>
      </c>
      <c r="K2126" s="88" t="str">
        <f t="shared" si="33"/>
        <v>不重复</v>
      </c>
    </row>
    <row r="2127" spans="1:11" ht="20.25" customHeight="1">
      <c r="A2127" s="84" t="s">
        <v>9447</v>
      </c>
      <c r="B2127" s="85" t="s">
        <v>9448</v>
      </c>
      <c r="C2127" s="85" t="s">
        <v>9449</v>
      </c>
      <c r="D2127" s="85" t="s">
        <v>4479</v>
      </c>
      <c r="E2127" s="84" t="s">
        <v>4378</v>
      </c>
      <c r="F2127" s="86">
        <v>700027</v>
      </c>
      <c r="G2127" s="86">
        <v>5110000</v>
      </c>
      <c r="H2127" s="87"/>
      <c r="I2127" s="85" t="s">
        <v>9450</v>
      </c>
      <c r="J2127" s="88" t="str">
        <f t="shared" si="33"/>
        <v>不重复</v>
      </c>
      <c r="K2127" s="88" t="str">
        <f t="shared" si="33"/>
        <v>重复</v>
      </c>
    </row>
    <row r="2128" spans="1:11" ht="20.25" customHeight="1">
      <c r="A2128" s="84" t="s">
        <v>4400</v>
      </c>
      <c r="B2128" s="85" t="s">
        <v>9451</v>
      </c>
      <c r="C2128" s="85" t="s">
        <v>4401</v>
      </c>
      <c r="D2128" s="85" t="s">
        <v>4402</v>
      </c>
      <c r="E2128" s="84" t="s">
        <v>4378</v>
      </c>
      <c r="F2128" s="86">
        <v>700028</v>
      </c>
      <c r="G2128" s="86">
        <v>5110000</v>
      </c>
      <c r="H2128" s="87"/>
      <c r="I2128" s="85" t="s">
        <v>9452</v>
      </c>
      <c r="J2128" s="88" t="str">
        <f t="shared" si="33"/>
        <v>不重复</v>
      </c>
      <c r="K2128" s="88" t="str">
        <f t="shared" si="33"/>
        <v>不重复</v>
      </c>
    </row>
    <row r="2129" spans="1:11" ht="20.25" customHeight="1">
      <c r="A2129" s="84" t="s">
        <v>4411</v>
      </c>
      <c r="B2129" s="85" t="s">
        <v>9453</v>
      </c>
      <c r="C2129" s="85" t="s">
        <v>116</v>
      </c>
      <c r="D2129" s="85" t="s">
        <v>4412</v>
      </c>
      <c r="E2129" s="84" t="s">
        <v>4378</v>
      </c>
      <c r="F2129" s="86">
        <v>700029</v>
      </c>
      <c r="G2129" s="86">
        <v>5110000</v>
      </c>
      <c r="H2129" s="87"/>
      <c r="I2129" s="85" t="s">
        <v>9437</v>
      </c>
      <c r="J2129" s="88" t="str">
        <f t="shared" si="33"/>
        <v>重复</v>
      </c>
      <c r="K2129" s="88" t="str">
        <f t="shared" si="33"/>
        <v>不重复</v>
      </c>
    </row>
    <row r="2130" spans="1:11" ht="20.25" customHeight="1">
      <c r="A2130" s="84" t="s">
        <v>9454</v>
      </c>
      <c r="B2130" s="85" t="s">
        <v>9455</v>
      </c>
      <c r="C2130" s="85" t="s">
        <v>4456</v>
      </c>
      <c r="D2130" s="85" t="s">
        <v>4457</v>
      </c>
      <c r="E2130" s="84" t="s">
        <v>4378</v>
      </c>
      <c r="F2130" s="86">
        <v>700030</v>
      </c>
      <c r="G2130" s="86">
        <v>5110000</v>
      </c>
      <c r="H2130" s="87"/>
      <c r="I2130" s="85" t="s">
        <v>9442</v>
      </c>
      <c r="J2130" s="88" t="str">
        <f t="shared" si="33"/>
        <v>重复</v>
      </c>
      <c r="K2130" s="88" t="str">
        <f t="shared" si="33"/>
        <v>重复</v>
      </c>
    </row>
    <row r="2131" spans="1:11" ht="20.25" customHeight="1">
      <c r="A2131" s="84" t="s">
        <v>9456</v>
      </c>
      <c r="B2131" s="85" t="s">
        <v>9457</v>
      </c>
      <c r="C2131" s="85" t="s">
        <v>9458</v>
      </c>
      <c r="D2131" s="85" t="s">
        <v>4445</v>
      </c>
      <c r="E2131" s="84" t="s">
        <v>4378</v>
      </c>
      <c r="F2131" s="86">
        <v>700031</v>
      </c>
      <c r="G2131" s="86">
        <v>5110000</v>
      </c>
      <c r="H2131" s="87"/>
      <c r="I2131" s="85" t="s">
        <v>9428</v>
      </c>
      <c r="J2131" s="88" t="str">
        <f t="shared" si="33"/>
        <v>不重复</v>
      </c>
      <c r="K2131" s="88" t="str">
        <f t="shared" si="33"/>
        <v>重复</v>
      </c>
    </row>
    <row r="2132" spans="1:11" ht="20.25" customHeight="1">
      <c r="A2132" s="84" t="s">
        <v>9459</v>
      </c>
      <c r="B2132" s="85" t="s">
        <v>9460</v>
      </c>
      <c r="C2132" s="85" t="s">
        <v>4265</v>
      </c>
      <c r="D2132" s="85" t="s">
        <v>4453</v>
      </c>
      <c r="E2132" s="84" t="s">
        <v>4378</v>
      </c>
      <c r="F2132" s="86">
        <v>700032</v>
      </c>
      <c r="G2132" s="86">
        <v>5110000</v>
      </c>
      <c r="H2132" s="87"/>
      <c r="I2132" s="85" t="s">
        <v>9461</v>
      </c>
      <c r="J2132" s="88" t="str">
        <f t="shared" si="33"/>
        <v>重复</v>
      </c>
      <c r="K2132" s="88" t="str">
        <f t="shared" si="33"/>
        <v>重复</v>
      </c>
    </row>
    <row r="2133" spans="1:11" ht="20.25" customHeight="1">
      <c r="A2133" s="84" t="s">
        <v>4450</v>
      </c>
      <c r="B2133" s="85" t="s">
        <v>9462</v>
      </c>
      <c r="C2133" s="85" t="s">
        <v>4452</v>
      </c>
      <c r="D2133" s="85" t="s">
        <v>9463</v>
      </c>
      <c r="E2133" s="84" t="s">
        <v>4378</v>
      </c>
      <c r="F2133" s="86">
        <v>700033</v>
      </c>
      <c r="G2133" s="86">
        <v>5110000</v>
      </c>
      <c r="H2133" s="87"/>
      <c r="I2133" s="85" t="s">
        <v>9464</v>
      </c>
      <c r="J2133" s="88" t="str">
        <f t="shared" si="33"/>
        <v>重复</v>
      </c>
      <c r="K2133" s="88" t="str">
        <f t="shared" si="33"/>
        <v>不重复</v>
      </c>
    </row>
    <row r="2134" spans="1:11" ht="20.25" customHeight="1">
      <c r="A2134" s="84" t="s">
        <v>9465</v>
      </c>
      <c r="B2134" s="85" t="s">
        <v>9466</v>
      </c>
      <c r="C2134" s="85" t="s">
        <v>2113</v>
      </c>
      <c r="D2134" s="85" t="s">
        <v>4486</v>
      </c>
      <c r="E2134" s="84" t="s">
        <v>4378</v>
      </c>
      <c r="F2134" s="86">
        <v>700034</v>
      </c>
      <c r="G2134" s="86">
        <v>5110000</v>
      </c>
      <c r="H2134" s="87"/>
      <c r="I2134" s="85" t="s">
        <v>9467</v>
      </c>
      <c r="J2134" s="88" t="str">
        <f t="shared" si="33"/>
        <v>重复</v>
      </c>
      <c r="K2134" s="88" t="str">
        <f t="shared" si="33"/>
        <v>重复</v>
      </c>
    </row>
    <row r="2135" spans="1:11" ht="20.25" customHeight="1">
      <c r="A2135" s="84" t="s">
        <v>4418</v>
      </c>
      <c r="B2135" s="85" t="s">
        <v>9468</v>
      </c>
      <c r="C2135" s="85" t="s">
        <v>1556</v>
      </c>
      <c r="D2135" s="85" t="s">
        <v>4419</v>
      </c>
      <c r="E2135" s="84" t="s">
        <v>4378</v>
      </c>
      <c r="F2135" s="86">
        <v>700035</v>
      </c>
      <c r="G2135" s="86">
        <v>5110000</v>
      </c>
      <c r="H2135" s="87"/>
      <c r="I2135" s="85" t="s">
        <v>9469</v>
      </c>
      <c r="J2135" s="88" t="str">
        <f t="shared" si="33"/>
        <v>重复</v>
      </c>
      <c r="K2135" s="88" t="str">
        <f t="shared" si="33"/>
        <v>不重复</v>
      </c>
    </row>
    <row r="2136" spans="1:11" ht="20.25" customHeight="1">
      <c r="A2136" s="84" t="s">
        <v>4406</v>
      </c>
      <c r="B2136" s="85" t="s">
        <v>9470</v>
      </c>
      <c r="C2136" s="85" t="s">
        <v>4407</v>
      </c>
      <c r="D2136" s="85" t="s">
        <v>4408</v>
      </c>
      <c r="E2136" s="84" t="s">
        <v>4378</v>
      </c>
      <c r="F2136" s="86">
        <v>700036</v>
      </c>
      <c r="G2136" s="86">
        <v>5110000</v>
      </c>
      <c r="H2136" s="87"/>
      <c r="I2136" s="85" t="s">
        <v>9471</v>
      </c>
      <c r="J2136" s="88" t="str">
        <f t="shared" si="33"/>
        <v>不重复</v>
      </c>
      <c r="K2136" s="88" t="str">
        <f t="shared" si="33"/>
        <v>不重复</v>
      </c>
    </row>
    <row r="2137" spans="1:11" ht="20.25" customHeight="1">
      <c r="A2137" s="84" t="s">
        <v>4421</v>
      </c>
      <c r="B2137" s="85" t="s">
        <v>9472</v>
      </c>
      <c r="C2137" s="85" t="s">
        <v>2594</v>
      </c>
      <c r="D2137" s="85" t="s">
        <v>4422</v>
      </c>
      <c r="E2137" s="84" t="s">
        <v>4378</v>
      </c>
      <c r="F2137" s="86">
        <v>700037</v>
      </c>
      <c r="G2137" s="86">
        <v>5110000</v>
      </c>
      <c r="H2137" s="87"/>
      <c r="I2137" s="85" t="s">
        <v>9432</v>
      </c>
      <c r="J2137" s="88" t="str">
        <f t="shared" si="33"/>
        <v>不重复</v>
      </c>
      <c r="K2137" s="88" t="str">
        <f t="shared" si="33"/>
        <v>不重复</v>
      </c>
    </row>
    <row r="2138" spans="1:11" ht="20.25" customHeight="1">
      <c r="A2138" s="84" t="s">
        <v>4403</v>
      </c>
      <c r="B2138" s="85" t="s">
        <v>9473</v>
      </c>
      <c r="C2138" s="85" t="s">
        <v>3015</v>
      </c>
      <c r="D2138" s="85" t="s">
        <v>4404</v>
      </c>
      <c r="E2138" s="84" t="s">
        <v>4378</v>
      </c>
      <c r="F2138" s="86">
        <v>700038</v>
      </c>
      <c r="G2138" s="86">
        <v>5110000</v>
      </c>
      <c r="H2138" s="87"/>
      <c r="I2138" s="85" t="s">
        <v>9422</v>
      </c>
      <c r="J2138" s="88" t="str">
        <f t="shared" si="33"/>
        <v>重复</v>
      </c>
      <c r="K2138" s="88" t="str">
        <f t="shared" si="33"/>
        <v>不重复</v>
      </c>
    </row>
    <row r="2139" spans="1:11" ht="20.25" customHeight="1">
      <c r="A2139" s="84" t="s">
        <v>9474</v>
      </c>
      <c r="B2139" s="85" t="s">
        <v>9475</v>
      </c>
      <c r="C2139" s="85" t="s">
        <v>1074</v>
      </c>
      <c r="D2139" s="85" t="s">
        <v>4470</v>
      </c>
      <c r="E2139" s="84" t="s">
        <v>4378</v>
      </c>
      <c r="F2139" s="86">
        <v>700039</v>
      </c>
      <c r="G2139" s="86">
        <v>5110000</v>
      </c>
      <c r="H2139" s="87"/>
      <c r="I2139" s="85" t="s">
        <v>9461</v>
      </c>
      <c r="J2139" s="88" t="str">
        <f t="shared" si="33"/>
        <v>重复</v>
      </c>
      <c r="K2139" s="88" t="str">
        <f t="shared" si="33"/>
        <v>重复</v>
      </c>
    </row>
    <row r="2140" spans="1:11" ht="20.25" customHeight="1">
      <c r="A2140" s="84" t="s">
        <v>4458</v>
      </c>
      <c r="B2140" s="85" t="s">
        <v>9476</v>
      </c>
      <c r="C2140" s="85" t="s">
        <v>3308</v>
      </c>
      <c r="D2140" s="85" t="s">
        <v>4460</v>
      </c>
      <c r="E2140" s="84" t="s">
        <v>4378</v>
      </c>
      <c r="F2140" s="86">
        <v>700040</v>
      </c>
      <c r="G2140" s="86">
        <v>5110000</v>
      </c>
      <c r="H2140" s="87"/>
      <c r="I2140" s="85" t="s">
        <v>9422</v>
      </c>
      <c r="J2140" s="88" t="str">
        <f t="shared" si="33"/>
        <v>重复</v>
      </c>
      <c r="K2140" s="88" t="str">
        <f t="shared" si="33"/>
        <v>重复</v>
      </c>
    </row>
    <row r="2141" spans="1:11" ht="20.25" customHeight="1">
      <c r="A2141" s="84" t="s">
        <v>4481</v>
      </c>
      <c r="B2141" s="85" t="s">
        <v>9477</v>
      </c>
      <c r="C2141" s="85" t="s">
        <v>4469</v>
      </c>
      <c r="D2141" s="85" t="s">
        <v>4483</v>
      </c>
      <c r="E2141" s="84" t="s">
        <v>4378</v>
      </c>
      <c r="F2141" s="86">
        <v>700041</v>
      </c>
      <c r="G2141" s="86">
        <v>5110000</v>
      </c>
      <c r="H2141" s="87"/>
      <c r="I2141" s="85" t="s">
        <v>9422</v>
      </c>
      <c r="J2141" s="88" t="str">
        <f t="shared" si="33"/>
        <v>重复</v>
      </c>
      <c r="K2141" s="88" t="str">
        <f t="shared" si="33"/>
        <v>重复</v>
      </c>
    </row>
    <row r="2142" spans="1:11" ht="20.25" customHeight="1">
      <c r="A2142" s="84" t="s">
        <v>9478</v>
      </c>
      <c r="B2142" s="85" t="s">
        <v>9479</v>
      </c>
      <c r="C2142" s="85" t="s">
        <v>3267</v>
      </c>
      <c r="D2142" s="85" t="s">
        <v>9480</v>
      </c>
      <c r="E2142" s="84" t="s">
        <v>4378</v>
      </c>
      <c r="F2142" s="86">
        <v>700042</v>
      </c>
      <c r="G2142" s="86">
        <v>5110000</v>
      </c>
      <c r="H2142" s="87"/>
      <c r="I2142" s="85" t="s">
        <v>9380</v>
      </c>
      <c r="J2142" s="88" t="str">
        <f t="shared" si="33"/>
        <v>重复</v>
      </c>
      <c r="K2142" s="88" t="str">
        <f t="shared" si="33"/>
        <v>不重复</v>
      </c>
    </row>
    <row r="2143" spans="1:11" ht="20.25" customHeight="1">
      <c r="A2143" s="84" t="s">
        <v>9481</v>
      </c>
      <c r="B2143" s="85" t="s">
        <v>9482</v>
      </c>
      <c r="C2143" s="85" t="s">
        <v>4259</v>
      </c>
      <c r="D2143" s="85" t="s">
        <v>4435</v>
      </c>
      <c r="E2143" s="84" t="s">
        <v>4378</v>
      </c>
      <c r="F2143" s="86">
        <v>700043</v>
      </c>
      <c r="G2143" s="86">
        <v>5110000</v>
      </c>
      <c r="H2143" s="87"/>
      <c r="I2143" s="85" t="s">
        <v>9483</v>
      </c>
      <c r="J2143" s="88" t="str">
        <f t="shared" si="33"/>
        <v>重复</v>
      </c>
      <c r="K2143" s="88" t="str">
        <f t="shared" si="33"/>
        <v>重复</v>
      </c>
    </row>
    <row r="2144" spans="1:11" ht="20.25" customHeight="1">
      <c r="A2144" s="84" t="s">
        <v>9484</v>
      </c>
      <c r="B2144" s="85" t="s">
        <v>9485</v>
      </c>
      <c r="C2144" s="85" t="s">
        <v>9486</v>
      </c>
      <c r="D2144" s="85" t="s">
        <v>4463</v>
      </c>
      <c r="E2144" s="84" t="s">
        <v>4378</v>
      </c>
      <c r="F2144" s="86">
        <v>700044</v>
      </c>
      <c r="G2144" s="86">
        <v>5110000</v>
      </c>
      <c r="H2144" s="87"/>
      <c r="I2144" s="85" t="s">
        <v>9428</v>
      </c>
      <c r="J2144" s="88" t="str">
        <f t="shared" si="33"/>
        <v>不重复</v>
      </c>
      <c r="K2144" s="88" t="str">
        <f t="shared" si="33"/>
        <v>重复</v>
      </c>
    </row>
    <row r="2145" spans="1:11" ht="20.25" customHeight="1">
      <c r="A2145" s="84" t="s">
        <v>9487</v>
      </c>
      <c r="B2145" s="85" t="s">
        <v>9488</v>
      </c>
      <c r="C2145" s="85" t="s">
        <v>1557</v>
      </c>
      <c r="D2145" s="85" t="s">
        <v>9489</v>
      </c>
      <c r="E2145" s="84" t="s">
        <v>4378</v>
      </c>
      <c r="F2145" s="86">
        <v>700045</v>
      </c>
      <c r="G2145" s="86">
        <v>5110000</v>
      </c>
      <c r="H2145" s="87"/>
      <c r="I2145" s="85" t="s">
        <v>9432</v>
      </c>
      <c r="J2145" s="88" t="str">
        <f t="shared" si="33"/>
        <v>不重复</v>
      </c>
      <c r="K2145" s="88" t="str">
        <f t="shared" si="33"/>
        <v>不重复</v>
      </c>
    </row>
    <row r="2146" spans="1:11" ht="20.25" customHeight="1">
      <c r="A2146" s="84" t="s">
        <v>9490</v>
      </c>
      <c r="B2146" s="85" t="s">
        <v>9491</v>
      </c>
      <c r="C2146" s="85" t="s">
        <v>1550</v>
      </c>
      <c r="D2146" s="85" t="s">
        <v>4409</v>
      </c>
      <c r="E2146" s="84" t="s">
        <v>4378</v>
      </c>
      <c r="F2146" s="86">
        <v>700046</v>
      </c>
      <c r="G2146" s="86">
        <v>5110000</v>
      </c>
      <c r="H2146" s="87"/>
      <c r="I2146" s="85" t="s">
        <v>9437</v>
      </c>
      <c r="J2146" s="88" t="str">
        <f t="shared" si="33"/>
        <v>重复</v>
      </c>
      <c r="K2146" s="88" t="str">
        <f t="shared" si="33"/>
        <v>不重复</v>
      </c>
    </row>
    <row r="2147" spans="1:11" ht="20.25" customHeight="1">
      <c r="A2147" s="84" t="s">
        <v>9492</v>
      </c>
      <c r="B2147" s="85" t="s">
        <v>9493</v>
      </c>
      <c r="C2147" s="85" t="s">
        <v>4428</v>
      </c>
      <c r="D2147" s="85" t="s">
        <v>9494</v>
      </c>
      <c r="E2147" s="84" t="s">
        <v>4378</v>
      </c>
      <c r="F2147" s="86">
        <v>700047</v>
      </c>
      <c r="G2147" s="86">
        <v>5110000</v>
      </c>
      <c r="H2147" s="87"/>
      <c r="I2147" s="85" t="s">
        <v>25</v>
      </c>
      <c r="J2147" s="88" t="str">
        <f t="shared" si="33"/>
        <v>重复</v>
      </c>
      <c r="K2147" s="88" t="str">
        <f t="shared" si="33"/>
        <v>不重复</v>
      </c>
    </row>
    <row r="2148" spans="1:11" ht="20.25" customHeight="1">
      <c r="A2148" s="84" t="s">
        <v>4536</v>
      </c>
      <c r="B2148" s="85" t="s">
        <v>5263</v>
      </c>
      <c r="C2148" s="85" t="s">
        <v>1579</v>
      </c>
      <c r="D2148" s="85" t="s">
        <v>9495</v>
      </c>
      <c r="E2148" s="84" t="s">
        <v>4497</v>
      </c>
      <c r="F2148" s="86">
        <v>800000</v>
      </c>
      <c r="G2148" s="86">
        <v>5120000</v>
      </c>
      <c r="H2148" s="87"/>
      <c r="I2148" s="85" t="s">
        <v>25</v>
      </c>
      <c r="J2148" s="88" t="str">
        <f t="shared" si="33"/>
        <v>重复</v>
      </c>
      <c r="K2148" s="88" t="str">
        <f t="shared" si="33"/>
        <v>不重复</v>
      </c>
    </row>
    <row r="2149" spans="1:11" ht="20.25" customHeight="1">
      <c r="A2149" s="84" t="s">
        <v>4533</v>
      </c>
      <c r="B2149" s="85" t="s">
        <v>9496</v>
      </c>
      <c r="C2149" s="85" t="s">
        <v>1953</v>
      </c>
      <c r="D2149" s="85" t="s">
        <v>4535</v>
      </c>
      <c r="E2149" s="84" t="s">
        <v>4497</v>
      </c>
      <c r="F2149" s="86">
        <v>800001</v>
      </c>
      <c r="G2149" s="86">
        <v>5120000</v>
      </c>
      <c r="H2149" s="87"/>
      <c r="I2149" s="85" t="s">
        <v>9497</v>
      </c>
      <c r="J2149" s="88" t="str">
        <f t="shared" si="33"/>
        <v>重复</v>
      </c>
      <c r="K2149" s="88" t="str">
        <f t="shared" si="33"/>
        <v>重复</v>
      </c>
    </row>
    <row r="2150" spans="1:11" ht="20.25" customHeight="1">
      <c r="A2150" s="84" t="s">
        <v>4525</v>
      </c>
      <c r="B2150" s="85" t="s">
        <v>9498</v>
      </c>
      <c r="C2150" s="85" t="s">
        <v>4527</v>
      </c>
      <c r="D2150" s="85" t="s">
        <v>9499</v>
      </c>
      <c r="E2150" s="84" t="s">
        <v>4497</v>
      </c>
      <c r="F2150" s="86">
        <v>800002</v>
      </c>
      <c r="G2150" s="86">
        <v>5120000</v>
      </c>
      <c r="H2150" s="87"/>
      <c r="I2150" s="85" t="s">
        <v>6946</v>
      </c>
      <c r="J2150" s="88" t="str">
        <f t="shared" si="33"/>
        <v>重复</v>
      </c>
      <c r="K2150" s="88" t="str">
        <f t="shared" si="33"/>
        <v>不重复</v>
      </c>
    </row>
    <row r="2151" spans="1:11" ht="20.25" customHeight="1">
      <c r="A2151" s="84" t="s">
        <v>4511</v>
      </c>
      <c r="B2151" s="85" t="s">
        <v>9500</v>
      </c>
      <c r="C2151" s="85" t="s">
        <v>4513</v>
      </c>
      <c r="D2151" s="85" t="s">
        <v>4514</v>
      </c>
      <c r="E2151" s="84" t="s">
        <v>4497</v>
      </c>
      <c r="F2151" s="86">
        <v>800003</v>
      </c>
      <c r="G2151" s="86">
        <v>5120000</v>
      </c>
      <c r="H2151" s="87"/>
      <c r="I2151" s="85" t="s">
        <v>9501</v>
      </c>
      <c r="J2151" s="88" t="str">
        <f t="shared" si="33"/>
        <v>重复</v>
      </c>
      <c r="K2151" s="88" t="str">
        <f t="shared" si="33"/>
        <v>重复</v>
      </c>
    </row>
    <row r="2152" spans="1:11" ht="20.25" customHeight="1">
      <c r="A2152" s="84" t="s">
        <v>4503</v>
      </c>
      <c r="B2152" s="85" t="s">
        <v>9502</v>
      </c>
      <c r="C2152" s="85" t="s">
        <v>2472</v>
      </c>
      <c r="D2152" s="85" t="s">
        <v>4505</v>
      </c>
      <c r="E2152" s="84" t="s">
        <v>4497</v>
      </c>
      <c r="F2152" s="86">
        <v>800004</v>
      </c>
      <c r="G2152" s="86">
        <v>5120000</v>
      </c>
      <c r="H2152" s="87"/>
      <c r="I2152" s="85" t="s">
        <v>9501</v>
      </c>
      <c r="J2152" s="88" t="str">
        <f t="shared" si="33"/>
        <v>重复</v>
      </c>
      <c r="K2152" s="88" t="str">
        <f t="shared" si="33"/>
        <v>重复</v>
      </c>
    </row>
    <row r="2153" spans="1:11" ht="20.25" customHeight="1">
      <c r="A2153" s="84" t="s">
        <v>4528</v>
      </c>
      <c r="B2153" s="85" t="s">
        <v>9503</v>
      </c>
      <c r="C2153" s="85" t="s">
        <v>4530</v>
      </c>
      <c r="D2153" s="85" t="s">
        <v>4531</v>
      </c>
      <c r="E2153" s="84" t="s">
        <v>4497</v>
      </c>
      <c r="F2153" s="86">
        <v>800006</v>
      </c>
      <c r="G2153" s="86">
        <v>5120000</v>
      </c>
      <c r="H2153" s="87"/>
      <c r="I2153" s="85" t="s">
        <v>9504</v>
      </c>
      <c r="J2153" s="88" t="str">
        <f t="shared" si="33"/>
        <v>重复</v>
      </c>
      <c r="K2153" s="88" t="str">
        <f t="shared" si="33"/>
        <v>重复</v>
      </c>
    </row>
    <row r="2154" spans="1:11" ht="20.25" customHeight="1">
      <c r="A2154" s="84" t="s">
        <v>4493</v>
      </c>
      <c r="B2154" s="85" t="s">
        <v>9505</v>
      </c>
      <c r="C2154" s="85" t="s">
        <v>4495</v>
      </c>
      <c r="D2154" s="85" t="s">
        <v>4496</v>
      </c>
      <c r="E2154" s="84" t="s">
        <v>4497</v>
      </c>
      <c r="F2154" s="86">
        <v>800008</v>
      </c>
      <c r="G2154" s="86">
        <v>5120000</v>
      </c>
      <c r="H2154" s="87"/>
      <c r="I2154" s="85" t="s">
        <v>9506</v>
      </c>
      <c r="J2154" s="88" t="str">
        <f t="shared" si="33"/>
        <v>重复</v>
      </c>
      <c r="K2154" s="88" t="str">
        <f t="shared" si="33"/>
        <v>重复</v>
      </c>
    </row>
    <row r="2155" spans="1:11" ht="20.25" customHeight="1">
      <c r="A2155" s="84" t="s">
        <v>4521</v>
      </c>
      <c r="B2155" s="85" t="s">
        <v>9507</v>
      </c>
      <c r="C2155" s="85" t="s">
        <v>4523</v>
      </c>
      <c r="D2155" s="85" t="s">
        <v>4524</v>
      </c>
      <c r="E2155" s="84" t="s">
        <v>4497</v>
      </c>
      <c r="F2155" s="86">
        <v>800009</v>
      </c>
      <c r="G2155" s="86">
        <v>5120000</v>
      </c>
      <c r="H2155" s="87"/>
      <c r="I2155" s="85" t="s">
        <v>4466</v>
      </c>
      <c r="J2155" s="88" t="str">
        <f t="shared" si="33"/>
        <v>重复</v>
      </c>
      <c r="K2155" s="88" t="str">
        <f t="shared" si="33"/>
        <v>重复</v>
      </c>
    </row>
    <row r="2156" spans="1:11" ht="20.25" customHeight="1">
      <c r="A2156" s="84" t="s">
        <v>4518</v>
      </c>
      <c r="B2156" s="85" t="s">
        <v>9508</v>
      </c>
      <c r="C2156" s="85" t="s">
        <v>627</v>
      </c>
      <c r="D2156" s="85" t="s">
        <v>4520</v>
      </c>
      <c r="E2156" s="84" t="s">
        <v>4497</v>
      </c>
      <c r="F2156" s="86">
        <v>800010</v>
      </c>
      <c r="G2156" s="86">
        <v>5120000</v>
      </c>
      <c r="H2156" s="87"/>
      <c r="I2156" s="85" t="s">
        <v>9504</v>
      </c>
      <c r="J2156" s="88" t="str">
        <f t="shared" si="33"/>
        <v>重复</v>
      </c>
      <c r="K2156" s="88" t="str">
        <f t="shared" si="33"/>
        <v>重复</v>
      </c>
    </row>
    <row r="2157" spans="1:11" ht="20.25" customHeight="1">
      <c r="A2157" s="84" t="s">
        <v>4515</v>
      </c>
      <c r="B2157" s="85" t="s">
        <v>9509</v>
      </c>
      <c r="C2157" s="85" t="s">
        <v>4069</v>
      </c>
      <c r="D2157" s="85" t="s">
        <v>4517</v>
      </c>
      <c r="E2157" s="84" t="s">
        <v>4497</v>
      </c>
      <c r="F2157" s="86">
        <v>800011</v>
      </c>
      <c r="G2157" s="86">
        <v>5120000</v>
      </c>
      <c r="H2157" s="87"/>
      <c r="I2157" s="85" t="s">
        <v>9501</v>
      </c>
      <c r="J2157" s="88" t="str">
        <f t="shared" si="33"/>
        <v>重复</v>
      </c>
      <c r="K2157" s="88" t="str">
        <f t="shared" si="33"/>
        <v>重复</v>
      </c>
    </row>
    <row r="2158" spans="1:11" ht="20.25" customHeight="1">
      <c r="A2158" s="89" t="s">
        <v>4536</v>
      </c>
      <c r="B2158" s="90" t="s">
        <v>9510</v>
      </c>
      <c r="C2158" s="90" t="s">
        <v>25</v>
      </c>
      <c r="D2158" s="90" t="s">
        <v>9511</v>
      </c>
      <c r="E2158" s="89" t="s">
        <v>4497</v>
      </c>
      <c r="F2158" s="91">
        <v>800012</v>
      </c>
      <c r="G2158" s="91">
        <v>5120000</v>
      </c>
      <c r="H2158" s="87"/>
      <c r="I2158" s="90" t="s">
        <v>25</v>
      </c>
      <c r="J2158" s="88" t="str">
        <f t="shared" si="33"/>
        <v>重复</v>
      </c>
      <c r="K2158" s="88" t="str">
        <f t="shared" si="33"/>
        <v>不重复</v>
      </c>
    </row>
    <row r="2159" spans="1:11" ht="20.25" customHeight="1">
      <c r="A2159" s="89" t="s">
        <v>4537</v>
      </c>
      <c r="B2159" s="90" t="s">
        <v>9512</v>
      </c>
      <c r="C2159" s="90" t="s">
        <v>2350</v>
      </c>
      <c r="D2159" s="90" t="s">
        <v>4539</v>
      </c>
      <c r="E2159" s="89" t="s">
        <v>4497</v>
      </c>
      <c r="F2159" s="91">
        <v>800013</v>
      </c>
      <c r="G2159" s="91">
        <v>5120000</v>
      </c>
      <c r="H2159" s="87"/>
      <c r="I2159" s="90" t="s">
        <v>9513</v>
      </c>
      <c r="J2159" s="88" t="str">
        <f t="shared" si="33"/>
        <v>重复</v>
      </c>
      <c r="K2159" s="88" t="str">
        <f t="shared" si="33"/>
        <v>重复</v>
      </c>
    </row>
    <row r="2160" spans="1:11" ht="20.25" customHeight="1">
      <c r="A2160" s="84" t="s">
        <v>4536</v>
      </c>
      <c r="B2160" s="85" t="s">
        <v>9514</v>
      </c>
      <c r="C2160" s="85" t="s">
        <v>25</v>
      </c>
      <c r="D2160" s="85" t="s">
        <v>9515</v>
      </c>
      <c r="E2160" s="84" t="s">
        <v>4497</v>
      </c>
      <c r="F2160" s="86">
        <v>800014</v>
      </c>
      <c r="G2160" s="86">
        <v>5120000</v>
      </c>
      <c r="H2160" s="87"/>
      <c r="I2160" s="85" t="s">
        <v>25</v>
      </c>
      <c r="J2160" s="88" t="str">
        <f t="shared" si="33"/>
        <v>重复</v>
      </c>
      <c r="K2160" s="88" t="str">
        <f t="shared" si="33"/>
        <v>不重复</v>
      </c>
    </row>
    <row r="2161" spans="1:11" ht="20.25" customHeight="1">
      <c r="A2161" s="84" t="s">
        <v>4541</v>
      </c>
      <c r="B2161" s="85" t="s">
        <v>9516</v>
      </c>
      <c r="C2161" s="85" t="s">
        <v>4543</v>
      </c>
      <c r="D2161" s="85" t="s">
        <v>4544</v>
      </c>
      <c r="E2161" s="84" t="s">
        <v>4497</v>
      </c>
      <c r="F2161" s="86">
        <v>800015</v>
      </c>
      <c r="G2161" s="86">
        <v>5120000</v>
      </c>
      <c r="H2161" s="87"/>
      <c r="I2161" s="85" t="s">
        <v>6836</v>
      </c>
      <c r="J2161" s="88" t="str">
        <f t="shared" si="33"/>
        <v>重复</v>
      </c>
      <c r="K2161" s="88" t="str">
        <f t="shared" si="33"/>
        <v>重复</v>
      </c>
    </row>
    <row r="2162" spans="1:11" ht="20.25" customHeight="1">
      <c r="A2162" s="84" t="s">
        <v>4545</v>
      </c>
      <c r="B2162" s="85" t="s">
        <v>9517</v>
      </c>
      <c r="C2162" s="85" t="s">
        <v>2670</v>
      </c>
      <c r="D2162" s="85" t="s">
        <v>4547</v>
      </c>
      <c r="E2162" s="84" t="s">
        <v>4497</v>
      </c>
      <c r="F2162" s="86">
        <v>800017</v>
      </c>
      <c r="G2162" s="86">
        <v>5120000</v>
      </c>
      <c r="H2162" s="87"/>
      <c r="I2162" s="85" t="s">
        <v>9518</v>
      </c>
      <c r="J2162" s="88" t="str">
        <f t="shared" si="33"/>
        <v>重复</v>
      </c>
      <c r="K2162" s="88" t="str">
        <f t="shared" si="33"/>
        <v>重复</v>
      </c>
    </row>
    <row r="2163" spans="1:11" ht="20.25" customHeight="1">
      <c r="A2163" s="89" t="s">
        <v>4536</v>
      </c>
      <c r="B2163" s="90" t="s">
        <v>9519</v>
      </c>
      <c r="C2163" s="90" t="s">
        <v>25</v>
      </c>
      <c r="D2163" s="90" t="s">
        <v>9520</v>
      </c>
      <c r="E2163" s="89" t="s">
        <v>4497</v>
      </c>
      <c r="F2163" s="91">
        <v>800018</v>
      </c>
      <c r="G2163" s="91">
        <v>5120000</v>
      </c>
      <c r="H2163" s="87"/>
      <c r="I2163" s="90" t="s">
        <v>25</v>
      </c>
      <c r="J2163" s="88" t="str">
        <f t="shared" si="33"/>
        <v>重复</v>
      </c>
      <c r="K2163" s="88" t="str">
        <f t="shared" si="33"/>
        <v>不重复</v>
      </c>
    </row>
    <row r="2164" spans="1:11" ht="20.25" customHeight="1">
      <c r="A2164" s="89" t="s">
        <v>4549</v>
      </c>
      <c r="B2164" s="90" t="s">
        <v>9521</v>
      </c>
      <c r="C2164" s="90" t="s">
        <v>4551</v>
      </c>
      <c r="D2164" s="90" t="s">
        <v>4552</v>
      </c>
      <c r="E2164" s="89" t="s">
        <v>4497</v>
      </c>
      <c r="F2164" s="91">
        <v>800019</v>
      </c>
      <c r="G2164" s="91">
        <v>5120000</v>
      </c>
      <c r="H2164" s="87"/>
      <c r="I2164" s="90" t="s">
        <v>9522</v>
      </c>
      <c r="J2164" s="88" t="str">
        <f t="shared" si="33"/>
        <v>重复</v>
      </c>
      <c r="K2164" s="88" t="str">
        <f t="shared" si="33"/>
        <v>重复</v>
      </c>
    </row>
    <row r="2165" spans="1:11" ht="20.25" customHeight="1">
      <c r="A2165" s="89" t="s">
        <v>9523</v>
      </c>
      <c r="B2165" s="90" t="s">
        <v>4588</v>
      </c>
      <c r="C2165" s="90" t="s">
        <v>4003</v>
      </c>
      <c r="D2165" s="90" t="s">
        <v>4589</v>
      </c>
      <c r="E2165" s="89" t="s">
        <v>4497</v>
      </c>
      <c r="F2165" s="91">
        <v>800020</v>
      </c>
      <c r="G2165" s="91">
        <v>5120000</v>
      </c>
      <c r="H2165" s="87"/>
      <c r="I2165" s="90" t="s">
        <v>25</v>
      </c>
      <c r="J2165" s="88" t="str">
        <f t="shared" si="33"/>
        <v>不重复</v>
      </c>
      <c r="K2165" s="88" t="str">
        <f t="shared" si="33"/>
        <v>重复</v>
      </c>
    </row>
    <row r="2166" spans="1:11" ht="20.25" customHeight="1">
      <c r="A2166" s="89" t="s">
        <v>9524</v>
      </c>
      <c r="B2166" s="90" t="s">
        <v>9525</v>
      </c>
      <c r="C2166" s="90" t="s">
        <v>1076</v>
      </c>
      <c r="D2166" s="90" t="s">
        <v>4582</v>
      </c>
      <c r="E2166" s="89" t="s">
        <v>4497</v>
      </c>
      <c r="F2166" s="91">
        <v>800021</v>
      </c>
      <c r="G2166" s="91">
        <v>5120000</v>
      </c>
      <c r="H2166" s="87"/>
      <c r="I2166" s="90" t="s">
        <v>9504</v>
      </c>
      <c r="J2166" s="88" t="str">
        <f t="shared" si="33"/>
        <v>重复</v>
      </c>
      <c r="K2166" s="88" t="str">
        <f t="shared" si="33"/>
        <v>重复</v>
      </c>
    </row>
    <row r="2167" spans="1:11" ht="20.25" customHeight="1">
      <c r="A2167" s="89" t="s">
        <v>9526</v>
      </c>
      <c r="B2167" s="90" t="s">
        <v>9527</v>
      </c>
      <c r="C2167" s="90" t="s">
        <v>4043</v>
      </c>
      <c r="D2167" s="90" t="s">
        <v>4570</v>
      </c>
      <c r="E2167" s="89" t="s">
        <v>4497</v>
      </c>
      <c r="F2167" s="91">
        <v>800022</v>
      </c>
      <c r="G2167" s="91">
        <v>5120000</v>
      </c>
      <c r="H2167" s="87"/>
      <c r="I2167" s="90" t="s">
        <v>9504</v>
      </c>
      <c r="J2167" s="88" t="str">
        <f t="shared" si="33"/>
        <v>重复</v>
      </c>
      <c r="K2167" s="88" t="str">
        <f t="shared" si="33"/>
        <v>重复</v>
      </c>
    </row>
    <row r="2168" spans="1:11" ht="20.25" customHeight="1">
      <c r="A2168" s="89" t="s">
        <v>9528</v>
      </c>
      <c r="B2168" s="90" t="s">
        <v>9529</v>
      </c>
      <c r="C2168" s="90" t="s">
        <v>4043</v>
      </c>
      <c r="D2168" s="90" t="s">
        <v>9530</v>
      </c>
      <c r="E2168" s="89" t="s">
        <v>4497</v>
      </c>
      <c r="F2168" s="91">
        <v>800023</v>
      </c>
      <c r="G2168" s="91">
        <v>5120000</v>
      </c>
      <c r="H2168" s="87"/>
      <c r="I2168" s="90" t="s">
        <v>9504</v>
      </c>
      <c r="J2168" s="88" t="str">
        <f t="shared" si="33"/>
        <v>重复</v>
      </c>
      <c r="K2168" s="88" t="str">
        <f t="shared" si="33"/>
        <v>不重复</v>
      </c>
    </row>
    <row r="2169" spans="1:11" ht="20.25" customHeight="1">
      <c r="A2169" s="89" t="s">
        <v>9531</v>
      </c>
      <c r="B2169" s="90" t="s">
        <v>9532</v>
      </c>
      <c r="C2169" s="90" t="s">
        <v>4043</v>
      </c>
      <c r="D2169" s="90" t="s">
        <v>9533</v>
      </c>
      <c r="E2169" s="89" t="s">
        <v>4497</v>
      </c>
      <c r="F2169" s="91">
        <v>800024</v>
      </c>
      <c r="G2169" s="91">
        <v>5120000</v>
      </c>
      <c r="H2169" s="87"/>
      <c r="I2169" s="90" t="s">
        <v>9504</v>
      </c>
      <c r="J2169" s="88" t="str">
        <f t="shared" si="33"/>
        <v>重复</v>
      </c>
      <c r="K2169" s="88" t="str">
        <f t="shared" si="33"/>
        <v>不重复</v>
      </c>
    </row>
    <row r="2170" spans="1:11" ht="20.25" customHeight="1">
      <c r="A2170" s="89" t="s">
        <v>9534</v>
      </c>
      <c r="B2170" s="90" t="s">
        <v>9535</v>
      </c>
      <c r="C2170" s="90" t="s">
        <v>4043</v>
      </c>
      <c r="D2170" s="90" t="s">
        <v>9536</v>
      </c>
      <c r="E2170" s="89" t="s">
        <v>4497</v>
      </c>
      <c r="F2170" s="91">
        <v>800025</v>
      </c>
      <c r="G2170" s="91">
        <v>5120000</v>
      </c>
      <c r="H2170" s="87"/>
      <c r="I2170" s="90" t="s">
        <v>9504</v>
      </c>
      <c r="J2170" s="88" t="str">
        <f t="shared" si="33"/>
        <v>重复</v>
      </c>
      <c r="K2170" s="88" t="str">
        <f t="shared" si="33"/>
        <v>不重复</v>
      </c>
    </row>
    <row r="2171" spans="1:11" ht="20.25" customHeight="1">
      <c r="A2171" s="89" t="s">
        <v>9537</v>
      </c>
      <c r="B2171" s="90" t="s">
        <v>9538</v>
      </c>
      <c r="C2171" s="90" t="s">
        <v>9539</v>
      </c>
      <c r="D2171" s="90" t="s">
        <v>4559</v>
      </c>
      <c r="E2171" s="89" t="s">
        <v>4497</v>
      </c>
      <c r="F2171" s="91">
        <v>800026</v>
      </c>
      <c r="G2171" s="91">
        <v>5120000</v>
      </c>
      <c r="H2171" s="87"/>
      <c r="I2171" s="90" t="s">
        <v>9501</v>
      </c>
      <c r="J2171" s="88" t="str">
        <f t="shared" si="33"/>
        <v>重复</v>
      </c>
      <c r="K2171" s="88" t="str">
        <f t="shared" si="33"/>
        <v>重复</v>
      </c>
    </row>
    <row r="2172" spans="1:11" ht="20.25" customHeight="1">
      <c r="A2172" s="89" t="s">
        <v>9537</v>
      </c>
      <c r="B2172" s="90" t="s">
        <v>9540</v>
      </c>
      <c r="C2172" s="90" t="s">
        <v>9539</v>
      </c>
      <c r="D2172" s="90" t="s">
        <v>9541</v>
      </c>
      <c r="E2172" s="89" t="s">
        <v>4497</v>
      </c>
      <c r="F2172" s="91">
        <v>800027</v>
      </c>
      <c r="G2172" s="91">
        <v>5120000</v>
      </c>
      <c r="H2172" s="87"/>
      <c r="I2172" s="90" t="s">
        <v>9542</v>
      </c>
      <c r="J2172" s="88" t="str">
        <f t="shared" si="33"/>
        <v>重复</v>
      </c>
      <c r="K2172" s="88" t="str">
        <f t="shared" si="33"/>
        <v>不重复</v>
      </c>
    </row>
    <row r="2173" spans="1:11" ht="20.25" customHeight="1">
      <c r="A2173" s="89" t="s">
        <v>9537</v>
      </c>
      <c r="B2173" s="90" t="s">
        <v>9543</v>
      </c>
      <c r="C2173" s="90" t="s">
        <v>9539</v>
      </c>
      <c r="D2173" s="90" t="s">
        <v>9544</v>
      </c>
      <c r="E2173" s="89" t="s">
        <v>4497</v>
      </c>
      <c r="F2173" s="91">
        <v>800028</v>
      </c>
      <c r="G2173" s="91">
        <v>5120000</v>
      </c>
      <c r="H2173" s="87"/>
      <c r="I2173" s="90" t="s">
        <v>9542</v>
      </c>
      <c r="J2173" s="88" t="str">
        <f t="shared" si="33"/>
        <v>重复</v>
      </c>
      <c r="K2173" s="88" t="str">
        <f t="shared" si="33"/>
        <v>不重复</v>
      </c>
    </row>
    <row r="2174" spans="1:11" ht="20.25" customHeight="1">
      <c r="A2174" s="89" t="s">
        <v>9545</v>
      </c>
      <c r="B2174" s="90" t="s">
        <v>9546</v>
      </c>
      <c r="C2174" s="90" t="s">
        <v>4558</v>
      </c>
      <c r="D2174" s="90" t="s">
        <v>4562</v>
      </c>
      <c r="E2174" s="89" t="s">
        <v>4497</v>
      </c>
      <c r="F2174" s="91">
        <v>800029</v>
      </c>
      <c r="G2174" s="91">
        <v>5120000</v>
      </c>
      <c r="H2174" s="87"/>
      <c r="I2174" s="90" t="s">
        <v>9504</v>
      </c>
      <c r="J2174" s="88" t="str">
        <f t="shared" si="33"/>
        <v>重复</v>
      </c>
      <c r="K2174" s="88" t="str">
        <f t="shared" si="33"/>
        <v>重复</v>
      </c>
    </row>
    <row r="2175" spans="1:11" ht="20.25" customHeight="1">
      <c r="A2175" s="89" t="s">
        <v>9547</v>
      </c>
      <c r="B2175" s="90" t="s">
        <v>9548</v>
      </c>
      <c r="C2175" s="90" t="s">
        <v>2676</v>
      </c>
      <c r="D2175" s="90" t="s">
        <v>4555</v>
      </c>
      <c r="E2175" s="89" t="s">
        <v>4497</v>
      </c>
      <c r="F2175" s="91">
        <v>800030</v>
      </c>
      <c r="G2175" s="91">
        <v>5120000</v>
      </c>
      <c r="H2175" s="87"/>
      <c r="I2175" s="90" t="s">
        <v>9549</v>
      </c>
      <c r="J2175" s="88" t="str">
        <f t="shared" si="33"/>
        <v>重复</v>
      </c>
      <c r="K2175" s="88" t="str">
        <f t="shared" si="33"/>
        <v>重复</v>
      </c>
    </row>
    <row r="2176" spans="1:11" ht="20.25" customHeight="1">
      <c r="A2176" s="89" t="s">
        <v>9550</v>
      </c>
      <c r="B2176" s="90" t="s">
        <v>9551</v>
      </c>
      <c r="C2176" s="90" t="s">
        <v>4585</v>
      </c>
      <c r="D2176" s="90" t="s">
        <v>4586</v>
      </c>
      <c r="E2176" s="89" t="s">
        <v>4497</v>
      </c>
      <c r="F2176" s="91">
        <v>800031</v>
      </c>
      <c r="G2176" s="91">
        <v>5120000</v>
      </c>
      <c r="H2176" s="87"/>
      <c r="I2176" s="90" t="s">
        <v>9501</v>
      </c>
      <c r="J2176" s="88" t="str">
        <f t="shared" si="33"/>
        <v>重复</v>
      </c>
      <c r="K2176" s="88" t="str">
        <f t="shared" si="33"/>
        <v>重复</v>
      </c>
    </row>
    <row r="2177" spans="1:11" ht="20.25" customHeight="1">
      <c r="A2177" s="89" t="s">
        <v>9552</v>
      </c>
      <c r="B2177" s="90" t="s">
        <v>9553</v>
      </c>
      <c r="C2177" s="90" t="s">
        <v>4565</v>
      </c>
      <c r="D2177" s="90" t="s">
        <v>4566</v>
      </c>
      <c r="E2177" s="89" t="s">
        <v>4497</v>
      </c>
      <c r="F2177" s="91">
        <v>800032</v>
      </c>
      <c r="G2177" s="91">
        <v>5120000</v>
      </c>
      <c r="H2177" s="87"/>
      <c r="I2177" s="90" t="s">
        <v>9375</v>
      </c>
      <c r="J2177" s="88" t="str">
        <f t="shared" si="33"/>
        <v>重复</v>
      </c>
      <c r="K2177" s="88" t="str">
        <f t="shared" si="33"/>
        <v>重复</v>
      </c>
    </row>
    <row r="2178" spans="1:11" ht="20.25" customHeight="1">
      <c r="A2178" s="89" t="s">
        <v>9552</v>
      </c>
      <c r="B2178" s="90" t="s">
        <v>9554</v>
      </c>
      <c r="C2178" s="90" t="s">
        <v>4565</v>
      </c>
      <c r="D2178" s="90" t="s">
        <v>9555</v>
      </c>
      <c r="E2178" s="89" t="s">
        <v>4497</v>
      </c>
      <c r="F2178" s="91">
        <v>800033</v>
      </c>
      <c r="G2178" s="91">
        <v>5120000</v>
      </c>
      <c r="H2178" s="87"/>
      <c r="I2178" s="90" t="s">
        <v>9556</v>
      </c>
      <c r="J2178" s="88" t="str">
        <f t="shared" si="33"/>
        <v>重复</v>
      </c>
      <c r="K2178" s="88" t="str">
        <f t="shared" si="33"/>
        <v>不重复</v>
      </c>
    </row>
    <row r="2179" spans="1:11" ht="20.25" customHeight="1">
      <c r="A2179" s="89" t="s">
        <v>9557</v>
      </c>
      <c r="B2179" s="90" t="s">
        <v>9558</v>
      </c>
      <c r="C2179" s="90" t="s">
        <v>4565</v>
      </c>
      <c r="D2179" s="90" t="s">
        <v>9559</v>
      </c>
      <c r="E2179" s="89" t="s">
        <v>4497</v>
      </c>
      <c r="F2179" s="91">
        <v>800034</v>
      </c>
      <c r="G2179" s="91">
        <v>5120000</v>
      </c>
      <c r="H2179" s="87"/>
      <c r="I2179" s="90" t="s">
        <v>9560</v>
      </c>
      <c r="J2179" s="88" t="str">
        <f t="shared" si="34" ref="J2179:K2242">IF(COUNTIF(C:C,C2179)&gt;=2,"重复","不重复")</f>
        <v>重复</v>
      </c>
      <c r="K2179" s="88" t="str">
        <f t="shared" si="34"/>
        <v>不重复</v>
      </c>
    </row>
    <row r="2180" spans="1:11" ht="20.25" customHeight="1">
      <c r="A2180" s="89" t="s">
        <v>9561</v>
      </c>
      <c r="B2180" s="90" t="s">
        <v>9562</v>
      </c>
      <c r="C2180" s="90" t="s">
        <v>4575</v>
      </c>
      <c r="D2180" s="90" t="s">
        <v>4576</v>
      </c>
      <c r="E2180" s="89" t="s">
        <v>4497</v>
      </c>
      <c r="F2180" s="91">
        <v>800035</v>
      </c>
      <c r="G2180" s="91">
        <v>5120000</v>
      </c>
      <c r="H2180" s="87"/>
      <c r="I2180" s="90" t="s">
        <v>9504</v>
      </c>
      <c r="J2180" s="88" t="str">
        <f t="shared" si="34"/>
        <v>重复</v>
      </c>
      <c r="K2180" s="88" t="str">
        <f t="shared" si="34"/>
        <v>重复</v>
      </c>
    </row>
    <row r="2181" spans="1:11" ht="20.25" customHeight="1">
      <c r="A2181" s="89" t="s">
        <v>9563</v>
      </c>
      <c r="B2181" s="90" t="s">
        <v>9564</v>
      </c>
      <c r="C2181" s="90" t="s">
        <v>1574</v>
      </c>
      <c r="D2181" s="90" t="s">
        <v>4579</v>
      </c>
      <c r="E2181" s="89" t="s">
        <v>4497</v>
      </c>
      <c r="F2181" s="91">
        <v>800036</v>
      </c>
      <c r="G2181" s="91">
        <v>5120000</v>
      </c>
      <c r="H2181" s="87"/>
      <c r="I2181" s="90" t="s">
        <v>9504</v>
      </c>
      <c r="J2181" s="88" t="str">
        <f t="shared" si="34"/>
        <v>重复</v>
      </c>
      <c r="K2181" s="88" t="str">
        <f t="shared" si="34"/>
        <v>重复</v>
      </c>
    </row>
    <row r="2182" spans="1:11" ht="20.25" customHeight="1">
      <c r="A2182" s="84" t="s">
        <v>4593</v>
      </c>
      <c r="B2182" s="85" t="s">
        <v>4594</v>
      </c>
      <c r="C2182" s="85" t="s">
        <v>2353</v>
      </c>
      <c r="D2182" s="85" t="s">
        <v>4595</v>
      </c>
      <c r="E2182" s="84" t="s">
        <v>4497</v>
      </c>
      <c r="F2182" s="86">
        <v>800037</v>
      </c>
      <c r="G2182" s="86">
        <v>5120000</v>
      </c>
      <c r="H2182" s="87"/>
      <c r="I2182" s="85" t="s">
        <v>25</v>
      </c>
      <c r="J2182" s="88" t="str">
        <f t="shared" si="34"/>
        <v>重复</v>
      </c>
      <c r="K2182" s="88" t="str">
        <f t="shared" si="34"/>
        <v>重复</v>
      </c>
    </row>
    <row r="2183" spans="1:11" ht="20.25" customHeight="1">
      <c r="A2183" s="84" t="s">
        <v>9565</v>
      </c>
      <c r="B2183" s="85" t="s">
        <v>9566</v>
      </c>
      <c r="C2183" s="85" t="s">
        <v>2353</v>
      </c>
      <c r="D2183" s="85" t="s">
        <v>4592</v>
      </c>
      <c r="E2183" s="84" t="s">
        <v>4497</v>
      </c>
      <c r="F2183" s="86">
        <v>800038</v>
      </c>
      <c r="G2183" s="86">
        <v>5120000</v>
      </c>
      <c r="H2183" s="87"/>
      <c r="I2183" s="85" t="s">
        <v>9567</v>
      </c>
      <c r="J2183" s="88" t="str">
        <f t="shared" si="34"/>
        <v>重复</v>
      </c>
      <c r="K2183" s="88" t="str">
        <f t="shared" si="34"/>
        <v>重复</v>
      </c>
    </row>
    <row r="2184" spans="1:11" ht="20.25" customHeight="1">
      <c r="A2184" s="89" t="s">
        <v>4596</v>
      </c>
      <c r="B2184" s="90" t="s">
        <v>9568</v>
      </c>
      <c r="C2184" s="90" t="s">
        <v>4598</v>
      </c>
      <c r="D2184" s="90" t="s">
        <v>4599</v>
      </c>
      <c r="E2184" s="89" t="s">
        <v>4497</v>
      </c>
      <c r="F2184" s="91">
        <v>800040</v>
      </c>
      <c r="G2184" s="91">
        <v>5120000</v>
      </c>
      <c r="H2184" s="87"/>
      <c r="I2184" s="90" t="s">
        <v>9569</v>
      </c>
      <c r="J2184" s="88" t="str">
        <f t="shared" si="34"/>
        <v>重复</v>
      </c>
      <c r="K2184" s="88" t="str">
        <f t="shared" si="34"/>
        <v>重复</v>
      </c>
    </row>
    <row r="2185" spans="1:11" ht="20.25" customHeight="1">
      <c r="A2185" s="89" t="s">
        <v>4601</v>
      </c>
      <c r="B2185" s="90" t="s">
        <v>4602</v>
      </c>
      <c r="C2185" s="90" t="s">
        <v>4603</v>
      </c>
      <c r="D2185" s="90" t="s">
        <v>4604</v>
      </c>
      <c r="E2185" s="89" t="s">
        <v>4497</v>
      </c>
      <c r="F2185" s="91">
        <v>800042</v>
      </c>
      <c r="G2185" s="91">
        <v>5120000</v>
      </c>
      <c r="H2185" s="87"/>
      <c r="I2185" s="90" t="s">
        <v>9570</v>
      </c>
      <c r="J2185" s="88" t="str">
        <f t="shared" si="34"/>
        <v>重复</v>
      </c>
      <c r="K2185" s="88" t="str">
        <f t="shared" si="34"/>
        <v>重复</v>
      </c>
    </row>
    <row r="2186" spans="1:11" ht="20.25" customHeight="1">
      <c r="A2186" s="89" t="s">
        <v>4605</v>
      </c>
      <c r="B2186" s="90" t="s">
        <v>9571</v>
      </c>
      <c r="C2186" s="90" t="s">
        <v>4603</v>
      </c>
      <c r="D2186" s="90" t="s">
        <v>9572</v>
      </c>
      <c r="E2186" s="89" t="s">
        <v>4497</v>
      </c>
      <c r="F2186" s="91">
        <v>800043</v>
      </c>
      <c r="G2186" s="91">
        <v>5120000</v>
      </c>
      <c r="H2186" s="87"/>
      <c r="I2186" s="90" t="s">
        <v>4600</v>
      </c>
      <c r="J2186" s="88" t="str">
        <f t="shared" si="34"/>
        <v>重复</v>
      </c>
      <c r="K2186" s="88" t="str">
        <f t="shared" si="34"/>
        <v>不重复</v>
      </c>
    </row>
    <row r="2187" spans="1:11" ht="20.25" customHeight="1">
      <c r="A2187" s="89" t="s">
        <v>4607</v>
      </c>
      <c r="B2187" s="90" t="s">
        <v>9573</v>
      </c>
      <c r="C2187" s="90" t="s">
        <v>4603</v>
      </c>
      <c r="D2187" s="90" t="s">
        <v>4609</v>
      </c>
      <c r="E2187" s="89" t="s">
        <v>4497</v>
      </c>
      <c r="F2187" s="91">
        <v>800044</v>
      </c>
      <c r="G2187" s="91">
        <v>5120000</v>
      </c>
      <c r="H2187" s="87"/>
      <c r="I2187" s="90" t="s">
        <v>4610</v>
      </c>
      <c r="J2187" s="88" t="str">
        <f t="shared" si="34"/>
        <v>重复</v>
      </c>
      <c r="K2187" s="88" t="str">
        <f t="shared" si="34"/>
        <v>重复</v>
      </c>
    </row>
    <row r="2188" spans="1:11" ht="20.25" customHeight="1">
      <c r="A2188" s="89" t="s">
        <v>4611</v>
      </c>
      <c r="B2188" s="90" t="s">
        <v>9574</v>
      </c>
      <c r="C2188" s="90" t="s">
        <v>4613</v>
      </c>
      <c r="D2188" s="90" t="s">
        <v>4614</v>
      </c>
      <c r="E2188" s="89" t="s">
        <v>4497</v>
      </c>
      <c r="F2188" s="91">
        <v>800045</v>
      </c>
      <c r="G2188" s="91">
        <v>5120000</v>
      </c>
      <c r="H2188" s="87"/>
      <c r="I2188" s="90" t="s">
        <v>4615</v>
      </c>
      <c r="J2188" s="88" t="str">
        <f t="shared" si="34"/>
        <v>重复</v>
      </c>
      <c r="K2188" s="88" t="str">
        <f t="shared" si="34"/>
        <v>重复</v>
      </c>
    </row>
    <row r="2189" spans="1:11" ht="20.25" customHeight="1">
      <c r="A2189" s="89" t="s">
        <v>4629</v>
      </c>
      <c r="B2189" s="90" t="s">
        <v>4630</v>
      </c>
      <c r="C2189" s="90" t="s">
        <v>2984</v>
      </c>
      <c r="D2189" s="90" t="s">
        <v>4631</v>
      </c>
      <c r="E2189" s="89" t="s">
        <v>4497</v>
      </c>
      <c r="F2189" s="91">
        <v>800046</v>
      </c>
      <c r="G2189" s="91">
        <v>5120000</v>
      </c>
      <c r="H2189" s="87"/>
      <c r="I2189" s="90" t="s">
        <v>25</v>
      </c>
      <c r="J2189" s="88" t="str">
        <f t="shared" si="34"/>
        <v>重复</v>
      </c>
      <c r="K2189" s="88" t="str">
        <f t="shared" si="34"/>
        <v>重复</v>
      </c>
    </row>
    <row r="2190" spans="1:11" ht="20.25" customHeight="1">
      <c r="A2190" s="89" t="s">
        <v>4616</v>
      </c>
      <c r="B2190" s="90" t="s">
        <v>9575</v>
      </c>
      <c r="C2190" s="90" t="s">
        <v>4618</v>
      </c>
      <c r="D2190" s="90" t="s">
        <v>4619</v>
      </c>
      <c r="E2190" s="89" t="s">
        <v>4497</v>
      </c>
      <c r="F2190" s="91">
        <v>800047</v>
      </c>
      <c r="G2190" s="91">
        <v>5120000</v>
      </c>
      <c r="H2190" s="87"/>
      <c r="I2190" s="90" t="s">
        <v>4610</v>
      </c>
      <c r="J2190" s="88" t="str">
        <f t="shared" si="34"/>
        <v>重复</v>
      </c>
      <c r="K2190" s="88" t="str">
        <f t="shared" si="34"/>
        <v>重复</v>
      </c>
    </row>
    <row r="2191" spans="1:11" ht="20.25" customHeight="1">
      <c r="A2191" s="89" t="s">
        <v>4621</v>
      </c>
      <c r="B2191" s="90" t="s">
        <v>9576</v>
      </c>
      <c r="C2191" s="90" t="s">
        <v>248</v>
      </c>
      <c r="D2191" s="90" t="s">
        <v>4623</v>
      </c>
      <c r="E2191" s="89" t="s">
        <v>4497</v>
      </c>
      <c r="F2191" s="91">
        <v>800048</v>
      </c>
      <c r="G2191" s="91">
        <v>5120000</v>
      </c>
      <c r="H2191" s="87"/>
      <c r="I2191" s="90" t="s">
        <v>4624</v>
      </c>
      <c r="J2191" s="88" t="str">
        <f t="shared" si="34"/>
        <v>重复</v>
      </c>
      <c r="K2191" s="88" t="str">
        <f t="shared" si="34"/>
        <v>重复</v>
      </c>
    </row>
    <row r="2192" spans="1:11" ht="20.25" customHeight="1">
      <c r="A2192" s="89" t="s">
        <v>4625</v>
      </c>
      <c r="B2192" s="90" t="s">
        <v>9577</v>
      </c>
      <c r="C2192" s="90" t="s">
        <v>4627</v>
      </c>
      <c r="D2192" s="90" t="s">
        <v>4628</v>
      </c>
      <c r="E2192" s="89" t="s">
        <v>4497</v>
      </c>
      <c r="F2192" s="91">
        <v>800049</v>
      </c>
      <c r="G2192" s="91">
        <v>5120000</v>
      </c>
      <c r="H2192" s="87"/>
      <c r="I2192" s="90" t="s">
        <v>4624</v>
      </c>
      <c r="J2192" s="88" t="str">
        <f t="shared" si="34"/>
        <v>重复</v>
      </c>
      <c r="K2192" s="88" t="str">
        <f t="shared" si="34"/>
        <v>重复</v>
      </c>
    </row>
    <row r="2193" spans="1:11" ht="20.25" customHeight="1">
      <c r="A2193" s="84" t="s">
        <v>4637</v>
      </c>
      <c r="B2193" s="85" t="s">
        <v>4638</v>
      </c>
      <c r="C2193" s="85" t="s">
        <v>9578</v>
      </c>
      <c r="D2193" s="85" t="s">
        <v>4639</v>
      </c>
      <c r="E2193" s="84" t="s">
        <v>4497</v>
      </c>
      <c r="F2193" s="86">
        <v>800050</v>
      </c>
      <c r="G2193" s="86">
        <v>5120000</v>
      </c>
      <c r="H2193" s="87"/>
      <c r="I2193" s="85" t="s">
        <v>25</v>
      </c>
      <c r="J2193" s="88" t="str">
        <f t="shared" si="34"/>
        <v>不重复</v>
      </c>
      <c r="K2193" s="88" t="str">
        <f t="shared" si="34"/>
        <v>重复</v>
      </c>
    </row>
    <row r="2194" spans="1:11" ht="20.25" customHeight="1">
      <c r="A2194" s="84" t="s">
        <v>4632</v>
      </c>
      <c r="B2194" s="85" t="s">
        <v>9579</v>
      </c>
      <c r="C2194" s="85" t="s">
        <v>4634</v>
      </c>
      <c r="D2194" s="85" t="s">
        <v>4635</v>
      </c>
      <c r="E2194" s="84" t="s">
        <v>4497</v>
      </c>
      <c r="F2194" s="86">
        <v>800051</v>
      </c>
      <c r="G2194" s="86">
        <v>5120000</v>
      </c>
      <c r="H2194" s="87"/>
      <c r="I2194" s="85" t="s">
        <v>9580</v>
      </c>
      <c r="J2194" s="88" t="str">
        <f t="shared" si="34"/>
        <v>重复</v>
      </c>
      <c r="K2194" s="88" t="str">
        <f t="shared" si="34"/>
        <v>重复</v>
      </c>
    </row>
    <row r="2195" spans="1:11" ht="20.25" customHeight="1">
      <c r="A2195" s="89" t="s">
        <v>4665</v>
      </c>
      <c r="B2195" s="90" t="s">
        <v>4666</v>
      </c>
      <c r="C2195" s="90" t="s">
        <v>4011</v>
      </c>
      <c r="D2195" s="90" t="s">
        <v>2122</v>
      </c>
      <c r="E2195" s="89" t="s">
        <v>4497</v>
      </c>
      <c r="F2195" s="91">
        <v>800052</v>
      </c>
      <c r="G2195" s="91">
        <v>5120000</v>
      </c>
      <c r="H2195" s="87"/>
      <c r="I2195" s="90" t="s">
        <v>25</v>
      </c>
      <c r="J2195" s="88" t="str">
        <f t="shared" si="34"/>
        <v>重复</v>
      </c>
      <c r="K2195" s="88" t="str">
        <f t="shared" si="34"/>
        <v>重复</v>
      </c>
    </row>
    <row r="2196" spans="1:11" ht="20.25" customHeight="1">
      <c r="A2196" s="89" t="s">
        <v>4650</v>
      </c>
      <c r="B2196" s="90" t="s">
        <v>9581</v>
      </c>
      <c r="C2196" s="90" t="s">
        <v>4652</v>
      </c>
      <c r="D2196" s="90" t="s">
        <v>4653</v>
      </c>
      <c r="E2196" s="89" t="s">
        <v>4497</v>
      </c>
      <c r="F2196" s="91">
        <v>800053</v>
      </c>
      <c r="G2196" s="91">
        <v>5120000</v>
      </c>
      <c r="H2196" s="87"/>
      <c r="I2196" s="90" t="s">
        <v>9582</v>
      </c>
      <c r="J2196" s="88" t="str">
        <f t="shared" si="34"/>
        <v>重复</v>
      </c>
      <c r="K2196" s="88" t="str">
        <f t="shared" si="34"/>
        <v>重复</v>
      </c>
    </row>
    <row r="2197" spans="1:11" ht="20.25" customHeight="1">
      <c r="A2197" s="89" t="s">
        <v>4660</v>
      </c>
      <c r="B2197" s="90" t="s">
        <v>9583</v>
      </c>
      <c r="C2197" s="90" t="s">
        <v>4662</v>
      </c>
      <c r="D2197" s="90" t="s">
        <v>4663</v>
      </c>
      <c r="E2197" s="89" t="s">
        <v>4497</v>
      </c>
      <c r="F2197" s="91">
        <v>800054</v>
      </c>
      <c r="G2197" s="91">
        <v>5120000</v>
      </c>
      <c r="H2197" s="87"/>
      <c r="I2197" s="90" t="s">
        <v>9584</v>
      </c>
      <c r="J2197" s="88" t="str">
        <f t="shared" si="34"/>
        <v>重复</v>
      </c>
      <c r="K2197" s="88" t="str">
        <f t="shared" si="34"/>
        <v>重复</v>
      </c>
    </row>
    <row r="2198" spans="1:11" ht="20.25" customHeight="1">
      <c r="A2198" s="89" t="s">
        <v>4655</v>
      </c>
      <c r="B2198" s="90" t="s">
        <v>9585</v>
      </c>
      <c r="C2198" s="90" t="s">
        <v>4657</v>
      </c>
      <c r="D2198" s="90" t="s">
        <v>4658</v>
      </c>
      <c r="E2198" s="89" t="s">
        <v>4497</v>
      </c>
      <c r="F2198" s="91">
        <v>800055</v>
      </c>
      <c r="G2198" s="91">
        <v>5120000</v>
      </c>
      <c r="H2198" s="87"/>
      <c r="I2198" s="90" t="s">
        <v>9586</v>
      </c>
      <c r="J2198" s="88" t="str">
        <f t="shared" si="34"/>
        <v>重复</v>
      </c>
      <c r="K2198" s="88" t="str">
        <f t="shared" si="34"/>
        <v>重复</v>
      </c>
    </row>
    <row r="2199" spans="1:11" ht="20.25" customHeight="1">
      <c r="A2199" s="89" t="s">
        <v>4640</v>
      </c>
      <c r="B2199" s="90" t="s">
        <v>9587</v>
      </c>
      <c r="C2199" s="90" t="s">
        <v>4005</v>
      </c>
      <c r="D2199" s="90" t="s">
        <v>4642</v>
      </c>
      <c r="E2199" s="89" t="s">
        <v>4497</v>
      </c>
      <c r="F2199" s="91">
        <v>800056</v>
      </c>
      <c r="G2199" s="91">
        <v>5120000</v>
      </c>
      <c r="H2199" s="87"/>
      <c r="I2199" s="90" t="s">
        <v>5429</v>
      </c>
      <c r="J2199" s="88" t="str">
        <f t="shared" si="34"/>
        <v>重复</v>
      </c>
      <c r="K2199" s="88" t="str">
        <f t="shared" si="34"/>
        <v>重复</v>
      </c>
    </row>
    <row r="2200" spans="1:11" ht="20.25" customHeight="1">
      <c r="A2200" s="89" t="s">
        <v>4647</v>
      </c>
      <c r="B2200" s="90" t="s">
        <v>9588</v>
      </c>
      <c r="C2200" s="90" t="s">
        <v>4005</v>
      </c>
      <c r="D2200" s="90" t="s">
        <v>9589</v>
      </c>
      <c r="E2200" s="89" t="s">
        <v>4497</v>
      </c>
      <c r="F2200" s="91">
        <v>800057</v>
      </c>
      <c r="G2200" s="91">
        <v>5120000</v>
      </c>
      <c r="H2200" s="87"/>
      <c r="I2200" s="90" t="s">
        <v>9590</v>
      </c>
      <c r="J2200" s="88" t="str">
        <f t="shared" si="34"/>
        <v>重复</v>
      </c>
      <c r="K2200" s="88" t="str">
        <f t="shared" si="34"/>
        <v>不重复</v>
      </c>
    </row>
    <row r="2201" spans="1:11" ht="20.25" customHeight="1">
      <c r="A2201" s="89" t="s">
        <v>4645</v>
      </c>
      <c r="B2201" s="90" t="s">
        <v>9591</v>
      </c>
      <c r="C2201" s="90" t="s">
        <v>4005</v>
      </c>
      <c r="D2201" s="90" t="s">
        <v>9592</v>
      </c>
      <c r="E2201" s="89" t="s">
        <v>4497</v>
      </c>
      <c r="F2201" s="91">
        <v>800058</v>
      </c>
      <c r="G2201" s="91">
        <v>5120000</v>
      </c>
      <c r="H2201" s="87"/>
      <c r="I2201" s="90" t="s">
        <v>9593</v>
      </c>
      <c r="J2201" s="88" t="str">
        <f t="shared" si="34"/>
        <v>重复</v>
      </c>
      <c r="K2201" s="88" t="str">
        <f t="shared" si="34"/>
        <v>不重复</v>
      </c>
    </row>
    <row r="2202" spans="1:11" ht="20.25" customHeight="1">
      <c r="A2202" s="89" t="s">
        <v>4643</v>
      </c>
      <c r="B2202" s="90" t="s">
        <v>9594</v>
      </c>
      <c r="C2202" s="90" t="s">
        <v>4005</v>
      </c>
      <c r="D2202" s="90" t="s">
        <v>9595</v>
      </c>
      <c r="E2202" s="89" t="s">
        <v>4497</v>
      </c>
      <c r="F2202" s="91">
        <v>800059</v>
      </c>
      <c r="G2202" s="91">
        <v>5120000</v>
      </c>
      <c r="H2202" s="87"/>
      <c r="I2202" s="90" t="s">
        <v>9596</v>
      </c>
      <c r="J2202" s="88" t="str">
        <f t="shared" si="34"/>
        <v>重复</v>
      </c>
      <c r="K2202" s="88" t="str">
        <f t="shared" si="34"/>
        <v>不重复</v>
      </c>
    </row>
    <row r="2203" spans="1:11" ht="20.25" customHeight="1">
      <c r="A2203" s="89" t="s">
        <v>4730</v>
      </c>
      <c r="B2203" s="90" t="s">
        <v>9597</v>
      </c>
      <c r="C2203" s="90" t="s">
        <v>25</v>
      </c>
      <c r="D2203" s="90" t="s">
        <v>9598</v>
      </c>
      <c r="E2203" s="89" t="s">
        <v>4497</v>
      </c>
      <c r="F2203" s="91">
        <v>800060</v>
      </c>
      <c r="G2203" s="91">
        <v>5120000</v>
      </c>
      <c r="H2203" s="87"/>
      <c r="I2203" s="90" t="s">
        <v>25</v>
      </c>
      <c r="J2203" s="88" t="str">
        <f t="shared" si="34"/>
        <v>重复</v>
      </c>
      <c r="K2203" s="88" t="str">
        <f t="shared" si="34"/>
        <v>不重复</v>
      </c>
    </row>
    <row r="2204" spans="1:11" ht="20.25" customHeight="1">
      <c r="A2204" s="89" t="s">
        <v>4667</v>
      </c>
      <c r="B2204" s="90" t="s">
        <v>9599</v>
      </c>
      <c r="C2204" s="90" t="s">
        <v>4603</v>
      </c>
      <c r="D2204" s="90" t="s">
        <v>4669</v>
      </c>
      <c r="E2204" s="89" t="s">
        <v>4497</v>
      </c>
      <c r="F2204" s="91">
        <v>800061</v>
      </c>
      <c r="G2204" s="91">
        <v>5120000</v>
      </c>
      <c r="H2204" s="87"/>
      <c r="I2204" s="90" t="s">
        <v>9506</v>
      </c>
      <c r="J2204" s="88" t="str">
        <f t="shared" si="34"/>
        <v>重复</v>
      </c>
      <c r="K2204" s="88" t="str">
        <f t="shared" si="34"/>
        <v>重复</v>
      </c>
    </row>
    <row r="2205" spans="1:11" ht="20.25" customHeight="1">
      <c r="A2205" s="89" t="s">
        <v>4730</v>
      </c>
      <c r="B2205" s="90" t="s">
        <v>9600</v>
      </c>
      <c r="C2205" s="90" t="s">
        <v>25</v>
      </c>
      <c r="D2205" s="90" t="s">
        <v>9601</v>
      </c>
      <c r="E2205" s="89" t="s">
        <v>4497</v>
      </c>
      <c r="F2205" s="91">
        <v>800062</v>
      </c>
      <c r="G2205" s="91">
        <v>5120000</v>
      </c>
      <c r="H2205" s="87"/>
      <c r="I2205" s="90" t="s">
        <v>25</v>
      </c>
      <c r="J2205" s="88" t="str">
        <f t="shared" si="34"/>
        <v>重复</v>
      </c>
      <c r="K2205" s="88" t="str">
        <f t="shared" si="34"/>
        <v>不重复</v>
      </c>
    </row>
    <row r="2206" spans="1:11" ht="20.25" customHeight="1">
      <c r="A2206" s="89" t="s">
        <v>4670</v>
      </c>
      <c r="B2206" s="90" t="s">
        <v>9602</v>
      </c>
      <c r="C2206" s="90" t="s">
        <v>2239</v>
      </c>
      <c r="D2206" s="90" t="s">
        <v>4672</v>
      </c>
      <c r="E2206" s="89" t="s">
        <v>4497</v>
      </c>
      <c r="F2206" s="91">
        <v>800063</v>
      </c>
      <c r="G2206" s="91">
        <v>5120000</v>
      </c>
      <c r="H2206" s="87"/>
      <c r="I2206" s="90" t="s">
        <v>9603</v>
      </c>
      <c r="J2206" s="88" t="str">
        <f t="shared" si="34"/>
        <v>重复</v>
      </c>
      <c r="K2206" s="88" t="str">
        <f t="shared" si="34"/>
        <v>重复</v>
      </c>
    </row>
    <row r="2207" spans="1:11" ht="20.25" customHeight="1">
      <c r="A2207" s="84" t="s">
        <v>4730</v>
      </c>
      <c r="B2207" s="85" t="s">
        <v>9604</v>
      </c>
      <c r="C2207" s="85" t="s">
        <v>25</v>
      </c>
      <c r="D2207" s="85" t="s">
        <v>9605</v>
      </c>
      <c r="E2207" s="84" t="s">
        <v>4497</v>
      </c>
      <c r="F2207" s="86">
        <v>800064</v>
      </c>
      <c r="G2207" s="86">
        <v>5120000</v>
      </c>
      <c r="H2207" s="87"/>
      <c r="I2207" s="85" t="s">
        <v>9606</v>
      </c>
      <c r="J2207" s="88" t="str">
        <f t="shared" si="34"/>
        <v>重复</v>
      </c>
      <c r="K2207" s="88" t="str">
        <f t="shared" si="34"/>
        <v>不重复</v>
      </c>
    </row>
    <row r="2208" spans="1:11" ht="20.25" customHeight="1">
      <c r="A2208" s="84" t="s">
        <v>4674</v>
      </c>
      <c r="B2208" s="85" t="s">
        <v>9607</v>
      </c>
      <c r="C2208" s="85" t="s">
        <v>931</v>
      </c>
      <c r="D2208" s="85" t="s">
        <v>4676</v>
      </c>
      <c r="E2208" s="84" t="s">
        <v>4497</v>
      </c>
      <c r="F2208" s="86">
        <v>800065</v>
      </c>
      <c r="G2208" s="86">
        <v>5120000</v>
      </c>
      <c r="H2208" s="87"/>
      <c r="I2208" s="85" t="s">
        <v>9608</v>
      </c>
      <c r="J2208" s="88" t="str">
        <f t="shared" si="34"/>
        <v>重复</v>
      </c>
      <c r="K2208" s="88" t="str">
        <f t="shared" si="34"/>
        <v>重复</v>
      </c>
    </row>
    <row r="2209" spans="1:11" ht="20.25" customHeight="1">
      <c r="A2209" s="84" t="s">
        <v>4677</v>
      </c>
      <c r="B2209" s="85" t="s">
        <v>9609</v>
      </c>
      <c r="C2209" s="85" t="s">
        <v>4679</v>
      </c>
      <c r="D2209" s="85" t="s">
        <v>4680</v>
      </c>
      <c r="E2209" s="84" t="s">
        <v>4497</v>
      </c>
      <c r="F2209" s="86">
        <v>800066</v>
      </c>
      <c r="G2209" s="86">
        <v>5120000</v>
      </c>
      <c r="H2209" s="87"/>
      <c r="I2209" s="85" t="s">
        <v>9608</v>
      </c>
      <c r="J2209" s="88" t="str">
        <f t="shared" si="34"/>
        <v>重复</v>
      </c>
      <c r="K2209" s="88" t="str">
        <f t="shared" si="34"/>
        <v>重复</v>
      </c>
    </row>
    <row r="2210" spans="1:11" ht="20.25" customHeight="1">
      <c r="A2210" s="89" t="s">
        <v>4681</v>
      </c>
      <c r="B2210" s="90" t="s">
        <v>9610</v>
      </c>
      <c r="C2210" s="90" t="s">
        <v>4683</v>
      </c>
      <c r="D2210" s="90" t="s">
        <v>4684</v>
      </c>
      <c r="E2210" s="89" t="s">
        <v>4497</v>
      </c>
      <c r="F2210" s="91">
        <v>800068</v>
      </c>
      <c r="G2210" s="91">
        <v>5120000</v>
      </c>
      <c r="H2210" s="87"/>
      <c r="I2210" s="90" t="s">
        <v>9611</v>
      </c>
      <c r="J2210" s="88" t="str">
        <f t="shared" si="34"/>
        <v>重复</v>
      </c>
      <c r="K2210" s="88" t="str">
        <f t="shared" si="34"/>
        <v>重复</v>
      </c>
    </row>
    <row r="2211" spans="1:11" ht="20.25" customHeight="1">
      <c r="A2211" s="84" t="s">
        <v>4730</v>
      </c>
      <c r="B2211" s="85" t="s">
        <v>9612</v>
      </c>
      <c r="C2211" s="85" t="s">
        <v>25</v>
      </c>
      <c r="D2211" s="85" t="s">
        <v>9613</v>
      </c>
      <c r="E2211" s="84" t="s">
        <v>4497</v>
      </c>
      <c r="F2211" s="86">
        <v>800069</v>
      </c>
      <c r="G2211" s="86">
        <v>5120000</v>
      </c>
      <c r="H2211" s="87"/>
      <c r="I2211" s="85" t="s">
        <v>25</v>
      </c>
      <c r="J2211" s="88" t="str">
        <f t="shared" si="34"/>
        <v>重复</v>
      </c>
      <c r="K2211" s="88" t="str">
        <f t="shared" si="34"/>
        <v>不重复</v>
      </c>
    </row>
    <row r="2212" spans="1:11" ht="20.25" customHeight="1">
      <c r="A2212" s="89" t="s">
        <v>4686</v>
      </c>
      <c r="B2212" s="90" t="s">
        <v>9614</v>
      </c>
      <c r="C2212" s="90" t="s">
        <v>4688</v>
      </c>
      <c r="D2212" s="90" t="s">
        <v>4689</v>
      </c>
      <c r="E2212" s="89" t="s">
        <v>4497</v>
      </c>
      <c r="F2212" s="91">
        <v>800070</v>
      </c>
      <c r="G2212" s="91">
        <v>5120000</v>
      </c>
      <c r="H2212" s="87"/>
      <c r="I2212" s="90" t="s">
        <v>9615</v>
      </c>
      <c r="J2212" s="88" t="str">
        <f t="shared" si="34"/>
        <v>重复</v>
      </c>
      <c r="K2212" s="88" t="str">
        <f t="shared" si="34"/>
        <v>重复</v>
      </c>
    </row>
    <row r="2213" spans="1:11" ht="20.25" customHeight="1">
      <c r="A2213" s="84" t="s">
        <v>4690</v>
      </c>
      <c r="B2213" s="85" t="s">
        <v>9616</v>
      </c>
      <c r="C2213" s="85" t="s">
        <v>2231</v>
      </c>
      <c r="D2213" s="85" t="s">
        <v>4692</v>
      </c>
      <c r="E2213" s="84" t="s">
        <v>4497</v>
      </c>
      <c r="F2213" s="86">
        <v>800072</v>
      </c>
      <c r="G2213" s="86">
        <v>5120000</v>
      </c>
      <c r="H2213" s="87"/>
      <c r="I2213" s="85" t="s">
        <v>9617</v>
      </c>
      <c r="J2213" s="88" t="str">
        <f t="shared" si="34"/>
        <v>重复</v>
      </c>
      <c r="K2213" s="88" t="str">
        <f t="shared" si="34"/>
        <v>重复</v>
      </c>
    </row>
    <row r="2214" spans="1:11" ht="20.25" customHeight="1">
      <c r="A2214" s="84" t="s">
        <v>9618</v>
      </c>
      <c r="B2214" s="85" t="s">
        <v>9619</v>
      </c>
      <c r="C2214" s="85" t="s">
        <v>9620</v>
      </c>
      <c r="D2214" s="85" t="s">
        <v>4705</v>
      </c>
      <c r="E2214" s="84" t="s">
        <v>4497</v>
      </c>
      <c r="F2214" s="86">
        <v>800073</v>
      </c>
      <c r="G2214" s="86">
        <v>5120000</v>
      </c>
      <c r="H2214" s="87"/>
      <c r="I2214" s="85" t="s">
        <v>25</v>
      </c>
      <c r="J2214" s="88" t="str">
        <f t="shared" si="34"/>
        <v>不重复</v>
      </c>
      <c r="K2214" s="88" t="str">
        <f t="shared" si="34"/>
        <v>重复</v>
      </c>
    </row>
    <row r="2215" spans="1:11" ht="20.25" customHeight="1">
      <c r="A2215" s="84" t="s">
        <v>9621</v>
      </c>
      <c r="B2215" s="85" t="s">
        <v>9622</v>
      </c>
      <c r="C2215" s="85" t="s">
        <v>3365</v>
      </c>
      <c r="D2215" s="85" t="s">
        <v>4697</v>
      </c>
      <c r="E2215" s="84" t="s">
        <v>4497</v>
      </c>
      <c r="F2215" s="86">
        <v>800074</v>
      </c>
      <c r="G2215" s="86">
        <v>5120000</v>
      </c>
      <c r="H2215" s="87"/>
      <c r="I2215" s="85" t="s">
        <v>9623</v>
      </c>
      <c r="J2215" s="88" t="str">
        <f t="shared" si="34"/>
        <v>重复</v>
      </c>
      <c r="K2215" s="88" t="str">
        <f t="shared" si="34"/>
        <v>重复</v>
      </c>
    </row>
    <row r="2216" spans="1:11" ht="20.25" customHeight="1">
      <c r="A2216" s="84" t="s">
        <v>9624</v>
      </c>
      <c r="B2216" s="85" t="s">
        <v>9625</v>
      </c>
      <c r="C2216" s="85" t="s">
        <v>3365</v>
      </c>
      <c r="D2216" s="85" t="s">
        <v>9626</v>
      </c>
      <c r="E2216" s="84" t="s">
        <v>4497</v>
      </c>
      <c r="F2216" s="86">
        <v>800075</v>
      </c>
      <c r="G2216" s="86">
        <v>5120000</v>
      </c>
      <c r="H2216" s="87"/>
      <c r="I2216" s="85" t="s">
        <v>9627</v>
      </c>
      <c r="J2216" s="88" t="str">
        <f t="shared" si="34"/>
        <v>重复</v>
      </c>
      <c r="K2216" s="88" t="str">
        <f t="shared" si="34"/>
        <v>不重复</v>
      </c>
    </row>
    <row r="2217" spans="1:11" ht="20.25" customHeight="1">
      <c r="A2217" s="84" t="s">
        <v>9628</v>
      </c>
      <c r="B2217" s="85" t="s">
        <v>9629</v>
      </c>
      <c r="C2217" s="85" t="s">
        <v>3365</v>
      </c>
      <c r="D2217" s="85" t="s">
        <v>9630</v>
      </c>
      <c r="E2217" s="84" t="s">
        <v>4497</v>
      </c>
      <c r="F2217" s="86">
        <v>800076</v>
      </c>
      <c r="G2217" s="86">
        <v>5120000</v>
      </c>
      <c r="H2217" s="87"/>
      <c r="I2217" s="85" t="s">
        <v>9627</v>
      </c>
      <c r="J2217" s="88" t="str">
        <f t="shared" si="34"/>
        <v>重复</v>
      </c>
      <c r="K2217" s="88" t="str">
        <f t="shared" si="34"/>
        <v>不重复</v>
      </c>
    </row>
    <row r="2218" spans="1:11" ht="20.25" customHeight="1">
      <c r="A2218" s="84" t="s">
        <v>4730</v>
      </c>
      <c r="B2218" s="85" t="s">
        <v>9631</v>
      </c>
      <c r="C2218" s="85" t="s">
        <v>25</v>
      </c>
      <c r="D2218" s="85" t="s">
        <v>9632</v>
      </c>
      <c r="E2218" s="84" t="s">
        <v>4497</v>
      </c>
      <c r="F2218" s="86">
        <v>800077</v>
      </c>
      <c r="G2218" s="86">
        <v>5120000</v>
      </c>
      <c r="H2218" s="87"/>
      <c r="I2218" s="85" t="s">
        <v>25</v>
      </c>
      <c r="J2218" s="88" t="str">
        <f t="shared" si="34"/>
        <v>重复</v>
      </c>
      <c r="K2218" s="88" t="str">
        <f t="shared" si="34"/>
        <v>不重复</v>
      </c>
    </row>
    <row r="2219" spans="1:11" ht="20.25" customHeight="1">
      <c r="A2219" s="84" t="s">
        <v>4706</v>
      </c>
      <c r="B2219" s="85" t="s">
        <v>9633</v>
      </c>
      <c r="C2219" s="85" t="s">
        <v>4708</v>
      </c>
      <c r="D2219" s="85" t="s">
        <v>4709</v>
      </c>
      <c r="E2219" s="84" t="s">
        <v>4497</v>
      </c>
      <c r="F2219" s="86">
        <v>800078</v>
      </c>
      <c r="G2219" s="86">
        <v>5120000</v>
      </c>
      <c r="H2219" s="87"/>
      <c r="I2219" s="85" t="s">
        <v>5429</v>
      </c>
      <c r="J2219" s="88" t="str">
        <f t="shared" si="34"/>
        <v>重复</v>
      </c>
      <c r="K2219" s="88" t="str">
        <f t="shared" si="34"/>
        <v>重复</v>
      </c>
    </row>
    <row r="2220" spans="1:11" ht="20.25" customHeight="1">
      <c r="A2220" s="84" t="s">
        <v>4710</v>
      </c>
      <c r="B2220" s="85" t="s">
        <v>9634</v>
      </c>
      <c r="C2220" s="85" t="s">
        <v>3792</v>
      </c>
      <c r="D2220" s="85" t="s">
        <v>4712</v>
      </c>
      <c r="E2220" s="84" t="s">
        <v>4497</v>
      </c>
      <c r="F2220" s="86">
        <v>800080</v>
      </c>
      <c r="G2220" s="86">
        <v>5120000</v>
      </c>
      <c r="H2220" s="87"/>
      <c r="I2220" s="85" t="s">
        <v>9635</v>
      </c>
      <c r="J2220" s="88" t="str">
        <f t="shared" si="34"/>
        <v>重复</v>
      </c>
      <c r="K2220" s="88" t="str">
        <f t="shared" si="34"/>
        <v>重复</v>
      </c>
    </row>
    <row r="2221" spans="1:11" ht="20.25" customHeight="1">
      <c r="A2221" s="84" t="s">
        <v>4713</v>
      </c>
      <c r="B2221" s="85" t="s">
        <v>9636</v>
      </c>
      <c r="C2221" s="85" t="s">
        <v>2762</v>
      </c>
      <c r="D2221" s="85" t="s">
        <v>4715</v>
      </c>
      <c r="E2221" s="84" t="s">
        <v>4497</v>
      </c>
      <c r="F2221" s="86">
        <v>800081</v>
      </c>
      <c r="G2221" s="86">
        <v>5120000</v>
      </c>
      <c r="H2221" s="87"/>
      <c r="I2221" s="85" t="s">
        <v>9637</v>
      </c>
      <c r="J2221" s="88" t="str">
        <f t="shared" si="34"/>
        <v>重复</v>
      </c>
      <c r="K2221" s="88" t="str">
        <f t="shared" si="34"/>
        <v>重复</v>
      </c>
    </row>
    <row r="2222" spans="1:11" ht="20.25" customHeight="1">
      <c r="A2222" s="84" t="s">
        <v>4730</v>
      </c>
      <c r="B2222" s="85" t="s">
        <v>4731</v>
      </c>
      <c r="C2222" s="85" t="s">
        <v>4732</v>
      </c>
      <c r="D2222" s="85" t="s">
        <v>4733</v>
      </c>
      <c r="E2222" s="84" t="s">
        <v>4497</v>
      </c>
      <c r="F2222" s="86">
        <v>800082</v>
      </c>
      <c r="G2222" s="86">
        <v>5120000</v>
      </c>
      <c r="H2222" s="87"/>
      <c r="I2222" s="85" t="s">
        <v>25</v>
      </c>
      <c r="J2222" s="88" t="str">
        <f t="shared" si="34"/>
        <v>重复</v>
      </c>
      <c r="K2222" s="88" t="str">
        <f t="shared" si="34"/>
        <v>重复</v>
      </c>
    </row>
    <row r="2223" spans="1:11" ht="20.25" customHeight="1">
      <c r="A2223" s="84" t="s">
        <v>9638</v>
      </c>
      <c r="B2223" s="85" t="s">
        <v>9639</v>
      </c>
      <c r="C2223" s="85" t="s">
        <v>4719</v>
      </c>
      <c r="D2223" s="85" t="s">
        <v>4720</v>
      </c>
      <c r="E2223" s="84" t="s">
        <v>4497</v>
      </c>
      <c r="F2223" s="86">
        <v>800083</v>
      </c>
      <c r="G2223" s="86">
        <v>5120000</v>
      </c>
      <c r="H2223" s="87"/>
      <c r="I2223" s="85" t="s">
        <v>9640</v>
      </c>
      <c r="J2223" s="88" t="str">
        <f t="shared" si="34"/>
        <v>重复</v>
      </c>
      <c r="K2223" s="88" t="str">
        <f t="shared" si="34"/>
        <v>重复</v>
      </c>
    </row>
    <row r="2224" spans="1:11" ht="20.25" customHeight="1">
      <c r="A2224" s="84" t="s">
        <v>9641</v>
      </c>
      <c r="B2224" s="85" t="s">
        <v>9642</v>
      </c>
      <c r="C2224" s="85" t="s">
        <v>4719</v>
      </c>
      <c r="D2224" s="85" t="s">
        <v>9643</v>
      </c>
      <c r="E2224" s="84" t="s">
        <v>4497</v>
      </c>
      <c r="F2224" s="86">
        <v>800084</v>
      </c>
      <c r="G2224" s="86">
        <v>5120000</v>
      </c>
      <c r="H2224" s="87"/>
      <c r="I2224" s="85" t="s">
        <v>9582</v>
      </c>
      <c r="J2224" s="88" t="str">
        <f t="shared" si="34"/>
        <v>重复</v>
      </c>
      <c r="K2224" s="88" t="str">
        <f t="shared" si="34"/>
        <v>不重复</v>
      </c>
    </row>
    <row r="2225" spans="1:11" ht="20.25" customHeight="1">
      <c r="A2225" s="84" t="s">
        <v>4724</v>
      </c>
      <c r="B2225" s="85" t="s">
        <v>9644</v>
      </c>
      <c r="C2225" s="85" t="s">
        <v>4726</v>
      </c>
      <c r="D2225" s="85" t="s">
        <v>4727</v>
      </c>
      <c r="E2225" s="84" t="s">
        <v>4497</v>
      </c>
      <c r="F2225" s="86">
        <v>800085</v>
      </c>
      <c r="G2225" s="86">
        <v>5120000</v>
      </c>
      <c r="H2225" s="87"/>
      <c r="I2225" s="85" t="s">
        <v>6940</v>
      </c>
      <c r="J2225" s="88" t="str">
        <f t="shared" si="34"/>
        <v>重复</v>
      </c>
      <c r="K2225" s="88" t="str">
        <f t="shared" si="34"/>
        <v>重复</v>
      </c>
    </row>
    <row r="2226" spans="1:11" ht="20.25" customHeight="1">
      <c r="A2226" s="84" t="s">
        <v>4728</v>
      </c>
      <c r="B2226" s="85" t="s">
        <v>9645</v>
      </c>
      <c r="C2226" s="85" t="s">
        <v>4726</v>
      </c>
      <c r="D2226" s="85" t="s">
        <v>9646</v>
      </c>
      <c r="E2226" s="84" t="s">
        <v>4497</v>
      </c>
      <c r="F2226" s="86">
        <v>800086</v>
      </c>
      <c r="G2226" s="86">
        <v>5120000</v>
      </c>
      <c r="H2226" s="87"/>
      <c r="I2226" s="85" t="s">
        <v>9606</v>
      </c>
      <c r="J2226" s="88" t="str">
        <f t="shared" si="34"/>
        <v>重复</v>
      </c>
      <c r="K2226" s="88" t="str">
        <f t="shared" si="34"/>
        <v>不重复</v>
      </c>
    </row>
    <row r="2227" spans="1:11" ht="20.25" customHeight="1">
      <c r="A2227" s="89" t="s">
        <v>4734</v>
      </c>
      <c r="B2227" s="90" t="s">
        <v>9647</v>
      </c>
      <c r="C2227" s="90" t="s">
        <v>4736</v>
      </c>
      <c r="D2227" s="90" t="s">
        <v>4737</v>
      </c>
      <c r="E2227" s="89" t="s">
        <v>4497</v>
      </c>
      <c r="F2227" s="91">
        <v>800087</v>
      </c>
      <c r="G2227" s="91">
        <v>5120000</v>
      </c>
      <c r="H2227" s="87"/>
      <c r="I2227" s="90" t="s">
        <v>4738</v>
      </c>
      <c r="J2227" s="88" t="str">
        <f t="shared" si="34"/>
        <v>重复</v>
      </c>
      <c r="K2227" s="88" t="str">
        <f t="shared" si="34"/>
        <v>重复</v>
      </c>
    </row>
    <row r="2228" spans="1:11" ht="20.25" customHeight="1">
      <c r="A2228" s="89" t="s">
        <v>4730</v>
      </c>
      <c r="B2228" s="90" t="s">
        <v>9648</v>
      </c>
      <c r="C2228" s="90" t="s">
        <v>25</v>
      </c>
      <c r="D2228" s="90" t="s">
        <v>9649</v>
      </c>
      <c r="E2228" s="89" t="s">
        <v>4497</v>
      </c>
      <c r="F2228" s="91">
        <v>800088</v>
      </c>
      <c r="G2228" s="91">
        <v>5120000</v>
      </c>
      <c r="H2228" s="87"/>
      <c r="I2228" s="90" t="s">
        <v>25</v>
      </c>
      <c r="J2228" s="88" t="str">
        <f t="shared" si="34"/>
        <v>重复</v>
      </c>
      <c r="K2228" s="88" t="str">
        <f t="shared" si="34"/>
        <v>不重复</v>
      </c>
    </row>
    <row r="2229" spans="1:11" ht="20.25" customHeight="1">
      <c r="A2229" s="89" t="s">
        <v>4739</v>
      </c>
      <c r="B2229" s="90" t="s">
        <v>9650</v>
      </c>
      <c r="C2229" s="90" t="s">
        <v>4741</v>
      </c>
      <c r="D2229" s="90" t="s">
        <v>4742</v>
      </c>
      <c r="E2229" s="89" t="s">
        <v>4497</v>
      </c>
      <c r="F2229" s="91">
        <v>800089</v>
      </c>
      <c r="G2229" s="91">
        <v>5120000</v>
      </c>
      <c r="H2229" s="87"/>
      <c r="I2229" s="90" t="s">
        <v>5429</v>
      </c>
      <c r="J2229" s="88" t="str">
        <f t="shared" si="34"/>
        <v>重复</v>
      </c>
      <c r="K2229" s="88" t="str">
        <f t="shared" si="34"/>
        <v>重复</v>
      </c>
    </row>
    <row r="2230" spans="1:11" ht="20.25" customHeight="1">
      <c r="A2230" s="84" t="s">
        <v>4710</v>
      </c>
      <c r="B2230" s="85" t="s">
        <v>9651</v>
      </c>
      <c r="C2230" s="85" t="s">
        <v>3792</v>
      </c>
      <c r="D2230" s="85" t="s">
        <v>9652</v>
      </c>
      <c r="E2230" s="84" t="s">
        <v>4497</v>
      </c>
      <c r="F2230" s="86">
        <v>800090</v>
      </c>
      <c r="G2230" s="86">
        <v>5120000</v>
      </c>
      <c r="H2230" s="87"/>
      <c r="I2230" s="85" t="s">
        <v>25</v>
      </c>
      <c r="J2230" s="88" t="str">
        <f t="shared" si="34"/>
        <v>重复</v>
      </c>
      <c r="K2230" s="88" t="str">
        <f t="shared" si="34"/>
        <v>不重复</v>
      </c>
    </row>
    <row r="2231" spans="1:11" ht="20.25" customHeight="1">
      <c r="A2231" s="89" t="s">
        <v>9653</v>
      </c>
      <c r="B2231" s="90" t="s">
        <v>9654</v>
      </c>
      <c r="C2231" s="90" t="s">
        <v>4131</v>
      </c>
      <c r="D2231" s="90" t="s">
        <v>9655</v>
      </c>
      <c r="E2231" s="89" t="s">
        <v>4497</v>
      </c>
      <c r="F2231" s="91">
        <v>800091</v>
      </c>
      <c r="G2231" s="91">
        <v>5120000</v>
      </c>
      <c r="H2231" s="87"/>
      <c r="I2231" s="90" t="s">
        <v>25</v>
      </c>
      <c r="J2231" s="88" t="str">
        <f t="shared" si="34"/>
        <v>不重复</v>
      </c>
      <c r="K2231" s="88" t="str">
        <f t="shared" si="34"/>
        <v>不重复</v>
      </c>
    </row>
    <row r="2232" spans="1:11" ht="20.25" customHeight="1">
      <c r="A2232" s="84" t="s">
        <v>4499</v>
      </c>
      <c r="B2232" s="85" t="s">
        <v>9656</v>
      </c>
      <c r="C2232" s="85" t="s">
        <v>2739</v>
      </c>
      <c r="D2232" s="85" t="s">
        <v>4501</v>
      </c>
      <c r="E2232" s="84" t="s">
        <v>4497</v>
      </c>
      <c r="F2232" s="86">
        <v>800092</v>
      </c>
      <c r="G2232" s="86">
        <v>5120000</v>
      </c>
      <c r="H2232" s="87"/>
      <c r="I2232" s="85" t="s">
        <v>9504</v>
      </c>
      <c r="J2232" s="88" t="str">
        <f t="shared" si="34"/>
        <v>重复</v>
      </c>
      <c r="K2232" s="88" t="str">
        <f t="shared" si="34"/>
        <v>重复</v>
      </c>
    </row>
    <row r="2233" spans="1:11" ht="20.25" customHeight="1">
      <c r="A2233" s="84" t="s">
        <v>4507</v>
      </c>
      <c r="B2233" s="85" t="s">
        <v>9657</v>
      </c>
      <c r="C2233" s="85" t="s">
        <v>4509</v>
      </c>
      <c r="D2233" s="85" t="s">
        <v>4510</v>
      </c>
      <c r="E2233" s="84" t="s">
        <v>4497</v>
      </c>
      <c r="F2233" s="86">
        <v>800093</v>
      </c>
      <c r="G2233" s="86">
        <v>5120000</v>
      </c>
      <c r="H2233" s="87"/>
      <c r="I2233" s="85" t="s">
        <v>9658</v>
      </c>
      <c r="J2233" s="88" t="str">
        <f t="shared" si="34"/>
        <v>重复</v>
      </c>
      <c r="K2233" s="88" t="str">
        <f t="shared" si="34"/>
        <v>重复</v>
      </c>
    </row>
    <row r="2234" spans="1:11" ht="20.25" customHeight="1">
      <c r="A2234" s="89" t="s">
        <v>9659</v>
      </c>
      <c r="B2234" s="90" t="s">
        <v>9660</v>
      </c>
      <c r="C2234" s="90" t="s">
        <v>2124</v>
      </c>
      <c r="D2234" s="90" t="s">
        <v>5015</v>
      </c>
      <c r="E2234" s="89" t="s">
        <v>5016</v>
      </c>
      <c r="F2234" s="91">
        <v>900000</v>
      </c>
      <c r="G2234" s="91">
        <v>95100000</v>
      </c>
      <c r="H2234" s="87"/>
      <c r="I2234" s="90" t="s">
        <v>25</v>
      </c>
      <c r="J2234" s="88" t="str">
        <f t="shared" si="34"/>
        <v>重复</v>
      </c>
      <c r="K2234" s="88" t="str">
        <f t="shared" si="34"/>
        <v>重复</v>
      </c>
    </row>
    <row r="2235" spans="1:11" ht="20.25" customHeight="1">
      <c r="A2235" s="89" t="s">
        <v>9661</v>
      </c>
      <c r="B2235" s="90" t="s">
        <v>9662</v>
      </c>
      <c r="C2235" s="90" t="s">
        <v>3613</v>
      </c>
      <c r="D2235" s="90" t="s">
        <v>9663</v>
      </c>
      <c r="E2235" s="89" t="s">
        <v>5016</v>
      </c>
      <c r="F2235" s="91">
        <v>900001</v>
      </c>
      <c r="G2235" s="91">
        <v>95100000</v>
      </c>
      <c r="H2235" s="87"/>
      <c r="I2235" s="90" t="s">
        <v>25</v>
      </c>
      <c r="J2235" s="88" t="str">
        <f t="shared" si="34"/>
        <v>重复</v>
      </c>
      <c r="K2235" s="88" t="str">
        <f t="shared" si="34"/>
        <v>不重复</v>
      </c>
    </row>
    <row r="2236" spans="1:11" ht="20.25" customHeight="1">
      <c r="A2236" s="84" t="s">
        <v>5017</v>
      </c>
      <c r="B2236" s="85" t="s">
        <v>5018</v>
      </c>
      <c r="C2236" s="85" t="s">
        <v>1262</v>
      </c>
      <c r="D2236" s="85" t="s">
        <v>5019</v>
      </c>
      <c r="E2236" s="84" t="s">
        <v>5016</v>
      </c>
      <c r="F2236" s="86">
        <v>900002</v>
      </c>
      <c r="G2236" s="86">
        <v>95100000</v>
      </c>
      <c r="H2236" s="87"/>
      <c r="I2236" s="85" t="s">
        <v>25</v>
      </c>
      <c r="J2236" s="88" t="str">
        <f t="shared" si="34"/>
        <v>重复</v>
      </c>
      <c r="K2236" s="88" t="str">
        <f t="shared" si="34"/>
        <v>重复</v>
      </c>
    </row>
    <row r="2237" spans="1:11" ht="20.25" customHeight="1">
      <c r="A2237" s="89" t="s">
        <v>5020</v>
      </c>
      <c r="B2237" s="90" t="s">
        <v>5021</v>
      </c>
      <c r="C2237" s="90" t="s">
        <v>5022</v>
      </c>
      <c r="D2237" s="90" t="s">
        <v>5023</v>
      </c>
      <c r="E2237" s="89" t="s">
        <v>5016</v>
      </c>
      <c r="F2237" s="91">
        <v>900003</v>
      </c>
      <c r="G2237" s="91">
        <v>95100000</v>
      </c>
      <c r="H2237" s="87"/>
      <c r="I2237" s="90" t="s">
        <v>25</v>
      </c>
      <c r="J2237" s="88" t="str">
        <f t="shared" si="34"/>
        <v>重复</v>
      </c>
      <c r="K2237" s="88" t="str">
        <f t="shared" si="34"/>
        <v>重复</v>
      </c>
    </row>
    <row r="2238" spans="1:11" ht="20.25" customHeight="1">
      <c r="A2238" s="84" t="s">
        <v>9664</v>
      </c>
      <c r="B2238" s="85" t="s">
        <v>9665</v>
      </c>
      <c r="C2238" s="85" t="s">
        <v>281</v>
      </c>
      <c r="D2238" s="85" t="s">
        <v>9666</v>
      </c>
      <c r="E2238" s="84" t="s">
        <v>5016</v>
      </c>
      <c r="F2238" s="86">
        <v>900004</v>
      </c>
      <c r="G2238" s="86">
        <v>95100000</v>
      </c>
      <c r="H2238" s="87"/>
      <c r="I2238" s="85" t="s">
        <v>25</v>
      </c>
      <c r="J2238" s="88" t="str">
        <f t="shared" si="34"/>
        <v>重复</v>
      </c>
      <c r="K2238" s="88" t="str">
        <f t="shared" si="34"/>
        <v>不重复</v>
      </c>
    </row>
    <row r="2239" spans="1:11" ht="20.25" customHeight="1">
      <c r="A2239" s="84" t="s">
        <v>9667</v>
      </c>
      <c r="B2239" s="85" t="s">
        <v>9668</v>
      </c>
      <c r="C2239" s="85" t="s">
        <v>4029</v>
      </c>
      <c r="D2239" s="85" t="s">
        <v>103</v>
      </c>
      <c r="E2239" s="84" t="s">
        <v>5016</v>
      </c>
      <c r="F2239" s="86">
        <v>900005</v>
      </c>
      <c r="G2239" s="86">
        <v>95100000</v>
      </c>
      <c r="H2239" s="87"/>
      <c r="I2239" s="85" t="s">
        <v>25</v>
      </c>
      <c r="J2239" s="88" t="str">
        <f t="shared" si="34"/>
        <v>不重复</v>
      </c>
      <c r="K2239" s="88" t="str">
        <f t="shared" si="34"/>
        <v>不重复</v>
      </c>
    </row>
    <row r="2240" spans="1:11" ht="20.25" customHeight="1">
      <c r="A2240" s="84" t="s">
        <v>5053</v>
      </c>
      <c r="B2240" s="85" t="s">
        <v>9669</v>
      </c>
      <c r="C2240" s="85" t="s">
        <v>9670</v>
      </c>
      <c r="D2240" s="85" t="s">
        <v>9671</v>
      </c>
      <c r="E2240" s="84" t="s">
        <v>5016</v>
      </c>
      <c r="F2240" s="86">
        <v>900006</v>
      </c>
      <c r="G2240" s="86">
        <v>95100000</v>
      </c>
      <c r="H2240" s="87"/>
      <c r="I2240" s="85" t="s">
        <v>25</v>
      </c>
      <c r="J2240" s="88" t="str">
        <f t="shared" si="34"/>
        <v>不重复</v>
      </c>
      <c r="K2240" s="88" t="str">
        <f t="shared" si="34"/>
        <v>不重复</v>
      </c>
    </row>
    <row r="2241" spans="1:11" ht="20.25" customHeight="1">
      <c r="A2241" s="84" t="s">
        <v>9672</v>
      </c>
      <c r="B2241" s="85" t="s">
        <v>9673</v>
      </c>
      <c r="C2241" s="85" t="s">
        <v>5229</v>
      </c>
      <c r="D2241" s="85" t="s">
        <v>9674</v>
      </c>
      <c r="E2241" s="84" t="s">
        <v>5016</v>
      </c>
      <c r="F2241" s="86">
        <v>900007</v>
      </c>
      <c r="G2241" s="86">
        <v>95100000</v>
      </c>
      <c r="H2241" s="87"/>
      <c r="I2241" s="85" t="s">
        <v>25</v>
      </c>
      <c r="J2241" s="88" t="str">
        <f t="shared" si="34"/>
        <v>重复</v>
      </c>
      <c r="K2241" s="88" t="str">
        <f t="shared" si="34"/>
        <v>不重复</v>
      </c>
    </row>
    <row r="2242" spans="1:11" ht="20.25" customHeight="1">
      <c r="A2242" s="84" t="s">
        <v>9675</v>
      </c>
      <c r="B2242" s="85" t="s">
        <v>9676</v>
      </c>
      <c r="C2242" s="85" t="s">
        <v>3114</v>
      </c>
      <c r="D2242" s="85" t="s">
        <v>5069</v>
      </c>
      <c r="E2242" s="84" t="s">
        <v>5016</v>
      </c>
      <c r="F2242" s="86">
        <v>900008</v>
      </c>
      <c r="G2242" s="86">
        <v>95100000</v>
      </c>
      <c r="H2242" s="87"/>
      <c r="I2242" s="85" t="s">
        <v>25</v>
      </c>
      <c r="J2242" s="88" t="str">
        <f t="shared" si="34"/>
        <v>重复</v>
      </c>
      <c r="K2242" s="88" t="str">
        <f t="shared" si="34"/>
        <v>重复</v>
      </c>
    </row>
    <row r="2243" spans="1:11" ht="20.25" customHeight="1">
      <c r="A2243" s="89" t="s">
        <v>9677</v>
      </c>
      <c r="B2243" s="90" t="s">
        <v>9678</v>
      </c>
      <c r="C2243" s="90" t="s">
        <v>5085</v>
      </c>
      <c r="D2243" s="90" t="s">
        <v>9679</v>
      </c>
      <c r="E2243" s="89" t="s">
        <v>5016</v>
      </c>
      <c r="F2243" s="91">
        <v>900009</v>
      </c>
      <c r="G2243" s="91">
        <v>95100000</v>
      </c>
      <c r="H2243" s="87"/>
      <c r="I2243" s="90" t="s">
        <v>25</v>
      </c>
      <c r="J2243" s="88" t="str">
        <f t="shared" si="35" ref="J2243:K2306">IF(COUNTIF(C:C,C2243)&gt;=2,"重复","不重复")</f>
        <v>重复</v>
      </c>
      <c r="K2243" s="88" t="str">
        <f t="shared" si="35"/>
        <v>不重复</v>
      </c>
    </row>
    <row r="2244" spans="1:11" ht="20.25" customHeight="1">
      <c r="A2244" s="84" t="s">
        <v>5267</v>
      </c>
      <c r="B2244" s="85" t="s">
        <v>5268</v>
      </c>
      <c r="C2244" s="85" t="s">
        <v>1583</v>
      </c>
      <c r="D2244" s="85" t="s">
        <v>9680</v>
      </c>
      <c r="E2244" s="84" t="s">
        <v>5016</v>
      </c>
      <c r="F2244" s="86">
        <v>900010</v>
      </c>
      <c r="G2244" s="86">
        <v>95100000</v>
      </c>
      <c r="H2244" s="87"/>
      <c r="I2244" s="85" t="s">
        <v>25</v>
      </c>
      <c r="J2244" s="88" t="str">
        <f t="shared" si="35"/>
        <v>重复</v>
      </c>
      <c r="K2244" s="88" t="str">
        <f t="shared" si="35"/>
        <v>不重复</v>
      </c>
    </row>
    <row r="2245" spans="1:11" ht="20.25" customHeight="1">
      <c r="A2245" s="84" t="s">
        <v>9681</v>
      </c>
      <c r="B2245" s="85" t="s">
        <v>9682</v>
      </c>
      <c r="C2245" s="85" t="s">
        <v>3114</v>
      </c>
      <c r="D2245" s="85" t="s">
        <v>9683</v>
      </c>
      <c r="E2245" s="84" t="s">
        <v>5016</v>
      </c>
      <c r="F2245" s="86">
        <v>900011</v>
      </c>
      <c r="G2245" s="86">
        <v>95100000</v>
      </c>
      <c r="H2245" s="87"/>
      <c r="I2245" s="85" t="s">
        <v>25</v>
      </c>
      <c r="J2245" s="88" t="str">
        <f t="shared" si="35"/>
        <v>重复</v>
      </c>
      <c r="K2245" s="88" t="str">
        <f t="shared" si="35"/>
        <v>不重复</v>
      </c>
    </row>
    <row r="2246" spans="1:11" ht="20.25" customHeight="1">
      <c r="A2246" s="84" t="s">
        <v>5070</v>
      </c>
      <c r="B2246" s="85" t="s">
        <v>5071</v>
      </c>
      <c r="C2246" s="85" t="s">
        <v>5072</v>
      </c>
      <c r="D2246" s="85" t="s">
        <v>5073</v>
      </c>
      <c r="E2246" s="84" t="s">
        <v>5016</v>
      </c>
      <c r="F2246" s="86">
        <v>900012</v>
      </c>
      <c r="G2246" s="86">
        <v>95100000</v>
      </c>
      <c r="H2246" s="87"/>
      <c r="I2246" s="85" t="s">
        <v>25</v>
      </c>
      <c r="J2246" s="88" t="str">
        <f t="shared" si="35"/>
        <v>重复</v>
      </c>
      <c r="K2246" s="88" t="str">
        <f t="shared" si="35"/>
        <v>重复</v>
      </c>
    </row>
    <row r="2247" spans="1:11" ht="20.25" customHeight="1">
      <c r="A2247" s="89" t="s">
        <v>9684</v>
      </c>
      <c r="B2247" s="90" t="s">
        <v>9685</v>
      </c>
      <c r="C2247" s="90" t="s">
        <v>5059</v>
      </c>
      <c r="D2247" s="90" t="s">
        <v>9686</v>
      </c>
      <c r="E2247" s="89" t="s">
        <v>5016</v>
      </c>
      <c r="F2247" s="91">
        <v>900013</v>
      </c>
      <c r="G2247" s="91">
        <v>95100000</v>
      </c>
      <c r="H2247" s="87"/>
      <c r="I2247" s="90" t="s">
        <v>25</v>
      </c>
      <c r="J2247" s="88" t="str">
        <f t="shared" si="35"/>
        <v>重复</v>
      </c>
      <c r="K2247" s="88" t="str">
        <f t="shared" si="35"/>
        <v>不重复</v>
      </c>
    </row>
    <row r="2248" spans="1:11" ht="20.25" customHeight="1">
      <c r="A2248" s="89" t="s">
        <v>9687</v>
      </c>
      <c r="B2248" s="90" t="s">
        <v>9688</v>
      </c>
      <c r="C2248" s="90" t="s">
        <v>1318</v>
      </c>
      <c r="D2248" s="90" t="s">
        <v>9689</v>
      </c>
      <c r="E2248" s="89" t="s">
        <v>5016</v>
      </c>
      <c r="F2248" s="91">
        <v>900014</v>
      </c>
      <c r="G2248" s="91">
        <v>95100000</v>
      </c>
      <c r="H2248" s="87"/>
      <c r="I2248" s="90" t="s">
        <v>25</v>
      </c>
      <c r="J2248" s="88" t="str">
        <f t="shared" si="35"/>
        <v>重复</v>
      </c>
      <c r="K2248" s="88" t="str">
        <f t="shared" si="35"/>
        <v>重复</v>
      </c>
    </row>
    <row r="2249" spans="1:11" ht="20.25" customHeight="1">
      <c r="A2249" s="89" t="s">
        <v>9690</v>
      </c>
      <c r="B2249" s="90" t="s">
        <v>5159</v>
      </c>
      <c r="C2249" s="90" t="s">
        <v>5160</v>
      </c>
      <c r="D2249" s="90" t="s">
        <v>5161</v>
      </c>
      <c r="E2249" s="89" t="s">
        <v>5016</v>
      </c>
      <c r="F2249" s="91">
        <v>900015</v>
      </c>
      <c r="G2249" s="91">
        <v>95100000</v>
      </c>
      <c r="H2249" s="87"/>
      <c r="I2249" s="90" t="s">
        <v>25</v>
      </c>
      <c r="J2249" s="88" t="str">
        <f t="shared" si="35"/>
        <v>重复</v>
      </c>
      <c r="K2249" s="88" t="str">
        <f t="shared" si="35"/>
        <v>重复</v>
      </c>
    </row>
    <row r="2250" spans="1:11" ht="20.25" customHeight="1">
      <c r="A2250" s="84" t="s">
        <v>9691</v>
      </c>
      <c r="B2250" s="85" t="s">
        <v>9692</v>
      </c>
      <c r="C2250" s="85" t="s">
        <v>9693</v>
      </c>
      <c r="D2250" s="85" t="s">
        <v>9694</v>
      </c>
      <c r="E2250" s="84" t="s">
        <v>5016</v>
      </c>
      <c r="F2250" s="86">
        <v>900016</v>
      </c>
      <c r="G2250" s="86">
        <v>95100000</v>
      </c>
      <c r="H2250" s="87"/>
      <c r="I2250" s="85" t="s">
        <v>25</v>
      </c>
      <c r="J2250" s="88" t="str">
        <f t="shared" si="35"/>
        <v>不重复</v>
      </c>
      <c r="K2250" s="88" t="str">
        <f t="shared" si="35"/>
        <v>不重复</v>
      </c>
    </row>
    <row r="2251" spans="1:11" ht="20.25" customHeight="1">
      <c r="A2251" s="84" t="s">
        <v>9695</v>
      </c>
      <c r="B2251" s="85" t="s">
        <v>9696</v>
      </c>
      <c r="C2251" s="85" t="s">
        <v>1576</v>
      </c>
      <c r="D2251" s="92" t="s">
        <v>9697</v>
      </c>
      <c r="E2251" s="84" t="s">
        <v>5016</v>
      </c>
      <c r="F2251" s="86">
        <v>900018</v>
      </c>
      <c r="G2251" s="86">
        <v>95100000</v>
      </c>
      <c r="H2251" s="87"/>
      <c r="I2251" s="85" t="s">
        <v>25</v>
      </c>
      <c r="J2251" s="88" t="str">
        <f t="shared" si="35"/>
        <v>重复</v>
      </c>
      <c r="K2251" s="88" t="str">
        <f t="shared" si="35"/>
        <v>重复</v>
      </c>
    </row>
    <row r="2252" spans="1:11" ht="20.25" customHeight="1">
      <c r="A2252" s="84" t="s">
        <v>5064</v>
      </c>
      <c r="B2252" s="85" t="s">
        <v>9698</v>
      </c>
      <c r="C2252" s="85" t="s">
        <v>1576</v>
      </c>
      <c r="D2252" s="92" t="s">
        <v>9699</v>
      </c>
      <c r="E2252" s="84" t="s">
        <v>5016</v>
      </c>
      <c r="F2252" s="86">
        <v>900020</v>
      </c>
      <c r="G2252" s="86">
        <v>95100000</v>
      </c>
      <c r="H2252" s="87"/>
      <c r="I2252" s="85" t="s">
        <v>25</v>
      </c>
      <c r="J2252" s="88" t="str">
        <f t="shared" si="35"/>
        <v>重复</v>
      </c>
      <c r="K2252" s="88" t="str">
        <f t="shared" si="35"/>
        <v>不重复</v>
      </c>
    </row>
    <row r="2253" spans="1:11" ht="20.25" customHeight="1">
      <c r="A2253" s="89" t="s">
        <v>9700</v>
      </c>
      <c r="B2253" s="90" t="s">
        <v>5062</v>
      </c>
      <c r="C2253" s="90" t="s">
        <v>8550</v>
      </c>
      <c r="D2253" s="90" t="s">
        <v>5060</v>
      </c>
      <c r="E2253" s="89" t="s">
        <v>5016</v>
      </c>
      <c r="F2253" s="91">
        <v>900021</v>
      </c>
      <c r="G2253" s="91">
        <v>95100000</v>
      </c>
      <c r="H2253" s="87"/>
      <c r="I2253" s="90" t="s">
        <v>25</v>
      </c>
      <c r="J2253" s="88" t="str">
        <f t="shared" si="35"/>
        <v>重复</v>
      </c>
      <c r="K2253" s="88" t="str">
        <f t="shared" si="35"/>
        <v>重复</v>
      </c>
    </row>
    <row r="2254" spans="1:11" ht="20.25" customHeight="1">
      <c r="A2254" s="89" t="s">
        <v>5040</v>
      </c>
      <c r="B2254" s="90" t="s">
        <v>5041</v>
      </c>
      <c r="C2254" s="90" t="s">
        <v>5042</v>
      </c>
      <c r="D2254" s="90" t="s">
        <v>5043</v>
      </c>
      <c r="E2254" s="89" t="s">
        <v>5016</v>
      </c>
      <c r="F2254" s="91">
        <v>900022</v>
      </c>
      <c r="G2254" s="91">
        <v>95100000</v>
      </c>
      <c r="H2254" s="87"/>
      <c r="I2254" s="90" t="s">
        <v>25</v>
      </c>
      <c r="J2254" s="88" t="str">
        <f t="shared" si="35"/>
        <v>重复</v>
      </c>
      <c r="K2254" s="88" t="str">
        <f t="shared" si="35"/>
        <v>重复</v>
      </c>
    </row>
    <row r="2255" spans="1:11" ht="20.25" customHeight="1">
      <c r="A2255" s="84" t="s">
        <v>5125</v>
      </c>
      <c r="B2255" s="85" t="s">
        <v>9701</v>
      </c>
      <c r="C2255" s="85" t="s">
        <v>5126</v>
      </c>
      <c r="D2255" s="85" t="s">
        <v>5127</v>
      </c>
      <c r="E2255" s="84" t="s">
        <v>5016</v>
      </c>
      <c r="F2255" s="86">
        <v>900023</v>
      </c>
      <c r="G2255" s="86">
        <v>95100000</v>
      </c>
      <c r="H2255" s="87"/>
      <c r="I2255" s="85" t="s">
        <v>25</v>
      </c>
      <c r="J2255" s="88" t="str">
        <f t="shared" si="35"/>
        <v>重复</v>
      </c>
      <c r="K2255" s="88" t="str">
        <f t="shared" si="35"/>
        <v>重复</v>
      </c>
    </row>
    <row r="2256" spans="1:11" ht="20.25" customHeight="1">
      <c r="A2256" s="89" t="s">
        <v>9702</v>
      </c>
      <c r="B2256" s="90" t="s">
        <v>9703</v>
      </c>
      <c r="C2256" s="90" t="s">
        <v>4007</v>
      </c>
      <c r="D2256" s="90" t="s">
        <v>9704</v>
      </c>
      <c r="E2256" s="89" t="s">
        <v>5016</v>
      </c>
      <c r="F2256" s="91">
        <v>900024</v>
      </c>
      <c r="G2256" s="91">
        <v>95100000</v>
      </c>
      <c r="H2256" s="87"/>
      <c r="I2256" s="90" t="s">
        <v>25</v>
      </c>
      <c r="J2256" s="88" t="str">
        <f t="shared" si="35"/>
        <v>重复</v>
      </c>
      <c r="K2256" s="88" t="str">
        <f t="shared" si="35"/>
        <v>不重复</v>
      </c>
    </row>
    <row r="2257" spans="1:11" ht="20.25" customHeight="1">
      <c r="A2257" s="90" t="s">
        <v>10231</v>
      </c>
      <c r="B2257" s="90" t="s">
        <v>5146</v>
      </c>
      <c r="C2257" s="90" t="s">
        <v>9705</v>
      </c>
      <c r="D2257" s="90" t="s">
        <v>5148</v>
      </c>
      <c r="E2257" s="89" t="s">
        <v>5016</v>
      </c>
      <c r="F2257" s="91">
        <v>900025</v>
      </c>
      <c r="G2257" s="91">
        <v>95100000</v>
      </c>
      <c r="H2257" s="87"/>
      <c r="I2257" s="90" t="s">
        <v>25</v>
      </c>
      <c r="J2257" s="88" t="str">
        <f t="shared" si="35"/>
        <v>不重复</v>
      </c>
      <c r="K2257" s="88" t="str">
        <f t="shared" si="35"/>
        <v>重复</v>
      </c>
    </row>
    <row r="2258" spans="1:11" ht="20.25" customHeight="1">
      <c r="A2258" s="89" t="s">
        <v>5259</v>
      </c>
      <c r="B2258" s="90" t="s">
        <v>5153</v>
      </c>
      <c r="C2258" s="90" t="s">
        <v>4007</v>
      </c>
      <c r="D2258" s="90" t="s">
        <v>5154</v>
      </c>
      <c r="E2258" s="89" t="s">
        <v>5016</v>
      </c>
      <c r="F2258" s="91">
        <v>900027</v>
      </c>
      <c r="G2258" s="91">
        <v>95100000</v>
      </c>
      <c r="H2258" s="87"/>
      <c r="I2258" s="90" t="s">
        <v>25</v>
      </c>
      <c r="J2258" s="88" t="str">
        <f t="shared" si="35"/>
        <v>重复</v>
      </c>
      <c r="K2258" s="88" t="str">
        <f t="shared" si="35"/>
        <v>重复</v>
      </c>
    </row>
    <row r="2259" spans="1:11" ht="20.25" customHeight="1">
      <c r="A2259" s="89" t="s">
        <v>5128</v>
      </c>
      <c r="B2259" s="90" t="s">
        <v>9706</v>
      </c>
      <c r="C2259" s="90" t="s">
        <v>4028</v>
      </c>
      <c r="D2259" s="90" t="s">
        <v>4128</v>
      </c>
      <c r="E2259" s="89" t="s">
        <v>5016</v>
      </c>
      <c r="F2259" s="91">
        <v>900032</v>
      </c>
      <c r="G2259" s="91">
        <v>95100000</v>
      </c>
      <c r="H2259" s="87"/>
      <c r="I2259" s="90" t="s">
        <v>25</v>
      </c>
      <c r="J2259" s="88" t="str">
        <f t="shared" si="35"/>
        <v>重复</v>
      </c>
      <c r="K2259" s="88" t="str">
        <f t="shared" si="35"/>
        <v>不重复</v>
      </c>
    </row>
    <row r="2260" spans="1:11" ht="20.25" customHeight="1">
      <c r="A2260" s="89" t="s">
        <v>5141</v>
      </c>
      <c r="B2260" s="90" t="s">
        <v>9707</v>
      </c>
      <c r="C2260" s="90" t="s">
        <v>5143</v>
      </c>
      <c r="D2260" s="90" t="s">
        <v>5144</v>
      </c>
      <c r="E2260" s="89" t="s">
        <v>5016</v>
      </c>
      <c r="F2260" s="91">
        <v>900033</v>
      </c>
      <c r="G2260" s="91">
        <v>95100000</v>
      </c>
      <c r="H2260" s="87"/>
      <c r="I2260" s="90" t="s">
        <v>25</v>
      </c>
      <c r="J2260" s="88" t="str">
        <f t="shared" si="35"/>
        <v>重复</v>
      </c>
      <c r="K2260" s="88" t="str">
        <f t="shared" si="35"/>
        <v>重复</v>
      </c>
    </row>
    <row r="2261" spans="1:11" ht="20.25" customHeight="1">
      <c r="A2261" s="89" t="s">
        <v>5137</v>
      </c>
      <c r="B2261" s="90" t="s">
        <v>5138</v>
      </c>
      <c r="C2261" s="90" t="s">
        <v>5139</v>
      </c>
      <c r="D2261" s="90" t="s">
        <v>5140</v>
      </c>
      <c r="E2261" s="89" t="s">
        <v>5016</v>
      </c>
      <c r="F2261" s="91">
        <v>900034</v>
      </c>
      <c r="G2261" s="91">
        <v>95100000</v>
      </c>
      <c r="H2261" s="87"/>
      <c r="I2261" s="90" t="s">
        <v>25</v>
      </c>
      <c r="J2261" s="88" t="str">
        <f t="shared" si="35"/>
        <v>重复</v>
      </c>
      <c r="K2261" s="88" t="str">
        <f t="shared" si="35"/>
        <v>重复</v>
      </c>
    </row>
    <row r="2262" spans="1:11" ht="20.25" customHeight="1">
      <c r="A2262" s="89" t="s">
        <v>5131</v>
      </c>
      <c r="B2262" s="90" t="s">
        <v>5132</v>
      </c>
      <c r="C2262" s="90" t="s">
        <v>5133</v>
      </c>
      <c r="D2262" s="90" t="s">
        <v>5285</v>
      </c>
      <c r="E2262" s="89" t="s">
        <v>5016</v>
      </c>
      <c r="F2262" s="91">
        <v>900035</v>
      </c>
      <c r="G2262" s="91">
        <v>95100000</v>
      </c>
      <c r="H2262" s="87"/>
      <c r="I2262" s="90" t="s">
        <v>25</v>
      </c>
      <c r="J2262" s="88" t="str">
        <f t="shared" si="35"/>
        <v>重复</v>
      </c>
      <c r="K2262" s="88" t="str">
        <f t="shared" si="35"/>
        <v>重复</v>
      </c>
    </row>
    <row r="2263" spans="1:11" ht="20.25" customHeight="1">
      <c r="A2263" s="84" t="s">
        <v>5134</v>
      </c>
      <c r="B2263" s="85" t="s">
        <v>5135</v>
      </c>
      <c r="C2263" s="85" t="s">
        <v>5133</v>
      </c>
      <c r="D2263" s="85" t="s">
        <v>5136</v>
      </c>
      <c r="E2263" s="84" t="s">
        <v>5016</v>
      </c>
      <c r="F2263" s="86">
        <v>900036</v>
      </c>
      <c r="G2263" s="86">
        <v>95100000</v>
      </c>
      <c r="H2263" s="87"/>
      <c r="I2263" s="85" t="s">
        <v>25</v>
      </c>
      <c r="J2263" s="88" t="str">
        <f t="shared" si="35"/>
        <v>重复</v>
      </c>
      <c r="K2263" s="88" t="str">
        <f t="shared" si="35"/>
        <v>重复</v>
      </c>
    </row>
    <row r="2264" spans="1:11" ht="20.25" customHeight="1">
      <c r="A2264" s="89" t="s">
        <v>9708</v>
      </c>
      <c r="B2264" s="90" t="s">
        <v>9709</v>
      </c>
      <c r="C2264" s="90" t="s">
        <v>4351</v>
      </c>
      <c r="D2264" s="90" t="s">
        <v>9710</v>
      </c>
      <c r="E2264" s="89" t="s">
        <v>5016</v>
      </c>
      <c r="F2264" s="91">
        <v>900037</v>
      </c>
      <c r="G2264" s="91">
        <v>95100000</v>
      </c>
      <c r="H2264" s="87"/>
      <c r="I2264" s="90" t="s">
        <v>25</v>
      </c>
      <c r="J2264" s="88" t="str">
        <f t="shared" si="35"/>
        <v>重复</v>
      </c>
      <c r="K2264" s="88" t="str">
        <f t="shared" si="35"/>
        <v>不重复</v>
      </c>
    </row>
    <row r="2265" spans="1:11" ht="20.25" customHeight="1">
      <c r="A2265" s="84" t="s">
        <v>5086</v>
      </c>
      <c r="B2265" s="85" t="s">
        <v>5087</v>
      </c>
      <c r="C2265" s="85" t="s">
        <v>5088</v>
      </c>
      <c r="D2265" s="85" t="s">
        <v>5089</v>
      </c>
      <c r="E2265" s="84" t="s">
        <v>5016</v>
      </c>
      <c r="F2265" s="86">
        <v>900038</v>
      </c>
      <c r="G2265" s="86">
        <v>95100000</v>
      </c>
      <c r="H2265" s="87"/>
      <c r="I2265" s="85" t="s">
        <v>25</v>
      </c>
      <c r="J2265" s="88" t="str">
        <f t="shared" si="35"/>
        <v>重复</v>
      </c>
      <c r="K2265" s="88" t="str">
        <f t="shared" si="35"/>
        <v>重复</v>
      </c>
    </row>
    <row r="2266" spans="1:11" ht="20.25" customHeight="1">
      <c r="A2266" s="89" t="s">
        <v>5102</v>
      </c>
      <c r="B2266" s="90" t="s">
        <v>9711</v>
      </c>
      <c r="C2266" s="90" t="s">
        <v>3111</v>
      </c>
      <c r="D2266" s="90" t="s">
        <v>9712</v>
      </c>
      <c r="E2266" s="89" t="s">
        <v>5016</v>
      </c>
      <c r="F2266" s="91">
        <v>900039</v>
      </c>
      <c r="G2266" s="91">
        <v>95100000</v>
      </c>
      <c r="H2266" s="87"/>
      <c r="I2266" s="90" t="s">
        <v>25</v>
      </c>
      <c r="J2266" s="88" t="str">
        <f t="shared" si="35"/>
        <v>重复</v>
      </c>
      <c r="K2266" s="88" t="str">
        <f t="shared" si="35"/>
        <v>不重复</v>
      </c>
    </row>
    <row r="2267" spans="1:11" ht="20.25" customHeight="1">
      <c r="A2267" s="84" t="s">
        <v>5083</v>
      </c>
      <c r="B2267" s="85" t="s">
        <v>9713</v>
      </c>
      <c r="C2267" s="85" t="s">
        <v>5085</v>
      </c>
      <c r="D2267" s="85" t="s">
        <v>1367</v>
      </c>
      <c r="E2267" s="84" t="s">
        <v>5016</v>
      </c>
      <c r="F2267" s="86">
        <v>900040</v>
      </c>
      <c r="G2267" s="86">
        <v>95100000</v>
      </c>
      <c r="H2267" s="87"/>
      <c r="I2267" s="85" t="s">
        <v>25</v>
      </c>
      <c r="J2267" s="88" t="str">
        <f t="shared" si="35"/>
        <v>重复</v>
      </c>
      <c r="K2267" s="88" t="str">
        <f t="shared" si="35"/>
        <v>重复</v>
      </c>
    </row>
    <row r="2268" spans="1:11" ht="20.25" customHeight="1">
      <c r="A2268" s="89" t="s">
        <v>5105</v>
      </c>
      <c r="B2268" s="90" t="s">
        <v>5106</v>
      </c>
      <c r="C2268" s="90" t="s">
        <v>3111</v>
      </c>
      <c r="D2268" s="90" t="s">
        <v>1876</v>
      </c>
      <c r="E2268" s="89" t="s">
        <v>5016</v>
      </c>
      <c r="F2268" s="91">
        <v>900041</v>
      </c>
      <c r="G2268" s="91">
        <v>95100000</v>
      </c>
      <c r="H2268" s="87"/>
      <c r="I2268" s="90" t="s">
        <v>25</v>
      </c>
      <c r="J2268" s="88" t="str">
        <f t="shared" si="35"/>
        <v>重复</v>
      </c>
      <c r="K2268" s="88" t="str">
        <f t="shared" si="35"/>
        <v>不重复</v>
      </c>
    </row>
    <row r="2269" spans="1:11" ht="20.25" customHeight="1">
      <c r="A2269" s="84" t="s">
        <v>5099</v>
      </c>
      <c r="B2269" s="85" t="s">
        <v>9714</v>
      </c>
      <c r="C2269" s="85" t="s">
        <v>5011</v>
      </c>
      <c r="D2269" s="85" t="s">
        <v>9715</v>
      </c>
      <c r="E2269" s="84" t="s">
        <v>5016</v>
      </c>
      <c r="F2269" s="86">
        <v>900042</v>
      </c>
      <c r="G2269" s="86">
        <v>95100000</v>
      </c>
      <c r="H2269" s="87"/>
      <c r="I2269" s="85" t="s">
        <v>25</v>
      </c>
      <c r="J2269" s="88" t="str">
        <f t="shared" si="35"/>
        <v>重复</v>
      </c>
      <c r="K2269" s="88" t="str">
        <f t="shared" si="35"/>
        <v>不重复</v>
      </c>
    </row>
    <row r="2270" spans="1:11" ht="20.25" customHeight="1">
      <c r="A2270" s="84" t="s">
        <v>5111</v>
      </c>
      <c r="B2270" s="85" t="s">
        <v>9716</v>
      </c>
      <c r="C2270" s="85" t="s">
        <v>2093</v>
      </c>
      <c r="D2270" s="85" t="s">
        <v>9717</v>
      </c>
      <c r="E2270" s="84" t="s">
        <v>5016</v>
      </c>
      <c r="F2270" s="86">
        <v>900043</v>
      </c>
      <c r="G2270" s="86">
        <v>95100000</v>
      </c>
      <c r="H2270" s="87"/>
      <c r="I2270" s="85" t="s">
        <v>25</v>
      </c>
      <c r="J2270" s="88" t="str">
        <f t="shared" si="35"/>
        <v>重复</v>
      </c>
      <c r="K2270" s="88" t="str">
        <f t="shared" si="35"/>
        <v>不重复</v>
      </c>
    </row>
    <row r="2271" spans="1:11" ht="20.25" customHeight="1">
      <c r="A2271" s="89" t="s">
        <v>5108</v>
      </c>
      <c r="B2271" s="90" t="s">
        <v>9718</v>
      </c>
      <c r="C2271" s="90" t="s">
        <v>3990</v>
      </c>
      <c r="D2271" s="90" t="s">
        <v>9719</v>
      </c>
      <c r="E2271" s="89" t="s">
        <v>5016</v>
      </c>
      <c r="F2271" s="91">
        <v>900044</v>
      </c>
      <c r="G2271" s="91">
        <v>95100000</v>
      </c>
      <c r="H2271" s="87"/>
      <c r="I2271" s="90" t="s">
        <v>25</v>
      </c>
      <c r="J2271" s="88" t="str">
        <f t="shared" si="35"/>
        <v>重复</v>
      </c>
      <c r="K2271" s="88" t="str">
        <f t="shared" si="35"/>
        <v>不重复</v>
      </c>
    </row>
    <row r="2272" spans="1:11" ht="20.25" customHeight="1">
      <c r="A2272" s="84" t="s">
        <v>5090</v>
      </c>
      <c r="B2272" s="85" t="s">
        <v>9720</v>
      </c>
      <c r="C2272" s="85" t="s">
        <v>2101</v>
      </c>
      <c r="D2272" s="85" t="s">
        <v>9721</v>
      </c>
      <c r="E2272" s="84" t="s">
        <v>5016</v>
      </c>
      <c r="F2272" s="86">
        <v>900045</v>
      </c>
      <c r="G2272" s="86">
        <v>95100000</v>
      </c>
      <c r="H2272" s="87"/>
      <c r="I2272" s="85" t="s">
        <v>25</v>
      </c>
      <c r="J2272" s="88" t="str">
        <f t="shared" si="35"/>
        <v>重复</v>
      </c>
      <c r="K2272" s="88" t="str">
        <f t="shared" si="35"/>
        <v>不重复</v>
      </c>
    </row>
    <row r="2273" spans="1:11" ht="20.25" customHeight="1">
      <c r="A2273" s="89" t="s">
        <v>5094</v>
      </c>
      <c r="B2273" s="90" t="s">
        <v>9722</v>
      </c>
      <c r="C2273" s="90" t="s">
        <v>9723</v>
      </c>
      <c r="D2273" s="90" t="s">
        <v>9724</v>
      </c>
      <c r="E2273" s="89" t="s">
        <v>5016</v>
      </c>
      <c r="F2273" s="91">
        <v>900046</v>
      </c>
      <c r="G2273" s="91">
        <v>95100000</v>
      </c>
      <c r="H2273" s="87"/>
      <c r="I2273" s="90" t="s">
        <v>25</v>
      </c>
      <c r="J2273" s="88" t="str">
        <f t="shared" si="35"/>
        <v>不重复</v>
      </c>
      <c r="K2273" s="88" t="str">
        <f t="shared" si="35"/>
        <v>不重复</v>
      </c>
    </row>
    <row r="2274" spans="1:11" ht="20.25" customHeight="1">
      <c r="A2274" s="89" t="s">
        <v>5097</v>
      </c>
      <c r="B2274" s="90" t="s">
        <v>5098</v>
      </c>
      <c r="C2274" s="90" t="s">
        <v>5092</v>
      </c>
      <c r="D2274" s="90" t="s">
        <v>5282</v>
      </c>
      <c r="E2274" s="89" t="s">
        <v>5016</v>
      </c>
      <c r="F2274" s="91">
        <v>900047</v>
      </c>
      <c r="G2274" s="91">
        <v>95100000</v>
      </c>
      <c r="H2274" s="87"/>
      <c r="I2274" s="90" t="s">
        <v>25</v>
      </c>
      <c r="J2274" s="88" t="str">
        <f t="shared" si="35"/>
        <v>重复</v>
      </c>
      <c r="K2274" s="88" t="str">
        <f t="shared" si="35"/>
        <v>重复</v>
      </c>
    </row>
    <row r="2275" spans="1:11" ht="20.25" customHeight="1">
      <c r="A2275" s="84" t="s">
        <v>5074</v>
      </c>
      <c r="B2275" s="85" t="s">
        <v>5075</v>
      </c>
      <c r="C2275" s="85" t="s">
        <v>5076</v>
      </c>
      <c r="D2275" s="85" t="s">
        <v>5266</v>
      </c>
      <c r="E2275" s="84" t="s">
        <v>5016</v>
      </c>
      <c r="F2275" s="86">
        <v>900048</v>
      </c>
      <c r="G2275" s="86">
        <v>95100000</v>
      </c>
      <c r="H2275" s="87"/>
      <c r="I2275" s="85" t="s">
        <v>25</v>
      </c>
      <c r="J2275" s="88" t="str">
        <f t="shared" si="35"/>
        <v>重复</v>
      </c>
      <c r="K2275" s="88" t="str">
        <f t="shared" si="35"/>
        <v>重复</v>
      </c>
    </row>
    <row r="2276" spans="1:11" ht="20.25" customHeight="1">
      <c r="A2276" s="89" t="s">
        <v>5120</v>
      </c>
      <c r="B2276" s="90" t="s">
        <v>5121</v>
      </c>
      <c r="C2276" s="90" t="s">
        <v>9725</v>
      </c>
      <c r="D2276" s="90" t="s">
        <v>5122</v>
      </c>
      <c r="E2276" s="89" t="s">
        <v>5016</v>
      </c>
      <c r="F2276" s="91">
        <v>900049</v>
      </c>
      <c r="G2276" s="91">
        <v>95100000</v>
      </c>
      <c r="H2276" s="87"/>
      <c r="I2276" s="90" t="s">
        <v>25</v>
      </c>
      <c r="J2276" s="88" t="str">
        <f t="shared" si="35"/>
        <v>不重复</v>
      </c>
      <c r="K2276" s="88" t="str">
        <f t="shared" si="35"/>
        <v>重复</v>
      </c>
    </row>
    <row r="2277" spans="1:11" ht="20.25" customHeight="1">
      <c r="A2277" s="89" t="s">
        <v>5115</v>
      </c>
      <c r="B2277" s="90" t="s">
        <v>5116</v>
      </c>
      <c r="C2277" s="90" t="s">
        <v>5117</v>
      </c>
      <c r="D2277" s="90" t="s">
        <v>5118</v>
      </c>
      <c r="E2277" s="89" t="s">
        <v>5016</v>
      </c>
      <c r="F2277" s="91">
        <v>900050</v>
      </c>
      <c r="G2277" s="91">
        <v>95100000</v>
      </c>
      <c r="H2277" s="87"/>
      <c r="I2277" s="90" t="s">
        <v>25</v>
      </c>
      <c r="J2277" s="88" t="str">
        <f t="shared" si="35"/>
        <v>重复</v>
      </c>
      <c r="K2277" s="88" t="str">
        <f t="shared" si="35"/>
        <v>重复</v>
      </c>
    </row>
    <row r="2278" spans="1:11" ht="20.25" customHeight="1">
      <c r="A2278" s="89" t="s">
        <v>5080</v>
      </c>
      <c r="B2278" s="90" t="s">
        <v>5081</v>
      </c>
      <c r="C2278" s="90" t="s">
        <v>1063</v>
      </c>
      <c r="D2278" s="90" t="s">
        <v>5082</v>
      </c>
      <c r="E2278" s="89" t="s">
        <v>5016</v>
      </c>
      <c r="F2278" s="91">
        <v>900052</v>
      </c>
      <c r="G2278" s="91">
        <v>95100000</v>
      </c>
      <c r="H2278" s="87"/>
      <c r="I2278" s="90" t="s">
        <v>25</v>
      </c>
      <c r="J2278" s="88" t="str">
        <f t="shared" si="35"/>
        <v>重复</v>
      </c>
      <c r="K2278" s="88" t="str">
        <f t="shared" si="35"/>
        <v>重复</v>
      </c>
    </row>
    <row r="2279" spans="1:11" ht="20.25" customHeight="1">
      <c r="A2279" s="89" t="s">
        <v>5077</v>
      </c>
      <c r="B2279" s="90" t="s">
        <v>9726</v>
      </c>
      <c r="C2279" s="90" t="s">
        <v>4388</v>
      </c>
      <c r="D2279" s="90" t="s">
        <v>5079</v>
      </c>
      <c r="E2279" s="89" t="s">
        <v>5016</v>
      </c>
      <c r="F2279" s="91">
        <v>900053</v>
      </c>
      <c r="G2279" s="91">
        <v>95100000</v>
      </c>
      <c r="H2279" s="87"/>
      <c r="I2279" s="90" t="s">
        <v>25</v>
      </c>
      <c r="J2279" s="88" t="str">
        <f t="shared" si="35"/>
        <v>重复</v>
      </c>
      <c r="K2279" s="88" t="str">
        <f t="shared" si="35"/>
        <v>重复</v>
      </c>
    </row>
    <row r="2280" spans="1:11" ht="20.25" customHeight="1">
      <c r="A2280" s="84" t="s">
        <v>5155</v>
      </c>
      <c r="B2280" s="85" t="s">
        <v>5156</v>
      </c>
      <c r="C2280" s="85" t="s">
        <v>4030</v>
      </c>
      <c r="D2280" s="85" t="s">
        <v>9727</v>
      </c>
      <c r="E2280" s="84" t="s">
        <v>5016</v>
      </c>
      <c r="F2280" s="86">
        <v>900054</v>
      </c>
      <c r="G2280" s="86">
        <v>95100000</v>
      </c>
      <c r="H2280" s="87"/>
      <c r="I2280" s="85" t="s">
        <v>25</v>
      </c>
      <c r="J2280" s="88" t="str">
        <f t="shared" si="35"/>
        <v>重复</v>
      </c>
      <c r="K2280" s="88" t="str">
        <f t="shared" si="35"/>
        <v>不重复</v>
      </c>
    </row>
    <row r="2281" spans="1:11" ht="20.25" customHeight="1">
      <c r="A2281" s="89" t="s">
        <v>9728</v>
      </c>
      <c r="B2281" s="90" t="s">
        <v>5029</v>
      </c>
      <c r="C2281" s="90" t="s">
        <v>5030</v>
      </c>
      <c r="D2281" s="90" t="s">
        <v>9729</v>
      </c>
      <c r="E2281" s="89" t="s">
        <v>5016</v>
      </c>
      <c r="F2281" s="91">
        <v>900055</v>
      </c>
      <c r="G2281" s="91">
        <v>95100000</v>
      </c>
      <c r="H2281" s="87"/>
      <c r="I2281" s="90" t="s">
        <v>25</v>
      </c>
      <c r="J2281" s="88" t="str">
        <f t="shared" si="35"/>
        <v>重复</v>
      </c>
      <c r="K2281" s="88" t="str">
        <f t="shared" si="35"/>
        <v>重复</v>
      </c>
    </row>
    <row r="2282" spans="1:11" ht="20.25" customHeight="1">
      <c r="A2282" s="89" t="s">
        <v>9730</v>
      </c>
      <c r="B2282" s="90" t="s">
        <v>5025</v>
      </c>
      <c r="C2282" s="90" t="s">
        <v>5026</v>
      </c>
      <c r="D2282" s="90" t="s">
        <v>5027</v>
      </c>
      <c r="E2282" s="89" t="s">
        <v>5016</v>
      </c>
      <c r="F2282" s="91">
        <v>900056</v>
      </c>
      <c r="G2282" s="91">
        <v>95100000</v>
      </c>
      <c r="H2282" s="87"/>
      <c r="I2282" s="90" t="s">
        <v>25</v>
      </c>
      <c r="J2282" s="88" t="str">
        <f t="shared" si="35"/>
        <v>重复</v>
      </c>
      <c r="K2282" s="88" t="str">
        <f t="shared" si="35"/>
        <v>重复</v>
      </c>
    </row>
    <row r="2283" spans="1:11" ht="20.25" customHeight="1">
      <c r="A2283" s="89" t="s">
        <v>5044</v>
      </c>
      <c r="B2283" s="90" t="s">
        <v>5045</v>
      </c>
      <c r="C2283" s="90" t="s">
        <v>5046</v>
      </c>
      <c r="D2283" s="90" t="s">
        <v>5047</v>
      </c>
      <c r="E2283" s="89" t="s">
        <v>5016</v>
      </c>
      <c r="F2283" s="91">
        <v>900057</v>
      </c>
      <c r="G2283" s="91">
        <v>95100000</v>
      </c>
      <c r="H2283" s="87"/>
      <c r="I2283" s="90" t="s">
        <v>25</v>
      </c>
      <c r="J2283" s="88" t="str">
        <f t="shared" si="35"/>
        <v>重复</v>
      </c>
      <c r="K2283" s="88" t="str">
        <f t="shared" si="35"/>
        <v>重复</v>
      </c>
    </row>
    <row r="2284" spans="1:11" ht="20.25" customHeight="1">
      <c r="A2284" s="84" t="s">
        <v>5048</v>
      </c>
      <c r="B2284" s="85" t="s">
        <v>5049</v>
      </c>
      <c r="C2284" s="85" t="s">
        <v>5046</v>
      </c>
      <c r="D2284" s="85" t="s">
        <v>5050</v>
      </c>
      <c r="E2284" s="84" t="s">
        <v>5016</v>
      </c>
      <c r="F2284" s="86">
        <v>900058</v>
      </c>
      <c r="G2284" s="86">
        <v>95100000</v>
      </c>
      <c r="H2284" s="87"/>
      <c r="I2284" s="85" t="s">
        <v>25</v>
      </c>
      <c r="J2284" s="88" t="str">
        <f t="shared" si="35"/>
        <v>重复</v>
      </c>
      <c r="K2284" s="88" t="str">
        <f t="shared" si="35"/>
        <v>重复</v>
      </c>
    </row>
    <row r="2285" spans="1:11" ht="20.25" customHeight="1">
      <c r="A2285" s="84" t="s">
        <v>9731</v>
      </c>
      <c r="B2285" s="85" t="s">
        <v>9732</v>
      </c>
      <c r="C2285" s="85" t="s">
        <v>9733</v>
      </c>
      <c r="D2285" s="85" t="s">
        <v>9734</v>
      </c>
      <c r="E2285" s="84" t="s">
        <v>5016</v>
      </c>
      <c r="F2285" s="86">
        <v>900059</v>
      </c>
      <c r="G2285" s="86">
        <v>95100000</v>
      </c>
      <c r="H2285" s="87"/>
      <c r="I2285" s="85" t="s">
        <v>25</v>
      </c>
      <c r="J2285" s="88" t="str">
        <f t="shared" si="35"/>
        <v>不重复</v>
      </c>
      <c r="K2285" s="88" t="str">
        <f t="shared" si="35"/>
        <v>不重复</v>
      </c>
    </row>
    <row r="2286" spans="1:11" ht="20.25" customHeight="1">
      <c r="A2286" s="89" t="s">
        <v>9735</v>
      </c>
      <c r="B2286" s="90" t="s">
        <v>9736</v>
      </c>
      <c r="C2286" s="90" t="s">
        <v>2077</v>
      </c>
      <c r="D2286" s="90" t="s">
        <v>9737</v>
      </c>
      <c r="E2286" s="89" t="s">
        <v>5016</v>
      </c>
      <c r="F2286" s="91">
        <v>900060</v>
      </c>
      <c r="G2286" s="91">
        <v>95100000</v>
      </c>
      <c r="H2286" s="87"/>
      <c r="I2286" s="90" t="s">
        <v>25</v>
      </c>
      <c r="J2286" s="88" t="str">
        <f t="shared" si="35"/>
        <v>重复</v>
      </c>
      <c r="K2286" s="88" t="str">
        <f t="shared" si="35"/>
        <v>不重复</v>
      </c>
    </row>
    <row r="2287" spans="1:11" ht="20.25" customHeight="1">
      <c r="A2287" s="89" t="s">
        <v>5032</v>
      </c>
      <c r="B2287" s="90" t="s">
        <v>5033</v>
      </c>
      <c r="C2287" s="90" t="s">
        <v>5034</v>
      </c>
      <c r="D2287" s="90" t="s">
        <v>5035</v>
      </c>
      <c r="E2287" s="89" t="s">
        <v>5016</v>
      </c>
      <c r="F2287" s="91">
        <v>900061</v>
      </c>
      <c r="G2287" s="91">
        <v>95100000</v>
      </c>
      <c r="H2287" s="87"/>
      <c r="I2287" s="90" t="s">
        <v>25</v>
      </c>
      <c r="J2287" s="88" t="str">
        <f t="shared" si="35"/>
        <v>重复</v>
      </c>
      <c r="K2287" s="88" t="str">
        <f t="shared" si="35"/>
        <v>重复</v>
      </c>
    </row>
    <row r="2288" spans="1:11" ht="20.25" customHeight="1">
      <c r="A2288" s="89" t="s">
        <v>5036</v>
      </c>
      <c r="B2288" s="90" t="s">
        <v>9738</v>
      </c>
      <c r="C2288" s="90" t="s">
        <v>5038</v>
      </c>
      <c r="D2288" s="90" t="s">
        <v>9739</v>
      </c>
      <c r="E2288" s="89" t="s">
        <v>5016</v>
      </c>
      <c r="F2288" s="91">
        <v>900062</v>
      </c>
      <c r="G2288" s="91">
        <v>95100000</v>
      </c>
      <c r="H2288" s="87"/>
      <c r="I2288" s="90" t="s">
        <v>25</v>
      </c>
      <c r="J2288" s="88" t="str">
        <f t="shared" si="35"/>
        <v>重复</v>
      </c>
      <c r="K2288" s="88" t="str">
        <f t="shared" si="35"/>
        <v>不重复</v>
      </c>
    </row>
    <row r="2289" spans="1:11" ht="20.25" customHeight="1">
      <c r="A2289" s="84" t="s">
        <v>9740</v>
      </c>
      <c r="B2289" s="85" t="s">
        <v>9741</v>
      </c>
      <c r="C2289" s="85" t="s">
        <v>9742</v>
      </c>
      <c r="D2289" s="85" t="s">
        <v>9743</v>
      </c>
      <c r="E2289" s="84" t="s">
        <v>5016</v>
      </c>
      <c r="F2289" s="86">
        <v>900063</v>
      </c>
      <c r="G2289" s="86">
        <v>95100000</v>
      </c>
      <c r="H2289" s="87"/>
      <c r="I2289" s="85" t="s">
        <v>25</v>
      </c>
      <c r="J2289" s="88" t="str">
        <f t="shared" si="35"/>
        <v>不重复</v>
      </c>
      <c r="K2289" s="88" t="str">
        <f t="shared" si="35"/>
        <v>不重复</v>
      </c>
    </row>
    <row r="2290" spans="1:11" ht="20.25" customHeight="1">
      <c r="A2290" s="84" t="s">
        <v>9744</v>
      </c>
      <c r="B2290" s="85" t="s">
        <v>9745</v>
      </c>
      <c r="C2290" s="85" t="s">
        <v>9746</v>
      </c>
      <c r="D2290" s="85" t="s">
        <v>9747</v>
      </c>
      <c r="E2290" s="84" t="s">
        <v>5016</v>
      </c>
      <c r="F2290" s="86">
        <v>900064</v>
      </c>
      <c r="G2290" s="86">
        <v>95100000</v>
      </c>
      <c r="H2290" s="87"/>
      <c r="I2290" s="85" t="s">
        <v>25</v>
      </c>
      <c r="J2290" s="88" t="str">
        <f t="shared" si="35"/>
        <v>不重复</v>
      </c>
      <c r="K2290" s="88" t="str">
        <f t="shared" si="35"/>
        <v>不重复</v>
      </c>
    </row>
    <row r="2291" spans="1:11" ht="20.25" customHeight="1">
      <c r="A2291" s="89" t="s">
        <v>9748</v>
      </c>
      <c r="B2291" s="90" t="s">
        <v>9749</v>
      </c>
      <c r="C2291" s="90" t="s">
        <v>9750</v>
      </c>
      <c r="D2291" s="90" t="s">
        <v>9751</v>
      </c>
      <c r="E2291" s="89" t="s">
        <v>5016</v>
      </c>
      <c r="F2291" s="91">
        <v>900065</v>
      </c>
      <c r="G2291" s="91">
        <v>95100000</v>
      </c>
      <c r="H2291" s="87"/>
      <c r="I2291" s="90" t="s">
        <v>25</v>
      </c>
      <c r="J2291" s="88" t="str">
        <f t="shared" si="35"/>
        <v>不重复</v>
      </c>
      <c r="K2291" s="88" t="str">
        <f t="shared" si="35"/>
        <v>不重复</v>
      </c>
    </row>
    <row r="2292" spans="1:11" ht="20.25" customHeight="1">
      <c r="A2292" s="89" t="s">
        <v>5181</v>
      </c>
      <c r="B2292" s="90" t="s">
        <v>5182</v>
      </c>
      <c r="C2292" s="90" t="s">
        <v>5183</v>
      </c>
      <c r="D2292" s="90" t="s">
        <v>9752</v>
      </c>
      <c r="E2292" s="89" t="s">
        <v>5016</v>
      </c>
      <c r="F2292" s="91">
        <v>900066</v>
      </c>
      <c r="G2292" s="91">
        <v>95100000</v>
      </c>
      <c r="H2292" s="87"/>
      <c r="I2292" s="90" t="s">
        <v>25</v>
      </c>
      <c r="J2292" s="88" t="str">
        <f t="shared" si="35"/>
        <v>重复</v>
      </c>
      <c r="K2292" s="88" t="str">
        <f t="shared" si="35"/>
        <v>不重复</v>
      </c>
    </row>
    <row r="2293" spans="1:11" ht="20.25" customHeight="1">
      <c r="A2293" s="89" t="s">
        <v>9753</v>
      </c>
      <c r="B2293" s="90" t="s">
        <v>5186</v>
      </c>
      <c r="C2293" s="90" t="s">
        <v>5187</v>
      </c>
      <c r="D2293" s="90" t="s">
        <v>9754</v>
      </c>
      <c r="E2293" s="89" t="s">
        <v>5016</v>
      </c>
      <c r="F2293" s="91">
        <v>900067</v>
      </c>
      <c r="G2293" s="91">
        <v>95100000</v>
      </c>
      <c r="H2293" s="87"/>
      <c r="I2293" s="90" t="s">
        <v>25</v>
      </c>
      <c r="J2293" s="88" t="str">
        <f t="shared" si="35"/>
        <v>重复</v>
      </c>
      <c r="K2293" s="88" t="str">
        <f t="shared" si="35"/>
        <v>不重复</v>
      </c>
    </row>
    <row r="2294" spans="1:11" ht="20.25" customHeight="1">
      <c r="A2294" s="84" t="s">
        <v>5189</v>
      </c>
      <c r="B2294" s="85" t="s">
        <v>5190</v>
      </c>
      <c r="C2294" s="85" t="s">
        <v>5191</v>
      </c>
      <c r="D2294" s="85" t="s">
        <v>5192</v>
      </c>
      <c r="E2294" s="84" t="s">
        <v>5016</v>
      </c>
      <c r="F2294" s="86">
        <v>900068</v>
      </c>
      <c r="G2294" s="86">
        <v>95100000</v>
      </c>
      <c r="H2294" s="87"/>
      <c r="I2294" s="85" t="s">
        <v>25</v>
      </c>
      <c r="J2294" s="88" t="str">
        <f t="shared" si="35"/>
        <v>重复</v>
      </c>
      <c r="K2294" s="88" t="str">
        <f t="shared" si="35"/>
        <v>重复</v>
      </c>
    </row>
    <row r="2295" spans="1:11" ht="20.25" customHeight="1">
      <c r="A2295" s="89" t="s">
        <v>9755</v>
      </c>
      <c r="B2295" s="90" t="s">
        <v>9756</v>
      </c>
      <c r="C2295" s="90" t="s">
        <v>5011</v>
      </c>
      <c r="D2295" s="90" t="s">
        <v>9757</v>
      </c>
      <c r="E2295" s="89" t="s">
        <v>5016</v>
      </c>
      <c r="F2295" s="91">
        <v>900069</v>
      </c>
      <c r="G2295" s="91">
        <v>95100000</v>
      </c>
      <c r="H2295" s="87"/>
      <c r="I2295" s="90" t="s">
        <v>25</v>
      </c>
      <c r="J2295" s="88" t="str">
        <f t="shared" si="35"/>
        <v>重复</v>
      </c>
      <c r="K2295" s="88" t="str">
        <f t="shared" si="35"/>
        <v>不重复</v>
      </c>
    </row>
    <row r="2296" spans="1:11" ht="20.25" customHeight="1">
      <c r="A2296" s="89" t="s">
        <v>9758</v>
      </c>
      <c r="B2296" s="90" t="s">
        <v>9759</v>
      </c>
      <c r="C2296" s="90" t="s">
        <v>9760</v>
      </c>
      <c r="D2296" s="90" t="s">
        <v>9761</v>
      </c>
      <c r="E2296" s="89" t="s">
        <v>5016</v>
      </c>
      <c r="F2296" s="91">
        <v>900071</v>
      </c>
      <c r="G2296" s="91">
        <v>95100000</v>
      </c>
      <c r="H2296" s="87"/>
      <c r="I2296" s="90" t="s">
        <v>25</v>
      </c>
      <c r="J2296" s="88" t="str">
        <f t="shared" si="35"/>
        <v>不重复</v>
      </c>
      <c r="K2296" s="88" t="str">
        <f t="shared" si="35"/>
        <v>不重复</v>
      </c>
    </row>
    <row r="2297" spans="1:11" ht="20.25" customHeight="1">
      <c r="A2297" s="89" t="s">
        <v>9762</v>
      </c>
      <c r="B2297" s="90" t="s">
        <v>9763</v>
      </c>
      <c r="C2297" s="90" t="s">
        <v>5151</v>
      </c>
      <c r="D2297" s="90" t="s">
        <v>9764</v>
      </c>
      <c r="E2297" s="89" t="s">
        <v>5016</v>
      </c>
      <c r="F2297" s="91">
        <v>900077</v>
      </c>
      <c r="G2297" s="91">
        <v>95100000</v>
      </c>
      <c r="H2297" s="87"/>
      <c r="I2297" s="90" t="s">
        <v>25</v>
      </c>
      <c r="J2297" s="88" t="str">
        <f t="shared" si="35"/>
        <v>重复</v>
      </c>
      <c r="K2297" s="88" t="str">
        <f t="shared" si="35"/>
        <v>不重复</v>
      </c>
    </row>
    <row r="2298" spans="1:11" ht="20.25" customHeight="1">
      <c r="A2298" s="84" t="s">
        <v>5291</v>
      </c>
      <c r="B2298" s="85" t="s">
        <v>5292</v>
      </c>
      <c r="C2298" s="85" t="s">
        <v>2464</v>
      </c>
      <c r="D2298" s="85" t="s">
        <v>5293</v>
      </c>
      <c r="E2298" s="84" t="s">
        <v>5016</v>
      </c>
      <c r="F2298" s="86">
        <v>900078</v>
      </c>
      <c r="G2298" s="86">
        <v>95100000</v>
      </c>
      <c r="H2298" s="87"/>
      <c r="I2298" s="85" t="s">
        <v>25</v>
      </c>
      <c r="J2298" s="88" t="str">
        <f t="shared" si="35"/>
        <v>不重复</v>
      </c>
      <c r="K2298" s="88" t="str">
        <f t="shared" si="35"/>
        <v>重复</v>
      </c>
    </row>
    <row r="2299" spans="1:11" ht="20.25" customHeight="1">
      <c r="A2299" s="89" t="s">
        <v>5260</v>
      </c>
      <c r="B2299" s="90" t="s">
        <v>9765</v>
      </c>
      <c r="C2299" s="90" t="s">
        <v>9766</v>
      </c>
      <c r="D2299" s="90" t="s">
        <v>9767</v>
      </c>
      <c r="E2299" s="89" t="s">
        <v>5016</v>
      </c>
      <c r="F2299" s="91">
        <v>900079</v>
      </c>
      <c r="G2299" s="91">
        <v>95100000</v>
      </c>
      <c r="H2299" s="87"/>
      <c r="I2299" s="90" t="s">
        <v>25</v>
      </c>
      <c r="J2299" s="88" t="str">
        <f t="shared" si="35"/>
        <v>不重复</v>
      </c>
      <c r="K2299" s="88" t="str">
        <f t="shared" si="35"/>
        <v>重复</v>
      </c>
    </row>
    <row r="2300" spans="1:11" ht="20.25" customHeight="1">
      <c r="A2300" s="89" t="s">
        <v>5123</v>
      </c>
      <c r="B2300" s="90" t="s">
        <v>9768</v>
      </c>
      <c r="C2300" s="90" t="s">
        <v>3044</v>
      </c>
      <c r="D2300" s="90" t="s">
        <v>9769</v>
      </c>
      <c r="E2300" s="89" t="s">
        <v>5016</v>
      </c>
      <c r="F2300" s="91">
        <v>900080</v>
      </c>
      <c r="G2300" s="91">
        <v>95100000</v>
      </c>
      <c r="H2300" s="87"/>
      <c r="I2300" s="90" t="s">
        <v>25</v>
      </c>
      <c r="J2300" s="88" t="str">
        <f t="shared" si="35"/>
        <v>重复</v>
      </c>
      <c r="K2300" s="88" t="str">
        <f t="shared" si="35"/>
        <v>不重复</v>
      </c>
    </row>
    <row r="2301" spans="1:11" ht="20.25" customHeight="1">
      <c r="A2301" s="89" t="s">
        <v>5178</v>
      </c>
      <c r="B2301" s="90" t="s">
        <v>5179</v>
      </c>
      <c r="C2301" s="90" t="s">
        <v>2106</v>
      </c>
      <c r="D2301" s="90" t="s">
        <v>5180</v>
      </c>
      <c r="E2301" s="89" t="s">
        <v>5016</v>
      </c>
      <c r="F2301" s="91">
        <v>900082</v>
      </c>
      <c r="G2301" s="91">
        <v>95100000</v>
      </c>
      <c r="H2301" s="87"/>
      <c r="I2301" s="90" t="s">
        <v>25</v>
      </c>
      <c r="J2301" s="88" t="str">
        <f t="shared" si="35"/>
        <v>重复</v>
      </c>
      <c r="K2301" s="88" t="str">
        <f t="shared" si="35"/>
        <v>重复</v>
      </c>
    </row>
    <row r="2302" spans="1:11" ht="20.25" customHeight="1">
      <c r="A2302" s="84" t="s">
        <v>9770</v>
      </c>
      <c r="B2302" s="85" t="s">
        <v>9771</v>
      </c>
      <c r="C2302" s="85" t="s">
        <v>4001</v>
      </c>
      <c r="D2302" s="85" t="s">
        <v>9772</v>
      </c>
      <c r="E2302" s="84" t="s">
        <v>5016</v>
      </c>
      <c r="F2302" s="86">
        <v>900083</v>
      </c>
      <c r="G2302" s="86">
        <v>95100000</v>
      </c>
      <c r="H2302" s="87"/>
      <c r="I2302" s="85" t="s">
        <v>25</v>
      </c>
      <c r="J2302" s="88" t="str">
        <f t="shared" si="35"/>
        <v>重复</v>
      </c>
      <c r="K2302" s="88" t="str">
        <f t="shared" si="35"/>
        <v>不重复</v>
      </c>
    </row>
    <row r="2303" spans="1:11" ht="20.25" customHeight="1">
      <c r="A2303" s="89" t="s">
        <v>9773</v>
      </c>
      <c r="B2303" s="90" t="s">
        <v>9774</v>
      </c>
      <c r="C2303" s="90" t="s">
        <v>9775</v>
      </c>
      <c r="D2303" s="90" t="s">
        <v>9776</v>
      </c>
      <c r="E2303" s="89" t="s">
        <v>5016</v>
      </c>
      <c r="F2303" s="91">
        <v>900084</v>
      </c>
      <c r="G2303" s="91">
        <v>95100000</v>
      </c>
      <c r="H2303" s="87"/>
      <c r="I2303" s="90" t="s">
        <v>25</v>
      </c>
      <c r="J2303" s="88" t="str">
        <f t="shared" si="35"/>
        <v>不重复</v>
      </c>
      <c r="K2303" s="88" t="str">
        <f t="shared" si="35"/>
        <v>不重复</v>
      </c>
    </row>
    <row r="2304" spans="1:11" ht="20.25" customHeight="1">
      <c r="A2304" s="89" t="s">
        <v>9777</v>
      </c>
      <c r="B2304" s="90" t="s">
        <v>9778</v>
      </c>
      <c r="C2304" s="90" t="s">
        <v>9779</v>
      </c>
      <c r="D2304" s="90" t="s">
        <v>9780</v>
      </c>
      <c r="E2304" s="89" t="s">
        <v>5016</v>
      </c>
      <c r="F2304" s="91">
        <v>900086</v>
      </c>
      <c r="G2304" s="91">
        <v>95100000</v>
      </c>
      <c r="H2304" s="87"/>
      <c r="I2304" s="90" t="s">
        <v>25</v>
      </c>
      <c r="J2304" s="88" t="str">
        <f t="shared" si="35"/>
        <v>重复</v>
      </c>
      <c r="K2304" s="88" t="str">
        <f t="shared" si="35"/>
        <v>不重复</v>
      </c>
    </row>
    <row r="2305" spans="1:11" ht="20.25" customHeight="1">
      <c r="A2305" s="89" t="s">
        <v>9781</v>
      </c>
      <c r="B2305" s="90" t="s">
        <v>9782</v>
      </c>
      <c r="C2305" s="90" t="s">
        <v>9779</v>
      </c>
      <c r="D2305" s="90" t="s">
        <v>9783</v>
      </c>
      <c r="E2305" s="89" t="s">
        <v>5016</v>
      </c>
      <c r="F2305" s="91">
        <v>900087</v>
      </c>
      <c r="G2305" s="91">
        <v>95100000</v>
      </c>
      <c r="H2305" s="87"/>
      <c r="I2305" s="90" t="s">
        <v>25</v>
      </c>
      <c r="J2305" s="88" t="str">
        <f t="shared" si="35"/>
        <v>重复</v>
      </c>
      <c r="K2305" s="88" t="str">
        <f t="shared" si="35"/>
        <v>不重复</v>
      </c>
    </row>
    <row r="2306" spans="1:11" ht="20.25" customHeight="1">
      <c r="A2306" s="84" t="s">
        <v>9784</v>
      </c>
      <c r="B2306" s="85" t="s">
        <v>9785</v>
      </c>
      <c r="C2306" s="85" t="s">
        <v>1585</v>
      </c>
      <c r="D2306" s="85" t="s">
        <v>9786</v>
      </c>
      <c r="E2306" s="84" t="s">
        <v>5016</v>
      </c>
      <c r="F2306" s="86">
        <v>900088</v>
      </c>
      <c r="G2306" s="86">
        <v>95100000</v>
      </c>
      <c r="H2306" s="87"/>
      <c r="I2306" s="85" t="s">
        <v>25</v>
      </c>
      <c r="J2306" s="88" t="str">
        <f t="shared" si="35"/>
        <v>重复</v>
      </c>
      <c r="K2306" s="88" t="str">
        <f t="shared" si="35"/>
        <v>不重复</v>
      </c>
    </row>
    <row r="2307" spans="1:11" ht="20.25" customHeight="1">
      <c r="A2307" s="89" t="s">
        <v>9787</v>
      </c>
      <c r="B2307" s="90" t="s">
        <v>9788</v>
      </c>
      <c r="C2307" s="90" t="s">
        <v>9789</v>
      </c>
      <c r="D2307" s="90" t="s">
        <v>9790</v>
      </c>
      <c r="E2307" s="89" t="s">
        <v>5016</v>
      </c>
      <c r="F2307" s="91">
        <v>900090</v>
      </c>
      <c r="G2307" s="91">
        <v>95100000</v>
      </c>
      <c r="H2307" s="87"/>
      <c r="I2307" s="90" t="s">
        <v>25</v>
      </c>
      <c r="J2307" s="88" t="str">
        <f t="shared" si="36" ref="J2307:K2370">IF(COUNTIF(C:C,C2307)&gt;=2,"重复","不重复")</f>
        <v>不重复</v>
      </c>
      <c r="K2307" s="88" t="str">
        <f t="shared" si="36"/>
        <v>不重复</v>
      </c>
    </row>
    <row r="2308" spans="1:11" ht="20.25" customHeight="1">
      <c r="A2308" s="93" t="s">
        <v>9791</v>
      </c>
      <c r="B2308" s="94" t="s">
        <v>9792</v>
      </c>
      <c r="C2308" s="94" t="s">
        <v>5022</v>
      </c>
      <c r="D2308" s="94" t="s">
        <v>9793</v>
      </c>
      <c r="E2308" s="93" t="s">
        <v>5016</v>
      </c>
      <c r="F2308" s="95">
        <v>900091</v>
      </c>
      <c r="G2308" s="95">
        <v>95100000</v>
      </c>
      <c r="H2308" s="87"/>
      <c r="I2308" s="90" t="s">
        <v>25</v>
      </c>
      <c r="J2308" s="88" t="str">
        <f t="shared" si="36"/>
        <v>重复</v>
      </c>
      <c r="K2308" s="88" t="str">
        <f t="shared" si="36"/>
        <v>不重复</v>
      </c>
    </row>
    <row r="2309" spans="1:11" ht="20.25" customHeight="1">
      <c r="A2309" s="89" t="s">
        <v>9794</v>
      </c>
      <c r="B2309" s="90" t="s">
        <v>9795</v>
      </c>
      <c r="C2309" s="90" t="s">
        <v>1135</v>
      </c>
      <c r="D2309" s="90" t="s">
        <v>9796</v>
      </c>
      <c r="E2309" s="89" t="s">
        <v>5016</v>
      </c>
      <c r="F2309" s="91">
        <v>900051</v>
      </c>
      <c r="G2309" s="91">
        <v>95100000</v>
      </c>
      <c r="H2309" s="87"/>
      <c r="I2309" s="90" t="s">
        <v>25</v>
      </c>
      <c r="J2309" s="88" t="str">
        <f t="shared" si="36"/>
        <v>重复</v>
      </c>
      <c r="K2309" s="88" t="str">
        <f t="shared" si="36"/>
        <v>不重复</v>
      </c>
    </row>
    <row r="2310" spans="1:11" ht="20.25" customHeight="1">
      <c r="A2310" s="89" t="s">
        <v>9797</v>
      </c>
      <c r="B2310" s="90" t="s">
        <v>9798</v>
      </c>
      <c r="C2310" s="90" t="s">
        <v>4290</v>
      </c>
      <c r="D2310" s="90" t="s">
        <v>9799</v>
      </c>
      <c r="E2310" s="89" t="s">
        <v>5016</v>
      </c>
      <c r="F2310" s="91">
        <v>900092</v>
      </c>
      <c r="G2310" s="91">
        <v>95100000</v>
      </c>
      <c r="H2310" s="87"/>
      <c r="I2310" s="90" t="s">
        <v>25</v>
      </c>
      <c r="J2310" s="88" t="str">
        <f t="shared" si="36"/>
        <v>重复</v>
      </c>
      <c r="K2310" s="88" t="str">
        <f t="shared" si="36"/>
        <v>不重复</v>
      </c>
    </row>
    <row r="2311" spans="1:11" ht="20.25" customHeight="1">
      <c r="A2311" s="84" t="s">
        <v>9800</v>
      </c>
      <c r="B2311" s="85" t="s">
        <v>9801</v>
      </c>
      <c r="C2311" s="85" t="s">
        <v>1542</v>
      </c>
      <c r="D2311" s="85" t="s">
        <v>9802</v>
      </c>
      <c r="E2311" s="84" t="s">
        <v>5016</v>
      </c>
      <c r="F2311" s="86">
        <v>900093</v>
      </c>
      <c r="G2311" s="86">
        <v>95100000</v>
      </c>
      <c r="H2311" s="87"/>
      <c r="I2311" s="85" t="s">
        <v>25</v>
      </c>
      <c r="J2311" s="88" t="str">
        <f t="shared" si="36"/>
        <v>不重复</v>
      </c>
      <c r="K2311" s="88" t="str">
        <f t="shared" si="36"/>
        <v>不重复</v>
      </c>
    </row>
    <row r="2312" spans="1:11" ht="20.25" customHeight="1">
      <c r="A2312" s="84" t="s">
        <v>9803</v>
      </c>
      <c r="B2312" s="85" t="s">
        <v>9804</v>
      </c>
      <c r="C2312" s="85" t="s">
        <v>2106</v>
      </c>
      <c r="D2312" s="85" t="s">
        <v>5056</v>
      </c>
      <c r="E2312" s="84" t="s">
        <v>5016</v>
      </c>
      <c r="F2312" s="86">
        <v>900094</v>
      </c>
      <c r="G2312" s="86">
        <v>95100000</v>
      </c>
      <c r="H2312" s="87"/>
      <c r="I2312" s="85" t="s">
        <v>25</v>
      </c>
      <c r="J2312" s="88" t="str">
        <f t="shared" si="36"/>
        <v>重复</v>
      </c>
      <c r="K2312" s="88" t="str">
        <f t="shared" si="36"/>
        <v>重复</v>
      </c>
    </row>
    <row r="2313" spans="1:11" ht="20.25" customHeight="1">
      <c r="A2313" s="96" t="s">
        <v>9805</v>
      </c>
      <c r="B2313" s="97" t="s">
        <v>9806</v>
      </c>
      <c r="C2313" s="97" t="s">
        <v>9807</v>
      </c>
      <c r="D2313" s="97" t="s">
        <v>9808</v>
      </c>
      <c r="E2313" s="98" t="s">
        <v>24</v>
      </c>
      <c r="F2313" s="99"/>
      <c r="G2313" s="99"/>
      <c r="H2313" s="99"/>
      <c r="I2313" s="99"/>
      <c r="J2313" s="88" t="str">
        <f t="shared" si="36"/>
        <v>不重复</v>
      </c>
      <c r="K2313" s="88" t="str">
        <f t="shared" si="36"/>
        <v>不重复</v>
      </c>
    </row>
    <row r="2314" spans="1:11" ht="20.25" customHeight="1">
      <c r="A2314" s="100" t="s">
        <v>9809</v>
      </c>
      <c r="B2314" s="99" t="s">
        <v>9810</v>
      </c>
      <c r="C2314" s="99" t="s">
        <v>9811</v>
      </c>
      <c r="D2314" s="99" t="s">
        <v>9812</v>
      </c>
      <c r="E2314" s="100" t="s">
        <v>45</v>
      </c>
      <c r="F2314" s="99"/>
      <c r="G2314" s="99"/>
      <c r="H2314" s="99"/>
      <c r="I2314" s="99"/>
      <c r="J2314" s="88" t="str">
        <f t="shared" si="36"/>
        <v>不重复</v>
      </c>
      <c r="K2314" s="88" t="str">
        <f t="shared" si="36"/>
        <v>不重复</v>
      </c>
    </row>
    <row r="2315" spans="1:11" ht="20.25" customHeight="1">
      <c r="A2315" s="100" t="s">
        <v>9813</v>
      </c>
      <c r="B2315" s="99" t="s">
        <v>9814</v>
      </c>
      <c r="C2315" s="99" t="s">
        <v>9815</v>
      </c>
      <c r="D2315" s="99" t="s">
        <v>9816</v>
      </c>
      <c r="E2315" s="100" t="s">
        <v>45</v>
      </c>
      <c r="F2315" s="99"/>
      <c r="G2315" s="99"/>
      <c r="H2315" s="99"/>
      <c r="I2315" s="99"/>
      <c r="J2315" s="88" t="str">
        <f t="shared" si="36"/>
        <v>不重复</v>
      </c>
      <c r="K2315" s="88" t="str">
        <f t="shared" si="36"/>
        <v>不重复</v>
      </c>
    </row>
    <row r="2316" spans="1:11" ht="20.25" customHeight="1">
      <c r="A2316" s="100" t="s">
        <v>9817</v>
      </c>
      <c r="B2316" s="99" t="s">
        <v>9818</v>
      </c>
      <c r="C2316" s="99" t="s">
        <v>9819</v>
      </c>
      <c r="D2316" s="99" t="s">
        <v>9820</v>
      </c>
      <c r="E2316" s="100" t="s">
        <v>45</v>
      </c>
      <c r="F2316" s="99"/>
      <c r="G2316" s="99"/>
      <c r="H2316" s="99"/>
      <c r="I2316" s="99"/>
      <c r="J2316" s="88" t="str">
        <f t="shared" si="36"/>
        <v>不重复</v>
      </c>
      <c r="K2316" s="88" t="str">
        <f t="shared" si="36"/>
        <v>不重复</v>
      </c>
    </row>
    <row r="2317" spans="1:11" ht="20.25" customHeight="1">
      <c r="A2317" s="100" t="s">
        <v>5211</v>
      </c>
      <c r="B2317" s="99" t="s">
        <v>5212</v>
      </c>
      <c r="C2317" s="99" t="s">
        <v>9821</v>
      </c>
      <c r="D2317" s="99" t="s">
        <v>9822</v>
      </c>
      <c r="E2317" s="100" t="s">
        <v>2468</v>
      </c>
      <c r="F2317" s="99"/>
      <c r="G2317" s="99"/>
      <c r="H2317" s="99"/>
      <c r="I2317" s="99"/>
      <c r="J2317" s="88" t="str">
        <f t="shared" si="36"/>
        <v>不重复</v>
      </c>
      <c r="K2317" s="88" t="str">
        <f t="shared" si="36"/>
        <v>不重复</v>
      </c>
    </row>
    <row r="2318" spans="1:11" ht="20.25" customHeight="1">
      <c r="A2318" s="100" t="s">
        <v>9823</v>
      </c>
      <c r="B2318" s="99" t="s">
        <v>9824</v>
      </c>
      <c r="C2318" s="99" t="s">
        <v>9825</v>
      </c>
      <c r="D2318" s="99" t="s">
        <v>9826</v>
      </c>
      <c r="E2318" s="100" t="s">
        <v>45</v>
      </c>
      <c r="F2318" s="99"/>
      <c r="G2318" s="99"/>
      <c r="H2318" s="99"/>
      <c r="I2318" s="99"/>
      <c r="J2318" s="88" t="str">
        <f t="shared" si="36"/>
        <v>不重复</v>
      </c>
      <c r="K2318" s="88" t="str">
        <f t="shared" si="36"/>
        <v>不重复</v>
      </c>
    </row>
    <row r="2319" spans="1:11" ht="20.25" customHeight="1">
      <c r="A2319" s="100" t="s">
        <v>9827</v>
      </c>
      <c r="B2319" s="99" t="s">
        <v>9828</v>
      </c>
      <c r="C2319" s="99" t="s">
        <v>9829</v>
      </c>
      <c r="D2319" s="99" t="s">
        <v>9830</v>
      </c>
      <c r="E2319" s="100" t="s">
        <v>45</v>
      </c>
      <c r="F2319" s="99"/>
      <c r="G2319" s="99"/>
      <c r="H2319" s="99"/>
      <c r="I2319" s="99"/>
      <c r="J2319" s="88" t="str">
        <f t="shared" si="36"/>
        <v>不重复</v>
      </c>
      <c r="K2319" s="88" t="str">
        <f t="shared" si="36"/>
        <v>不重复</v>
      </c>
    </row>
    <row r="2320" spans="1:11" ht="20.25" customHeight="1">
      <c r="A2320" s="100" t="s">
        <v>5882</v>
      </c>
      <c r="B2320" s="99" t="s">
        <v>9831</v>
      </c>
      <c r="C2320" s="99" t="s">
        <v>9832</v>
      </c>
      <c r="D2320" s="99" t="s">
        <v>9833</v>
      </c>
      <c r="E2320" s="100" t="s">
        <v>45</v>
      </c>
      <c r="F2320" s="99"/>
      <c r="G2320" s="99"/>
      <c r="H2320" s="99"/>
      <c r="I2320" s="99"/>
      <c r="J2320" s="88" t="str">
        <f t="shared" si="36"/>
        <v>不重复</v>
      </c>
      <c r="K2320" s="88" t="str">
        <f t="shared" si="36"/>
        <v>不重复</v>
      </c>
    </row>
    <row r="2321" spans="1:11" ht="20.25" customHeight="1">
      <c r="A2321" s="100" t="s">
        <v>9659</v>
      </c>
      <c r="B2321" s="99" t="s">
        <v>9660</v>
      </c>
      <c r="C2321" s="99" t="s">
        <v>9834</v>
      </c>
      <c r="D2321" s="99" t="s">
        <v>9835</v>
      </c>
      <c r="E2321" s="100" t="s">
        <v>45</v>
      </c>
      <c r="F2321" s="99"/>
      <c r="G2321" s="99"/>
      <c r="H2321" s="99"/>
      <c r="I2321" s="99"/>
      <c r="J2321" s="88" t="str">
        <f t="shared" si="36"/>
        <v>不重复</v>
      </c>
      <c r="K2321" s="88" t="str">
        <f t="shared" si="36"/>
        <v>不重复</v>
      </c>
    </row>
    <row r="2322" spans="1:11" ht="20.25" customHeight="1">
      <c r="A2322" s="100" t="s">
        <v>5243</v>
      </c>
      <c r="B2322" s="99" t="s">
        <v>5244</v>
      </c>
      <c r="C2322" s="99" t="s">
        <v>9836</v>
      </c>
      <c r="D2322" s="99" t="s">
        <v>9837</v>
      </c>
      <c r="E2322" s="100" t="s">
        <v>2468</v>
      </c>
      <c r="F2322" s="99"/>
      <c r="G2322" s="99"/>
      <c r="H2322" s="99"/>
      <c r="I2322" s="99"/>
      <c r="J2322" s="88" t="str">
        <f t="shared" si="36"/>
        <v>不重复</v>
      </c>
      <c r="K2322" s="88" t="str">
        <f t="shared" si="36"/>
        <v>重复</v>
      </c>
    </row>
    <row r="2323" spans="1:11" ht="20.25" customHeight="1">
      <c r="A2323" s="100" t="s">
        <v>5238</v>
      </c>
      <c r="B2323" s="99" t="s">
        <v>5239</v>
      </c>
      <c r="C2323" s="99" t="s">
        <v>9838</v>
      </c>
      <c r="D2323" s="99" t="s">
        <v>9839</v>
      </c>
      <c r="E2323" s="100" t="s">
        <v>2468</v>
      </c>
      <c r="F2323" s="99"/>
      <c r="G2323" s="99"/>
      <c r="H2323" s="99"/>
      <c r="I2323" s="99"/>
      <c r="J2323" s="88" t="str">
        <f t="shared" si="36"/>
        <v>不重复</v>
      </c>
      <c r="K2323" s="88" t="str">
        <f t="shared" si="36"/>
        <v>不重复</v>
      </c>
    </row>
    <row r="2324" spans="1:11" ht="20.25" customHeight="1">
      <c r="A2324" s="100" t="s">
        <v>5251</v>
      </c>
      <c r="B2324" s="99" t="s">
        <v>5252</v>
      </c>
      <c r="C2324" s="99" t="s">
        <v>9840</v>
      </c>
      <c r="D2324" s="99" t="s">
        <v>5253</v>
      </c>
      <c r="E2324" s="100" t="s">
        <v>2468</v>
      </c>
      <c r="F2324" s="99"/>
      <c r="G2324" s="99"/>
      <c r="H2324" s="99"/>
      <c r="I2324" s="99"/>
      <c r="J2324" s="88" t="str">
        <f t="shared" si="36"/>
        <v>不重复</v>
      </c>
      <c r="K2324" s="88" t="str">
        <f t="shared" si="36"/>
        <v>不重复</v>
      </c>
    </row>
    <row r="2325" spans="1:11" ht="20.25" customHeight="1">
      <c r="A2325" s="100" t="s">
        <v>4008</v>
      </c>
      <c r="B2325" s="99" t="s">
        <v>8821</v>
      </c>
      <c r="C2325" s="99" t="s">
        <v>9841</v>
      </c>
      <c r="D2325" s="99" t="s">
        <v>9842</v>
      </c>
      <c r="E2325" s="100" t="s">
        <v>4010</v>
      </c>
      <c r="F2325" s="99"/>
      <c r="G2325" s="99"/>
      <c r="H2325" s="99"/>
      <c r="I2325" s="99"/>
      <c r="J2325" s="88" t="str">
        <f t="shared" si="36"/>
        <v>不重复</v>
      </c>
      <c r="K2325" s="88" t="str">
        <f t="shared" si="36"/>
        <v>不重复</v>
      </c>
    </row>
    <row r="2326" spans="1:11" ht="20.25" customHeight="1">
      <c r="A2326" s="100" t="s">
        <v>9800</v>
      </c>
      <c r="B2326" s="99" t="s">
        <v>9843</v>
      </c>
      <c r="C2326" s="99" t="s">
        <v>9844</v>
      </c>
      <c r="D2326" s="99" t="s">
        <v>9845</v>
      </c>
      <c r="E2326" s="100" t="s">
        <v>9846</v>
      </c>
      <c r="F2326" s="99"/>
      <c r="G2326" s="99"/>
      <c r="H2326" s="99"/>
      <c r="I2326" s="99"/>
      <c r="J2326" s="88" t="str">
        <f t="shared" si="36"/>
        <v>不重复</v>
      </c>
      <c r="K2326" s="88" t="str">
        <f t="shared" si="36"/>
        <v>重复</v>
      </c>
    </row>
    <row r="2327" spans="1:11" ht="20.25" customHeight="1">
      <c r="A2327" s="100" t="s">
        <v>9847</v>
      </c>
      <c r="B2327" s="99" t="s">
        <v>9848</v>
      </c>
      <c r="C2327" s="99" t="s">
        <v>9849</v>
      </c>
      <c r="D2327" s="99" t="s">
        <v>9850</v>
      </c>
      <c r="E2327" s="100" t="s">
        <v>45</v>
      </c>
      <c r="F2327" s="99"/>
      <c r="G2327" s="99"/>
      <c r="H2327" s="99"/>
      <c r="I2327" s="99"/>
      <c r="J2327" s="88" t="str">
        <f t="shared" si="36"/>
        <v>不重复</v>
      </c>
      <c r="K2327" s="88" t="str">
        <f t="shared" si="36"/>
        <v>不重复</v>
      </c>
    </row>
    <row r="2328" spans="1:11" ht="20.25" customHeight="1">
      <c r="A2328" s="100" t="s">
        <v>9851</v>
      </c>
      <c r="B2328" s="99" t="s">
        <v>9852</v>
      </c>
      <c r="C2328" s="99" t="s">
        <v>9853</v>
      </c>
      <c r="D2328" s="99" t="s">
        <v>9854</v>
      </c>
      <c r="E2328" s="100" t="s">
        <v>45</v>
      </c>
      <c r="F2328" s="99"/>
      <c r="G2328" s="99"/>
      <c r="H2328" s="99"/>
      <c r="I2328" s="99"/>
      <c r="J2328" s="88" t="str">
        <f t="shared" si="36"/>
        <v>不重复</v>
      </c>
      <c r="K2328" s="88" t="str">
        <f t="shared" si="36"/>
        <v>不重复</v>
      </c>
    </row>
    <row r="2329" spans="1:11" ht="20.25" customHeight="1">
      <c r="A2329" s="100" t="s">
        <v>1855</v>
      </c>
      <c r="B2329" s="99" t="s">
        <v>9855</v>
      </c>
      <c r="C2329" s="99" t="s">
        <v>9856</v>
      </c>
      <c r="D2329" s="99" t="s">
        <v>9857</v>
      </c>
      <c r="E2329" s="100" t="s">
        <v>1808</v>
      </c>
      <c r="F2329" s="99"/>
      <c r="G2329" s="99"/>
      <c r="H2329" s="99"/>
      <c r="I2329" s="99"/>
      <c r="J2329" s="88" t="str">
        <f t="shared" si="36"/>
        <v>不重复</v>
      </c>
      <c r="K2329" s="88" t="str">
        <f t="shared" si="36"/>
        <v>不重复</v>
      </c>
    </row>
    <row r="2330" spans="1:11" ht="20.25" customHeight="1">
      <c r="A2330" s="100" t="s">
        <v>9858</v>
      </c>
      <c r="B2330" s="99" t="s">
        <v>9859</v>
      </c>
      <c r="C2330" s="99" t="s">
        <v>9860</v>
      </c>
      <c r="D2330" s="99" t="s">
        <v>9861</v>
      </c>
      <c r="E2330" s="100" t="s">
        <v>1808</v>
      </c>
      <c r="F2330" s="99"/>
      <c r="G2330" s="99"/>
      <c r="H2330" s="99"/>
      <c r="I2330" s="99"/>
      <c r="J2330" s="88" t="str">
        <f t="shared" si="36"/>
        <v>不重复</v>
      </c>
      <c r="K2330" s="88" t="str">
        <f t="shared" si="36"/>
        <v>不重复</v>
      </c>
    </row>
    <row r="2331" spans="1:11" ht="20.25" customHeight="1">
      <c r="A2331" s="100" t="s">
        <v>7103</v>
      </c>
      <c r="B2331" s="99" t="s">
        <v>9862</v>
      </c>
      <c r="C2331" s="99" t="s">
        <v>9863</v>
      </c>
      <c r="D2331" s="99" t="s">
        <v>9864</v>
      </c>
      <c r="E2331" s="100" t="s">
        <v>1808</v>
      </c>
      <c r="F2331" s="99"/>
      <c r="G2331" s="99"/>
      <c r="H2331" s="99"/>
      <c r="I2331" s="99"/>
      <c r="J2331" s="88" t="str">
        <f t="shared" si="36"/>
        <v>不重复</v>
      </c>
      <c r="K2331" s="88" t="str">
        <f t="shared" si="36"/>
        <v>不重复</v>
      </c>
    </row>
    <row r="2332" spans="1:11" ht="20.25" customHeight="1">
      <c r="A2332" s="100" t="s">
        <v>9865</v>
      </c>
      <c r="B2332" s="99" t="s">
        <v>9866</v>
      </c>
      <c r="C2332" s="99" t="s">
        <v>9867</v>
      </c>
      <c r="D2332" s="99" t="s">
        <v>9868</v>
      </c>
      <c r="E2332" s="100" t="s">
        <v>1808</v>
      </c>
      <c r="F2332" s="99"/>
      <c r="G2332" s="99"/>
      <c r="H2332" s="99"/>
      <c r="I2332" s="99"/>
      <c r="J2332" s="88" t="str">
        <f t="shared" si="36"/>
        <v>不重复</v>
      </c>
      <c r="K2332" s="88" t="str">
        <f t="shared" si="36"/>
        <v>不重复</v>
      </c>
    </row>
    <row r="2333" spans="1:11" ht="20.25" customHeight="1">
      <c r="A2333" s="100" t="s">
        <v>9869</v>
      </c>
      <c r="B2333" s="99" t="s">
        <v>9870</v>
      </c>
      <c r="C2333" s="99" t="s">
        <v>9871</v>
      </c>
      <c r="D2333" s="99" t="s">
        <v>9872</v>
      </c>
      <c r="E2333" s="100" t="s">
        <v>45</v>
      </c>
      <c r="F2333" s="99"/>
      <c r="G2333" s="99"/>
      <c r="H2333" s="99"/>
      <c r="I2333" s="99"/>
      <c r="J2333" s="88" t="str">
        <f t="shared" si="36"/>
        <v>不重复</v>
      </c>
      <c r="K2333" s="88" t="str">
        <f t="shared" si="36"/>
        <v>不重复</v>
      </c>
    </row>
    <row r="2334" spans="1:11" ht="20.25" customHeight="1">
      <c r="A2334" s="100" t="s">
        <v>9873</v>
      </c>
      <c r="B2334" s="99" t="s">
        <v>5590</v>
      </c>
      <c r="C2334" s="99" t="s">
        <v>9874</v>
      </c>
      <c r="D2334" s="99" t="s">
        <v>9875</v>
      </c>
      <c r="E2334" s="100" t="s">
        <v>45</v>
      </c>
      <c r="F2334" s="99"/>
      <c r="G2334" s="99"/>
      <c r="H2334" s="99"/>
      <c r="I2334" s="99"/>
      <c r="J2334" s="88" t="str">
        <f t="shared" si="36"/>
        <v>不重复</v>
      </c>
      <c r="K2334" s="88" t="str">
        <f t="shared" si="36"/>
        <v>不重复</v>
      </c>
    </row>
    <row r="2335" spans="1:11" ht="20.25" customHeight="1">
      <c r="A2335" s="100" t="s">
        <v>9876</v>
      </c>
      <c r="B2335" s="99" t="s">
        <v>9877</v>
      </c>
      <c r="C2335" s="99" t="s">
        <v>9878</v>
      </c>
      <c r="D2335" s="99" t="s">
        <v>9879</v>
      </c>
      <c r="E2335" s="100" t="s">
        <v>45</v>
      </c>
      <c r="F2335" s="99"/>
      <c r="G2335" s="99"/>
      <c r="H2335" s="99"/>
      <c r="I2335" s="99"/>
      <c r="J2335" s="88" t="str">
        <f t="shared" si="36"/>
        <v>不重复</v>
      </c>
      <c r="K2335" s="88" t="str">
        <f t="shared" si="36"/>
        <v>不重复</v>
      </c>
    </row>
    <row r="2336" spans="1:11" ht="20.25" customHeight="1">
      <c r="A2336" s="100" t="s">
        <v>9880</v>
      </c>
      <c r="B2336" s="99" t="s">
        <v>9881</v>
      </c>
      <c r="C2336" s="99" t="s">
        <v>9882</v>
      </c>
      <c r="D2336" s="99" t="s">
        <v>9883</v>
      </c>
      <c r="E2336" s="100" t="s">
        <v>45</v>
      </c>
      <c r="F2336" s="99"/>
      <c r="G2336" s="99"/>
      <c r="H2336" s="99"/>
      <c r="I2336" s="99"/>
      <c r="J2336" s="88" t="str">
        <f t="shared" si="36"/>
        <v>不重复</v>
      </c>
      <c r="K2336" s="88" t="str">
        <f t="shared" si="36"/>
        <v>不重复</v>
      </c>
    </row>
    <row r="2337" spans="1:11" ht="20.25" customHeight="1">
      <c r="A2337" s="100" t="s">
        <v>9884</v>
      </c>
      <c r="B2337" s="99" t="s">
        <v>9885</v>
      </c>
      <c r="C2337" s="99" t="s">
        <v>9886</v>
      </c>
      <c r="D2337" s="99" t="s">
        <v>9887</v>
      </c>
      <c r="E2337" s="100" t="s">
        <v>45</v>
      </c>
      <c r="F2337" s="99"/>
      <c r="G2337" s="99"/>
      <c r="H2337" s="99"/>
      <c r="I2337" s="99"/>
      <c r="J2337" s="88" t="str">
        <f t="shared" si="36"/>
        <v>不重复</v>
      </c>
      <c r="K2337" s="88" t="str">
        <f t="shared" si="36"/>
        <v>不重复</v>
      </c>
    </row>
    <row r="2338" spans="1:11" ht="20.25" customHeight="1">
      <c r="A2338" s="100" t="s">
        <v>5247</v>
      </c>
      <c r="B2338" s="99" t="s">
        <v>5248</v>
      </c>
      <c r="C2338" s="99" t="s">
        <v>9888</v>
      </c>
      <c r="D2338" s="99" t="s">
        <v>9889</v>
      </c>
      <c r="E2338" s="100" t="s">
        <v>2468</v>
      </c>
      <c r="F2338" s="99"/>
      <c r="G2338" s="99"/>
      <c r="H2338" s="99"/>
      <c r="I2338" s="99"/>
      <c r="J2338" s="88" t="str">
        <f t="shared" si="36"/>
        <v>不重复</v>
      </c>
      <c r="K2338" s="88" t="str">
        <f t="shared" si="36"/>
        <v>不重复</v>
      </c>
    </row>
    <row r="2339" spans="1:11" ht="20.25" customHeight="1">
      <c r="A2339" s="100" t="s">
        <v>9890</v>
      </c>
      <c r="B2339" s="99" t="s">
        <v>9891</v>
      </c>
      <c r="C2339" s="99" t="s">
        <v>9892</v>
      </c>
      <c r="D2339" s="99" t="s">
        <v>9893</v>
      </c>
      <c r="E2339" s="100" t="s">
        <v>2468</v>
      </c>
      <c r="F2339" s="99"/>
      <c r="G2339" s="99"/>
      <c r="H2339" s="99"/>
      <c r="I2339" s="99"/>
      <c r="J2339" s="88" t="str">
        <f t="shared" si="36"/>
        <v>不重复</v>
      </c>
      <c r="K2339" s="88" t="str">
        <f t="shared" si="36"/>
        <v>不重复</v>
      </c>
    </row>
    <row r="2340" spans="1:11" ht="20.25" customHeight="1">
      <c r="A2340" s="100" t="s">
        <v>9894</v>
      </c>
      <c r="B2340" s="99" t="s">
        <v>9895</v>
      </c>
      <c r="C2340" s="99" t="s">
        <v>9896</v>
      </c>
      <c r="D2340" s="99" t="s">
        <v>9897</v>
      </c>
      <c r="E2340" s="100" t="s">
        <v>2468</v>
      </c>
      <c r="F2340" s="99"/>
      <c r="G2340" s="99"/>
      <c r="H2340" s="99"/>
      <c r="I2340" s="99"/>
      <c r="J2340" s="88" t="str">
        <f t="shared" si="36"/>
        <v>不重复</v>
      </c>
      <c r="K2340" s="88" t="str">
        <f t="shared" si="36"/>
        <v>不重复</v>
      </c>
    </row>
    <row r="2341" spans="1:11" ht="20.25" customHeight="1">
      <c r="A2341" s="100" t="s">
        <v>9898</v>
      </c>
      <c r="B2341" s="99" t="s">
        <v>9899</v>
      </c>
      <c r="C2341" s="99" t="s">
        <v>9900</v>
      </c>
      <c r="D2341" s="99" t="s">
        <v>9901</v>
      </c>
      <c r="E2341" s="100" t="s">
        <v>2468</v>
      </c>
      <c r="F2341" s="99"/>
      <c r="G2341" s="99"/>
      <c r="H2341" s="99"/>
      <c r="I2341" s="99"/>
      <c r="J2341" s="88" t="str">
        <f t="shared" si="36"/>
        <v>不重复</v>
      </c>
      <c r="K2341" s="88" t="str">
        <f t="shared" si="36"/>
        <v>不重复</v>
      </c>
    </row>
    <row r="2342" spans="1:11" ht="20.25" customHeight="1">
      <c r="A2342" s="100" t="s">
        <v>9902</v>
      </c>
      <c r="B2342" s="99" t="s">
        <v>9903</v>
      </c>
      <c r="C2342" s="99" t="s">
        <v>9904</v>
      </c>
      <c r="D2342" s="99" t="s">
        <v>9905</v>
      </c>
      <c r="E2342" s="100" t="s">
        <v>2468</v>
      </c>
      <c r="F2342" s="99"/>
      <c r="G2342" s="99"/>
      <c r="H2342" s="99"/>
      <c r="I2342" s="99"/>
      <c r="J2342" s="88" t="str">
        <f t="shared" si="36"/>
        <v>不重复</v>
      </c>
      <c r="K2342" s="88" t="str">
        <f t="shared" si="36"/>
        <v>不重复</v>
      </c>
    </row>
    <row r="2343" spans="1:11" ht="20.25" customHeight="1">
      <c r="A2343" s="100" t="s">
        <v>9906</v>
      </c>
      <c r="B2343" s="99" t="s">
        <v>9907</v>
      </c>
      <c r="C2343" s="99" t="s">
        <v>9908</v>
      </c>
      <c r="D2343" s="99" t="s">
        <v>9909</v>
      </c>
      <c r="E2343" s="100" t="s">
        <v>2468</v>
      </c>
      <c r="F2343" s="99"/>
      <c r="G2343" s="99"/>
      <c r="H2343" s="99"/>
      <c r="I2343" s="99"/>
      <c r="J2343" s="88" t="str">
        <f t="shared" si="36"/>
        <v>不重复</v>
      </c>
      <c r="K2343" s="88" t="str">
        <f t="shared" si="36"/>
        <v>不重复</v>
      </c>
    </row>
    <row r="2344" spans="1:11" ht="20.25" customHeight="1">
      <c r="A2344" s="100" t="s">
        <v>9910</v>
      </c>
      <c r="B2344" s="99" t="s">
        <v>9911</v>
      </c>
      <c r="C2344" s="99" t="s">
        <v>9912</v>
      </c>
      <c r="D2344" s="99" t="s">
        <v>9913</v>
      </c>
      <c r="E2344" s="100" t="s">
        <v>2468</v>
      </c>
      <c r="F2344" s="99"/>
      <c r="G2344" s="99"/>
      <c r="H2344" s="99"/>
      <c r="I2344" s="99"/>
      <c r="J2344" s="88" t="str">
        <f t="shared" si="36"/>
        <v>不重复</v>
      </c>
      <c r="K2344" s="88" t="str">
        <f t="shared" si="36"/>
        <v>不重复</v>
      </c>
    </row>
    <row r="2345" spans="1:11" ht="20.25" customHeight="1">
      <c r="A2345" s="100" t="s">
        <v>9914</v>
      </c>
      <c r="B2345" s="99" t="s">
        <v>9158</v>
      </c>
      <c r="C2345" s="99" t="s">
        <v>9159</v>
      </c>
      <c r="D2345" s="99" t="s">
        <v>9915</v>
      </c>
      <c r="E2345" s="100" t="s">
        <v>4010</v>
      </c>
      <c r="F2345" s="99"/>
      <c r="G2345" s="99"/>
      <c r="H2345" s="99"/>
      <c r="I2345" s="99"/>
      <c r="J2345" s="88" t="str">
        <f t="shared" si="36"/>
        <v>重复</v>
      </c>
      <c r="K2345" s="88" t="str">
        <f t="shared" si="36"/>
        <v>不重复</v>
      </c>
    </row>
    <row r="2346" spans="1:11" ht="20.25" customHeight="1">
      <c r="A2346" s="100" t="s">
        <v>9916</v>
      </c>
      <c r="B2346" s="99" t="s">
        <v>9917</v>
      </c>
      <c r="C2346" s="99" t="s">
        <v>9918</v>
      </c>
      <c r="D2346" s="99" t="s">
        <v>9919</v>
      </c>
      <c r="E2346" s="100" t="s">
        <v>2468</v>
      </c>
      <c r="F2346" s="99"/>
      <c r="G2346" s="99"/>
      <c r="H2346" s="99"/>
      <c r="I2346" s="99"/>
      <c r="J2346" s="88" t="str">
        <f t="shared" si="36"/>
        <v>不重复</v>
      </c>
      <c r="K2346" s="88" t="str">
        <f t="shared" si="36"/>
        <v>不重复</v>
      </c>
    </row>
    <row r="2347" spans="1:11" ht="20.25" customHeight="1">
      <c r="A2347" s="100" t="s">
        <v>9920</v>
      </c>
      <c r="B2347" s="99" t="s">
        <v>9921</v>
      </c>
      <c r="C2347" s="99" t="s">
        <v>9922</v>
      </c>
      <c r="D2347" s="99" t="s">
        <v>9923</v>
      </c>
      <c r="E2347" s="100" t="s">
        <v>2468</v>
      </c>
      <c r="F2347" s="99"/>
      <c r="G2347" s="99"/>
      <c r="H2347" s="99"/>
      <c r="I2347" s="99"/>
      <c r="J2347" s="88" t="str">
        <f t="shared" si="36"/>
        <v>不重复</v>
      </c>
      <c r="K2347" s="88" t="str">
        <f t="shared" si="36"/>
        <v>不重复</v>
      </c>
    </row>
    <row r="2348" spans="1:11" ht="20.25" customHeight="1">
      <c r="A2348" s="100" t="s">
        <v>9924</v>
      </c>
      <c r="B2348" s="99" t="s">
        <v>9925</v>
      </c>
      <c r="C2348" s="99" t="s">
        <v>9926</v>
      </c>
      <c r="D2348" s="99" t="s">
        <v>9927</v>
      </c>
      <c r="E2348" s="100" t="s">
        <v>2468</v>
      </c>
      <c r="F2348" s="99"/>
      <c r="G2348" s="99"/>
      <c r="H2348" s="99"/>
      <c r="I2348" s="99"/>
      <c r="J2348" s="88" t="str">
        <f t="shared" si="36"/>
        <v>不重复</v>
      </c>
      <c r="K2348" s="88" t="str">
        <f t="shared" si="36"/>
        <v>不重复</v>
      </c>
    </row>
    <row r="2349" spans="1:11" ht="20.25" customHeight="1">
      <c r="A2349" s="100" t="s">
        <v>9928</v>
      </c>
      <c r="B2349" s="99" t="s">
        <v>9929</v>
      </c>
      <c r="C2349" s="99" t="s">
        <v>9930</v>
      </c>
      <c r="D2349" s="99" t="s">
        <v>9931</v>
      </c>
      <c r="E2349" s="100" t="s">
        <v>2468</v>
      </c>
      <c r="F2349" s="99"/>
      <c r="G2349" s="99"/>
      <c r="H2349" s="99"/>
      <c r="I2349" s="99"/>
      <c r="J2349" s="88" t="str">
        <f t="shared" si="36"/>
        <v>不重复</v>
      </c>
      <c r="K2349" s="88" t="str">
        <f t="shared" si="36"/>
        <v>不重复</v>
      </c>
    </row>
    <row r="2350" spans="1:11" ht="20.25" customHeight="1">
      <c r="A2350" s="100" t="s">
        <v>9932</v>
      </c>
      <c r="B2350" s="99" t="s">
        <v>9933</v>
      </c>
      <c r="C2350" s="99" t="s">
        <v>9934</v>
      </c>
      <c r="D2350" s="99" t="s">
        <v>9935</v>
      </c>
      <c r="E2350" s="100" t="s">
        <v>2468</v>
      </c>
      <c r="F2350" s="99"/>
      <c r="G2350" s="99"/>
      <c r="H2350" s="99"/>
      <c r="I2350" s="99"/>
      <c r="J2350" s="88" t="str">
        <f t="shared" si="36"/>
        <v>不重复</v>
      </c>
      <c r="K2350" s="88" t="str">
        <f t="shared" si="36"/>
        <v>不重复</v>
      </c>
    </row>
    <row r="2351" spans="1:11" ht="20.25" customHeight="1">
      <c r="A2351" s="100" t="s">
        <v>9936</v>
      </c>
      <c r="B2351" s="99" t="s">
        <v>9937</v>
      </c>
      <c r="C2351" s="99" t="s">
        <v>9938</v>
      </c>
      <c r="D2351" s="99" t="s">
        <v>9939</v>
      </c>
      <c r="E2351" s="100" t="s">
        <v>2468</v>
      </c>
      <c r="F2351" s="99"/>
      <c r="G2351" s="99"/>
      <c r="H2351" s="99"/>
      <c r="I2351" s="99"/>
      <c r="J2351" s="88" t="str">
        <f t="shared" si="36"/>
        <v>不重复</v>
      </c>
      <c r="K2351" s="88" t="str">
        <f t="shared" si="36"/>
        <v>不重复</v>
      </c>
    </row>
    <row r="2352" spans="1:11" ht="20.25" customHeight="1">
      <c r="A2352" s="100" t="s">
        <v>9940</v>
      </c>
      <c r="B2352" s="99" t="s">
        <v>9941</v>
      </c>
      <c r="C2352" s="99" t="s">
        <v>9942</v>
      </c>
      <c r="D2352" s="99" t="s">
        <v>9943</v>
      </c>
      <c r="E2352" s="100" t="s">
        <v>2468</v>
      </c>
      <c r="F2352" s="99"/>
      <c r="G2352" s="99"/>
      <c r="H2352" s="99"/>
      <c r="I2352" s="99"/>
      <c r="J2352" s="88" t="str">
        <f t="shared" si="36"/>
        <v>不重复</v>
      </c>
      <c r="K2352" s="88" t="str">
        <f t="shared" si="36"/>
        <v>不重复</v>
      </c>
    </row>
    <row r="2353" spans="1:11" ht="20.25" customHeight="1">
      <c r="A2353" s="100" t="s">
        <v>3619</v>
      </c>
      <c r="B2353" s="99" t="s">
        <v>9944</v>
      </c>
      <c r="C2353" s="99" t="s">
        <v>9945</v>
      </c>
      <c r="D2353" s="99" t="s">
        <v>9946</v>
      </c>
      <c r="E2353" s="100" t="s">
        <v>2468</v>
      </c>
      <c r="F2353" s="99"/>
      <c r="G2353" s="99"/>
      <c r="H2353" s="99"/>
      <c r="I2353" s="99"/>
      <c r="J2353" s="88" t="str">
        <f t="shared" si="36"/>
        <v>不重复</v>
      </c>
      <c r="K2353" s="88" t="str">
        <f t="shared" si="36"/>
        <v>不重复</v>
      </c>
    </row>
    <row r="2354" spans="1:11" ht="20.25" customHeight="1">
      <c r="A2354" s="100" t="s">
        <v>9947</v>
      </c>
      <c r="B2354" s="99" t="s">
        <v>9948</v>
      </c>
      <c r="C2354" s="99" t="s">
        <v>9949</v>
      </c>
      <c r="D2354" s="99" t="s">
        <v>9950</v>
      </c>
      <c r="E2354" s="100" t="s">
        <v>24</v>
      </c>
      <c r="F2354" s="99"/>
      <c r="G2354" s="99"/>
      <c r="H2354" s="99"/>
      <c r="I2354" s="99"/>
      <c r="J2354" s="88" t="str">
        <f t="shared" si="36"/>
        <v>不重复</v>
      </c>
      <c r="K2354" s="88" t="str">
        <f t="shared" si="36"/>
        <v>不重复</v>
      </c>
    </row>
    <row r="2355" spans="1:11" ht="20.25" customHeight="1">
      <c r="A2355" s="100" t="s">
        <v>5240</v>
      </c>
      <c r="B2355" s="99" t="s">
        <v>5241</v>
      </c>
      <c r="C2355" s="99" t="s">
        <v>9951</v>
      </c>
      <c r="D2355" s="99" t="s">
        <v>9952</v>
      </c>
      <c r="E2355" s="100" t="s">
        <v>2468</v>
      </c>
      <c r="F2355" s="99"/>
      <c r="G2355" s="99"/>
      <c r="H2355" s="99"/>
      <c r="I2355" s="99"/>
      <c r="J2355" s="88" t="str">
        <f t="shared" si="36"/>
        <v>不重复</v>
      </c>
      <c r="K2355" s="88" t="str">
        <f t="shared" si="36"/>
        <v>不重复</v>
      </c>
    </row>
    <row r="2356" spans="1:11" ht="20.25" customHeight="1">
      <c r="A2356" s="100" t="s">
        <v>9953</v>
      </c>
      <c r="B2356" s="99" t="s">
        <v>9954</v>
      </c>
      <c r="C2356" s="99" t="s">
        <v>9955</v>
      </c>
      <c r="D2356" s="99" t="s">
        <v>9956</v>
      </c>
      <c r="E2356" s="100" t="s">
        <v>2468</v>
      </c>
      <c r="F2356" s="99"/>
      <c r="G2356" s="99"/>
      <c r="H2356" s="99"/>
      <c r="I2356" s="99"/>
      <c r="J2356" s="88" t="str">
        <f t="shared" si="36"/>
        <v>不重复</v>
      </c>
      <c r="K2356" s="88" t="str">
        <f t="shared" si="36"/>
        <v>不重复</v>
      </c>
    </row>
    <row r="2357" spans="1:11" ht="20.25" customHeight="1">
      <c r="A2357" s="100" t="s">
        <v>9957</v>
      </c>
      <c r="B2357" s="99" t="s">
        <v>9958</v>
      </c>
      <c r="C2357" s="99" t="s">
        <v>9959</v>
      </c>
      <c r="D2357" s="99" t="s">
        <v>9960</v>
      </c>
      <c r="E2357" s="100" t="s">
        <v>2468</v>
      </c>
      <c r="F2357" s="99"/>
      <c r="G2357" s="99"/>
      <c r="H2357" s="99"/>
      <c r="I2357" s="99"/>
      <c r="J2357" s="88" t="str">
        <f t="shared" si="36"/>
        <v>不重复</v>
      </c>
      <c r="K2357" s="88" t="str">
        <f t="shared" si="36"/>
        <v>不重复</v>
      </c>
    </row>
    <row r="2358" spans="1:11" ht="20.25" customHeight="1">
      <c r="A2358" s="100" t="s">
        <v>9961</v>
      </c>
      <c r="B2358" s="99" t="s">
        <v>7698</v>
      </c>
      <c r="C2358" s="99" t="s">
        <v>9962</v>
      </c>
      <c r="D2358" s="99" t="s">
        <v>9963</v>
      </c>
      <c r="E2358" s="100" t="s">
        <v>2468</v>
      </c>
      <c r="F2358" s="99"/>
      <c r="G2358" s="99"/>
      <c r="H2358" s="99"/>
      <c r="I2358" s="99"/>
      <c r="J2358" s="88" t="str">
        <f t="shared" si="36"/>
        <v>不重复</v>
      </c>
      <c r="K2358" s="88" t="str">
        <f t="shared" si="36"/>
        <v>不重复</v>
      </c>
    </row>
    <row r="2359" spans="1:11" ht="20.25" customHeight="1">
      <c r="A2359" s="100" t="s">
        <v>9964</v>
      </c>
      <c r="B2359" s="99" t="s">
        <v>9965</v>
      </c>
      <c r="C2359" s="99" t="s">
        <v>9966</v>
      </c>
      <c r="D2359" s="99" t="s">
        <v>9967</v>
      </c>
      <c r="E2359" s="100" t="s">
        <v>2468</v>
      </c>
      <c r="F2359" s="99"/>
      <c r="G2359" s="99"/>
      <c r="H2359" s="99"/>
      <c r="I2359" s="99"/>
      <c r="J2359" s="88" t="str">
        <f t="shared" si="36"/>
        <v>不重复</v>
      </c>
      <c r="K2359" s="88" t="str">
        <f t="shared" si="36"/>
        <v>不重复</v>
      </c>
    </row>
    <row r="2360" spans="1:11" ht="20.25" customHeight="1">
      <c r="A2360" s="100" t="s">
        <v>9968</v>
      </c>
      <c r="B2360" s="99" t="s">
        <v>9969</v>
      </c>
      <c r="C2360" s="99" t="s">
        <v>9970</v>
      </c>
      <c r="D2360" s="99" t="s">
        <v>9971</v>
      </c>
      <c r="E2360" s="100" t="s">
        <v>2468</v>
      </c>
      <c r="F2360" s="99"/>
      <c r="G2360" s="99"/>
      <c r="H2360" s="99"/>
      <c r="I2360" s="99"/>
      <c r="J2360" s="88" t="str">
        <f t="shared" si="36"/>
        <v>不重复</v>
      </c>
      <c r="K2360" s="88" t="str">
        <f t="shared" si="36"/>
        <v>不重复</v>
      </c>
    </row>
    <row r="2361" spans="1:11" ht="20.25" customHeight="1">
      <c r="A2361" s="100" t="s">
        <v>9972</v>
      </c>
      <c r="B2361" s="99" t="s">
        <v>9158</v>
      </c>
      <c r="C2361" s="99" t="s">
        <v>4189</v>
      </c>
      <c r="D2361" s="99" t="s">
        <v>9973</v>
      </c>
      <c r="E2361" s="100" t="s">
        <v>4010</v>
      </c>
      <c r="F2361" s="99"/>
      <c r="G2361" s="99"/>
      <c r="H2361" s="99"/>
      <c r="I2361" s="99"/>
      <c r="J2361" s="88" t="str">
        <f t="shared" si="36"/>
        <v>不重复</v>
      </c>
      <c r="K2361" s="88" t="str">
        <f t="shared" si="36"/>
        <v>不重复</v>
      </c>
    </row>
    <row r="2362" spans="1:11" ht="20.25" customHeight="1">
      <c r="A2362" s="100" t="s">
        <v>9974</v>
      </c>
      <c r="B2362" s="99" t="s">
        <v>9975</v>
      </c>
      <c r="C2362" s="99" t="s">
        <v>9976</v>
      </c>
      <c r="D2362" s="99" t="s">
        <v>9977</v>
      </c>
      <c r="E2362" s="100" t="s">
        <v>2468</v>
      </c>
      <c r="F2362" s="99"/>
      <c r="G2362" s="99"/>
      <c r="H2362" s="99"/>
      <c r="I2362" s="99"/>
      <c r="J2362" s="88" t="str">
        <f t="shared" si="36"/>
        <v>不重复</v>
      </c>
      <c r="K2362" s="88" t="str">
        <f t="shared" si="36"/>
        <v>不重复</v>
      </c>
    </row>
    <row r="2363" spans="1:11" ht="20.25" customHeight="1">
      <c r="A2363" s="100" t="s">
        <v>5220</v>
      </c>
      <c r="B2363" s="99" t="s">
        <v>5221</v>
      </c>
      <c r="C2363" s="99" t="s">
        <v>9978</v>
      </c>
      <c r="D2363" s="99" t="s">
        <v>9979</v>
      </c>
      <c r="E2363" s="100" t="s">
        <v>2468</v>
      </c>
      <c r="F2363" s="99"/>
      <c r="G2363" s="99"/>
      <c r="H2363" s="99"/>
      <c r="I2363" s="99"/>
      <c r="J2363" s="88" t="str">
        <f t="shared" si="36"/>
        <v>不重复</v>
      </c>
      <c r="K2363" s="88" t="str">
        <f t="shared" si="36"/>
        <v>不重复</v>
      </c>
    </row>
    <row r="2364" spans="1:11" ht="20.25" customHeight="1">
      <c r="A2364" s="100" t="s">
        <v>9980</v>
      </c>
      <c r="B2364" s="99" t="s">
        <v>9981</v>
      </c>
      <c r="C2364" s="99" t="s">
        <v>9982</v>
      </c>
      <c r="D2364" s="99" t="s">
        <v>9983</v>
      </c>
      <c r="E2364" s="100" t="s">
        <v>2468</v>
      </c>
      <c r="F2364" s="99"/>
      <c r="G2364" s="99"/>
      <c r="H2364" s="99"/>
      <c r="I2364" s="99"/>
      <c r="J2364" s="88" t="str">
        <f t="shared" si="36"/>
        <v>不重复</v>
      </c>
      <c r="K2364" s="88" t="str">
        <f t="shared" si="36"/>
        <v>不重复</v>
      </c>
    </row>
    <row r="2365" spans="1:11" ht="20.25" customHeight="1">
      <c r="A2365" s="100" t="s">
        <v>9984</v>
      </c>
      <c r="B2365" s="99" t="s">
        <v>9985</v>
      </c>
      <c r="C2365" s="99" t="s">
        <v>9986</v>
      </c>
      <c r="D2365" s="99" t="s">
        <v>9987</v>
      </c>
      <c r="E2365" s="100" t="s">
        <v>2468</v>
      </c>
      <c r="F2365" s="99"/>
      <c r="G2365" s="99"/>
      <c r="H2365" s="99"/>
      <c r="I2365" s="99"/>
      <c r="J2365" s="88" t="str">
        <f t="shared" si="36"/>
        <v>不重复</v>
      </c>
      <c r="K2365" s="88" t="str">
        <f t="shared" si="36"/>
        <v>不重复</v>
      </c>
    </row>
    <row r="2366" spans="1:11" ht="20.25" customHeight="1">
      <c r="A2366" s="100" t="s">
        <v>5249</v>
      </c>
      <c r="B2366" s="99" t="s">
        <v>5250</v>
      </c>
      <c r="C2366" s="99" t="s">
        <v>9988</v>
      </c>
      <c r="D2366" s="99" t="s">
        <v>9989</v>
      </c>
      <c r="E2366" s="100" t="s">
        <v>2468</v>
      </c>
      <c r="F2366" s="99"/>
      <c r="G2366" s="99"/>
      <c r="H2366" s="99"/>
      <c r="I2366" s="99"/>
      <c r="J2366" s="88" t="str">
        <f t="shared" si="36"/>
        <v>不重复</v>
      </c>
      <c r="K2366" s="88" t="str">
        <f t="shared" si="36"/>
        <v>不重复</v>
      </c>
    </row>
    <row r="2367" spans="1:11" ht="20.25" customHeight="1">
      <c r="A2367" s="100" t="s">
        <v>9990</v>
      </c>
      <c r="B2367" s="99" t="s">
        <v>9991</v>
      </c>
      <c r="C2367" s="99" t="s">
        <v>9992</v>
      </c>
      <c r="D2367" s="99" t="s">
        <v>9993</v>
      </c>
      <c r="E2367" s="100" t="s">
        <v>2468</v>
      </c>
      <c r="F2367" s="99"/>
      <c r="G2367" s="99"/>
      <c r="H2367" s="99"/>
      <c r="I2367" s="99"/>
      <c r="J2367" s="88" t="str">
        <f t="shared" si="36"/>
        <v>不重复</v>
      </c>
      <c r="K2367" s="88" t="str">
        <f t="shared" si="36"/>
        <v>不重复</v>
      </c>
    </row>
    <row r="2368" spans="1:11" ht="20.25" customHeight="1">
      <c r="A2368" s="100" t="s">
        <v>9994</v>
      </c>
      <c r="B2368" s="99" t="s">
        <v>9995</v>
      </c>
      <c r="C2368" s="99" t="s">
        <v>9996</v>
      </c>
      <c r="D2368" s="99" t="s">
        <v>9997</v>
      </c>
      <c r="E2368" s="100" t="s">
        <v>2468</v>
      </c>
      <c r="F2368" s="99"/>
      <c r="G2368" s="99"/>
      <c r="H2368" s="99"/>
      <c r="I2368" s="99"/>
      <c r="J2368" s="88" t="str">
        <f t="shared" si="36"/>
        <v>不重复</v>
      </c>
      <c r="K2368" s="88" t="str">
        <f t="shared" si="36"/>
        <v>不重复</v>
      </c>
    </row>
    <row r="2369" spans="1:11" ht="20.25" customHeight="1">
      <c r="A2369" s="100" t="s">
        <v>9998</v>
      </c>
      <c r="B2369" s="99" t="s">
        <v>9999</v>
      </c>
      <c r="C2369" s="99" t="s">
        <v>10000</v>
      </c>
      <c r="D2369" s="99" t="s">
        <v>10001</v>
      </c>
      <c r="E2369" s="100" t="s">
        <v>2468</v>
      </c>
      <c r="F2369" s="99"/>
      <c r="G2369" s="99"/>
      <c r="H2369" s="99"/>
      <c r="I2369" s="99"/>
      <c r="J2369" s="88" t="str">
        <f t="shared" si="36"/>
        <v>不重复</v>
      </c>
      <c r="K2369" s="88" t="str">
        <f t="shared" si="36"/>
        <v>不重复</v>
      </c>
    </row>
    <row r="2370" spans="1:11" ht="20.25" customHeight="1">
      <c r="A2370" s="100" t="s">
        <v>10002</v>
      </c>
      <c r="B2370" s="99" t="s">
        <v>10003</v>
      </c>
      <c r="C2370" s="99" t="s">
        <v>10004</v>
      </c>
      <c r="D2370" s="99" t="s">
        <v>10005</v>
      </c>
      <c r="E2370" s="100" t="s">
        <v>45</v>
      </c>
      <c r="F2370" s="99"/>
      <c r="G2370" s="99"/>
      <c r="H2370" s="99"/>
      <c r="I2370" s="99"/>
      <c r="J2370" s="88" t="str">
        <f t="shared" si="36"/>
        <v>不重复</v>
      </c>
      <c r="K2370" s="88" t="str">
        <f t="shared" si="36"/>
        <v>不重复</v>
      </c>
    </row>
    <row r="2371" spans="1:11" ht="20.25" customHeight="1">
      <c r="A2371" s="100" t="s">
        <v>10006</v>
      </c>
      <c r="B2371" s="99" t="s">
        <v>10007</v>
      </c>
      <c r="C2371" s="99" t="s">
        <v>10008</v>
      </c>
      <c r="D2371" s="99" t="s">
        <v>10009</v>
      </c>
      <c r="E2371" s="100" t="s">
        <v>45</v>
      </c>
      <c r="F2371" s="99"/>
      <c r="G2371" s="99"/>
      <c r="H2371" s="99"/>
      <c r="I2371" s="99"/>
      <c r="J2371" s="88" t="str">
        <f t="shared" si="37" ref="J2371:K2383">IF(COUNTIF(C:C,C2371)&gt;=2,"重复","不重复")</f>
        <v>不重复</v>
      </c>
      <c r="K2371" s="88" t="str">
        <f t="shared" si="37"/>
        <v>不重复</v>
      </c>
    </row>
    <row r="2372" spans="1:11" ht="20.25" customHeight="1">
      <c r="A2372" s="100" t="s">
        <v>10010</v>
      </c>
      <c r="B2372" s="99" t="s">
        <v>10011</v>
      </c>
      <c r="C2372" s="99" t="s">
        <v>10012</v>
      </c>
      <c r="D2372" s="99" t="s">
        <v>10013</v>
      </c>
      <c r="E2372" s="100" t="s">
        <v>1808</v>
      </c>
      <c r="F2372" s="99"/>
      <c r="G2372" s="99"/>
      <c r="H2372" s="99"/>
      <c r="I2372" s="99"/>
      <c r="J2372" s="88" t="str">
        <f t="shared" si="37"/>
        <v>不重复</v>
      </c>
      <c r="K2372" s="88" t="str">
        <f t="shared" si="37"/>
        <v>不重复</v>
      </c>
    </row>
    <row r="2373" spans="1:11" ht="20.25" customHeight="1">
      <c r="A2373" s="100" t="s">
        <v>10014</v>
      </c>
      <c r="B2373" s="99" t="s">
        <v>10015</v>
      </c>
      <c r="C2373" s="99" t="s">
        <v>10016</v>
      </c>
      <c r="D2373" s="99" t="s">
        <v>10017</v>
      </c>
      <c r="E2373" s="100" t="s">
        <v>45</v>
      </c>
      <c r="F2373" s="99"/>
      <c r="G2373" s="99"/>
      <c r="H2373" s="99"/>
      <c r="I2373" s="99"/>
      <c r="J2373" s="88" t="str">
        <f t="shared" si="37"/>
        <v>不重复</v>
      </c>
      <c r="K2373" s="88" t="str">
        <f t="shared" si="37"/>
        <v>不重复</v>
      </c>
    </row>
    <row r="2374" spans="1:11" ht="20.25" customHeight="1">
      <c r="A2374" s="100" t="s">
        <v>10018</v>
      </c>
      <c r="B2374" s="99" t="s">
        <v>10019</v>
      </c>
      <c r="C2374" s="99" t="s">
        <v>10020</v>
      </c>
      <c r="D2374" s="99" t="s">
        <v>10021</v>
      </c>
      <c r="E2374" s="100" t="s">
        <v>45</v>
      </c>
      <c r="F2374" s="99"/>
      <c r="G2374" s="99"/>
      <c r="H2374" s="99"/>
      <c r="I2374" s="99"/>
      <c r="J2374" s="88" t="str">
        <f t="shared" si="37"/>
        <v>不重复</v>
      </c>
      <c r="K2374" s="88" t="str">
        <f t="shared" si="37"/>
        <v>不重复</v>
      </c>
    </row>
    <row r="2375" spans="1:11" ht="20.25" customHeight="1">
      <c r="A2375" s="100" t="s">
        <v>3350</v>
      </c>
      <c r="B2375" s="99" t="s">
        <v>3351</v>
      </c>
      <c r="C2375" s="99" t="s">
        <v>10022</v>
      </c>
      <c r="D2375" s="99" t="s">
        <v>10023</v>
      </c>
      <c r="E2375" s="100" t="s">
        <v>2468</v>
      </c>
      <c r="F2375" s="99"/>
      <c r="G2375" s="99"/>
      <c r="H2375" s="99"/>
      <c r="I2375" s="99"/>
      <c r="J2375" s="88" t="str">
        <f t="shared" si="37"/>
        <v>不重复</v>
      </c>
      <c r="K2375" s="88" t="str">
        <f t="shared" si="37"/>
        <v>不重复</v>
      </c>
    </row>
    <row r="2376" spans="1:11" ht="20.25" customHeight="1">
      <c r="A2376" s="101" t="s">
        <v>26</v>
      </c>
      <c r="B2376" s="102" t="s">
        <v>27</v>
      </c>
      <c r="C2376" s="103" t="s">
        <v>28</v>
      </c>
      <c r="D2376" s="103" t="s">
        <v>29</v>
      </c>
      <c r="E2376" s="101" t="s">
        <v>24</v>
      </c>
      <c r="F2376" s="99"/>
      <c r="G2376" s="99"/>
      <c r="H2376" s="99"/>
      <c r="I2376" s="102" t="s">
        <v>30</v>
      </c>
      <c r="J2376" s="88" t="str">
        <f t="shared" si="37"/>
        <v>不重复</v>
      </c>
      <c r="K2376" s="88" t="str">
        <f t="shared" si="37"/>
        <v>不重复</v>
      </c>
    </row>
    <row r="2377" spans="1:11" ht="20.25" customHeight="1">
      <c r="A2377" s="100" t="s">
        <v>10024</v>
      </c>
      <c r="B2377" s="99" t="s">
        <v>10025</v>
      </c>
      <c r="C2377" s="99" t="s">
        <v>10026</v>
      </c>
      <c r="D2377" s="99" t="s">
        <v>10027</v>
      </c>
      <c r="E2377" s="100" t="s">
        <v>1808</v>
      </c>
      <c r="F2377" s="99"/>
      <c r="G2377" s="99"/>
      <c r="H2377" s="99"/>
      <c r="I2377" s="99" t="s">
        <v>1842</v>
      </c>
      <c r="J2377" s="99" t="str">
        <f t="shared" si="37"/>
        <v>不重复</v>
      </c>
      <c r="K2377" s="99" t="str">
        <f t="shared" si="37"/>
        <v>不重复</v>
      </c>
    </row>
    <row r="2378" spans="1:11" ht="20.25" customHeight="1">
      <c r="A2378" s="100" t="s">
        <v>1829</v>
      </c>
      <c r="B2378" s="99" t="s">
        <v>1830</v>
      </c>
      <c r="C2378" s="99" t="s">
        <v>10028</v>
      </c>
      <c r="D2378" s="99" t="s">
        <v>10029</v>
      </c>
      <c r="E2378" s="100" t="s">
        <v>1808</v>
      </c>
      <c r="F2378" s="99"/>
      <c r="G2378" s="99"/>
      <c r="H2378" s="99"/>
      <c r="I2378" s="99" t="s">
        <v>1831</v>
      </c>
      <c r="J2378" s="99" t="str">
        <f t="shared" si="37"/>
        <v>不重复</v>
      </c>
      <c r="K2378" s="99" t="str">
        <f t="shared" si="37"/>
        <v>不重复</v>
      </c>
    </row>
    <row r="2379" spans="1:11" ht="20.25" customHeight="1">
      <c r="A2379" s="100" t="s">
        <v>10030</v>
      </c>
      <c r="B2379" s="99" t="s">
        <v>10031</v>
      </c>
      <c r="C2379" s="99" t="s">
        <v>10032</v>
      </c>
      <c r="D2379" s="99" t="s">
        <v>10033</v>
      </c>
      <c r="E2379" s="100" t="s">
        <v>2468</v>
      </c>
      <c r="F2379" s="99"/>
      <c r="G2379" s="99"/>
      <c r="H2379" s="99"/>
      <c r="I2379" s="99"/>
      <c r="J2379" s="99" t="str">
        <f t="shared" si="37"/>
        <v>不重复</v>
      </c>
      <c r="K2379" s="99" t="str">
        <f t="shared" si="37"/>
        <v>不重复</v>
      </c>
    </row>
    <row r="2380" spans="1:11" ht="20.25" customHeight="1">
      <c r="A2380" s="100" t="s">
        <v>5234</v>
      </c>
      <c r="B2380" s="99" t="s">
        <v>10034</v>
      </c>
      <c r="C2380" s="99" t="s">
        <v>10035</v>
      </c>
      <c r="D2380" s="99" t="s">
        <v>5235</v>
      </c>
      <c r="E2380" s="100" t="s">
        <v>2468</v>
      </c>
      <c r="F2380" s="99"/>
      <c r="G2380" s="99"/>
      <c r="H2380" s="99"/>
      <c r="I2380" s="99" t="s">
        <v>2737</v>
      </c>
      <c r="J2380" s="99" t="str">
        <f t="shared" si="37"/>
        <v>不重复</v>
      </c>
      <c r="K2380" s="99" t="str">
        <f t="shared" si="37"/>
        <v>不重复</v>
      </c>
    </row>
    <row r="2381" spans="1:11" ht="20.25" customHeight="1">
      <c r="A2381" s="100" t="s">
        <v>10036</v>
      </c>
      <c r="B2381" s="99" t="s">
        <v>10037</v>
      </c>
      <c r="C2381" s="99" t="s">
        <v>10038</v>
      </c>
      <c r="D2381" s="99" t="s">
        <v>10039</v>
      </c>
      <c r="E2381" s="100" t="s">
        <v>2468</v>
      </c>
      <c r="F2381" s="99"/>
      <c r="G2381" s="99"/>
      <c r="H2381" s="99"/>
      <c r="I2381" s="99" t="s">
        <v>2499</v>
      </c>
      <c r="J2381" s="99" t="str">
        <f t="shared" si="37"/>
        <v>不重复</v>
      </c>
      <c r="K2381" s="99" t="str">
        <f t="shared" si="37"/>
        <v>不重复</v>
      </c>
    </row>
    <row r="2382" spans="1:11" ht="20.25" customHeight="1">
      <c r="A2382" s="100" t="s">
        <v>10040</v>
      </c>
      <c r="B2382" s="99" t="s">
        <v>10041</v>
      </c>
      <c r="C2382" s="99" t="s">
        <v>10042</v>
      </c>
      <c r="D2382" s="99" t="s">
        <v>10043</v>
      </c>
      <c r="E2382" s="100" t="s">
        <v>45</v>
      </c>
      <c r="F2382" s="99"/>
      <c r="G2382" s="99"/>
      <c r="H2382" s="99"/>
      <c r="I2382" s="99" t="s">
        <v>10044</v>
      </c>
      <c r="J2382" s="99" t="str">
        <f t="shared" si="37"/>
        <v>不重复</v>
      </c>
      <c r="K2382" s="99" t="str">
        <f t="shared" si="37"/>
        <v>不重复</v>
      </c>
    </row>
    <row r="2383" spans="1:11" ht="20.25" customHeight="1">
      <c r="A2383" s="100" t="s">
        <v>10045</v>
      </c>
      <c r="B2383" s="99" t="s">
        <v>10046</v>
      </c>
      <c r="C2383" s="99" t="s">
        <v>10047</v>
      </c>
      <c r="D2383" s="99" t="s">
        <v>10048</v>
      </c>
      <c r="E2383" s="100" t="s">
        <v>45</v>
      </c>
      <c r="F2383" s="99"/>
      <c r="G2383" s="99"/>
      <c r="H2383" s="99"/>
      <c r="I2383" s="99"/>
      <c r="J2383" s="99" t="str">
        <f t="shared" si="37"/>
        <v>不重复</v>
      </c>
      <c r="K2383" s="99" t="str">
        <f t="shared" si="37"/>
        <v>不重复</v>
      </c>
    </row>
    <row r="2384" spans="1:11" ht="20.25" customHeight="1">
      <c r="A2384" s="33" t="s">
        <v>4423</v>
      </c>
      <c r="B2384" s="34" t="s">
        <v>4424</v>
      </c>
      <c r="C2384" s="33" t="s">
        <v>3233</v>
      </c>
      <c r="D2384" s="33" t="s">
        <v>4425</v>
      </c>
      <c r="E2384" s="33" t="s">
        <v>4378</v>
      </c>
      <c r="F2384" s="33">
        <v>560512</v>
      </c>
      <c r="G2384" s="33">
        <v>5200000</v>
      </c>
      <c r="H2384" s="33"/>
      <c r="I2384" s="33" t="s">
        <v>933</v>
      </c>
      <c r="J2384" s="33" t="s">
        <v>5198</v>
      </c>
      <c r="K2384" s="33" t="s">
        <v>5197</v>
      </c>
    </row>
    <row r="2385" spans="1:11" ht="20.25" customHeight="1">
      <c r="A2385" s="33" t="s">
        <v>4426</v>
      </c>
      <c r="B2385" s="34" t="s">
        <v>4427</v>
      </c>
      <c r="C2385" s="33" t="s">
        <v>4428</v>
      </c>
      <c r="D2385" s="33" t="s">
        <v>4429</v>
      </c>
      <c r="E2385" s="33" t="s">
        <v>4378</v>
      </c>
      <c r="F2385" s="33">
        <v>560513</v>
      </c>
      <c r="G2385" s="33">
        <v>5200000</v>
      </c>
      <c r="H2385" s="33"/>
      <c r="I2385" s="33" t="s">
        <v>4420</v>
      </c>
      <c r="J2385" s="33" t="s">
        <v>5197</v>
      </c>
      <c r="K2385" s="33" t="s">
        <v>5198</v>
      </c>
    </row>
    <row r="2386" spans="1:11" ht="20.25" customHeight="1">
      <c r="A2386" s="33" t="s">
        <v>4430</v>
      </c>
      <c r="B2386" s="34" t="s">
        <v>4431</v>
      </c>
      <c r="C2386" s="33" t="s">
        <v>3806</v>
      </c>
      <c r="D2386" s="33" t="s">
        <v>4429</v>
      </c>
      <c r="E2386" s="33" t="s">
        <v>4378</v>
      </c>
      <c r="F2386" s="33">
        <v>560514</v>
      </c>
      <c r="G2386" s="33">
        <v>5200000</v>
      </c>
      <c r="H2386" s="33"/>
      <c r="I2386" s="33" t="s">
        <v>4432</v>
      </c>
      <c r="J2386" s="33" t="s">
        <v>5198</v>
      </c>
      <c r="K2386" s="33" t="s">
        <v>5198</v>
      </c>
    </row>
    <row r="2387" spans="1:11" ht="20.25" customHeight="1">
      <c r="A2387" s="33" t="s">
        <v>4433</v>
      </c>
      <c r="B2387" s="34" t="s">
        <v>4434</v>
      </c>
      <c r="C2387" s="33" t="s">
        <v>1198</v>
      </c>
      <c r="D2387" s="33" t="s">
        <v>4435</v>
      </c>
      <c r="E2387" s="33" t="s">
        <v>4378</v>
      </c>
      <c r="F2387" s="33">
        <v>560515</v>
      </c>
      <c r="G2387" s="33">
        <v>5200000</v>
      </c>
      <c r="H2387" s="33"/>
      <c r="I2387" s="33" t="s">
        <v>4436</v>
      </c>
      <c r="J2387" s="33" t="s">
        <v>5198</v>
      </c>
      <c r="K2387" s="33" t="s">
        <v>5197</v>
      </c>
    </row>
    <row r="2388" spans="1:11" ht="20.25" customHeight="1">
      <c r="A2388" s="33" t="s">
        <v>4437</v>
      </c>
      <c r="B2388" s="34" t="s">
        <v>4438</v>
      </c>
      <c r="C2388" s="33" t="s">
        <v>4439</v>
      </c>
      <c r="D2388" s="33" t="s">
        <v>4440</v>
      </c>
      <c r="E2388" s="33" t="s">
        <v>4378</v>
      </c>
      <c r="F2388" s="33">
        <v>560516</v>
      </c>
      <c r="G2388" s="33">
        <v>5200000</v>
      </c>
      <c r="H2388" s="33"/>
      <c r="I2388" s="33" t="s">
        <v>4441</v>
      </c>
      <c r="J2388" s="33" t="s">
        <v>5197</v>
      </c>
      <c r="K2388" s="33" t="s">
        <v>5198</v>
      </c>
    </row>
    <row r="2389" spans="1:11" ht="20.25" customHeight="1">
      <c r="A2389" s="33" t="s">
        <v>4442</v>
      </c>
      <c r="B2389" s="34" t="s">
        <v>4443</v>
      </c>
      <c r="C2389" s="33" t="s">
        <v>4444</v>
      </c>
      <c r="D2389" s="33" t="s">
        <v>4445</v>
      </c>
      <c r="E2389" s="33" t="s">
        <v>4378</v>
      </c>
      <c r="F2389" s="33">
        <v>560517</v>
      </c>
      <c r="G2389" s="33">
        <v>5200000</v>
      </c>
      <c r="H2389" s="33"/>
      <c r="I2389" s="33" t="s">
        <v>933</v>
      </c>
      <c r="J2389" s="33" t="s">
        <v>5198</v>
      </c>
      <c r="K2389" s="33" t="s">
        <v>5197</v>
      </c>
    </row>
    <row r="2390" spans="1:11" ht="20.25" customHeight="1">
      <c r="A2390" s="33" t="s">
        <v>4446</v>
      </c>
      <c r="B2390" s="34" t="s">
        <v>4447</v>
      </c>
      <c r="C2390" s="33" t="s">
        <v>4448</v>
      </c>
      <c r="D2390" s="33" t="s">
        <v>4449</v>
      </c>
      <c r="E2390" s="33" t="s">
        <v>4378</v>
      </c>
      <c r="F2390" s="33">
        <v>560518</v>
      </c>
      <c r="G2390" s="33">
        <v>5200000</v>
      </c>
      <c r="H2390" s="33"/>
      <c r="I2390" s="33" t="s">
        <v>4410</v>
      </c>
      <c r="J2390" s="33" t="s">
        <v>5197</v>
      </c>
      <c r="K2390" s="33" t="s">
        <v>5198</v>
      </c>
    </row>
    <row r="2391" spans="1:11" ht="20.25" customHeight="1">
      <c r="A2391" s="33" t="s">
        <v>4450</v>
      </c>
      <c r="B2391" s="34" t="s">
        <v>4451</v>
      </c>
      <c r="C2391" s="33" t="s">
        <v>4452</v>
      </c>
      <c r="D2391" s="33" t="s">
        <v>4453</v>
      </c>
      <c r="E2391" s="33" t="s">
        <v>4378</v>
      </c>
      <c r="F2391" s="33">
        <v>560519</v>
      </c>
      <c r="G2391" s="33">
        <v>5200000</v>
      </c>
      <c r="H2391" s="33"/>
      <c r="I2391" s="33" t="s">
        <v>4420</v>
      </c>
      <c r="J2391" s="33" t="s">
        <v>5197</v>
      </c>
      <c r="K2391" s="33" t="s">
        <v>5198</v>
      </c>
    </row>
    <row r="2392" spans="1:11" ht="20.25" customHeight="1">
      <c r="A2392" s="33" t="s">
        <v>4454</v>
      </c>
      <c r="B2392" s="34" t="s">
        <v>4455</v>
      </c>
      <c r="C2392" s="33" t="s">
        <v>4456</v>
      </c>
      <c r="D2392" s="33" t="s">
        <v>4457</v>
      </c>
      <c r="E2392" s="33" t="s">
        <v>4378</v>
      </c>
      <c r="F2392" s="33">
        <v>560520</v>
      </c>
      <c r="G2392" s="33">
        <v>5200000</v>
      </c>
      <c r="H2392" s="33"/>
      <c r="I2392" s="33" t="s">
        <v>4397</v>
      </c>
      <c r="J2392" s="33" t="s">
        <v>5197</v>
      </c>
      <c r="K2392" s="33" t="s">
        <v>5197</v>
      </c>
    </row>
    <row r="2393" spans="1:11" ht="20.25" customHeight="1">
      <c r="A2393" s="33" t="s">
        <v>4458</v>
      </c>
      <c r="B2393" s="34" t="s">
        <v>4459</v>
      </c>
      <c r="C2393" s="33" t="s">
        <v>3308</v>
      </c>
      <c r="D2393" s="33" t="s">
        <v>4460</v>
      </c>
      <c r="E2393" s="33" t="s">
        <v>4378</v>
      </c>
      <c r="F2393" s="33">
        <v>560521</v>
      </c>
      <c r="G2393" s="33">
        <v>5200000</v>
      </c>
      <c r="H2393" s="33"/>
      <c r="I2393" s="33" t="s">
        <v>4405</v>
      </c>
      <c r="J2393" s="33" t="s">
        <v>5198</v>
      </c>
      <c r="K2393" s="33" t="s">
        <v>5197</v>
      </c>
    </row>
    <row r="2394" spans="1:11" ht="20.25" customHeight="1">
      <c r="A2394" s="33" t="s">
        <v>4461</v>
      </c>
      <c r="B2394" s="34" t="s">
        <v>4462</v>
      </c>
      <c r="C2394" s="33" t="s">
        <v>4444</v>
      </c>
      <c r="D2394" s="33" t="s">
        <v>4463</v>
      </c>
      <c r="E2394" s="33" t="s">
        <v>4378</v>
      </c>
      <c r="F2394" s="33">
        <v>560522</v>
      </c>
      <c r="G2394" s="33">
        <v>5200000</v>
      </c>
      <c r="H2394" s="33"/>
      <c r="I2394" s="33" t="s">
        <v>933</v>
      </c>
      <c r="J2394" s="33" t="s">
        <v>5198</v>
      </c>
      <c r="K2394" s="33" t="s">
        <v>5197</v>
      </c>
    </row>
    <row r="2395" spans="1:11" ht="20.25" customHeight="1">
      <c r="A2395" s="33" t="s">
        <v>4464</v>
      </c>
      <c r="B2395" s="34" t="s">
        <v>4465</v>
      </c>
      <c r="C2395" s="33" t="s">
        <v>1544</v>
      </c>
      <c r="D2395" s="33" t="s">
        <v>4453</v>
      </c>
      <c r="E2395" s="33" t="s">
        <v>4378</v>
      </c>
      <c r="F2395" s="33">
        <v>560523</v>
      </c>
      <c r="G2395" s="33">
        <v>5200000</v>
      </c>
      <c r="H2395" s="33"/>
      <c r="I2395" s="33" t="s">
        <v>4466</v>
      </c>
      <c r="J2395" s="33" t="s">
        <v>5198</v>
      </c>
      <c r="K2395" s="33" t="s">
        <v>5198</v>
      </c>
    </row>
    <row r="2396" spans="1:11" ht="20.25" customHeight="1">
      <c r="A2396" s="33" t="s">
        <v>4467</v>
      </c>
      <c r="B2396" s="34" t="s">
        <v>4468</v>
      </c>
      <c r="C2396" s="33" t="s">
        <v>4469</v>
      </c>
      <c r="D2396" s="33" t="s">
        <v>4470</v>
      </c>
      <c r="E2396" s="33" t="s">
        <v>4378</v>
      </c>
      <c r="F2396" s="33">
        <v>560524</v>
      </c>
      <c r="G2396" s="33">
        <v>5200000</v>
      </c>
      <c r="H2396" s="33"/>
      <c r="I2396" s="33" t="s">
        <v>4466</v>
      </c>
      <c r="J2396" s="33" t="s">
        <v>5198</v>
      </c>
      <c r="K2396" s="33" t="s">
        <v>5197</v>
      </c>
    </row>
    <row r="2397" spans="1:11" ht="20.25" customHeight="1">
      <c r="A2397" s="33" t="s">
        <v>4471</v>
      </c>
      <c r="B2397" s="34" t="s">
        <v>4472</v>
      </c>
      <c r="C2397" s="33" t="s">
        <v>1920</v>
      </c>
      <c r="D2397" s="33" t="s">
        <v>4440</v>
      </c>
      <c r="E2397" s="33" t="s">
        <v>4378</v>
      </c>
      <c r="F2397" s="33">
        <v>560525</v>
      </c>
      <c r="G2397" s="33">
        <v>5200000</v>
      </c>
      <c r="H2397" s="33"/>
      <c r="I2397" s="33" t="s">
        <v>4405</v>
      </c>
      <c r="J2397" s="33" t="s">
        <v>5198</v>
      </c>
      <c r="K2397" s="33" t="s">
        <v>5198</v>
      </c>
    </row>
    <row r="2398" spans="1:11" ht="20.25" customHeight="1">
      <c r="A2398" s="33" t="s">
        <v>4473</v>
      </c>
      <c r="B2398" s="34" t="s">
        <v>4474</v>
      </c>
      <c r="C2398" s="33" t="s">
        <v>4475</v>
      </c>
      <c r="D2398" s="33" t="s">
        <v>4449</v>
      </c>
      <c r="E2398" s="33" t="s">
        <v>4378</v>
      </c>
      <c r="F2398" s="33">
        <v>560526</v>
      </c>
      <c r="G2398" s="33">
        <v>5200000</v>
      </c>
      <c r="H2398" s="33"/>
      <c r="I2398" s="33" t="s">
        <v>4420</v>
      </c>
      <c r="J2398" s="33" t="s">
        <v>5197</v>
      </c>
      <c r="K2398" s="33" t="s">
        <v>5198</v>
      </c>
    </row>
    <row r="2399" spans="1:11" ht="20.25" customHeight="1">
      <c r="A2399" s="33" t="s">
        <v>4476</v>
      </c>
      <c r="B2399" s="34" t="s">
        <v>4477</v>
      </c>
      <c r="C2399" s="33" t="s">
        <v>4478</v>
      </c>
      <c r="D2399" s="33" t="s">
        <v>4479</v>
      </c>
      <c r="E2399" s="33" t="s">
        <v>4378</v>
      </c>
      <c r="F2399" s="33">
        <v>560527</v>
      </c>
      <c r="G2399" s="33">
        <v>5200000</v>
      </c>
      <c r="H2399" s="33"/>
      <c r="I2399" s="33" t="s">
        <v>4480</v>
      </c>
      <c r="J2399" s="33" t="s">
        <v>5197</v>
      </c>
      <c r="K2399" s="33" t="s">
        <v>5197</v>
      </c>
    </row>
    <row r="2400" spans="1:11" ht="20.25" customHeight="1">
      <c r="A2400" s="33" t="s">
        <v>4481</v>
      </c>
      <c r="B2400" s="34" t="s">
        <v>4482</v>
      </c>
      <c r="C2400" s="33" t="s">
        <v>4469</v>
      </c>
      <c r="D2400" s="33" t="s">
        <v>4483</v>
      </c>
      <c r="E2400" s="33" t="s">
        <v>4378</v>
      </c>
      <c r="F2400" s="33">
        <v>560528</v>
      </c>
      <c r="G2400" s="33">
        <v>5200000</v>
      </c>
      <c r="H2400" s="33"/>
      <c r="I2400" s="33" t="s">
        <v>4405</v>
      </c>
      <c r="J2400" s="33" t="s">
        <v>5198</v>
      </c>
      <c r="K2400" s="33" t="s">
        <v>5197</v>
      </c>
    </row>
    <row r="2401" spans="1:11" ht="20.25" customHeight="1">
      <c r="A2401" s="33" t="s">
        <v>4484</v>
      </c>
      <c r="B2401" s="34" t="s">
        <v>4485</v>
      </c>
      <c r="C2401" s="33" t="s">
        <v>3470</v>
      </c>
      <c r="D2401" s="33" t="s">
        <v>4486</v>
      </c>
      <c r="E2401" s="33" t="s">
        <v>4378</v>
      </c>
      <c r="F2401" s="33">
        <v>560529</v>
      </c>
      <c r="G2401" s="33">
        <v>5200000</v>
      </c>
      <c r="H2401" s="33"/>
      <c r="I2401" s="33" t="s">
        <v>4487</v>
      </c>
      <c r="J2401" s="33" t="s">
        <v>5198</v>
      </c>
      <c r="K2401" s="33" t="s">
        <v>5197</v>
      </c>
    </row>
    <row r="2402" spans="1:11" ht="20.25" customHeight="1">
      <c r="A2402" s="33" t="s">
        <v>4488</v>
      </c>
      <c r="B2402" s="34" t="s">
        <v>4489</v>
      </c>
      <c r="C2402" s="33" t="s">
        <v>4490</v>
      </c>
      <c r="D2402" s="33" t="s">
        <v>4491</v>
      </c>
      <c r="E2402" s="33" t="s">
        <v>4378</v>
      </c>
      <c r="F2402" s="33">
        <v>560599</v>
      </c>
      <c r="G2402" s="33">
        <v>5200000</v>
      </c>
      <c r="H2402" s="33"/>
      <c r="I2402" s="33" t="s">
        <v>25</v>
      </c>
      <c r="J2402" s="33" t="s">
        <v>5197</v>
      </c>
      <c r="K2402" s="33" t="s">
        <v>5198</v>
      </c>
    </row>
    <row r="2403" spans="1:11" ht="20.25" customHeight="1">
      <c r="A2403" s="33" t="s">
        <v>5260</v>
      </c>
      <c r="B2403" s="34" t="s">
        <v>5261</v>
      </c>
      <c r="C2403" s="33" t="s">
        <v>4492</v>
      </c>
      <c r="D2403" s="33" t="s">
        <v>5262</v>
      </c>
      <c r="E2403" s="33" t="s">
        <v>4378</v>
      </c>
      <c r="F2403" s="33">
        <v>569999</v>
      </c>
      <c r="G2403" s="33">
        <v>5200000</v>
      </c>
      <c r="H2403" s="33"/>
      <c r="I2403" s="33" t="s">
        <v>25</v>
      </c>
      <c r="J2403" s="33" t="s">
        <v>5197</v>
      </c>
      <c r="K2403" s="33" t="s">
        <v>5197</v>
      </c>
    </row>
    <row r="2404" spans="1:11" ht="20.25" customHeight="1">
      <c r="A2404" s="33" t="s">
        <v>4493</v>
      </c>
      <c r="B2404" s="34" t="s">
        <v>4494</v>
      </c>
      <c r="C2404" s="33" t="s">
        <v>4495</v>
      </c>
      <c r="D2404" s="33" t="s">
        <v>4496</v>
      </c>
      <c r="E2404" s="33" t="s">
        <v>4497</v>
      </c>
      <c r="F2404" s="33">
        <v>600101</v>
      </c>
      <c r="G2404" s="33">
        <v>5230100</v>
      </c>
      <c r="H2404" s="33"/>
      <c r="I2404" s="33" t="s">
        <v>4498</v>
      </c>
      <c r="J2404" s="33" t="s">
        <v>5197</v>
      </c>
      <c r="K2404" s="33" t="s">
        <v>5197</v>
      </c>
    </row>
    <row r="2405" spans="1:11" ht="20.25" customHeight="1">
      <c r="A2405" s="33" t="s">
        <v>4499</v>
      </c>
      <c r="B2405" s="34" t="s">
        <v>4500</v>
      </c>
      <c r="C2405" s="33" t="s">
        <v>2739</v>
      </c>
      <c r="D2405" s="33" t="s">
        <v>4501</v>
      </c>
      <c r="E2405" s="33" t="s">
        <v>4497</v>
      </c>
      <c r="F2405" s="33">
        <v>600102</v>
      </c>
      <c r="G2405" s="33">
        <v>5230100</v>
      </c>
      <c r="H2405" s="33"/>
      <c r="I2405" s="33" t="s">
        <v>4502</v>
      </c>
      <c r="J2405" s="33" t="s">
        <v>5198</v>
      </c>
      <c r="K2405" s="33" t="s">
        <v>5197</v>
      </c>
    </row>
    <row r="2406" spans="1:11" ht="20.25" customHeight="1">
      <c r="A2406" s="33" t="s">
        <v>4503</v>
      </c>
      <c r="B2406" s="34" t="s">
        <v>4504</v>
      </c>
      <c r="C2406" s="33" t="s">
        <v>2472</v>
      </c>
      <c r="D2406" s="33" t="s">
        <v>4505</v>
      </c>
      <c r="E2406" s="33" t="s">
        <v>4497</v>
      </c>
      <c r="F2406" s="33">
        <v>600103</v>
      </c>
      <c r="G2406" s="33">
        <v>5230100</v>
      </c>
      <c r="H2406" s="33"/>
      <c r="I2406" s="33" t="s">
        <v>4506</v>
      </c>
      <c r="J2406" s="33" t="s">
        <v>5198</v>
      </c>
      <c r="K2406" s="33" t="s">
        <v>5197</v>
      </c>
    </row>
    <row r="2407" spans="1:11" ht="20.25" customHeight="1">
      <c r="A2407" s="33" t="s">
        <v>4507</v>
      </c>
      <c r="B2407" s="34" t="s">
        <v>4508</v>
      </c>
      <c r="C2407" s="33" t="s">
        <v>4509</v>
      </c>
      <c r="D2407" s="33" t="s">
        <v>4510</v>
      </c>
      <c r="E2407" s="33" t="s">
        <v>4497</v>
      </c>
      <c r="F2407" s="33">
        <v>600104</v>
      </c>
      <c r="G2407" s="33">
        <v>5230100</v>
      </c>
      <c r="H2407" s="33"/>
      <c r="I2407" s="33" t="s">
        <v>4383</v>
      </c>
      <c r="J2407" s="33" t="s">
        <v>5197</v>
      </c>
      <c r="K2407" s="33" t="s">
        <v>5198</v>
      </c>
    </row>
    <row r="2408" spans="1:11" ht="20.25" customHeight="1">
      <c r="A2408" s="33" t="s">
        <v>4511</v>
      </c>
      <c r="B2408" s="34" t="s">
        <v>4512</v>
      </c>
      <c r="C2408" s="33" t="s">
        <v>4513</v>
      </c>
      <c r="D2408" s="33" t="s">
        <v>4514</v>
      </c>
      <c r="E2408" s="33" t="s">
        <v>4497</v>
      </c>
      <c r="F2408" s="33">
        <v>600105</v>
      </c>
      <c r="G2408" s="33">
        <v>5230100</v>
      </c>
      <c r="H2408" s="33"/>
      <c r="I2408" s="33" t="s">
        <v>4506</v>
      </c>
      <c r="J2408" s="33" t="s">
        <v>5197</v>
      </c>
      <c r="K2408" s="33" t="s">
        <v>5197</v>
      </c>
    </row>
    <row r="2409" spans="1:11" ht="20.25" customHeight="1">
      <c r="A2409" s="33" t="s">
        <v>4515</v>
      </c>
      <c r="B2409" s="34" t="s">
        <v>4516</v>
      </c>
      <c r="C2409" s="33" t="s">
        <v>4069</v>
      </c>
      <c r="D2409" s="33" t="s">
        <v>4517</v>
      </c>
      <c r="E2409" s="33" t="s">
        <v>4497</v>
      </c>
      <c r="F2409" s="33">
        <v>600106</v>
      </c>
      <c r="G2409" s="33">
        <v>5230100</v>
      </c>
      <c r="H2409" s="33"/>
      <c r="I2409" s="33" t="s">
        <v>4506</v>
      </c>
      <c r="J2409" s="33" t="s">
        <v>5198</v>
      </c>
      <c r="K2409" s="33" t="s">
        <v>5197</v>
      </c>
    </row>
    <row r="2410" spans="1:11" ht="20.25" customHeight="1">
      <c r="A2410" s="33" t="s">
        <v>4518</v>
      </c>
      <c r="B2410" s="34" t="s">
        <v>4519</v>
      </c>
      <c r="C2410" s="33" t="s">
        <v>627</v>
      </c>
      <c r="D2410" s="33" t="s">
        <v>4520</v>
      </c>
      <c r="E2410" s="33" t="s">
        <v>4497</v>
      </c>
      <c r="F2410" s="33">
        <v>600107</v>
      </c>
      <c r="G2410" s="33">
        <v>5230100</v>
      </c>
      <c r="H2410" s="33"/>
      <c r="I2410" s="33" t="s">
        <v>4502</v>
      </c>
      <c r="J2410" s="33" t="s">
        <v>5198</v>
      </c>
      <c r="K2410" s="33" t="s">
        <v>5197</v>
      </c>
    </row>
    <row r="2411" spans="1:11" ht="20.25" customHeight="1">
      <c r="A2411" s="33" t="s">
        <v>4521</v>
      </c>
      <c r="B2411" s="34" t="s">
        <v>4522</v>
      </c>
      <c r="C2411" s="33" t="s">
        <v>4523</v>
      </c>
      <c r="D2411" s="33" t="s">
        <v>4524</v>
      </c>
      <c r="E2411" s="33" t="s">
        <v>4497</v>
      </c>
      <c r="F2411" s="33">
        <v>600108</v>
      </c>
      <c r="G2411" s="33">
        <v>5230100</v>
      </c>
      <c r="H2411" s="33"/>
      <c r="I2411" s="33" t="s">
        <v>4466</v>
      </c>
      <c r="J2411" s="33" t="s">
        <v>5197</v>
      </c>
      <c r="K2411" s="33" t="s">
        <v>5197</v>
      </c>
    </row>
    <row r="2412" spans="1:11" ht="20.25" customHeight="1">
      <c r="A2412" s="33" t="s">
        <v>4525</v>
      </c>
      <c r="B2412" s="34" t="s">
        <v>4526</v>
      </c>
      <c r="C2412" s="33" t="s">
        <v>4527</v>
      </c>
      <c r="D2412" s="33" t="s">
        <v>4510</v>
      </c>
      <c r="E2412" s="33" t="s">
        <v>4497</v>
      </c>
      <c r="F2412" s="33">
        <v>600109</v>
      </c>
      <c r="G2412" s="33">
        <v>5230100</v>
      </c>
      <c r="H2412" s="33"/>
      <c r="I2412" s="33" t="s">
        <v>377</v>
      </c>
      <c r="J2412" s="33" t="s">
        <v>5197</v>
      </c>
      <c r="K2412" s="33" t="s">
        <v>5198</v>
      </c>
    </row>
    <row r="2413" spans="1:11" ht="20.25" customHeight="1">
      <c r="A2413" s="33" t="s">
        <v>4528</v>
      </c>
      <c r="B2413" s="34" t="s">
        <v>4529</v>
      </c>
      <c r="C2413" s="33" t="s">
        <v>4530</v>
      </c>
      <c r="D2413" s="33" t="s">
        <v>4531</v>
      </c>
      <c r="E2413" s="33" t="s">
        <v>4497</v>
      </c>
      <c r="F2413" s="33">
        <v>600110</v>
      </c>
      <c r="G2413" s="33">
        <v>5230100</v>
      </c>
      <c r="H2413" s="33"/>
      <c r="I2413" s="33" t="s">
        <v>4532</v>
      </c>
      <c r="J2413" s="33" t="s">
        <v>5197</v>
      </c>
      <c r="K2413" s="33" t="s">
        <v>5197</v>
      </c>
    </row>
    <row r="2414" spans="1:11" ht="20.25" customHeight="1">
      <c r="A2414" s="33" t="s">
        <v>4533</v>
      </c>
      <c r="B2414" s="34" t="s">
        <v>4534</v>
      </c>
      <c r="C2414" s="33" t="s">
        <v>1953</v>
      </c>
      <c r="D2414" s="33" t="s">
        <v>4535</v>
      </c>
      <c r="E2414" s="33" t="s">
        <v>4497</v>
      </c>
      <c r="F2414" s="33">
        <v>600111</v>
      </c>
      <c r="G2414" s="33">
        <v>5230100</v>
      </c>
      <c r="H2414" s="33"/>
      <c r="I2414" s="33" t="s">
        <v>1905</v>
      </c>
      <c r="J2414" s="33" t="s">
        <v>5198</v>
      </c>
      <c r="K2414" s="33" t="s">
        <v>5197</v>
      </c>
    </row>
    <row r="2415" spans="1:11" ht="20.25" customHeight="1">
      <c r="A2415" s="33" t="s">
        <v>4536</v>
      </c>
      <c r="B2415" s="34" t="s">
        <v>5263</v>
      </c>
      <c r="C2415" s="33" t="s">
        <v>1579</v>
      </c>
      <c r="D2415" s="33" t="s">
        <v>5264</v>
      </c>
      <c r="E2415" s="33" t="s">
        <v>4497</v>
      </c>
      <c r="F2415" s="33">
        <v>600199</v>
      </c>
      <c r="G2415" s="33">
        <v>5230100</v>
      </c>
      <c r="H2415" s="33"/>
      <c r="I2415" s="33" t="s">
        <v>25</v>
      </c>
      <c r="J2415" s="33" t="s">
        <v>5198</v>
      </c>
      <c r="K2415" s="33" t="s">
        <v>5197</v>
      </c>
    </row>
    <row r="2416" spans="1:11" ht="20.25" customHeight="1">
      <c r="A2416" s="33" t="s">
        <v>4537</v>
      </c>
      <c r="B2416" s="34" t="s">
        <v>4538</v>
      </c>
      <c r="C2416" s="33" t="s">
        <v>2350</v>
      </c>
      <c r="D2416" s="33" t="s">
        <v>4539</v>
      </c>
      <c r="E2416" s="33" t="s">
        <v>4497</v>
      </c>
      <c r="F2416" s="33">
        <v>601801</v>
      </c>
      <c r="G2416" s="33">
        <v>5230100</v>
      </c>
      <c r="H2416" s="33"/>
      <c r="I2416" s="33" t="s">
        <v>4540</v>
      </c>
      <c r="J2416" s="33" t="s">
        <v>5198</v>
      </c>
      <c r="K2416" s="33" t="s">
        <v>5197</v>
      </c>
    </row>
    <row r="2417" spans="1:11" ht="20.25" customHeight="1">
      <c r="A2417" s="33" t="s">
        <v>4541</v>
      </c>
      <c r="B2417" s="34" t="s">
        <v>4542</v>
      </c>
      <c r="C2417" s="33" t="s">
        <v>4543</v>
      </c>
      <c r="D2417" s="33" t="s">
        <v>4544</v>
      </c>
      <c r="E2417" s="33" t="s">
        <v>4497</v>
      </c>
      <c r="F2417" s="33">
        <v>601901</v>
      </c>
      <c r="G2417" s="33">
        <v>5230100</v>
      </c>
      <c r="H2417" s="33"/>
      <c r="I2417" s="33" t="s">
        <v>1562</v>
      </c>
      <c r="J2417" s="33" t="s">
        <v>5197</v>
      </c>
      <c r="K2417" s="33" t="s">
        <v>5197</v>
      </c>
    </row>
    <row r="2418" spans="1:11" ht="20.25" customHeight="1">
      <c r="A2418" s="33" t="s">
        <v>4545</v>
      </c>
      <c r="B2418" s="34" t="s">
        <v>4546</v>
      </c>
      <c r="C2418" s="33" t="s">
        <v>2670</v>
      </c>
      <c r="D2418" s="33" t="s">
        <v>4547</v>
      </c>
      <c r="E2418" s="33" t="s">
        <v>4497</v>
      </c>
      <c r="F2418" s="33">
        <v>602001</v>
      </c>
      <c r="G2418" s="33">
        <v>5230100</v>
      </c>
      <c r="H2418" s="33"/>
      <c r="I2418" s="33" t="s">
        <v>4548</v>
      </c>
      <c r="J2418" s="33" t="s">
        <v>5198</v>
      </c>
      <c r="K2418" s="33" t="s">
        <v>5197</v>
      </c>
    </row>
    <row r="2419" spans="1:11" ht="20.25" customHeight="1">
      <c r="A2419" s="33" t="s">
        <v>4549</v>
      </c>
      <c r="B2419" s="34" t="s">
        <v>4550</v>
      </c>
      <c r="C2419" s="33" t="s">
        <v>4551</v>
      </c>
      <c r="D2419" s="33" t="s">
        <v>4552</v>
      </c>
      <c r="E2419" s="33" t="s">
        <v>4497</v>
      </c>
      <c r="F2419" s="33">
        <v>602101</v>
      </c>
      <c r="G2419" s="33">
        <v>5230100</v>
      </c>
      <c r="H2419" s="33"/>
      <c r="I2419" s="33" t="s">
        <v>4502</v>
      </c>
      <c r="J2419" s="33" t="s">
        <v>5197</v>
      </c>
      <c r="K2419" s="33" t="s">
        <v>5197</v>
      </c>
    </row>
    <row r="2420" spans="1:11" ht="20.25" customHeight="1">
      <c r="A2420" s="33" t="s">
        <v>4553</v>
      </c>
      <c r="B2420" s="34" t="s">
        <v>4554</v>
      </c>
      <c r="C2420" s="33" t="s">
        <v>2676</v>
      </c>
      <c r="D2420" s="33" t="s">
        <v>4555</v>
      </c>
      <c r="E2420" s="33" t="s">
        <v>4497</v>
      </c>
      <c r="F2420" s="33">
        <v>602201</v>
      </c>
      <c r="G2420" s="33">
        <v>5230100</v>
      </c>
      <c r="H2420" s="33"/>
      <c r="I2420" s="33" t="s">
        <v>4506</v>
      </c>
      <c r="J2420" s="33" t="s">
        <v>5198</v>
      </c>
      <c r="K2420" s="33" t="s">
        <v>5197</v>
      </c>
    </row>
    <row r="2421" spans="1:11" ht="20.25" customHeight="1">
      <c r="A2421" s="33" t="s">
        <v>4556</v>
      </c>
      <c r="B2421" s="34" t="s">
        <v>4557</v>
      </c>
      <c r="C2421" s="33" t="s">
        <v>4558</v>
      </c>
      <c r="D2421" s="33" t="s">
        <v>4559</v>
      </c>
      <c r="E2421" s="33" t="s">
        <v>4497</v>
      </c>
      <c r="F2421" s="33">
        <v>602202</v>
      </c>
      <c r="G2421" s="33">
        <v>5230100</v>
      </c>
      <c r="H2421" s="33"/>
      <c r="I2421" s="33" t="s">
        <v>4506</v>
      </c>
      <c r="J2421" s="33" t="s">
        <v>5198</v>
      </c>
      <c r="K2421" s="33" t="s">
        <v>5197</v>
      </c>
    </row>
    <row r="2422" spans="1:11" ht="20.25" customHeight="1">
      <c r="A2422" s="33" t="s">
        <v>4560</v>
      </c>
      <c r="B2422" s="34" t="s">
        <v>4561</v>
      </c>
      <c r="C2422" s="33" t="s">
        <v>4558</v>
      </c>
      <c r="D2422" s="33" t="s">
        <v>4562</v>
      </c>
      <c r="E2422" s="33" t="s">
        <v>4497</v>
      </c>
      <c r="F2422" s="33">
        <v>602203</v>
      </c>
      <c r="G2422" s="33">
        <v>5230100</v>
      </c>
      <c r="H2422" s="33"/>
      <c r="I2422" s="33" t="s">
        <v>4502</v>
      </c>
      <c r="J2422" s="33" t="s">
        <v>5198</v>
      </c>
      <c r="K2422" s="33" t="s">
        <v>5197</v>
      </c>
    </row>
    <row r="2423" spans="1:11" ht="20.25" customHeight="1">
      <c r="A2423" s="33" t="s">
        <v>4563</v>
      </c>
      <c r="B2423" s="34" t="s">
        <v>4564</v>
      </c>
      <c r="C2423" s="33" t="s">
        <v>4565</v>
      </c>
      <c r="D2423" s="33" t="s">
        <v>4566</v>
      </c>
      <c r="E2423" s="33" t="s">
        <v>4497</v>
      </c>
      <c r="F2423" s="33">
        <v>602204</v>
      </c>
      <c r="G2423" s="33">
        <v>5230100</v>
      </c>
      <c r="H2423" s="33"/>
      <c r="I2423" s="33" t="s">
        <v>4567</v>
      </c>
      <c r="J2423" s="33" t="s">
        <v>5197</v>
      </c>
      <c r="K2423" s="33" t="s">
        <v>5197</v>
      </c>
    </row>
    <row r="2424" spans="1:11" ht="20.25" customHeight="1">
      <c r="A2424" s="33" t="s">
        <v>4568</v>
      </c>
      <c r="B2424" s="34" t="s">
        <v>4569</v>
      </c>
      <c r="C2424" s="33" t="s">
        <v>4043</v>
      </c>
      <c r="D2424" s="33" t="s">
        <v>4570</v>
      </c>
      <c r="E2424" s="33" t="s">
        <v>4497</v>
      </c>
      <c r="F2424" s="33">
        <v>602205</v>
      </c>
      <c r="G2424" s="33">
        <v>5230100</v>
      </c>
      <c r="H2424" s="33"/>
      <c r="I2424" s="33" t="s">
        <v>4548</v>
      </c>
      <c r="J2424" s="33" t="s">
        <v>5198</v>
      </c>
      <c r="K2424" s="33" t="s">
        <v>5198</v>
      </c>
    </row>
    <row r="2425" spans="1:11" ht="20.25" customHeight="1">
      <c r="A2425" s="33" t="s">
        <v>4571</v>
      </c>
      <c r="B2425" s="34" t="s">
        <v>4569</v>
      </c>
      <c r="C2425" s="33" t="s">
        <v>4043</v>
      </c>
      <c r="D2425" s="33" t="s">
        <v>4570</v>
      </c>
      <c r="E2425" s="33" t="s">
        <v>4497</v>
      </c>
      <c r="F2425" s="33">
        <v>602206</v>
      </c>
      <c r="G2425" s="33">
        <v>5230100</v>
      </c>
      <c r="H2425" s="33"/>
      <c r="I2425" s="33" t="s">
        <v>4572</v>
      </c>
      <c r="J2425" s="33" t="s">
        <v>5198</v>
      </c>
      <c r="K2425" s="33" t="s">
        <v>5198</v>
      </c>
    </row>
    <row r="2426" spans="1:11" ht="20.25" customHeight="1">
      <c r="A2426" s="33" t="s">
        <v>4573</v>
      </c>
      <c r="B2426" s="34" t="s">
        <v>4574</v>
      </c>
      <c r="C2426" s="33" t="s">
        <v>4575</v>
      </c>
      <c r="D2426" s="33" t="s">
        <v>4576</v>
      </c>
      <c r="E2426" s="33" t="s">
        <v>4497</v>
      </c>
      <c r="F2426" s="33">
        <v>602207</v>
      </c>
      <c r="G2426" s="33">
        <v>5230100</v>
      </c>
      <c r="H2426" s="33"/>
      <c r="I2426" s="33" t="s">
        <v>4502</v>
      </c>
      <c r="J2426" s="33" t="s">
        <v>5197</v>
      </c>
      <c r="K2426" s="33" t="s">
        <v>5197</v>
      </c>
    </row>
    <row r="2427" spans="1:11" ht="20.25" customHeight="1">
      <c r="A2427" s="33" t="s">
        <v>4577</v>
      </c>
      <c r="B2427" s="34" t="s">
        <v>4578</v>
      </c>
      <c r="C2427" s="33" t="s">
        <v>1574</v>
      </c>
      <c r="D2427" s="33" t="s">
        <v>4579</v>
      </c>
      <c r="E2427" s="33" t="s">
        <v>4497</v>
      </c>
      <c r="F2427" s="33">
        <v>602208</v>
      </c>
      <c r="G2427" s="33">
        <v>5230100</v>
      </c>
      <c r="H2427" s="33"/>
      <c r="I2427" s="33" t="s">
        <v>4502</v>
      </c>
      <c r="J2427" s="33" t="s">
        <v>5198</v>
      </c>
      <c r="K2427" s="33" t="s">
        <v>5197</v>
      </c>
    </row>
    <row r="2428" spans="1:11" ht="20.25" customHeight="1">
      <c r="A2428" s="33" t="s">
        <v>4580</v>
      </c>
      <c r="B2428" s="34" t="s">
        <v>4581</v>
      </c>
      <c r="C2428" s="33" t="s">
        <v>1076</v>
      </c>
      <c r="D2428" s="33" t="s">
        <v>4582</v>
      </c>
      <c r="E2428" s="33" t="s">
        <v>4497</v>
      </c>
      <c r="F2428" s="33">
        <v>602209</v>
      </c>
      <c r="G2428" s="33">
        <v>5230100</v>
      </c>
      <c r="H2428" s="33"/>
      <c r="I2428" s="33" t="s">
        <v>4502</v>
      </c>
      <c r="J2428" s="33" t="s">
        <v>5198</v>
      </c>
      <c r="K2428" s="33" t="s">
        <v>5197</v>
      </c>
    </row>
    <row r="2429" spans="1:11" ht="20.25" customHeight="1">
      <c r="A2429" s="33" t="s">
        <v>4583</v>
      </c>
      <c r="B2429" s="34" t="s">
        <v>4584</v>
      </c>
      <c r="C2429" s="33" t="s">
        <v>4585</v>
      </c>
      <c r="D2429" s="33" t="s">
        <v>4586</v>
      </c>
      <c r="E2429" s="33" t="s">
        <v>4497</v>
      </c>
      <c r="F2429" s="33">
        <v>602210</v>
      </c>
      <c r="G2429" s="33">
        <v>5230100</v>
      </c>
      <c r="H2429" s="33"/>
      <c r="I2429" s="33" t="s">
        <v>4506</v>
      </c>
      <c r="J2429" s="33" t="s">
        <v>5197</v>
      </c>
      <c r="K2429" s="33" t="s">
        <v>5197</v>
      </c>
    </row>
    <row r="2430" spans="1:11" ht="20.25" customHeight="1">
      <c r="A2430" s="33" t="s">
        <v>4587</v>
      </c>
      <c r="B2430" s="34" t="s">
        <v>4588</v>
      </c>
      <c r="C2430" s="33" t="s">
        <v>1548</v>
      </c>
      <c r="D2430" s="33" t="s">
        <v>4589</v>
      </c>
      <c r="E2430" s="33" t="s">
        <v>4497</v>
      </c>
      <c r="F2430" s="33">
        <v>602299</v>
      </c>
      <c r="G2430" s="33">
        <v>5230100</v>
      </c>
      <c r="H2430" s="33"/>
      <c r="I2430" s="33" t="s">
        <v>25</v>
      </c>
      <c r="J2430" s="33" t="s">
        <v>5198</v>
      </c>
      <c r="K2430" s="33" t="s">
        <v>5197</v>
      </c>
    </row>
    <row r="2431" spans="1:11" ht="20.25" customHeight="1">
      <c r="A2431" s="33" t="s">
        <v>4590</v>
      </c>
      <c r="B2431" s="34" t="s">
        <v>4591</v>
      </c>
      <c r="C2431" s="33" t="s">
        <v>2353</v>
      </c>
      <c r="D2431" s="33" t="s">
        <v>4592</v>
      </c>
      <c r="E2431" s="33" t="s">
        <v>4497</v>
      </c>
      <c r="F2431" s="33">
        <v>602301</v>
      </c>
      <c r="G2431" s="33">
        <v>5230100</v>
      </c>
      <c r="H2431" s="33"/>
      <c r="I2431" s="33" t="s">
        <v>4548</v>
      </c>
      <c r="J2431" s="33" t="s">
        <v>5198</v>
      </c>
      <c r="K2431" s="33" t="s">
        <v>5197</v>
      </c>
    </row>
    <row r="2432" spans="1:11" ht="20.25" customHeight="1">
      <c r="A2432" s="33" t="s">
        <v>4593</v>
      </c>
      <c r="B2432" s="34" t="s">
        <v>4594</v>
      </c>
      <c r="C2432" s="33" t="s">
        <v>1548</v>
      </c>
      <c r="D2432" s="33" t="s">
        <v>4595</v>
      </c>
      <c r="E2432" s="33" t="s">
        <v>4497</v>
      </c>
      <c r="F2432" s="33">
        <v>602399</v>
      </c>
      <c r="G2432" s="33">
        <v>5230100</v>
      </c>
      <c r="H2432" s="33"/>
      <c r="I2432" s="33" t="s">
        <v>25</v>
      </c>
      <c r="J2432" s="33" t="s">
        <v>5198</v>
      </c>
      <c r="K2432" s="33" t="s">
        <v>5197</v>
      </c>
    </row>
    <row r="2433" spans="1:11" ht="20.25" customHeight="1">
      <c r="A2433" s="33" t="s">
        <v>4596</v>
      </c>
      <c r="B2433" s="34" t="s">
        <v>4597</v>
      </c>
      <c r="C2433" s="33" t="s">
        <v>4598</v>
      </c>
      <c r="D2433" s="33" t="s">
        <v>4599</v>
      </c>
      <c r="E2433" s="33" t="s">
        <v>4497</v>
      </c>
      <c r="F2433" s="33">
        <v>602401</v>
      </c>
      <c r="G2433" s="33">
        <v>5230200</v>
      </c>
      <c r="H2433" s="33"/>
      <c r="I2433" s="33" t="s">
        <v>4600</v>
      </c>
      <c r="J2433" s="33" t="s">
        <v>5197</v>
      </c>
      <c r="K2433" s="33" t="s">
        <v>5197</v>
      </c>
    </row>
    <row r="2434" spans="1:11" ht="20.25" customHeight="1">
      <c r="A2434" s="33" t="s">
        <v>4601</v>
      </c>
      <c r="B2434" s="34" t="s">
        <v>4602</v>
      </c>
      <c r="C2434" s="33" t="s">
        <v>4603</v>
      </c>
      <c r="D2434" s="33" t="s">
        <v>4604</v>
      </c>
      <c r="E2434" s="33" t="s">
        <v>4497</v>
      </c>
      <c r="F2434" s="33">
        <v>602501</v>
      </c>
      <c r="G2434" s="33">
        <v>5230200</v>
      </c>
      <c r="H2434" s="33"/>
      <c r="I2434" s="33" t="s">
        <v>1104</v>
      </c>
      <c r="J2434" s="33" t="s">
        <v>5198</v>
      </c>
      <c r="K2434" s="33" t="s">
        <v>5198</v>
      </c>
    </row>
    <row r="2435" spans="1:11" ht="20.25" customHeight="1">
      <c r="A2435" s="33" t="s">
        <v>4605</v>
      </c>
      <c r="B2435" s="34" t="s">
        <v>4602</v>
      </c>
      <c r="C2435" s="33" t="s">
        <v>4603</v>
      </c>
      <c r="D2435" s="33" t="s">
        <v>4604</v>
      </c>
      <c r="E2435" s="33" t="s">
        <v>4497</v>
      </c>
      <c r="F2435" s="33">
        <v>602502</v>
      </c>
      <c r="G2435" s="33">
        <v>5230200</v>
      </c>
      <c r="H2435" s="33"/>
      <c r="I2435" s="33" t="s">
        <v>4606</v>
      </c>
      <c r="J2435" s="33" t="s">
        <v>5198</v>
      </c>
      <c r="K2435" s="33" t="s">
        <v>5198</v>
      </c>
    </row>
    <row r="2436" spans="1:11" ht="20.25" customHeight="1">
      <c r="A2436" s="33" t="s">
        <v>4607</v>
      </c>
      <c r="B2436" s="34" t="s">
        <v>4608</v>
      </c>
      <c r="C2436" s="33" t="s">
        <v>4603</v>
      </c>
      <c r="D2436" s="33" t="s">
        <v>4609</v>
      </c>
      <c r="E2436" s="33" t="s">
        <v>4497</v>
      </c>
      <c r="F2436" s="33">
        <v>602503</v>
      </c>
      <c r="G2436" s="33">
        <v>5230200</v>
      </c>
      <c r="H2436" s="33"/>
      <c r="I2436" s="33" t="s">
        <v>4610</v>
      </c>
      <c r="J2436" s="33" t="s">
        <v>5198</v>
      </c>
      <c r="K2436" s="33" t="s">
        <v>5197</v>
      </c>
    </row>
    <row r="2437" spans="1:11" ht="20.25" customHeight="1">
      <c r="A2437" s="33" t="s">
        <v>4611</v>
      </c>
      <c r="B2437" s="34" t="s">
        <v>4612</v>
      </c>
      <c r="C2437" s="33" t="s">
        <v>4613</v>
      </c>
      <c r="D2437" s="33" t="s">
        <v>4614</v>
      </c>
      <c r="E2437" s="33" t="s">
        <v>4497</v>
      </c>
      <c r="F2437" s="33">
        <v>602551</v>
      </c>
      <c r="G2437" s="33">
        <v>5230200</v>
      </c>
      <c r="H2437" s="33"/>
      <c r="I2437" s="33" t="s">
        <v>4615</v>
      </c>
      <c r="J2437" s="33" t="s">
        <v>5197</v>
      </c>
      <c r="K2437" s="33" t="s">
        <v>5197</v>
      </c>
    </row>
    <row r="2438" spans="1:11" ht="20.25" customHeight="1">
      <c r="A2438" s="33" t="s">
        <v>4616</v>
      </c>
      <c r="B2438" s="34" t="s">
        <v>4617</v>
      </c>
      <c r="C2438" s="33" t="s">
        <v>4618</v>
      </c>
      <c r="D2438" s="33" t="s">
        <v>4619</v>
      </c>
      <c r="E2438" s="33" t="s">
        <v>4497</v>
      </c>
      <c r="F2438" s="33">
        <v>602552</v>
      </c>
      <c r="G2438" s="33">
        <v>5230200</v>
      </c>
      <c r="H2438" s="33"/>
      <c r="I2438" s="33" t="s">
        <v>4620</v>
      </c>
      <c r="J2438" s="33" t="s">
        <v>5197</v>
      </c>
      <c r="K2438" s="33" t="s">
        <v>5197</v>
      </c>
    </row>
    <row r="2439" spans="1:11" ht="20.25" customHeight="1">
      <c r="A2439" s="33" t="s">
        <v>4621</v>
      </c>
      <c r="B2439" s="34" t="s">
        <v>4622</v>
      </c>
      <c r="C2439" s="33" t="s">
        <v>248</v>
      </c>
      <c r="D2439" s="33" t="s">
        <v>4623</v>
      </c>
      <c r="E2439" s="33" t="s">
        <v>4497</v>
      </c>
      <c r="F2439" s="33">
        <v>602601</v>
      </c>
      <c r="G2439" s="33">
        <v>5230200</v>
      </c>
      <c r="H2439" s="33"/>
      <c r="I2439" s="33" t="s">
        <v>4624</v>
      </c>
      <c r="J2439" s="33" t="s">
        <v>5198</v>
      </c>
      <c r="K2439" s="33" t="s">
        <v>5197</v>
      </c>
    </row>
    <row r="2440" spans="1:11" ht="20.25" customHeight="1">
      <c r="A2440" s="33" t="s">
        <v>4625</v>
      </c>
      <c r="B2440" s="34" t="s">
        <v>4626</v>
      </c>
      <c r="C2440" s="33" t="s">
        <v>4627</v>
      </c>
      <c r="D2440" s="33" t="s">
        <v>4628</v>
      </c>
      <c r="E2440" s="33" t="s">
        <v>4497</v>
      </c>
      <c r="F2440" s="33">
        <v>602602</v>
      </c>
      <c r="G2440" s="33">
        <v>5230200</v>
      </c>
      <c r="H2440" s="33"/>
      <c r="I2440" s="33" t="s">
        <v>4624</v>
      </c>
      <c r="J2440" s="33" t="s">
        <v>5197</v>
      </c>
      <c r="K2440" s="33" t="s">
        <v>5197</v>
      </c>
    </row>
    <row r="2441" spans="1:11" ht="20.25" customHeight="1">
      <c r="A2441" s="33" t="s">
        <v>4629</v>
      </c>
      <c r="B2441" s="34" t="s">
        <v>4630</v>
      </c>
      <c r="C2441" s="33" t="s">
        <v>2984</v>
      </c>
      <c r="D2441" s="33" t="s">
        <v>4631</v>
      </c>
      <c r="E2441" s="33" t="s">
        <v>4497</v>
      </c>
      <c r="F2441" s="33">
        <v>602649</v>
      </c>
      <c r="G2441" s="33">
        <v>5230200</v>
      </c>
      <c r="H2441" s="33"/>
      <c r="I2441" s="33" t="s">
        <v>25</v>
      </c>
      <c r="J2441" s="33" t="s">
        <v>5198</v>
      </c>
      <c r="K2441" s="33" t="s">
        <v>5197</v>
      </c>
    </row>
    <row r="2442" spans="1:11" ht="20.25" customHeight="1">
      <c r="A2442" s="33" t="s">
        <v>4632</v>
      </c>
      <c r="B2442" s="34" t="s">
        <v>4633</v>
      </c>
      <c r="C2442" s="33" t="s">
        <v>4634</v>
      </c>
      <c r="D2442" s="33" t="s">
        <v>4635</v>
      </c>
      <c r="E2442" s="33" t="s">
        <v>4497</v>
      </c>
      <c r="F2442" s="33">
        <v>602651</v>
      </c>
      <c r="G2442" s="33">
        <v>5230200</v>
      </c>
      <c r="H2442" s="33"/>
      <c r="I2442" s="33" t="s">
        <v>4636</v>
      </c>
      <c r="J2442" s="33" t="s">
        <v>5198</v>
      </c>
      <c r="K2442" s="33" t="s">
        <v>5197</v>
      </c>
    </row>
    <row r="2443" spans="1:11" ht="20.25" customHeight="1">
      <c r="A2443" s="33" t="s">
        <v>4637</v>
      </c>
      <c r="B2443" s="34" t="s">
        <v>4638</v>
      </c>
      <c r="C2443" s="33" t="s">
        <v>4634</v>
      </c>
      <c r="D2443" s="33" t="s">
        <v>4639</v>
      </c>
      <c r="E2443" s="33" t="s">
        <v>4497</v>
      </c>
      <c r="F2443" s="33">
        <v>602699</v>
      </c>
      <c r="G2443" s="33">
        <v>5230200</v>
      </c>
      <c r="H2443" s="33"/>
      <c r="I2443" s="33" t="s">
        <v>25</v>
      </c>
      <c r="J2443" s="33" t="s">
        <v>5198</v>
      </c>
      <c r="K2443" s="33" t="s">
        <v>5197</v>
      </c>
    </row>
    <row r="2444" spans="1:11" ht="20.25" customHeight="1">
      <c r="A2444" s="33" t="s">
        <v>4640</v>
      </c>
      <c r="B2444" s="34" t="s">
        <v>4641</v>
      </c>
      <c r="C2444" s="33" t="s">
        <v>1903</v>
      </c>
      <c r="D2444" s="33" t="s">
        <v>4642</v>
      </c>
      <c r="E2444" s="33" t="s">
        <v>4497</v>
      </c>
      <c r="F2444" s="33">
        <v>602701</v>
      </c>
      <c r="G2444" s="33">
        <v>5230200</v>
      </c>
      <c r="H2444" s="33"/>
      <c r="I2444" s="33" t="s">
        <v>384</v>
      </c>
      <c r="J2444" s="33" t="s">
        <v>5198</v>
      </c>
      <c r="K2444" s="33" t="s">
        <v>5198</v>
      </c>
    </row>
    <row r="2445" spans="1:11" ht="20.25" customHeight="1">
      <c r="A2445" s="33" t="s">
        <v>4643</v>
      </c>
      <c r="B2445" s="34" t="s">
        <v>4641</v>
      </c>
      <c r="C2445" s="33" t="s">
        <v>4005</v>
      </c>
      <c r="D2445" s="33" t="s">
        <v>4642</v>
      </c>
      <c r="E2445" s="33" t="s">
        <v>4497</v>
      </c>
      <c r="F2445" s="33">
        <v>602702</v>
      </c>
      <c r="G2445" s="33">
        <v>5230200</v>
      </c>
      <c r="H2445" s="33"/>
      <c r="I2445" s="33" t="s">
        <v>4644</v>
      </c>
      <c r="J2445" s="33" t="s">
        <v>5198</v>
      </c>
      <c r="K2445" s="33" t="s">
        <v>5198</v>
      </c>
    </row>
    <row r="2446" spans="1:11" ht="20.25" customHeight="1">
      <c r="A2446" s="33" t="s">
        <v>4645</v>
      </c>
      <c r="B2446" s="34" t="s">
        <v>4641</v>
      </c>
      <c r="C2446" s="33" t="s">
        <v>4005</v>
      </c>
      <c r="D2446" s="33" t="s">
        <v>4642</v>
      </c>
      <c r="E2446" s="33" t="s">
        <v>4497</v>
      </c>
      <c r="F2446" s="33">
        <v>602703</v>
      </c>
      <c r="G2446" s="33">
        <v>5230200</v>
      </c>
      <c r="H2446" s="33"/>
      <c r="I2446" s="33" t="s">
        <v>4646</v>
      </c>
      <c r="J2446" s="33" t="s">
        <v>5198</v>
      </c>
      <c r="K2446" s="33" t="s">
        <v>5198</v>
      </c>
    </row>
    <row r="2447" spans="1:11" ht="20.25" customHeight="1">
      <c r="A2447" s="33" t="s">
        <v>4647</v>
      </c>
      <c r="B2447" s="34" t="s">
        <v>4641</v>
      </c>
      <c r="C2447" s="33" t="s">
        <v>4648</v>
      </c>
      <c r="D2447" s="33" t="s">
        <v>4642</v>
      </c>
      <c r="E2447" s="33" t="s">
        <v>4497</v>
      </c>
      <c r="F2447" s="33">
        <v>602704</v>
      </c>
      <c r="G2447" s="33">
        <v>5230200</v>
      </c>
      <c r="H2447" s="33"/>
      <c r="I2447" s="33" t="s">
        <v>4649</v>
      </c>
      <c r="J2447" s="33" t="s">
        <v>5197</v>
      </c>
      <c r="K2447" s="33" t="s">
        <v>5198</v>
      </c>
    </row>
    <row r="2448" spans="1:11" ht="20.25" customHeight="1">
      <c r="A2448" s="33" t="s">
        <v>4650</v>
      </c>
      <c r="B2448" s="34" t="s">
        <v>4651</v>
      </c>
      <c r="C2448" s="33" t="s">
        <v>4652</v>
      </c>
      <c r="D2448" s="33" t="s">
        <v>4653</v>
      </c>
      <c r="E2448" s="33" t="s">
        <v>4497</v>
      </c>
      <c r="F2448" s="33">
        <v>602705</v>
      </c>
      <c r="G2448" s="33">
        <v>5230200</v>
      </c>
      <c r="H2448" s="33"/>
      <c r="I2448" s="33" t="s">
        <v>4654</v>
      </c>
      <c r="J2448" s="33" t="s">
        <v>5197</v>
      </c>
      <c r="K2448" s="33" t="s">
        <v>5197</v>
      </c>
    </row>
    <row r="2449" spans="1:11" ht="20.25" customHeight="1">
      <c r="A2449" s="33" t="s">
        <v>4655</v>
      </c>
      <c r="B2449" s="34" t="s">
        <v>4656</v>
      </c>
      <c r="C2449" s="33" t="s">
        <v>4657</v>
      </c>
      <c r="D2449" s="33" t="s">
        <v>4658</v>
      </c>
      <c r="E2449" s="33" t="s">
        <v>4497</v>
      </c>
      <c r="F2449" s="33">
        <v>602706</v>
      </c>
      <c r="G2449" s="33">
        <v>5230200</v>
      </c>
      <c r="H2449" s="33"/>
      <c r="I2449" s="33" t="s">
        <v>4659</v>
      </c>
      <c r="J2449" s="33" t="s">
        <v>5197</v>
      </c>
      <c r="K2449" s="33" t="s">
        <v>5197</v>
      </c>
    </row>
    <row r="2450" spans="1:11" ht="20.25" customHeight="1">
      <c r="A2450" s="33" t="s">
        <v>4660</v>
      </c>
      <c r="B2450" s="34" t="s">
        <v>4661</v>
      </c>
      <c r="C2450" s="33" t="s">
        <v>4662</v>
      </c>
      <c r="D2450" s="33" t="s">
        <v>4663</v>
      </c>
      <c r="E2450" s="33" t="s">
        <v>4497</v>
      </c>
      <c r="F2450" s="33">
        <v>602707</v>
      </c>
      <c r="G2450" s="33">
        <v>5230200</v>
      </c>
      <c r="H2450" s="33"/>
      <c r="I2450" s="33" t="s">
        <v>4664</v>
      </c>
      <c r="J2450" s="33" t="s">
        <v>5197</v>
      </c>
      <c r="K2450" s="33" t="s">
        <v>5197</v>
      </c>
    </row>
    <row r="2451" spans="1:11" ht="20.25" customHeight="1">
      <c r="A2451" s="33" t="s">
        <v>4665</v>
      </c>
      <c r="B2451" s="34" t="s">
        <v>4666</v>
      </c>
      <c r="C2451" s="33" t="s">
        <v>4011</v>
      </c>
      <c r="D2451" s="33" t="s">
        <v>2122</v>
      </c>
      <c r="E2451" s="33" t="s">
        <v>4497</v>
      </c>
      <c r="F2451" s="33">
        <v>602799</v>
      </c>
      <c r="G2451" s="33">
        <v>5230200</v>
      </c>
      <c r="H2451" s="33"/>
      <c r="I2451" s="33" t="s">
        <v>25</v>
      </c>
      <c r="J2451" s="33" t="s">
        <v>5198</v>
      </c>
      <c r="K2451" s="33" t="s">
        <v>5198</v>
      </c>
    </row>
    <row r="2452" spans="1:11" ht="20.25" customHeight="1">
      <c r="A2452" s="33" t="s">
        <v>4667</v>
      </c>
      <c r="B2452" s="34" t="s">
        <v>4668</v>
      </c>
      <c r="C2452" s="33" t="s">
        <v>4603</v>
      </c>
      <c r="D2452" s="33" t="s">
        <v>4669</v>
      </c>
      <c r="E2452" s="33" t="s">
        <v>4497</v>
      </c>
      <c r="F2452" s="33">
        <v>602801</v>
      </c>
      <c r="G2452" s="33">
        <v>5230200</v>
      </c>
      <c r="H2452" s="33"/>
      <c r="I2452" s="33" t="s">
        <v>4498</v>
      </c>
      <c r="J2452" s="33" t="s">
        <v>5198</v>
      </c>
      <c r="K2452" s="33" t="s">
        <v>5197</v>
      </c>
    </row>
    <row r="2453" spans="1:11" ht="20.25" customHeight="1">
      <c r="A2453" s="33" t="s">
        <v>4670</v>
      </c>
      <c r="B2453" s="34" t="s">
        <v>4671</v>
      </c>
      <c r="C2453" s="33" t="s">
        <v>2239</v>
      </c>
      <c r="D2453" s="33" t="s">
        <v>4672</v>
      </c>
      <c r="E2453" s="33" t="s">
        <v>4497</v>
      </c>
      <c r="F2453" s="33">
        <v>602851</v>
      </c>
      <c r="G2453" s="33">
        <v>5230200</v>
      </c>
      <c r="H2453" s="33"/>
      <c r="I2453" s="33" t="s">
        <v>4673</v>
      </c>
      <c r="J2453" s="33" t="s">
        <v>5198</v>
      </c>
      <c r="K2453" s="33" t="s">
        <v>5197</v>
      </c>
    </row>
    <row r="2454" spans="1:11" ht="20.25" customHeight="1">
      <c r="A2454" s="33" t="s">
        <v>4674</v>
      </c>
      <c r="B2454" s="34" t="s">
        <v>4675</v>
      </c>
      <c r="C2454" s="33" t="s">
        <v>931</v>
      </c>
      <c r="D2454" s="33" t="s">
        <v>4676</v>
      </c>
      <c r="E2454" s="33" t="s">
        <v>4497</v>
      </c>
      <c r="F2454" s="33">
        <v>602901</v>
      </c>
      <c r="G2454" s="33">
        <v>5230200</v>
      </c>
      <c r="H2454" s="33"/>
      <c r="I2454" s="33" t="s">
        <v>4659</v>
      </c>
      <c r="J2454" s="33" t="s">
        <v>5198</v>
      </c>
      <c r="K2454" s="33" t="s">
        <v>5197</v>
      </c>
    </row>
    <row r="2455" spans="1:11" ht="20.25" customHeight="1">
      <c r="A2455" s="33" t="s">
        <v>4677</v>
      </c>
      <c r="B2455" s="34" t="s">
        <v>4678</v>
      </c>
      <c r="C2455" s="33" t="s">
        <v>4679</v>
      </c>
      <c r="D2455" s="33" t="s">
        <v>4680</v>
      </c>
      <c r="E2455" s="33" t="s">
        <v>4497</v>
      </c>
      <c r="F2455" s="33">
        <v>602902</v>
      </c>
      <c r="G2455" s="33">
        <v>5230200</v>
      </c>
      <c r="H2455" s="33"/>
      <c r="I2455" s="33" t="s">
        <v>4659</v>
      </c>
      <c r="J2455" s="33" t="s">
        <v>5197</v>
      </c>
      <c r="K2455" s="33" t="s">
        <v>5197</v>
      </c>
    </row>
    <row r="2456" spans="1:11" ht="20.25" customHeight="1">
      <c r="A2456" s="33" t="s">
        <v>4681</v>
      </c>
      <c r="B2456" s="34" t="s">
        <v>4682</v>
      </c>
      <c r="C2456" s="33" t="s">
        <v>4683</v>
      </c>
      <c r="D2456" s="33" t="s">
        <v>4684</v>
      </c>
      <c r="E2456" s="33" t="s">
        <v>4497</v>
      </c>
      <c r="F2456" s="33">
        <v>602951</v>
      </c>
      <c r="G2456" s="33">
        <v>5230200</v>
      </c>
      <c r="H2456" s="33"/>
      <c r="I2456" s="33" t="s">
        <v>4685</v>
      </c>
      <c r="J2456" s="33" t="s">
        <v>5197</v>
      </c>
      <c r="K2456" s="33" t="s">
        <v>5197</v>
      </c>
    </row>
    <row r="2457" spans="1:11" ht="20.25" customHeight="1">
      <c r="A2457" s="33" t="s">
        <v>4686</v>
      </c>
      <c r="B2457" s="34" t="s">
        <v>4687</v>
      </c>
      <c r="C2457" s="33" t="s">
        <v>4688</v>
      </c>
      <c r="D2457" s="33" t="s">
        <v>4689</v>
      </c>
      <c r="E2457" s="33" t="s">
        <v>4497</v>
      </c>
      <c r="F2457" s="33">
        <v>603001</v>
      </c>
      <c r="G2457" s="33">
        <v>5230200</v>
      </c>
      <c r="H2457" s="33"/>
      <c r="I2457" s="33" t="s">
        <v>109</v>
      </c>
      <c r="J2457" s="33" t="s">
        <v>5197</v>
      </c>
      <c r="K2457" s="33" t="s">
        <v>5197</v>
      </c>
    </row>
    <row r="2458" spans="1:11" ht="20.25" customHeight="1">
      <c r="A2458" s="33" t="s">
        <v>4690</v>
      </c>
      <c r="B2458" s="34" t="s">
        <v>4691</v>
      </c>
      <c r="C2458" s="33" t="s">
        <v>2231</v>
      </c>
      <c r="D2458" s="33" t="s">
        <v>4692</v>
      </c>
      <c r="E2458" s="33" t="s">
        <v>4497</v>
      </c>
      <c r="F2458" s="33">
        <v>603051</v>
      </c>
      <c r="G2458" s="33">
        <v>5230200</v>
      </c>
      <c r="H2458" s="33"/>
      <c r="I2458" s="33" t="s">
        <v>4693</v>
      </c>
      <c r="J2458" s="33" t="s">
        <v>5198</v>
      </c>
      <c r="K2458" s="33" t="s">
        <v>5197</v>
      </c>
    </row>
    <row r="2459" spans="1:11" ht="20.25" customHeight="1">
      <c r="A2459" s="33" t="s">
        <v>4694</v>
      </c>
      <c r="B2459" s="34" t="s">
        <v>4695</v>
      </c>
      <c r="C2459" s="33" t="s">
        <v>4696</v>
      </c>
      <c r="D2459" s="33" t="s">
        <v>4697</v>
      </c>
      <c r="E2459" s="33" t="s">
        <v>4497</v>
      </c>
      <c r="F2459" s="33">
        <v>603101</v>
      </c>
      <c r="G2459" s="33">
        <v>5230200</v>
      </c>
      <c r="H2459" s="33"/>
      <c r="I2459" s="33" t="s">
        <v>384</v>
      </c>
      <c r="J2459" s="33" t="s">
        <v>5198</v>
      </c>
      <c r="K2459" s="33" t="s">
        <v>5198</v>
      </c>
    </row>
    <row r="2460" spans="1:11" ht="20.25" customHeight="1">
      <c r="A2460" s="33" t="s">
        <v>4698</v>
      </c>
      <c r="B2460" s="34" t="s">
        <v>4695</v>
      </c>
      <c r="C2460" s="33" t="s">
        <v>4696</v>
      </c>
      <c r="D2460" s="33" t="s">
        <v>4699</v>
      </c>
      <c r="E2460" s="33" t="s">
        <v>4497</v>
      </c>
      <c r="F2460" s="33">
        <v>603102</v>
      </c>
      <c r="G2460" s="33">
        <v>5230200</v>
      </c>
      <c r="H2460" s="33"/>
      <c r="I2460" s="33" t="s">
        <v>4700</v>
      </c>
      <c r="J2460" s="33" t="s">
        <v>5198</v>
      </c>
      <c r="K2460" s="33" t="s">
        <v>5197</v>
      </c>
    </row>
    <row r="2461" spans="1:11" ht="20.25" customHeight="1">
      <c r="A2461" s="33" t="s">
        <v>4701</v>
      </c>
      <c r="B2461" s="34" t="s">
        <v>4695</v>
      </c>
      <c r="C2461" s="33" t="s">
        <v>4696</v>
      </c>
      <c r="D2461" s="33" t="s">
        <v>4697</v>
      </c>
      <c r="E2461" s="33" t="s">
        <v>4497</v>
      </c>
      <c r="F2461" s="33">
        <v>603103</v>
      </c>
      <c r="G2461" s="33">
        <v>5230200</v>
      </c>
      <c r="H2461" s="33"/>
      <c r="I2461" s="33" t="s">
        <v>4702</v>
      </c>
      <c r="J2461" s="33" t="s">
        <v>5198</v>
      </c>
      <c r="K2461" s="33" t="s">
        <v>5198</v>
      </c>
    </row>
    <row r="2462" spans="1:11" ht="20.25" customHeight="1">
      <c r="A2462" s="33" t="s">
        <v>4703</v>
      </c>
      <c r="B2462" s="34" t="s">
        <v>4704</v>
      </c>
      <c r="C2462" s="33" t="s">
        <v>4696</v>
      </c>
      <c r="D2462" s="33" t="s">
        <v>4705</v>
      </c>
      <c r="E2462" s="33" t="s">
        <v>4497</v>
      </c>
      <c r="F2462" s="33">
        <v>603104</v>
      </c>
      <c r="G2462" s="33">
        <v>5230200</v>
      </c>
      <c r="H2462" s="33"/>
      <c r="I2462" s="33" t="s">
        <v>25</v>
      </c>
      <c r="J2462" s="33" t="s">
        <v>5198</v>
      </c>
      <c r="K2462" s="33" t="s">
        <v>5197</v>
      </c>
    </row>
    <row r="2463" spans="1:11" ht="20.25" customHeight="1">
      <c r="A2463" s="33" t="s">
        <v>4706</v>
      </c>
      <c r="B2463" s="34" t="s">
        <v>4707</v>
      </c>
      <c r="C2463" s="33" t="s">
        <v>4708</v>
      </c>
      <c r="D2463" s="33" t="s">
        <v>4709</v>
      </c>
      <c r="E2463" s="33" t="s">
        <v>4497</v>
      </c>
      <c r="F2463" s="33">
        <v>603151</v>
      </c>
      <c r="G2463" s="33">
        <v>5230200</v>
      </c>
      <c r="H2463" s="33"/>
      <c r="I2463" s="33" t="s">
        <v>384</v>
      </c>
      <c r="J2463" s="33" t="s">
        <v>5197</v>
      </c>
      <c r="K2463" s="33" t="s">
        <v>5197</v>
      </c>
    </row>
    <row r="2464" spans="1:11" ht="20.25" customHeight="1">
      <c r="A2464" s="33" t="s">
        <v>4710</v>
      </c>
      <c r="B2464" s="34" t="s">
        <v>4711</v>
      </c>
      <c r="C2464" s="33" t="s">
        <v>3792</v>
      </c>
      <c r="D2464" s="33" t="s">
        <v>4712</v>
      </c>
      <c r="E2464" s="33" t="s">
        <v>4497</v>
      </c>
      <c r="F2464" s="33">
        <v>603201</v>
      </c>
      <c r="G2464" s="33">
        <v>5230200</v>
      </c>
      <c r="H2464" s="33"/>
      <c r="I2464" s="33" t="s">
        <v>4685</v>
      </c>
      <c r="J2464" s="33" t="s">
        <v>5198</v>
      </c>
      <c r="K2464" s="33" t="s">
        <v>5197</v>
      </c>
    </row>
    <row r="2465" spans="1:11" ht="20.25" customHeight="1">
      <c r="A2465" s="33" t="s">
        <v>4713</v>
      </c>
      <c r="B2465" s="34" t="s">
        <v>4714</v>
      </c>
      <c r="C2465" s="33" t="s">
        <v>2762</v>
      </c>
      <c r="D2465" s="33" t="s">
        <v>4715</v>
      </c>
      <c r="E2465" s="33" t="s">
        <v>4497</v>
      </c>
      <c r="F2465" s="33">
        <v>603251</v>
      </c>
      <c r="G2465" s="33">
        <v>5230200</v>
      </c>
      <c r="H2465" s="33"/>
      <c r="I2465" s="33" t="s">
        <v>4716</v>
      </c>
      <c r="J2465" s="33" t="s">
        <v>5198</v>
      </c>
      <c r="K2465" s="33" t="s">
        <v>5197</v>
      </c>
    </row>
    <row r="2466" spans="1:11" ht="20.25" customHeight="1">
      <c r="A2466" s="33" t="s">
        <v>4717</v>
      </c>
      <c r="B2466" s="34" t="s">
        <v>4718</v>
      </c>
      <c r="C2466" s="33" t="s">
        <v>4719</v>
      </c>
      <c r="D2466" s="33" t="s">
        <v>4720</v>
      </c>
      <c r="E2466" s="33" t="s">
        <v>4497</v>
      </c>
      <c r="F2466" s="33">
        <v>603301</v>
      </c>
      <c r="G2466" s="33">
        <v>5230200</v>
      </c>
      <c r="H2466" s="33"/>
      <c r="I2466" s="33" t="s">
        <v>4721</v>
      </c>
      <c r="J2466" s="33" t="s">
        <v>5198</v>
      </c>
      <c r="K2466" s="33" t="s">
        <v>5198</v>
      </c>
    </row>
    <row r="2467" spans="1:11" ht="20.25" customHeight="1">
      <c r="A2467" s="33" t="s">
        <v>4722</v>
      </c>
      <c r="B2467" s="34" t="s">
        <v>4718</v>
      </c>
      <c r="C2467" s="33" t="s">
        <v>4719</v>
      </c>
      <c r="D2467" s="33" t="s">
        <v>4720</v>
      </c>
      <c r="E2467" s="33" t="s">
        <v>4497</v>
      </c>
      <c r="F2467" s="33">
        <v>603302</v>
      </c>
      <c r="G2467" s="33">
        <v>5230200</v>
      </c>
      <c r="H2467" s="33"/>
      <c r="I2467" s="33" t="s">
        <v>4723</v>
      </c>
      <c r="J2467" s="33" t="s">
        <v>5198</v>
      </c>
      <c r="K2467" s="33" t="s">
        <v>5198</v>
      </c>
    </row>
    <row r="2468" spans="1:11" ht="20.25" customHeight="1">
      <c r="A2468" s="33" t="s">
        <v>4724</v>
      </c>
      <c r="B2468" s="34" t="s">
        <v>4725</v>
      </c>
      <c r="C2468" s="33" t="s">
        <v>4726</v>
      </c>
      <c r="D2468" s="33" t="s">
        <v>4727</v>
      </c>
      <c r="E2468" s="33" t="s">
        <v>4497</v>
      </c>
      <c r="F2468" s="33">
        <v>603303</v>
      </c>
      <c r="G2468" s="33">
        <v>5230200</v>
      </c>
      <c r="H2468" s="33"/>
      <c r="I2468" s="33" t="s">
        <v>358</v>
      </c>
      <c r="J2468" s="33" t="s">
        <v>5198</v>
      </c>
      <c r="K2468" s="33" t="s">
        <v>5198</v>
      </c>
    </row>
    <row r="2469" spans="1:11" ht="20.25" customHeight="1">
      <c r="A2469" s="33" t="s">
        <v>4728</v>
      </c>
      <c r="B2469" s="34" t="s">
        <v>4725</v>
      </c>
      <c r="C2469" s="33" t="s">
        <v>4726</v>
      </c>
      <c r="D2469" s="33" t="s">
        <v>4727</v>
      </c>
      <c r="E2469" s="33" t="s">
        <v>4497</v>
      </c>
      <c r="F2469" s="33">
        <v>603304</v>
      </c>
      <c r="G2469" s="33">
        <v>5230200</v>
      </c>
      <c r="H2469" s="33"/>
      <c r="I2469" s="33" t="s">
        <v>4729</v>
      </c>
      <c r="J2469" s="33" t="s">
        <v>5198</v>
      </c>
      <c r="K2469" s="33" t="s">
        <v>5198</v>
      </c>
    </row>
    <row r="2470" spans="1:11" ht="20.25" customHeight="1">
      <c r="A2470" s="33" t="s">
        <v>4730</v>
      </c>
      <c r="B2470" s="34" t="s">
        <v>4731</v>
      </c>
      <c r="C2470" s="33" t="s">
        <v>4732</v>
      </c>
      <c r="D2470" s="33" t="s">
        <v>4733</v>
      </c>
      <c r="E2470" s="33" t="s">
        <v>4497</v>
      </c>
      <c r="F2470" s="33">
        <v>603399</v>
      </c>
      <c r="G2470" s="33">
        <v>5230200</v>
      </c>
      <c r="H2470" s="33"/>
      <c r="I2470" s="33" t="s">
        <v>25</v>
      </c>
      <c r="J2470" s="33" t="s">
        <v>5197</v>
      </c>
      <c r="K2470" s="33" t="s">
        <v>5197</v>
      </c>
    </row>
    <row r="2471" spans="1:11" ht="20.25" customHeight="1">
      <c r="A2471" s="33" t="s">
        <v>4734</v>
      </c>
      <c r="B2471" s="34" t="s">
        <v>4735</v>
      </c>
      <c r="C2471" s="33" t="s">
        <v>4736</v>
      </c>
      <c r="D2471" s="33" t="s">
        <v>4737</v>
      </c>
      <c r="E2471" s="33" t="s">
        <v>4497</v>
      </c>
      <c r="F2471" s="33">
        <v>603401</v>
      </c>
      <c r="G2471" s="33">
        <v>5230300</v>
      </c>
      <c r="H2471" s="33"/>
      <c r="I2471" s="33" t="s">
        <v>4738</v>
      </c>
      <c r="J2471" s="33" t="s">
        <v>5197</v>
      </c>
      <c r="K2471" s="33" t="s">
        <v>5197</v>
      </c>
    </row>
    <row r="2472" spans="1:11" ht="20.25" customHeight="1">
      <c r="A2472" s="33" t="s">
        <v>4739</v>
      </c>
      <c r="B2472" s="34" t="s">
        <v>4740</v>
      </c>
      <c r="C2472" s="33" t="s">
        <v>4741</v>
      </c>
      <c r="D2472" s="33" t="s">
        <v>4742</v>
      </c>
      <c r="E2472" s="33" t="s">
        <v>4497</v>
      </c>
      <c r="F2472" s="33">
        <v>603501</v>
      </c>
      <c r="G2472" s="33">
        <v>5230200</v>
      </c>
      <c r="H2472" s="33"/>
      <c r="I2472" s="33" t="s">
        <v>384</v>
      </c>
      <c r="J2472" s="33" t="s">
        <v>5197</v>
      </c>
      <c r="K2472" s="33" t="s">
        <v>5197</v>
      </c>
    </row>
    <row r="2473" spans="1:11" ht="20.25" customHeight="1">
      <c r="A2473" s="33" t="s">
        <v>4743</v>
      </c>
      <c r="B2473" s="34" t="s">
        <v>4744</v>
      </c>
      <c r="C2473" s="33" t="s">
        <v>4000</v>
      </c>
      <c r="D2473" s="33" t="s">
        <v>4745</v>
      </c>
      <c r="E2473" s="33" t="s">
        <v>4497</v>
      </c>
      <c r="F2473" s="33">
        <v>603699</v>
      </c>
      <c r="G2473" s="33">
        <v>5230200</v>
      </c>
      <c r="H2473" s="33"/>
      <c r="I2473" s="33" t="s">
        <v>25</v>
      </c>
      <c r="J2473" s="33" t="s">
        <v>5198</v>
      </c>
      <c r="K2473" s="33" t="s">
        <v>5197</v>
      </c>
    </row>
    <row r="2474" spans="1:11" ht="20.25" customHeight="1">
      <c r="A2474" s="33" t="s">
        <v>4746</v>
      </c>
      <c r="B2474" s="34" t="s">
        <v>4747</v>
      </c>
      <c r="C2474" s="33" t="s">
        <v>4748</v>
      </c>
      <c r="D2474" s="33" t="s">
        <v>4749</v>
      </c>
      <c r="E2474" s="33" t="s">
        <v>4497</v>
      </c>
      <c r="F2474" s="33">
        <v>603702</v>
      </c>
      <c r="G2474" s="33">
        <v>5230300</v>
      </c>
      <c r="H2474" s="33"/>
      <c r="I2474" s="33" t="s">
        <v>4738</v>
      </c>
      <c r="J2474" s="33" t="s">
        <v>5197</v>
      </c>
      <c r="K2474" s="33" t="s">
        <v>5197</v>
      </c>
    </row>
    <row r="2475" spans="1:11" ht="20.25" customHeight="1">
      <c r="A2475" s="33" t="s">
        <v>4750</v>
      </c>
      <c r="B2475" s="34" t="s">
        <v>4751</v>
      </c>
      <c r="C2475" s="33" t="s">
        <v>4752</v>
      </c>
      <c r="D2475" s="33" t="s">
        <v>4753</v>
      </c>
      <c r="E2475" s="33" t="s">
        <v>4497</v>
      </c>
      <c r="F2475" s="33">
        <v>603751</v>
      </c>
      <c r="G2475" s="33">
        <v>5230300</v>
      </c>
      <c r="H2475" s="33"/>
      <c r="I2475" s="33" t="s">
        <v>130</v>
      </c>
      <c r="J2475" s="33" t="s">
        <v>5197</v>
      </c>
      <c r="K2475" s="33" t="s">
        <v>5197</v>
      </c>
    </row>
    <row r="2476" spans="1:11" ht="20.25" customHeight="1">
      <c r="A2476" s="33" t="s">
        <v>4754</v>
      </c>
      <c r="B2476" s="34" t="s">
        <v>4755</v>
      </c>
      <c r="C2476" s="33" t="s">
        <v>4756</v>
      </c>
      <c r="D2476" s="33" t="s">
        <v>4757</v>
      </c>
      <c r="E2476" s="33" t="s">
        <v>4497</v>
      </c>
      <c r="F2476" s="33">
        <v>603752</v>
      </c>
      <c r="G2476" s="33">
        <v>5230300</v>
      </c>
      <c r="H2476" s="33"/>
      <c r="I2476" s="33" t="s">
        <v>4758</v>
      </c>
      <c r="J2476" s="33" t="s">
        <v>5197</v>
      </c>
      <c r="K2476" s="33" t="s">
        <v>5197</v>
      </c>
    </row>
    <row r="2477" spans="1:11" ht="20.25" customHeight="1">
      <c r="A2477" s="33" t="s">
        <v>4759</v>
      </c>
      <c r="B2477" s="34" t="s">
        <v>4760</v>
      </c>
      <c r="C2477" s="33" t="s">
        <v>2984</v>
      </c>
      <c r="D2477" s="33" t="s">
        <v>4761</v>
      </c>
      <c r="E2477" s="33" t="s">
        <v>4497</v>
      </c>
      <c r="F2477" s="33">
        <v>603753</v>
      </c>
      <c r="G2477" s="33">
        <v>5230300</v>
      </c>
      <c r="H2477" s="33"/>
      <c r="I2477" s="33" t="s">
        <v>4762</v>
      </c>
      <c r="J2477" s="33" t="s">
        <v>5198</v>
      </c>
      <c r="K2477" s="33" t="s">
        <v>5197</v>
      </c>
    </row>
    <row r="2478" spans="1:11" ht="20.25" customHeight="1">
      <c r="A2478" s="33" t="s">
        <v>4763</v>
      </c>
      <c r="B2478" s="34" t="s">
        <v>4764</v>
      </c>
      <c r="C2478" s="33" t="s">
        <v>2482</v>
      </c>
      <c r="D2478" s="33" t="s">
        <v>4765</v>
      </c>
      <c r="E2478" s="33" t="s">
        <v>4497</v>
      </c>
      <c r="F2478" s="33">
        <v>603754</v>
      </c>
      <c r="G2478" s="33">
        <v>5230300</v>
      </c>
      <c r="H2478" s="33"/>
      <c r="I2478" s="33" t="s">
        <v>4766</v>
      </c>
      <c r="J2478" s="33" t="s">
        <v>5198</v>
      </c>
      <c r="K2478" s="33" t="s">
        <v>5197</v>
      </c>
    </row>
    <row r="2479" spans="1:11" ht="20.25" customHeight="1">
      <c r="A2479" s="33" t="s">
        <v>4767</v>
      </c>
      <c r="B2479" s="34" t="s">
        <v>4768</v>
      </c>
      <c r="C2479" s="33" t="s">
        <v>1373</v>
      </c>
      <c r="D2479" s="33" t="s">
        <v>4769</v>
      </c>
      <c r="E2479" s="33" t="s">
        <v>4497</v>
      </c>
      <c r="F2479" s="33">
        <v>603799</v>
      </c>
      <c r="G2479" s="33">
        <v>5230300</v>
      </c>
      <c r="H2479" s="33"/>
      <c r="I2479" s="33" t="s">
        <v>25</v>
      </c>
      <c r="J2479" s="33" t="s">
        <v>5198</v>
      </c>
      <c r="K2479" s="33" t="s">
        <v>5198</v>
      </c>
    </row>
    <row r="2480" spans="1:11" ht="20.25" customHeight="1">
      <c r="A2480" s="33" t="s">
        <v>4770</v>
      </c>
      <c r="B2480" s="34" t="s">
        <v>4771</v>
      </c>
      <c r="C2480" s="33" t="s">
        <v>4772</v>
      </c>
      <c r="D2480" s="33" t="s">
        <v>4773</v>
      </c>
      <c r="E2480" s="33" t="s">
        <v>4497</v>
      </c>
      <c r="F2480" s="33">
        <v>603802</v>
      </c>
      <c r="G2480" s="33">
        <v>5230300</v>
      </c>
      <c r="H2480" s="33"/>
      <c r="I2480" s="33" t="s">
        <v>4774</v>
      </c>
      <c r="J2480" s="33" t="s">
        <v>5197</v>
      </c>
      <c r="K2480" s="33" t="s">
        <v>5197</v>
      </c>
    </row>
    <row r="2481" spans="1:11" ht="20.25" customHeight="1">
      <c r="A2481" s="33" t="s">
        <v>4775</v>
      </c>
      <c r="B2481" s="34" t="s">
        <v>4776</v>
      </c>
      <c r="C2481" s="33" t="s">
        <v>4777</v>
      </c>
      <c r="D2481" s="33" t="s">
        <v>4778</v>
      </c>
      <c r="E2481" s="33" t="s">
        <v>4497</v>
      </c>
      <c r="F2481" s="33">
        <v>603803</v>
      </c>
      <c r="G2481" s="33">
        <v>5230300</v>
      </c>
      <c r="H2481" s="33"/>
      <c r="I2481" s="33" t="s">
        <v>4738</v>
      </c>
      <c r="J2481" s="33" t="s">
        <v>5197</v>
      </c>
      <c r="K2481" s="33" t="s">
        <v>5197</v>
      </c>
    </row>
    <row r="2482" spans="1:11" ht="20.25" customHeight="1">
      <c r="A2482" s="33" t="s">
        <v>4779</v>
      </c>
      <c r="B2482" s="34" t="s">
        <v>4780</v>
      </c>
      <c r="C2482" s="33" t="s">
        <v>4781</v>
      </c>
      <c r="D2482" s="33" t="s">
        <v>4782</v>
      </c>
      <c r="E2482" s="33" t="s">
        <v>4497</v>
      </c>
      <c r="F2482" s="33">
        <v>603804</v>
      </c>
      <c r="G2482" s="33">
        <v>5230300</v>
      </c>
      <c r="H2482" s="33"/>
      <c r="I2482" s="33" t="s">
        <v>4420</v>
      </c>
      <c r="J2482" s="33" t="s">
        <v>5197</v>
      </c>
      <c r="K2482" s="33" t="s">
        <v>5197</v>
      </c>
    </row>
    <row r="2483" spans="1:11" ht="20.25" customHeight="1">
      <c r="A2483" s="33" t="s">
        <v>4783</v>
      </c>
      <c r="B2483" s="34" t="s">
        <v>4784</v>
      </c>
      <c r="C2483" s="33" t="s">
        <v>4785</v>
      </c>
      <c r="D2483" s="33" t="s">
        <v>4786</v>
      </c>
      <c r="E2483" s="33" t="s">
        <v>4497</v>
      </c>
      <c r="F2483" s="33">
        <v>603805</v>
      </c>
      <c r="G2483" s="33">
        <v>5230300</v>
      </c>
      <c r="H2483" s="33"/>
      <c r="I2483" s="33" t="s">
        <v>4420</v>
      </c>
      <c r="J2483" s="33" t="s">
        <v>5197</v>
      </c>
      <c r="K2483" s="33" t="s">
        <v>5197</v>
      </c>
    </row>
    <row r="2484" spans="1:11" ht="20.25" customHeight="1">
      <c r="A2484" s="33" t="s">
        <v>4787</v>
      </c>
      <c r="B2484" s="34" t="s">
        <v>4788</v>
      </c>
      <c r="C2484" s="33" t="s">
        <v>4789</v>
      </c>
      <c r="D2484" s="33" t="s">
        <v>4790</v>
      </c>
      <c r="E2484" s="33" t="s">
        <v>4497</v>
      </c>
      <c r="F2484" s="33">
        <v>603806</v>
      </c>
      <c r="G2484" s="33">
        <v>5230300</v>
      </c>
      <c r="H2484" s="33"/>
      <c r="I2484" s="33" t="s">
        <v>4420</v>
      </c>
      <c r="J2484" s="33" t="s">
        <v>5197</v>
      </c>
      <c r="K2484" s="33" t="s">
        <v>5197</v>
      </c>
    </row>
    <row r="2485" spans="1:11" ht="20.25" customHeight="1">
      <c r="A2485" s="33" t="s">
        <v>4791</v>
      </c>
      <c r="B2485" s="34" t="s">
        <v>4792</v>
      </c>
      <c r="C2485" s="33" t="s">
        <v>4793</v>
      </c>
      <c r="D2485" s="33" t="s">
        <v>4794</v>
      </c>
      <c r="E2485" s="33" t="s">
        <v>4497</v>
      </c>
      <c r="F2485" s="33">
        <v>603807</v>
      </c>
      <c r="G2485" s="33">
        <v>5230300</v>
      </c>
      <c r="H2485" s="33"/>
      <c r="I2485" s="33" t="s">
        <v>1137</v>
      </c>
      <c r="J2485" s="33" t="s">
        <v>5197</v>
      </c>
      <c r="K2485" s="33" t="s">
        <v>5197</v>
      </c>
    </row>
    <row r="2486" spans="1:11" ht="20.25" customHeight="1">
      <c r="A2486" s="33" t="s">
        <v>4795</v>
      </c>
      <c r="B2486" s="34" t="s">
        <v>4796</v>
      </c>
      <c r="C2486" s="33" t="s">
        <v>4797</v>
      </c>
      <c r="D2486" s="33" t="s">
        <v>4798</v>
      </c>
      <c r="E2486" s="33" t="s">
        <v>4497</v>
      </c>
      <c r="F2486" s="33">
        <v>603891</v>
      </c>
      <c r="G2486" s="33">
        <v>5230300</v>
      </c>
      <c r="H2486" s="33"/>
      <c r="I2486" s="33" t="s">
        <v>4774</v>
      </c>
      <c r="J2486" s="33" t="s">
        <v>5197</v>
      </c>
      <c r="K2486" s="33" t="s">
        <v>5197</v>
      </c>
    </row>
    <row r="2487" spans="1:11" ht="20.25" customHeight="1">
      <c r="A2487" s="33" t="s">
        <v>4799</v>
      </c>
      <c r="B2487" s="34" t="s">
        <v>4800</v>
      </c>
      <c r="C2487" s="33" t="s">
        <v>4801</v>
      </c>
      <c r="D2487" s="33" t="s">
        <v>4802</v>
      </c>
      <c r="E2487" s="33" t="s">
        <v>4497</v>
      </c>
      <c r="F2487" s="33">
        <v>603899</v>
      </c>
      <c r="G2487" s="33">
        <v>5230300</v>
      </c>
      <c r="H2487" s="33"/>
      <c r="I2487" s="33" t="s">
        <v>25</v>
      </c>
      <c r="J2487" s="33" t="s">
        <v>5197</v>
      </c>
      <c r="K2487" s="33" t="s">
        <v>5197</v>
      </c>
    </row>
    <row r="2488" spans="1:11" ht="20.25" customHeight="1">
      <c r="A2488" s="33" t="s">
        <v>4803</v>
      </c>
      <c r="B2488" s="34" t="s">
        <v>4804</v>
      </c>
      <c r="C2488" s="33" t="s">
        <v>4805</v>
      </c>
      <c r="D2488" s="33" t="s">
        <v>1532</v>
      </c>
      <c r="E2488" s="33" t="s">
        <v>4497</v>
      </c>
      <c r="F2488" s="33">
        <v>603901</v>
      </c>
      <c r="G2488" s="33">
        <v>5230300</v>
      </c>
      <c r="H2488" s="33"/>
      <c r="I2488" s="33" t="s">
        <v>1137</v>
      </c>
      <c r="J2488" s="33" t="s">
        <v>5197</v>
      </c>
      <c r="K2488" s="33" t="s">
        <v>5198</v>
      </c>
    </row>
    <row r="2489" spans="1:11" ht="20.25" customHeight="1">
      <c r="A2489" s="33" t="s">
        <v>4806</v>
      </c>
      <c r="B2489" s="34" t="s">
        <v>4807</v>
      </c>
      <c r="C2489" s="33" t="s">
        <v>2231</v>
      </c>
      <c r="D2489" s="33" t="s">
        <v>4808</v>
      </c>
      <c r="E2489" s="33" t="s">
        <v>4497</v>
      </c>
      <c r="F2489" s="33">
        <v>603902</v>
      </c>
      <c r="G2489" s="33">
        <v>5230300</v>
      </c>
      <c r="H2489" s="33"/>
      <c r="I2489" s="33" t="s">
        <v>4758</v>
      </c>
      <c r="J2489" s="33" t="s">
        <v>5198</v>
      </c>
      <c r="K2489" s="33" t="s">
        <v>5197</v>
      </c>
    </row>
    <row r="2490" spans="1:11" ht="20.25" customHeight="1">
      <c r="A2490" s="33" t="s">
        <v>4809</v>
      </c>
      <c r="B2490" s="34" t="s">
        <v>4810</v>
      </c>
      <c r="C2490" s="33" t="s">
        <v>4811</v>
      </c>
      <c r="D2490" s="33" t="s">
        <v>4812</v>
      </c>
      <c r="E2490" s="33" t="s">
        <v>4497</v>
      </c>
      <c r="F2490" s="33">
        <v>603903</v>
      </c>
      <c r="G2490" s="33">
        <v>5230300</v>
      </c>
      <c r="H2490" s="33"/>
      <c r="I2490" s="33" t="s">
        <v>4758</v>
      </c>
      <c r="J2490" s="33" t="s">
        <v>5197</v>
      </c>
      <c r="K2490" s="33" t="s">
        <v>5197</v>
      </c>
    </row>
    <row r="2491" spans="1:11" ht="20.25" customHeight="1">
      <c r="A2491" s="33" t="s">
        <v>4813</v>
      </c>
      <c r="B2491" s="34" t="s">
        <v>4814</v>
      </c>
      <c r="C2491" s="33" t="s">
        <v>4815</v>
      </c>
      <c r="D2491" s="33" t="s">
        <v>1533</v>
      </c>
      <c r="E2491" s="33" t="s">
        <v>4497</v>
      </c>
      <c r="F2491" s="33">
        <v>603904</v>
      </c>
      <c r="G2491" s="33">
        <v>5230300</v>
      </c>
      <c r="H2491" s="33"/>
      <c r="I2491" s="33" t="s">
        <v>4420</v>
      </c>
      <c r="J2491" s="33" t="s">
        <v>5197</v>
      </c>
      <c r="K2491" s="33" t="s">
        <v>5198</v>
      </c>
    </row>
    <row r="2492" spans="1:11" ht="20.25" customHeight="1">
      <c r="A2492" s="33" t="s">
        <v>4816</v>
      </c>
      <c r="B2492" s="34" t="s">
        <v>4817</v>
      </c>
      <c r="C2492" s="33" t="s">
        <v>4818</v>
      </c>
      <c r="D2492" s="33" t="s">
        <v>1534</v>
      </c>
      <c r="E2492" s="33" t="s">
        <v>4497</v>
      </c>
      <c r="F2492" s="33">
        <v>603999</v>
      </c>
      <c r="G2492" s="33">
        <v>5230300</v>
      </c>
      <c r="H2492" s="33"/>
      <c r="I2492" s="33" t="s">
        <v>25</v>
      </c>
      <c r="J2492" s="33" t="s">
        <v>5197</v>
      </c>
      <c r="K2492" s="33" t="s">
        <v>5198</v>
      </c>
    </row>
    <row r="2493" spans="1:11" ht="20.25" customHeight="1">
      <c r="A2493" s="33" t="s">
        <v>4819</v>
      </c>
      <c r="B2493" s="34" t="s">
        <v>4820</v>
      </c>
      <c r="C2493" s="33" t="s">
        <v>602</v>
      </c>
      <c r="D2493" s="33" t="s">
        <v>3686</v>
      </c>
      <c r="E2493" s="33" t="s">
        <v>4497</v>
      </c>
      <c r="F2493" s="33">
        <v>604001</v>
      </c>
      <c r="G2493" s="33">
        <v>5230300</v>
      </c>
      <c r="H2493" s="33"/>
      <c r="I2493" s="33" t="s">
        <v>4758</v>
      </c>
      <c r="J2493" s="33" t="s">
        <v>5198</v>
      </c>
      <c r="K2493" s="33" t="s">
        <v>5198</v>
      </c>
    </row>
    <row r="2494" spans="1:11" ht="20.25" customHeight="1">
      <c r="A2494" s="33" t="s">
        <v>4821</v>
      </c>
      <c r="B2494" s="34" t="s">
        <v>4822</v>
      </c>
      <c r="C2494" s="33" t="s">
        <v>4823</v>
      </c>
      <c r="D2494" s="33" t="s">
        <v>4824</v>
      </c>
      <c r="E2494" s="33" t="s">
        <v>4497</v>
      </c>
      <c r="F2494" s="33">
        <v>604031</v>
      </c>
      <c r="G2494" s="33">
        <v>5230300</v>
      </c>
      <c r="H2494" s="33"/>
      <c r="I2494" s="33" t="s">
        <v>4774</v>
      </c>
      <c r="J2494" s="33" t="s">
        <v>5197</v>
      </c>
      <c r="K2494" s="33" t="s">
        <v>5197</v>
      </c>
    </row>
    <row r="2495" spans="1:11" ht="20.25" customHeight="1">
      <c r="A2495" s="33" t="s">
        <v>4825</v>
      </c>
      <c r="B2495" s="34" t="s">
        <v>4826</v>
      </c>
      <c r="C2495" s="33" t="s">
        <v>319</v>
      </c>
      <c r="D2495" s="33" t="s">
        <v>4827</v>
      </c>
      <c r="E2495" s="33" t="s">
        <v>4497</v>
      </c>
      <c r="F2495" s="33">
        <v>604051</v>
      </c>
      <c r="G2495" s="33">
        <v>5230300</v>
      </c>
      <c r="H2495" s="33"/>
      <c r="I2495" s="33" t="s">
        <v>110</v>
      </c>
      <c r="J2495" s="33" t="s">
        <v>5198</v>
      </c>
      <c r="K2495" s="33" t="s">
        <v>5197</v>
      </c>
    </row>
    <row r="2496" spans="1:11" ht="20.25" customHeight="1">
      <c r="A2496" s="33" t="s">
        <v>4828</v>
      </c>
      <c r="B2496" s="34" t="s">
        <v>4829</v>
      </c>
      <c r="C2496" s="33" t="s">
        <v>4830</v>
      </c>
      <c r="D2496" s="33" t="s">
        <v>4831</v>
      </c>
      <c r="E2496" s="33" t="s">
        <v>4497</v>
      </c>
      <c r="F2496" s="33">
        <v>604101</v>
      </c>
      <c r="G2496" s="33">
        <v>5230300</v>
      </c>
      <c r="H2496" s="33"/>
      <c r="I2496" s="33" t="s">
        <v>4762</v>
      </c>
      <c r="J2496" s="33" t="s">
        <v>5197</v>
      </c>
      <c r="K2496" s="33" t="s">
        <v>5198</v>
      </c>
    </row>
    <row r="2497" spans="1:11" ht="20.25" customHeight="1">
      <c r="A2497" s="33" t="s">
        <v>4832</v>
      </c>
      <c r="B2497" s="34" t="s">
        <v>4833</v>
      </c>
      <c r="C2497" s="33" t="s">
        <v>253</v>
      </c>
      <c r="D2497" s="33" t="s">
        <v>4834</v>
      </c>
      <c r="E2497" s="33" t="s">
        <v>4497</v>
      </c>
      <c r="F2497" s="33">
        <v>604102</v>
      </c>
      <c r="G2497" s="33">
        <v>5230300</v>
      </c>
      <c r="H2497" s="33"/>
      <c r="I2497" s="33" t="s">
        <v>4353</v>
      </c>
      <c r="J2497" s="33" t="s">
        <v>5198</v>
      </c>
      <c r="K2497" s="33" t="s">
        <v>5197</v>
      </c>
    </row>
    <row r="2498" spans="1:11" ht="20.25" customHeight="1">
      <c r="A2498" s="33" t="s">
        <v>4835</v>
      </c>
      <c r="B2498" s="34" t="s">
        <v>4836</v>
      </c>
      <c r="C2498" s="33" t="s">
        <v>4837</v>
      </c>
      <c r="D2498" s="33" t="s">
        <v>4838</v>
      </c>
      <c r="E2498" s="33" t="s">
        <v>4497</v>
      </c>
      <c r="F2498" s="33">
        <v>604103</v>
      </c>
      <c r="G2498" s="33">
        <v>5230300</v>
      </c>
      <c r="H2498" s="33"/>
      <c r="I2498" s="33" t="s">
        <v>4738</v>
      </c>
      <c r="J2498" s="33" t="s">
        <v>5197</v>
      </c>
      <c r="K2498" s="33" t="s">
        <v>5197</v>
      </c>
    </row>
    <row r="2499" spans="1:11" ht="20.25" customHeight="1">
      <c r="A2499" s="33" t="s">
        <v>4839</v>
      </c>
      <c r="B2499" s="34" t="s">
        <v>4840</v>
      </c>
      <c r="C2499" s="33" t="s">
        <v>1794</v>
      </c>
      <c r="D2499" s="33" t="s">
        <v>4841</v>
      </c>
      <c r="E2499" s="33" t="s">
        <v>4497</v>
      </c>
      <c r="F2499" s="33">
        <v>604104</v>
      </c>
      <c r="G2499" s="33">
        <v>5230300</v>
      </c>
      <c r="H2499" s="33"/>
      <c r="I2499" s="33" t="s">
        <v>4762</v>
      </c>
      <c r="J2499" s="33" t="s">
        <v>5198</v>
      </c>
      <c r="K2499" s="33" t="s">
        <v>5197</v>
      </c>
    </row>
    <row r="2500" spans="1:11" ht="20.25" customHeight="1">
      <c r="A2500" s="33" t="s">
        <v>4842</v>
      </c>
      <c r="B2500" s="34" t="s">
        <v>4843</v>
      </c>
      <c r="C2500" s="33" t="s">
        <v>319</v>
      </c>
      <c r="D2500" s="33" t="s">
        <v>4844</v>
      </c>
      <c r="E2500" s="33" t="s">
        <v>4497</v>
      </c>
      <c r="F2500" s="33">
        <v>604105</v>
      </c>
      <c r="G2500" s="33">
        <v>5230300</v>
      </c>
      <c r="H2500" s="33"/>
      <c r="I2500" s="33" t="s">
        <v>4738</v>
      </c>
      <c r="J2500" s="33" t="s">
        <v>5198</v>
      </c>
      <c r="K2500" s="33" t="s">
        <v>5197</v>
      </c>
    </row>
    <row r="2501" spans="1:11" ht="20.25" customHeight="1">
      <c r="A2501" s="33" t="s">
        <v>4845</v>
      </c>
      <c r="B2501" s="34" t="s">
        <v>4846</v>
      </c>
      <c r="C2501" s="33" t="s">
        <v>4847</v>
      </c>
      <c r="D2501" s="33" t="s">
        <v>4848</v>
      </c>
      <c r="E2501" s="33" t="s">
        <v>4497</v>
      </c>
      <c r="F2501" s="33">
        <v>604106</v>
      </c>
      <c r="G2501" s="33">
        <v>5230300</v>
      </c>
      <c r="H2501" s="33"/>
      <c r="I2501" s="33" t="s">
        <v>4420</v>
      </c>
      <c r="J2501" s="33" t="s">
        <v>5197</v>
      </c>
      <c r="K2501" s="33" t="s">
        <v>5197</v>
      </c>
    </row>
    <row r="2502" spans="1:11" ht="20.25" customHeight="1">
      <c r="A2502" s="33" t="s">
        <v>4849</v>
      </c>
      <c r="B2502" s="34" t="s">
        <v>4850</v>
      </c>
      <c r="C2502" s="33" t="s">
        <v>1556</v>
      </c>
      <c r="D2502" s="33" t="s">
        <v>4851</v>
      </c>
      <c r="E2502" s="33" t="s">
        <v>4497</v>
      </c>
      <c r="F2502" s="33">
        <v>604107</v>
      </c>
      <c r="G2502" s="33">
        <v>5230300</v>
      </c>
      <c r="H2502" s="33"/>
      <c r="I2502" s="33" t="s">
        <v>4420</v>
      </c>
      <c r="J2502" s="33" t="s">
        <v>5198</v>
      </c>
      <c r="K2502" s="33" t="s">
        <v>5198</v>
      </c>
    </row>
    <row r="2503" spans="1:11" ht="20.25" customHeight="1">
      <c r="A2503" s="33" t="s">
        <v>4852</v>
      </c>
      <c r="B2503" s="34" t="s">
        <v>4853</v>
      </c>
      <c r="C2503" s="33" t="s">
        <v>4854</v>
      </c>
      <c r="D2503" s="33" t="s">
        <v>4831</v>
      </c>
      <c r="E2503" s="33" t="s">
        <v>4497</v>
      </c>
      <c r="F2503" s="33">
        <v>604108</v>
      </c>
      <c r="G2503" s="33">
        <v>5230300</v>
      </c>
      <c r="H2503" s="33"/>
      <c r="I2503" s="33" t="s">
        <v>4853</v>
      </c>
      <c r="J2503" s="33" t="s">
        <v>5197</v>
      </c>
      <c r="K2503" s="33" t="s">
        <v>5198</v>
      </c>
    </row>
    <row r="2504" spans="1:11" ht="20.25" customHeight="1">
      <c r="A2504" s="33" t="s">
        <v>4855</v>
      </c>
      <c r="B2504" s="34" t="s">
        <v>4856</v>
      </c>
      <c r="C2504" s="33" t="s">
        <v>4857</v>
      </c>
      <c r="D2504" s="33" t="s">
        <v>4851</v>
      </c>
      <c r="E2504" s="33" t="s">
        <v>4497</v>
      </c>
      <c r="F2504" s="33">
        <v>604109</v>
      </c>
      <c r="G2504" s="33">
        <v>5230300</v>
      </c>
      <c r="H2504" s="33"/>
      <c r="I2504" s="33" t="s">
        <v>4420</v>
      </c>
      <c r="J2504" s="33" t="s">
        <v>5197</v>
      </c>
      <c r="K2504" s="33" t="s">
        <v>5198</v>
      </c>
    </row>
    <row r="2505" spans="1:11" ht="20.25" customHeight="1">
      <c r="A2505" s="33" t="s">
        <v>4858</v>
      </c>
      <c r="B2505" s="34" t="s">
        <v>4859</v>
      </c>
      <c r="C2505" s="33" t="s">
        <v>4860</v>
      </c>
      <c r="D2505" s="33" t="s">
        <v>4861</v>
      </c>
      <c r="E2505" s="33" t="s">
        <v>4497</v>
      </c>
      <c r="F2505" s="33">
        <v>604199</v>
      </c>
      <c r="G2505" s="33">
        <v>5230300</v>
      </c>
      <c r="H2505" s="33"/>
      <c r="I2505" s="33" t="s">
        <v>25</v>
      </c>
      <c r="J2505" s="33" t="s">
        <v>5197</v>
      </c>
      <c r="K2505" s="33" t="s">
        <v>5197</v>
      </c>
    </row>
    <row r="2506" spans="1:11" ht="20.25" customHeight="1">
      <c r="A2506" s="33" t="s">
        <v>4862</v>
      </c>
      <c r="B2506" s="34" t="s">
        <v>4863</v>
      </c>
      <c r="C2506" s="33" t="s">
        <v>4013</v>
      </c>
      <c r="D2506" s="33" t="s">
        <v>4864</v>
      </c>
      <c r="E2506" s="33" t="s">
        <v>4497</v>
      </c>
      <c r="F2506" s="33">
        <v>604201</v>
      </c>
      <c r="G2506" s="33">
        <v>5230300</v>
      </c>
      <c r="H2506" s="33"/>
      <c r="I2506" s="33" t="s">
        <v>4865</v>
      </c>
      <c r="J2506" s="33" t="s">
        <v>5198</v>
      </c>
      <c r="K2506" s="33" t="s">
        <v>5197</v>
      </c>
    </row>
    <row r="2507" spans="1:11" ht="20.25" customHeight="1">
      <c r="A2507" s="33" t="s">
        <v>4866</v>
      </c>
      <c r="B2507" s="34" t="s">
        <v>4867</v>
      </c>
      <c r="C2507" s="33" t="s">
        <v>3321</v>
      </c>
      <c r="D2507" s="33" t="s">
        <v>4868</v>
      </c>
      <c r="E2507" s="33" t="s">
        <v>4497</v>
      </c>
      <c r="F2507" s="33">
        <v>604251</v>
      </c>
      <c r="G2507" s="33">
        <v>5230300</v>
      </c>
      <c r="H2507" s="33"/>
      <c r="I2507" s="33" t="s">
        <v>4865</v>
      </c>
      <c r="J2507" s="33" t="s">
        <v>5198</v>
      </c>
      <c r="K2507" s="33" t="s">
        <v>5197</v>
      </c>
    </row>
    <row r="2508" spans="1:11" ht="20.25" customHeight="1">
      <c r="A2508" s="33" t="s">
        <v>4869</v>
      </c>
      <c r="B2508" s="34" t="s">
        <v>4870</v>
      </c>
      <c r="C2508" s="33" t="s">
        <v>596</v>
      </c>
      <c r="D2508" s="33" t="s">
        <v>4871</v>
      </c>
      <c r="E2508" s="33" t="s">
        <v>4497</v>
      </c>
      <c r="F2508" s="33">
        <v>604252</v>
      </c>
      <c r="G2508" s="33">
        <v>5230300</v>
      </c>
      <c r="H2508" s="33"/>
      <c r="I2508" s="33" t="s">
        <v>109</v>
      </c>
      <c r="J2508" s="33" t="s">
        <v>5198</v>
      </c>
      <c r="K2508" s="33" t="s">
        <v>5197</v>
      </c>
    </row>
    <row r="2509" spans="1:11" ht="20.25" customHeight="1">
      <c r="A2509" s="33" t="s">
        <v>4872</v>
      </c>
      <c r="B2509" s="34" t="s">
        <v>4873</v>
      </c>
      <c r="C2509" s="33" t="s">
        <v>4874</v>
      </c>
      <c r="D2509" s="33" t="s">
        <v>4875</v>
      </c>
      <c r="E2509" s="33" t="s">
        <v>4497</v>
      </c>
      <c r="F2509" s="33">
        <v>604253</v>
      </c>
      <c r="G2509" s="33">
        <v>5230300</v>
      </c>
      <c r="H2509" s="33"/>
      <c r="I2509" s="33" t="s">
        <v>4876</v>
      </c>
      <c r="J2509" s="33" t="s">
        <v>5197</v>
      </c>
      <c r="K2509" s="33" t="s">
        <v>5197</v>
      </c>
    </row>
    <row r="2510" spans="1:11" ht="20.25" customHeight="1">
      <c r="A2510" s="33" t="s">
        <v>4877</v>
      </c>
      <c r="B2510" s="34" t="s">
        <v>4878</v>
      </c>
      <c r="C2510" s="33" t="s">
        <v>4879</v>
      </c>
      <c r="D2510" s="33" t="s">
        <v>4880</v>
      </c>
      <c r="E2510" s="33" t="s">
        <v>4497</v>
      </c>
      <c r="F2510" s="33">
        <v>604254</v>
      </c>
      <c r="G2510" s="33">
        <v>5230300</v>
      </c>
      <c r="H2510" s="33"/>
      <c r="I2510" s="33" t="s">
        <v>4881</v>
      </c>
      <c r="J2510" s="33" t="s">
        <v>5197</v>
      </c>
      <c r="K2510" s="33" t="s">
        <v>5197</v>
      </c>
    </row>
    <row r="2511" spans="1:11" ht="20.25" customHeight="1">
      <c r="A2511" s="33" t="s">
        <v>4882</v>
      </c>
      <c r="B2511" s="34" t="s">
        <v>4883</v>
      </c>
      <c r="C2511" s="33" t="s">
        <v>4884</v>
      </c>
      <c r="D2511" s="33" t="s">
        <v>4885</v>
      </c>
      <c r="E2511" s="33" t="s">
        <v>4497</v>
      </c>
      <c r="F2511" s="33">
        <v>604299</v>
      </c>
      <c r="G2511" s="33">
        <v>5230300</v>
      </c>
      <c r="H2511" s="33"/>
      <c r="I2511" s="33" t="s">
        <v>25</v>
      </c>
      <c r="J2511" s="33" t="s">
        <v>5197</v>
      </c>
      <c r="K2511" s="33" t="s">
        <v>5198</v>
      </c>
    </row>
    <row r="2512" spans="1:11" ht="20.25" customHeight="1">
      <c r="A2512" s="33" t="s">
        <v>4886</v>
      </c>
      <c r="B2512" s="34" t="s">
        <v>4887</v>
      </c>
      <c r="C2512" s="33" t="s">
        <v>4888</v>
      </c>
      <c r="D2512" s="33" t="s">
        <v>4889</v>
      </c>
      <c r="E2512" s="33" t="s">
        <v>4497</v>
      </c>
      <c r="F2512" s="33">
        <v>604301</v>
      </c>
      <c r="G2512" s="33">
        <v>5230300</v>
      </c>
      <c r="H2512" s="33"/>
      <c r="I2512" s="33" t="s">
        <v>4865</v>
      </c>
      <c r="J2512" s="33" t="s">
        <v>5197</v>
      </c>
      <c r="K2512" s="33" t="s">
        <v>5197</v>
      </c>
    </row>
    <row r="2513" spans="1:11" ht="20.25" customHeight="1">
      <c r="A2513" s="33" t="s">
        <v>4890</v>
      </c>
      <c r="B2513" s="34" t="s">
        <v>4891</v>
      </c>
      <c r="C2513" s="33" t="s">
        <v>4892</v>
      </c>
      <c r="D2513" s="33" t="s">
        <v>4893</v>
      </c>
      <c r="E2513" s="33" t="s">
        <v>4497</v>
      </c>
      <c r="F2513" s="33">
        <v>604302</v>
      </c>
      <c r="G2513" s="33">
        <v>5230300</v>
      </c>
      <c r="H2513" s="33"/>
      <c r="I2513" s="33" t="s">
        <v>4894</v>
      </c>
      <c r="J2513" s="33" t="s">
        <v>5198</v>
      </c>
      <c r="K2513" s="33" t="s">
        <v>5197</v>
      </c>
    </row>
    <row r="2514" spans="1:11" ht="20.25" customHeight="1">
      <c r="A2514" s="33" t="s">
        <v>4895</v>
      </c>
      <c r="B2514" s="34" t="s">
        <v>4896</v>
      </c>
      <c r="C2514" s="33" t="s">
        <v>476</v>
      </c>
      <c r="D2514" s="33" t="s">
        <v>4897</v>
      </c>
      <c r="E2514" s="33" t="s">
        <v>4497</v>
      </c>
      <c r="F2514" s="33">
        <v>604303</v>
      </c>
      <c r="G2514" s="33">
        <v>5230300</v>
      </c>
      <c r="H2514" s="33"/>
      <c r="I2514" s="33" t="s">
        <v>4898</v>
      </c>
      <c r="J2514" s="33" t="s">
        <v>5198</v>
      </c>
      <c r="K2514" s="33" t="s">
        <v>5197</v>
      </c>
    </row>
    <row r="2515" spans="1:11" ht="20.25" customHeight="1">
      <c r="A2515" s="33" t="s">
        <v>4899</v>
      </c>
      <c r="B2515" s="34" t="s">
        <v>4900</v>
      </c>
      <c r="C2515" s="33" t="s">
        <v>4901</v>
      </c>
      <c r="D2515" s="33" t="s">
        <v>4902</v>
      </c>
      <c r="E2515" s="33" t="s">
        <v>4497</v>
      </c>
      <c r="F2515" s="33">
        <v>604349</v>
      </c>
      <c r="G2515" s="33">
        <v>5230300</v>
      </c>
      <c r="H2515" s="33"/>
      <c r="I2515" s="33" t="s">
        <v>25</v>
      </c>
      <c r="J2515" s="33" t="s">
        <v>5197</v>
      </c>
      <c r="K2515" s="33" t="s">
        <v>5198</v>
      </c>
    </row>
    <row r="2516" spans="1:11" ht="20.25" customHeight="1">
      <c r="A2516" s="33" t="s">
        <v>4903</v>
      </c>
      <c r="B2516" s="34" t="s">
        <v>4904</v>
      </c>
      <c r="C2516" s="33" t="s">
        <v>3181</v>
      </c>
      <c r="D2516" s="33" t="s">
        <v>4905</v>
      </c>
      <c r="E2516" s="33" t="s">
        <v>4497</v>
      </c>
      <c r="F2516" s="33">
        <v>604351</v>
      </c>
      <c r="G2516" s="33">
        <v>5230300</v>
      </c>
      <c r="H2516" s="33"/>
      <c r="I2516" s="33" t="s">
        <v>4420</v>
      </c>
      <c r="J2516" s="33" t="s">
        <v>5198</v>
      </c>
      <c r="K2516" s="33" t="s">
        <v>5197</v>
      </c>
    </row>
    <row r="2517" spans="1:11" ht="20.25" customHeight="1">
      <c r="A2517" s="33" t="s">
        <v>4906</v>
      </c>
      <c r="B2517" s="34" t="s">
        <v>4907</v>
      </c>
      <c r="C2517" s="33" t="s">
        <v>4908</v>
      </c>
      <c r="D2517" s="33" t="s">
        <v>4909</v>
      </c>
      <c r="E2517" s="33" t="s">
        <v>4497</v>
      </c>
      <c r="F2517" s="33">
        <v>604352</v>
      </c>
      <c r="G2517" s="33">
        <v>5230300</v>
      </c>
      <c r="H2517" s="33"/>
      <c r="I2517" s="33" t="s">
        <v>1137</v>
      </c>
      <c r="J2517" s="33" t="s">
        <v>5197</v>
      </c>
      <c r="K2517" s="33" t="s">
        <v>5197</v>
      </c>
    </row>
    <row r="2518" spans="1:11" ht="20.25" customHeight="1">
      <c r="A2518" s="33" t="s">
        <v>4910</v>
      </c>
      <c r="B2518" s="34" t="s">
        <v>4911</v>
      </c>
      <c r="C2518" s="33" t="s">
        <v>4912</v>
      </c>
      <c r="D2518" s="33" t="s">
        <v>4913</v>
      </c>
      <c r="E2518" s="33" t="s">
        <v>4497</v>
      </c>
      <c r="F2518" s="33">
        <v>604401</v>
      </c>
      <c r="G2518" s="33">
        <v>5230300</v>
      </c>
      <c r="H2518" s="33"/>
      <c r="I2518" s="33" t="s">
        <v>4758</v>
      </c>
      <c r="J2518" s="33" t="s">
        <v>5197</v>
      </c>
      <c r="K2518" s="33" t="s">
        <v>5197</v>
      </c>
    </row>
    <row r="2519" spans="1:11" ht="20.25" customHeight="1">
      <c r="A2519" s="33" t="s">
        <v>4914</v>
      </c>
      <c r="B2519" s="34" t="s">
        <v>4915</v>
      </c>
      <c r="C2519" s="33" t="s">
        <v>931</v>
      </c>
      <c r="D2519" s="33" t="s">
        <v>4916</v>
      </c>
      <c r="E2519" s="33" t="s">
        <v>4497</v>
      </c>
      <c r="F2519" s="33">
        <v>604402</v>
      </c>
      <c r="G2519" s="33">
        <v>5230300</v>
      </c>
      <c r="H2519" s="33"/>
      <c r="I2519" s="33" t="s">
        <v>4420</v>
      </c>
      <c r="J2519" s="33" t="s">
        <v>5198</v>
      </c>
      <c r="K2519" s="33" t="s">
        <v>5197</v>
      </c>
    </row>
    <row r="2520" spans="1:11" ht="20.25" customHeight="1">
      <c r="A2520" s="33" t="s">
        <v>4917</v>
      </c>
      <c r="B2520" s="34" t="s">
        <v>4918</v>
      </c>
      <c r="C2520" s="33" t="s">
        <v>4892</v>
      </c>
      <c r="D2520" s="33" t="s">
        <v>4919</v>
      </c>
      <c r="E2520" s="33" t="s">
        <v>4497</v>
      </c>
      <c r="F2520" s="33">
        <v>604403</v>
      </c>
      <c r="G2520" s="33">
        <v>5230300</v>
      </c>
      <c r="H2520" s="33"/>
      <c r="I2520" s="33" t="s">
        <v>4420</v>
      </c>
      <c r="J2520" s="33" t="s">
        <v>5198</v>
      </c>
      <c r="K2520" s="33" t="s">
        <v>5197</v>
      </c>
    </row>
    <row r="2521" spans="1:11" ht="20.25" customHeight="1">
      <c r="A2521" s="33" t="s">
        <v>4920</v>
      </c>
      <c r="B2521" s="34" t="s">
        <v>4921</v>
      </c>
      <c r="C2521" s="33" t="s">
        <v>4922</v>
      </c>
      <c r="D2521" s="33" t="s">
        <v>4923</v>
      </c>
      <c r="E2521" s="33" t="s">
        <v>4497</v>
      </c>
      <c r="F2521" s="33">
        <v>604451</v>
      </c>
      <c r="G2521" s="33">
        <v>5230300</v>
      </c>
      <c r="H2521" s="33"/>
      <c r="I2521" s="33" t="s">
        <v>4898</v>
      </c>
      <c r="J2521" s="33" t="s">
        <v>5197</v>
      </c>
      <c r="K2521" s="33" t="s">
        <v>5197</v>
      </c>
    </row>
    <row r="2522" spans="1:11" ht="20.25" customHeight="1">
      <c r="A2522" s="33" t="s">
        <v>4924</v>
      </c>
      <c r="B2522" s="34" t="s">
        <v>4925</v>
      </c>
      <c r="C2522" s="33" t="s">
        <v>3612</v>
      </c>
      <c r="D2522" s="33" t="s">
        <v>1560</v>
      </c>
      <c r="E2522" s="33" t="s">
        <v>4497</v>
      </c>
      <c r="F2522" s="33">
        <v>604452</v>
      </c>
      <c r="G2522" s="33">
        <v>5230300</v>
      </c>
      <c r="H2522" s="33"/>
      <c r="I2522" s="33" t="s">
        <v>4758</v>
      </c>
      <c r="J2522" s="33" t="s">
        <v>5198</v>
      </c>
      <c r="K2522" s="33" t="s">
        <v>5198</v>
      </c>
    </row>
    <row r="2523" spans="1:11" ht="20.25" customHeight="1">
      <c r="A2523" s="33" t="s">
        <v>4926</v>
      </c>
      <c r="B2523" s="34" t="s">
        <v>4927</v>
      </c>
      <c r="C2523" s="33" t="s">
        <v>4928</v>
      </c>
      <c r="D2523" s="33" t="s">
        <v>4929</v>
      </c>
      <c r="E2523" s="33" t="s">
        <v>4497</v>
      </c>
      <c r="F2523" s="33">
        <v>604501</v>
      </c>
      <c r="G2523" s="33">
        <v>5230300</v>
      </c>
      <c r="H2523" s="33"/>
      <c r="I2523" s="33" t="s">
        <v>4420</v>
      </c>
      <c r="J2523" s="33" t="s">
        <v>5197</v>
      </c>
      <c r="K2523" s="33" t="s">
        <v>5197</v>
      </c>
    </row>
    <row r="2524" spans="1:11" ht="20.25" customHeight="1">
      <c r="A2524" s="33" t="s">
        <v>4930</v>
      </c>
      <c r="B2524" s="34" t="s">
        <v>4931</v>
      </c>
      <c r="C2524" s="33" t="s">
        <v>4932</v>
      </c>
      <c r="D2524" s="33" t="s">
        <v>4933</v>
      </c>
      <c r="E2524" s="33" t="s">
        <v>4497</v>
      </c>
      <c r="F2524" s="33">
        <v>604502</v>
      </c>
      <c r="G2524" s="33">
        <v>5230300</v>
      </c>
      <c r="H2524" s="33"/>
      <c r="I2524" s="33" t="s">
        <v>659</v>
      </c>
      <c r="J2524" s="33" t="s">
        <v>5197</v>
      </c>
      <c r="K2524" s="33" t="s">
        <v>5197</v>
      </c>
    </row>
    <row r="2525" spans="1:11" ht="20.25" customHeight="1">
      <c r="A2525" s="33" t="s">
        <v>4934</v>
      </c>
      <c r="B2525" s="34" t="s">
        <v>4935</v>
      </c>
      <c r="C2525" s="33" t="s">
        <v>4936</v>
      </c>
      <c r="D2525" s="33" t="s">
        <v>4937</v>
      </c>
      <c r="E2525" s="33" t="s">
        <v>4497</v>
      </c>
      <c r="F2525" s="33">
        <v>604599</v>
      </c>
      <c r="G2525" s="33">
        <v>5230300</v>
      </c>
      <c r="H2525" s="33"/>
      <c r="I2525" s="33" t="s">
        <v>25</v>
      </c>
      <c r="J2525" s="33" t="s">
        <v>5197</v>
      </c>
      <c r="K2525" s="33" t="s">
        <v>5197</v>
      </c>
    </row>
    <row r="2526" spans="1:11" ht="20.25" customHeight="1">
      <c r="A2526" s="33" t="s">
        <v>4938</v>
      </c>
      <c r="B2526" s="34" t="s">
        <v>4939</v>
      </c>
      <c r="C2526" s="33" t="s">
        <v>4940</v>
      </c>
      <c r="D2526" s="33" t="s">
        <v>4285</v>
      </c>
      <c r="E2526" s="33" t="s">
        <v>4497</v>
      </c>
      <c r="F2526" s="33">
        <v>604601</v>
      </c>
      <c r="G2526" s="33">
        <v>5230300</v>
      </c>
      <c r="H2526" s="33"/>
      <c r="I2526" s="33" t="s">
        <v>4898</v>
      </c>
      <c r="J2526" s="33" t="s">
        <v>5197</v>
      </c>
      <c r="K2526" s="33" t="s">
        <v>5198</v>
      </c>
    </row>
    <row r="2527" spans="1:11" ht="20.25" customHeight="1">
      <c r="A2527" s="33" t="s">
        <v>4941</v>
      </c>
      <c r="B2527" s="34" t="s">
        <v>4942</v>
      </c>
      <c r="C2527" s="33" t="s">
        <v>4943</v>
      </c>
      <c r="D2527" s="33" t="s">
        <v>4285</v>
      </c>
      <c r="E2527" s="33" t="s">
        <v>4497</v>
      </c>
      <c r="F2527" s="33">
        <v>604602</v>
      </c>
      <c r="G2527" s="33">
        <v>5230300</v>
      </c>
      <c r="H2527" s="33"/>
      <c r="I2527" s="33" t="s">
        <v>4766</v>
      </c>
      <c r="J2527" s="33" t="s">
        <v>5197</v>
      </c>
      <c r="K2527" s="33" t="s">
        <v>5198</v>
      </c>
    </row>
    <row r="2528" spans="1:11" ht="20.25" customHeight="1">
      <c r="A2528" s="33" t="s">
        <v>4944</v>
      </c>
      <c r="B2528" s="34" t="s">
        <v>4945</v>
      </c>
      <c r="C2528" s="33" t="s">
        <v>4634</v>
      </c>
      <c r="D2528" s="33" t="s">
        <v>4946</v>
      </c>
      <c r="E2528" s="33" t="s">
        <v>4497</v>
      </c>
      <c r="F2528" s="33">
        <v>604603</v>
      </c>
      <c r="G2528" s="33">
        <v>5230300</v>
      </c>
      <c r="H2528" s="33"/>
      <c r="I2528" s="33" t="s">
        <v>1708</v>
      </c>
      <c r="J2528" s="33" t="s">
        <v>5198</v>
      </c>
      <c r="K2528" s="33" t="s">
        <v>5197</v>
      </c>
    </row>
    <row r="2529" spans="1:11" ht="20.25" customHeight="1">
      <c r="A2529" s="33" t="s">
        <v>4947</v>
      </c>
      <c r="B2529" s="34" t="s">
        <v>4948</v>
      </c>
      <c r="C2529" s="33" t="s">
        <v>4949</v>
      </c>
      <c r="D2529" s="33" t="s">
        <v>4950</v>
      </c>
      <c r="E2529" s="33" t="s">
        <v>4497</v>
      </c>
      <c r="F2529" s="33">
        <v>604604</v>
      </c>
      <c r="G2529" s="33">
        <v>5230300</v>
      </c>
      <c r="H2529" s="33"/>
      <c r="I2529" s="33" t="s">
        <v>4951</v>
      </c>
      <c r="J2529" s="33" t="s">
        <v>5197</v>
      </c>
      <c r="K2529" s="33" t="s">
        <v>5197</v>
      </c>
    </row>
    <row r="2530" spans="1:11" ht="20.25" customHeight="1">
      <c r="A2530" s="33" t="s">
        <v>4952</v>
      </c>
      <c r="B2530" s="34" t="s">
        <v>4953</v>
      </c>
      <c r="C2530" s="33" t="s">
        <v>3932</v>
      </c>
      <c r="D2530" s="33" t="s">
        <v>4954</v>
      </c>
      <c r="E2530" s="33" t="s">
        <v>4497</v>
      </c>
      <c r="F2530" s="33">
        <v>604605</v>
      </c>
      <c r="G2530" s="33">
        <v>5230300</v>
      </c>
      <c r="H2530" s="33"/>
      <c r="I2530" s="33" t="s">
        <v>4951</v>
      </c>
      <c r="J2530" s="33" t="s">
        <v>5198</v>
      </c>
      <c r="K2530" s="33" t="s">
        <v>5197</v>
      </c>
    </row>
    <row r="2531" spans="1:11" ht="20.25" customHeight="1">
      <c r="A2531" s="33" t="s">
        <v>4955</v>
      </c>
      <c r="B2531" s="34" t="s">
        <v>4956</v>
      </c>
      <c r="C2531" s="33" t="s">
        <v>4957</v>
      </c>
      <c r="D2531" s="33" t="s">
        <v>4302</v>
      </c>
      <c r="E2531" s="33" t="s">
        <v>4497</v>
      </c>
      <c r="F2531" s="33">
        <v>604699</v>
      </c>
      <c r="G2531" s="33">
        <v>5230300</v>
      </c>
      <c r="H2531" s="33"/>
      <c r="I2531" s="33" t="s">
        <v>25</v>
      </c>
      <c r="J2531" s="33" t="s">
        <v>5197</v>
      </c>
      <c r="K2531" s="33" t="s">
        <v>5198</v>
      </c>
    </row>
    <row r="2532" spans="1:11" ht="20.25" customHeight="1">
      <c r="A2532" s="33" t="s">
        <v>4958</v>
      </c>
      <c r="B2532" s="34" t="s">
        <v>4959</v>
      </c>
      <c r="C2532" s="33" t="s">
        <v>605</v>
      </c>
      <c r="D2532" s="33" t="s">
        <v>4960</v>
      </c>
      <c r="E2532" s="33" t="s">
        <v>4497</v>
      </c>
      <c r="F2532" s="33">
        <v>604701</v>
      </c>
      <c r="G2532" s="33">
        <v>5230300</v>
      </c>
      <c r="H2532" s="33"/>
      <c r="I2532" s="33" t="s">
        <v>4020</v>
      </c>
      <c r="J2532" s="33" t="s">
        <v>5198</v>
      </c>
      <c r="K2532" s="33" t="s">
        <v>5197</v>
      </c>
    </row>
    <row r="2533" spans="1:11" ht="20.25" customHeight="1">
      <c r="A2533" s="33" t="s">
        <v>4961</v>
      </c>
      <c r="B2533" s="34" t="s">
        <v>4962</v>
      </c>
      <c r="C2533" s="33" t="s">
        <v>4963</v>
      </c>
      <c r="D2533" s="33" t="s">
        <v>4964</v>
      </c>
      <c r="E2533" s="33" t="s">
        <v>4497</v>
      </c>
      <c r="F2533" s="33">
        <v>604702</v>
      </c>
      <c r="G2533" s="33">
        <v>5230300</v>
      </c>
      <c r="H2533" s="33"/>
      <c r="I2533" s="33" t="s">
        <v>4420</v>
      </c>
      <c r="J2533" s="33" t="s">
        <v>5197</v>
      </c>
      <c r="K2533" s="33" t="s">
        <v>5197</v>
      </c>
    </row>
    <row r="2534" spans="1:11" ht="20.25" customHeight="1">
      <c r="A2534" s="33" t="s">
        <v>4965</v>
      </c>
      <c r="B2534" s="34" t="s">
        <v>4966</v>
      </c>
      <c r="C2534" s="33" t="s">
        <v>2247</v>
      </c>
      <c r="D2534" s="33" t="s">
        <v>4967</v>
      </c>
      <c r="E2534" s="33" t="s">
        <v>4497</v>
      </c>
      <c r="F2534" s="33">
        <v>604703</v>
      </c>
      <c r="G2534" s="33">
        <v>5230300</v>
      </c>
      <c r="H2534" s="33"/>
      <c r="I2534" s="33" t="s">
        <v>4420</v>
      </c>
      <c r="J2534" s="33" t="s">
        <v>5198</v>
      </c>
      <c r="K2534" s="33" t="s">
        <v>5197</v>
      </c>
    </row>
    <row r="2535" spans="1:11" ht="20.25" customHeight="1">
      <c r="A2535" s="33" t="s">
        <v>4968</v>
      </c>
      <c r="B2535" s="34" t="s">
        <v>4969</v>
      </c>
      <c r="C2535" s="33" t="s">
        <v>4970</v>
      </c>
      <c r="D2535" s="33" t="s">
        <v>4971</v>
      </c>
      <c r="E2535" s="33" t="s">
        <v>4497</v>
      </c>
      <c r="F2535" s="33">
        <v>604704</v>
      </c>
      <c r="G2535" s="33">
        <v>5230300</v>
      </c>
      <c r="H2535" s="33"/>
      <c r="I2535" s="33" t="s">
        <v>4972</v>
      </c>
      <c r="J2535" s="33" t="s">
        <v>5197</v>
      </c>
      <c r="K2535" s="33" t="s">
        <v>5197</v>
      </c>
    </row>
    <row r="2536" spans="1:11" ht="20.25" customHeight="1">
      <c r="A2536" s="33" t="s">
        <v>4973</v>
      </c>
      <c r="B2536" s="34" t="s">
        <v>4974</v>
      </c>
      <c r="C2536" s="33" t="s">
        <v>4975</v>
      </c>
      <c r="D2536" s="33" t="s">
        <v>4976</v>
      </c>
      <c r="E2536" s="33" t="s">
        <v>4497</v>
      </c>
      <c r="F2536" s="33">
        <v>604705</v>
      </c>
      <c r="G2536" s="33">
        <v>5230300</v>
      </c>
      <c r="H2536" s="33"/>
      <c r="I2536" s="33" t="s">
        <v>4977</v>
      </c>
      <c r="J2536" s="33" t="s">
        <v>5197</v>
      </c>
      <c r="K2536" s="33" t="s">
        <v>5197</v>
      </c>
    </row>
    <row r="2537" spans="1:11" ht="20.25" customHeight="1">
      <c r="A2537" s="33" t="s">
        <v>4978</v>
      </c>
      <c r="B2537" s="34" t="s">
        <v>4979</v>
      </c>
      <c r="C2537" s="33" t="s">
        <v>4980</v>
      </c>
      <c r="D2537" s="33" t="s">
        <v>4981</v>
      </c>
      <c r="E2537" s="33" t="s">
        <v>4497</v>
      </c>
      <c r="F2537" s="33">
        <v>604799</v>
      </c>
      <c r="G2537" s="33">
        <v>5230300</v>
      </c>
      <c r="H2537" s="33"/>
      <c r="I2537" s="33" t="s">
        <v>25</v>
      </c>
      <c r="J2537" s="33" t="s">
        <v>5197</v>
      </c>
      <c r="K2537" s="33" t="s">
        <v>5197</v>
      </c>
    </row>
    <row r="2538" spans="1:11" ht="20.25" customHeight="1">
      <c r="A2538" s="33" t="s">
        <v>4982</v>
      </c>
      <c r="B2538" s="34" t="s">
        <v>4983</v>
      </c>
      <c r="C2538" s="33" t="s">
        <v>4984</v>
      </c>
      <c r="D2538" s="33" t="s">
        <v>4985</v>
      </c>
      <c r="E2538" s="33" t="s">
        <v>4497</v>
      </c>
      <c r="F2538" s="33">
        <v>604801</v>
      </c>
      <c r="G2538" s="33">
        <v>5230300</v>
      </c>
      <c r="H2538" s="33"/>
      <c r="I2538" s="33" t="s">
        <v>4986</v>
      </c>
      <c r="J2538" s="33" t="s">
        <v>5197</v>
      </c>
      <c r="K2538" s="33" t="s">
        <v>5197</v>
      </c>
    </row>
    <row r="2539" spans="1:11" ht="20.25" customHeight="1">
      <c r="A2539" s="33" t="s">
        <v>4987</v>
      </c>
      <c r="B2539" s="34" t="s">
        <v>4988</v>
      </c>
      <c r="C2539" s="33" t="s">
        <v>4989</v>
      </c>
      <c r="D2539" s="33" t="s">
        <v>4990</v>
      </c>
      <c r="E2539" s="33" t="s">
        <v>4497</v>
      </c>
      <c r="F2539" s="33">
        <v>604901</v>
      </c>
      <c r="G2539" s="33">
        <v>5230300</v>
      </c>
      <c r="H2539" s="33"/>
      <c r="I2539" s="33" t="s">
        <v>4898</v>
      </c>
      <c r="J2539" s="33" t="s">
        <v>5197</v>
      </c>
      <c r="K2539" s="33" t="s">
        <v>5197</v>
      </c>
    </row>
    <row r="2540" spans="1:11" ht="20.25" customHeight="1">
      <c r="A2540" s="33" t="s">
        <v>4991</v>
      </c>
      <c r="B2540" s="34" t="s">
        <v>4992</v>
      </c>
      <c r="C2540" s="33" t="s">
        <v>4993</v>
      </c>
      <c r="D2540" s="33" t="s">
        <v>4994</v>
      </c>
      <c r="E2540" s="33" t="s">
        <v>4497</v>
      </c>
      <c r="F2540" s="33">
        <v>604902</v>
      </c>
      <c r="G2540" s="33">
        <v>5230300</v>
      </c>
      <c r="H2540" s="33"/>
      <c r="I2540" s="33" t="s">
        <v>4995</v>
      </c>
      <c r="J2540" s="33" t="s">
        <v>5197</v>
      </c>
      <c r="K2540" s="33" t="s">
        <v>5197</v>
      </c>
    </row>
    <row r="2541" spans="1:11" ht="20.25" customHeight="1">
      <c r="A2541" s="33" t="s">
        <v>4996</v>
      </c>
      <c r="B2541" s="34" t="s">
        <v>4997</v>
      </c>
      <c r="C2541" s="33" t="s">
        <v>4998</v>
      </c>
      <c r="D2541" s="33" t="s">
        <v>4999</v>
      </c>
      <c r="E2541" s="33" t="s">
        <v>4497</v>
      </c>
      <c r="F2541" s="33">
        <v>605001</v>
      </c>
      <c r="G2541" s="33">
        <v>5230300</v>
      </c>
      <c r="H2541" s="33"/>
      <c r="I2541" s="33" t="s">
        <v>5000</v>
      </c>
      <c r="J2541" s="33" t="s">
        <v>5197</v>
      </c>
      <c r="K2541" s="33" t="s">
        <v>5197</v>
      </c>
    </row>
    <row r="2542" spans="1:11" ht="20.25" customHeight="1">
      <c r="A2542" s="33" t="s">
        <v>5001</v>
      </c>
      <c r="B2542" s="34" t="s">
        <v>5002</v>
      </c>
      <c r="C2542" s="33" t="s">
        <v>5003</v>
      </c>
      <c r="D2542" s="33" t="s">
        <v>5004</v>
      </c>
      <c r="E2542" s="33" t="s">
        <v>4497</v>
      </c>
      <c r="F2542" s="33">
        <v>605002</v>
      </c>
      <c r="G2542" s="33">
        <v>5230300</v>
      </c>
      <c r="H2542" s="33"/>
      <c r="I2542" s="33" t="s">
        <v>5005</v>
      </c>
      <c r="J2542" s="33" t="s">
        <v>5197</v>
      </c>
      <c r="K2542" s="33" t="s">
        <v>5197</v>
      </c>
    </row>
    <row r="2543" spans="1:11" ht="20.25" customHeight="1">
      <c r="A2543" s="33" t="s">
        <v>5006</v>
      </c>
      <c r="B2543" s="34" t="s">
        <v>5007</v>
      </c>
      <c r="C2543" s="33" t="s">
        <v>644</v>
      </c>
      <c r="D2543" s="33" t="s">
        <v>5008</v>
      </c>
      <c r="E2543" s="33" t="s">
        <v>4497</v>
      </c>
      <c r="F2543" s="33">
        <v>605101</v>
      </c>
      <c r="G2543" s="33">
        <v>5230300</v>
      </c>
      <c r="H2543" s="33"/>
      <c r="I2543" s="33" t="s">
        <v>4420</v>
      </c>
      <c r="J2543" s="33" t="s">
        <v>5198</v>
      </c>
      <c r="K2543" s="33" t="s">
        <v>5197</v>
      </c>
    </row>
    <row r="2544" spans="1:11" ht="20.25" customHeight="1">
      <c r="A2544" s="33" t="s">
        <v>5009</v>
      </c>
      <c r="B2544" s="34" t="s">
        <v>5010</v>
      </c>
      <c r="C2544" s="33" t="s">
        <v>5011</v>
      </c>
      <c r="D2544" s="33" t="s">
        <v>5012</v>
      </c>
      <c r="E2544" s="33" t="s">
        <v>4497</v>
      </c>
      <c r="F2544" s="33">
        <v>609999</v>
      </c>
      <c r="G2544" s="33">
        <v>5230300</v>
      </c>
      <c r="H2544" s="33"/>
      <c r="I2544" s="33" t="s">
        <v>25</v>
      </c>
      <c r="J2544" s="33" t="s">
        <v>5198</v>
      </c>
      <c r="K2544" s="33" t="s">
        <v>5197</v>
      </c>
    </row>
    <row r="2545" spans="1:11" ht="20.25" customHeight="1">
      <c r="A2545" s="33" t="s">
        <v>5013</v>
      </c>
      <c r="B2545" s="34" t="s">
        <v>5014</v>
      </c>
      <c r="C2545" s="33" t="s">
        <v>2124</v>
      </c>
      <c r="D2545" s="33" t="s">
        <v>5015</v>
      </c>
      <c r="E2545" s="33" t="s">
        <v>5016</v>
      </c>
      <c r="F2545" s="33">
        <v>900301</v>
      </c>
      <c r="G2545" s="33">
        <v>95100000</v>
      </c>
      <c r="H2545" s="33"/>
      <c r="I2545" s="33" t="s">
        <v>25</v>
      </c>
      <c r="J2545" s="33" t="s">
        <v>5198</v>
      </c>
      <c r="K2545" s="33" t="s">
        <v>5197</v>
      </c>
    </row>
    <row r="2546" spans="1:11" ht="20.25" customHeight="1">
      <c r="A2546" s="33" t="s">
        <v>5017</v>
      </c>
      <c r="B2546" s="34" t="s">
        <v>5018</v>
      </c>
      <c r="C2546" s="33" t="s">
        <v>1262</v>
      </c>
      <c r="D2546" s="33" t="s">
        <v>5019</v>
      </c>
      <c r="E2546" s="33" t="s">
        <v>5016</v>
      </c>
      <c r="F2546" s="33">
        <v>900302</v>
      </c>
      <c r="G2546" s="33">
        <v>95100000</v>
      </c>
      <c r="H2546" s="33"/>
      <c r="I2546" s="33" t="s">
        <v>25</v>
      </c>
      <c r="J2546" s="33" t="s">
        <v>5198</v>
      </c>
      <c r="K2546" s="33" t="s">
        <v>5197</v>
      </c>
    </row>
    <row r="2547" spans="1:11" ht="20.25" customHeight="1">
      <c r="A2547" s="33" t="s">
        <v>5020</v>
      </c>
      <c r="B2547" s="34" t="s">
        <v>5021</v>
      </c>
      <c r="C2547" s="33" t="s">
        <v>5022</v>
      </c>
      <c r="D2547" s="33" t="s">
        <v>5023</v>
      </c>
      <c r="E2547" s="33" t="s">
        <v>5265</v>
      </c>
      <c r="F2547" s="33">
        <v>900306</v>
      </c>
      <c r="G2547" s="33">
        <v>95100000</v>
      </c>
      <c r="H2547" s="33"/>
      <c r="I2547" s="33" t="s">
        <v>25</v>
      </c>
      <c r="J2547" s="33" t="s">
        <v>5197</v>
      </c>
      <c r="K2547" s="33" t="s">
        <v>5197</v>
      </c>
    </row>
    <row r="2548" spans="1:11" ht="20.25" customHeight="1">
      <c r="A2548" s="33" t="s">
        <v>5024</v>
      </c>
      <c r="B2548" s="34" t="s">
        <v>5025</v>
      </c>
      <c r="C2548" s="33" t="s">
        <v>5026</v>
      </c>
      <c r="D2548" s="33" t="s">
        <v>5027</v>
      </c>
      <c r="E2548" s="33" t="s">
        <v>5265</v>
      </c>
      <c r="F2548" s="33">
        <v>900311</v>
      </c>
      <c r="G2548" s="33">
        <v>95100000</v>
      </c>
      <c r="H2548" s="33"/>
      <c r="I2548" s="33" t="s">
        <v>25</v>
      </c>
      <c r="J2548" s="33" t="s">
        <v>5197</v>
      </c>
      <c r="K2548" s="33" t="s">
        <v>5197</v>
      </c>
    </row>
    <row r="2549" spans="1:11" ht="20.25" customHeight="1">
      <c r="A2549" s="33" t="s">
        <v>5028</v>
      </c>
      <c r="B2549" s="34" t="s">
        <v>5029</v>
      </c>
      <c r="C2549" s="33" t="s">
        <v>5030</v>
      </c>
      <c r="D2549" s="33" t="s">
        <v>5031</v>
      </c>
      <c r="E2549" s="33" t="s">
        <v>5265</v>
      </c>
      <c r="F2549" s="33">
        <v>900312</v>
      </c>
      <c r="G2549" s="33">
        <v>95100000</v>
      </c>
      <c r="H2549" s="33"/>
      <c r="I2549" s="33" t="s">
        <v>25</v>
      </c>
      <c r="J2549" s="33" t="s">
        <v>5197</v>
      </c>
      <c r="K2549" s="33" t="s">
        <v>5197</v>
      </c>
    </row>
    <row r="2550" spans="1:11" ht="20.25" customHeight="1">
      <c r="A2550" s="33" t="s">
        <v>5032</v>
      </c>
      <c r="B2550" s="34" t="s">
        <v>5033</v>
      </c>
      <c r="C2550" s="33" t="s">
        <v>5034</v>
      </c>
      <c r="D2550" s="33" t="s">
        <v>5035</v>
      </c>
      <c r="E2550" s="33" t="s">
        <v>5265</v>
      </c>
      <c r="F2550" s="33">
        <v>900321</v>
      </c>
      <c r="G2550" s="33">
        <v>95100000</v>
      </c>
      <c r="H2550" s="33"/>
      <c r="I2550" s="33" t="s">
        <v>25</v>
      </c>
      <c r="J2550" s="33" t="s">
        <v>5197</v>
      </c>
      <c r="K2550" s="33" t="s">
        <v>5197</v>
      </c>
    </row>
    <row r="2551" spans="1:11" ht="20.25" customHeight="1">
      <c r="A2551" s="33" t="s">
        <v>5036</v>
      </c>
      <c r="B2551" s="34" t="s">
        <v>5037</v>
      </c>
      <c r="C2551" s="33" t="s">
        <v>5038</v>
      </c>
      <c r="D2551" s="33" t="s">
        <v>5039</v>
      </c>
      <c r="E2551" s="33" t="s">
        <v>5265</v>
      </c>
      <c r="F2551" s="33">
        <v>900326</v>
      </c>
      <c r="G2551" s="33">
        <v>95100000</v>
      </c>
      <c r="H2551" s="33"/>
      <c r="I2551" s="33" t="s">
        <v>25</v>
      </c>
      <c r="J2551" s="33" t="s">
        <v>5197</v>
      </c>
      <c r="K2551" s="33" t="s">
        <v>5198</v>
      </c>
    </row>
    <row r="2552" spans="1:11" ht="20.25" customHeight="1">
      <c r="A2552" s="33" t="s">
        <v>5040</v>
      </c>
      <c r="B2552" s="34" t="s">
        <v>5041</v>
      </c>
      <c r="C2552" s="33" t="s">
        <v>5042</v>
      </c>
      <c r="D2552" s="33" t="s">
        <v>5043</v>
      </c>
      <c r="E2552" s="33" t="s">
        <v>5265</v>
      </c>
      <c r="F2552" s="33">
        <v>900331</v>
      </c>
      <c r="G2552" s="33">
        <v>95100000</v>
      </c>
      <c r="H2552" s="33"/>
      <c r="I2552" s="33" t="s">
        <v>25</v>
      </c>
      <c r="J2552" s="33" t="s">
        <v>5197</v>
      </c>
      <c r="K2552" s="33" t="s">
        <v>5197</v>
      </c>
    </row>
    <row r="2553" spans="1:11" ht="20.25" customHeight="1">
      <c r="A2553" s="33" t="s">
        <v>5044</v>
      </c>
      <c r="B2553" s="34" t="s">
        <v>5045</v>
      </c>
      <c r="C2553" s="33" t="s">
        <v>5046</v>
      </c>
      <c r="D2553" s="33" t="s">
        <v>5047</v>
      </c>
      <c r="E2553" s="33" t="s">
        <v>5265</v>
      </c>
      <c r="F2553" s="33">
        <v>900341</v>
      </c>
      <c r="G2553" s="33">
        <v>95100000</v>
      </c>
      <c r="H2553" s="33"/>
      <c r="I2553" s="33" t="s">
        <v>25</v>
      </c>
      <c r="J2553" s="33" t="s">
        <v>5198</v>
      </c>
      <c r="K2553" s="33" t="s">
        <v>5198</v>
      </c>
    </row>
    <row r="2554" spans="1:11" ht="20.25" customHeight="1">
      <c r="A2554" s="33" t="s">
        <v>5048</v>
      </c>
      <c r="B2554" s="34" t="s">
        <v>5049</v>
      </c>
      <c r="C2554" s="33" t="s">
        <v>5046</v>
      </c>
      <c r="D2554" s="33" t="s">
        <v>5050</v>
      </c>
      <c r="E2554" s="33" t="s">
        <v>5265</v>
      </c>
      <c r="F2554" s="33">
        <v>900351</v>
      </c>
      <c r="G2554" s="33">
        <v>95100000</v>
      </c>
      <c r="H2554" s="33"/>
      <c r="I2554" s="33" t="s">
        <v>25</v>
      </c>
      <c r="J2554" s="33" t="s">
        <v>5198</v>
      </c>
      <c r="K2554" s="33" t="s">
        <v>5197</v>
      </c>
    </row>
    <row r="2555" spans="1:11" ht="20.25" customHeight="1">
      <c r="A2555" s="33" t="s">
        <v>5051</v>
      </c>
      <c r="B2555" s="34" t="s">
        <v>5052</v>
      </c>
      <c r="C2555" s="33" t="s">
        <v>1580</v>
      </c>
      <c r="D2555" s="33" t="s">
        <v>1581</v>
      </c>
      <c r="E2555" s="33" t="s">
        <v>5265</v>
      </c>
      <c r="F2555" s="33">
        <v>900361</v>
      </c>
      <c r="G2555" s="33">
        <v>95100000</v>
      </c>
      <c r="H2555" s="33"/>
      <c r="I2555" s="33" t="s">
        <v>25</v>
      </c>
      <c r="J2555" s="33" t="s">
        <v>5198</v>
      </c>
      <c r="K2555" s="33" t="s">
        <v>5198</v>
      </c>
    </row>
    <row r="2556" spans="1:11" ht="20.25" customHeight="1">
      <c r="A2556" s="33" t="s">
        <v>5053</v>
      </c>
      <c r="B2556" s="34" t="s">
        <v>5054</v>
      </c>
      <c r="C2556" s="33" t="s">
        <v>5055</v>
      </c>
      <c r="D2556" s="33" t="s">
        <v>5056</v>
      </c>
      <c r="E2556" s="33" t="s">
        <v>5265</v>
      </c>
      <c r="F2556" s="33">
        <v>900365</v>
      </c>
      <c r="G2556" s="33">
        <v>95100000</v>
      </c>
      <c r="H2556" s="33"/>
      <c r="I2556" s="33" t="s">
        <v>25</v>
      </c>
      <c r="J2556" s="33" t="s">
        <v>5197</v>
      </c>
      <c r="K2556" s="33" t="s">
        <v>5197</v>
      </c>
    </row>
    <row r="2557" spans="1:11" ht="20.25" customHeight="1">
      <c r="A2557" s="33" t="s">
        <v>5057</v>
      </c>
      <c r="B2557" s="34" t="s">
        <v>5058</v>
      </c>
      <c r="C2557" s="33" t="s">
        <v>5059</v>
      </c>
      <c r="D2557" s="33" t="s">
        <v>5060</v>
      </c>
      <c r="E2557" s="33" t="s">
        <v>5265</v>
      </c>
      <c r="F2557" s="33">
        <v>900371</v>
      </c>
      <c r="G2557" s="33">
        <v>95100000</v>
      </c>
      <c r="H2557" s="33"/>
      <c r="I2557" s="33" t="s">
        <v>25</v>
      </c>
      <c r="J2557" s="33" t="s">
        <v>5198</v>
      </c>
      <c r="K2557" s="33" t="s">
        <v>5198</v>
      </c>
    </row>
    <row r="2558" spans="1:11" ht="20.25" customHeight="1">
      <c r="A2558" s="33" t="s">
        <v>5061</v>
      </c>
      <c r="B2558" s="34" t="s">
        <v>5062</v>
      </c>
      <c r="C2558" s="33" t="s">
        <v>5063</v>
      </c>
      <c r="D2558" s="33" t="s">
        <v>5060</v>
      </c>
      <c r="E2558" s="33" t="s">
        <v>5265</v>
      </c>
      <c r="F2558" s="33">
        <v>900381</v>
      </c>
      <c r="G2558" s="33">
        <v>95100000</v>
      </c>
      <c r="H2558" s="33"/>
      <c r="I2558" s="33" t="s">
        <v>25</v>
      </c>
      <c r="J2558" s="33" t="s">
        <v>5198</v>
      </c>
      <c r="K2558" s="33" t="s">
        <v>5198</v>
      </c>
    </row>
    <row r="2559" spans="1:11" ht="20.25" customHeight="1">
      <c r="A2559" s="33" t="s">
        <v>5064</v>
      </c>
      <c r="B2559" s="34" t="s">
        <v>5065</v>
      </c>
      <c r="C2559" s="33" t="s">
        <v>1595</v>
      </c>
      <c r="D2559" s="33" t="s">
        <v>5066</v>
      </c>
      <c r="E2559" s="33" t="s">
        <v>5265</v>
      </c>
      <c r="F2559" s="33">
        <v>900401</v>
      </c>
      <c r="G2559" s="33">
        <v>95100000</v>
      </c>
      <c r="H2559" s="33"/>
      <c r="I2559" s="33" t="s">
        <v>25</v>
      </c>
      <c r="J2559" s="33" t="s">
        <v>5198</v>
      </c>
      <c r="K2559" s="33" t="s">
        <v>5197</v>
      </c>
    </row>
    <row r="2560" spans="1:11" ht="20.25" customHeight="1">
      <c r="A2560" s="33" t="s">
        <v>5067</v>
      </c>
      <c r="B2560" s="34" t="s">
        <v>5068</v>
      </c>
      <c r="C2560" s="33" t="s">
        <v>3114</v>
      </c>
      <c r="D2560" s="33" t="s">
        <v>5069</v>
      </c>
      <c r="E2560" s="33" t="s">
        <v>5265</v>
      </c>
      <c r="F2560" s="33">
        <v>900411</v>
      </c>
      <c r="G2560" s="33">
        <v>95100000</v>
      </c>
      <c r="H2560" s="33"/>
      <c r="I2560" s="33" t="s">
        <v>25</v>
      </c>
      <c r="J2560" s="33" t="s">
        <v>5198</v>
      </c>
      <c r="K2560" s="33" t="s">
        <v>5197</v>
      </c>
    </row>
    <row r="2561" spans="1:11" ht="20.25" customHeight="1">
      <c r="A2561" s="33" t="s">
        <v>5070</v>
      </c>
      <c r="B2561" s="34" t="s">
        <v>5071</v>
      </c>
      <c r="C2561" s="33" t="s">
        <v>5072</v>
      </c>
      <c r="D2561" s="33" t="s">
        <v>5073</v>
      </c>
      <c r="E2561" s="33" t="s">
        <v>5265</v>
      </c>
      <c r="F2561" s="33">
        <v>900421</v>
      </c>
      <c r="G2561" s="33">
        <v>95100000</v>
      </c>
      <c r="H2561" s="33"/>
      <c r="I2561" s="33" t="s">
        <v>25</v>
      </c>
      <c r="J2561" s="33" t="s">
        <v>5197</v>
      </c>
      <c r="K2561" s="33" t="s">
        <v>5197</v>
      </c>
    </row>
    <row r="2562" spans="1:11" ht="20.25" customHeight="1">
      <c r="A2562" s="33" t="s">
        <v>5074</v>
      </c>
      <c r="B2562" s="34" t="s">
        <v>5075</v>
      </c>
      <c r="C2562" s="33" t="s">
        <v>5076</v>
      </c>
      <c r="D2562" s="33" t="s">
        <v>5266</v>
      </c>
      <c r="E2562" s="33" t="s">
        <v>5265</v>
      </c>
      <c r="F2562" s="33">
        <v>900431</v>
      </c>
      <c r="G2562" s="33">
        <v>95100000</v>
      </c>
      <c r="H2562" s="33"/>
      <c r="I2562" s="33" t="s">
        <v>25</v>
      </c>
      <c r="J2562" s="33" t="s">
        <v>5198</v>
      </c>
      <c r="K2562" s="33" t="s">
        <v>5197</v>
      </c>
    </row>
    <row r="2563" spans="1:11" ht="20.25" customHeight="1">
      <c r="A2563" s="33" t="s">
        <v>5077</v>
      </c>
      <c r="B2563" s="34" t="s">
        <v>5078</v>
      </c>
      <c r="C2563" s="33" t="s">
        <v>4388</v>
      </c>
      <c r="D2563" s="33" t="s">
        <v>5079</v>
      </c>
      <c r="E2563" s="33" t="s">
        <v>5265</v>
      </c>
      <c r="F2563" s="33">
        <v>900451</v>
      </c>
      <c r="G2563" s="33">
        <v>95100000</v>
      </c>
      <c r="H2563" s="33"/>
      <c r="I2563" s="33" t="s">
        <v>25</v>
      </c>
      <c r="J2563" s="33" t="s">
        <v>5198</v>
      </c>
      <c r="K2563" s="33" t="s">
        <v>5197</v>
      </c>
    </row>
    <row r="2564" spans="1:11" ht="20.25" customHeight="1">
      <c r="A2564" s="33" t="s">
        <v>5080</v>
      </c>
      <c r="B2564" s="34" t="s">
        <v>5081</v>
      </c>
      <c r="C2564" s="33" t="s">
        <v>1063</v>
      </c>
      <c r="D2564" s="33" t="s">
        <v>5082</v>
      </c>
      <c r="E2564" s="33" t="s">
        <v>5265</v>
      </c>
      <c r="F2564" s="33">
        <v>900471</v>
      </c>
      <c r="G2564" s="33">
        <v>95100000</v>
      </c>
      <c r="H2564" s="33"/>
      <c r="I2564" s="33" t="s">
        <v>25</v>
      </c>
      <c r="J2564" s="33" t="s">
        <v>5198</v>
      </c>
      <c r="K2564" s="33" t="s">
        <v>5197</v>
      </c>
    </row>
    <row r="2565" spans="1:11" ht="20.25" customHeight="1">
      <c r="A2565" s="33" t="s">
        <v>5083</v>
      </c>
      <c r="B2565" s="34" t="s">
        <v>5084</v>
      </c>
      <c r="C2565" s="33" t="s">
        <v>5085</v>
      </c>
      <c r="D2565" s="33" t="s">
        <v>1367</v>
      </c>
      <c r="E2565" s="33" t="s">
        <v>5265</v>
      </c>
      <c r="F2565" s="33">
        <v>900501</v>
      </c>
      <c r="G2565" s="33">
        <v>95100000</v>
      </c>
      <c r="H2565" s="33"/>
      <c r="I2565" s="33" t="s">
        <v>25</v>
      </c>
      <c r="J2565" s="33" t="s">
        <v>5197</v>
      </c>
      <c r="K2565" s="33" t="s">
        <v>5198</v>
      </c>
    </row>
    <row r="2566" spans="1:11" ht="20.25" customHeight="1">
      <c r="A2566" s="33" t="s">
        <v>5267</v>
      </c>
      <c r="B2566" s="34" t="s">
        <v>5268</v>
      </c>
      <c r="C2566" s="33" t="s">
        <v>4118</v>
      </c>
      <c r="D2566" s="33" t="s">
        <v>5269</v>
      </c>
      <c r="E2566" s="33" t="s">
        <v>5265</v>
      </c>
      <c r="F2566" s="33"/>
      <c r="G2566" s="33"/>
      <c r="H2566" s="33"/>
      <c r="I2566" s="33"/>
      <c r="J2566" s="33" t="s">
        <v>5198</v>
      </c>
      <c r="K2566" s="33" t="s">
        <v>5197</v>
      </c>
    </row>
    <row r="2567" spans="1:11" ht="20.25" customHeight="1">
      <c r="A2567" s="33" t="s">
        <v>5270</v>
      </c>
      <c r="B2567" s="34" t="s">
        <v>5271</v>
      </c>
      <c r="C2567" s="33" t="s">
        <v>5272</v>
      </c>
      <c r="D2567" s="33" t="s">
        <v>5273</v>
      </c>
      <c r="E2567" s="33" t="s">
        <v>5265</v>
      </c>
      <c r="F2567" s="33">
        <v>900551</v>
      </c>
      <c r="G2567" s="33">
        <v>95100000</v>
      </c>
      <c r="H2567" s="33"/>
      <c r="I2567" s="33" t="s">
        <v>25</v>
      </c>
      <c r="J2567" s="33" t="s">
        <v>5197</v>
      </c>
      <c r="K2567" s="33" t="s">
        <v>5197</v>
      </c>
    </row>
    <row r="2568" spans="1:11" ht="20.25" customHeight="1">
      <c r="A2568" s="33" t="s">
        <v>5274</v>
      </c>
      <c r="B2568" s="34" t="s">
        <v>5275</v>
      </c>
      <c r="C2568" s="33" t="s">
        <v>5276</v>
      </c>
      <c r="D2568" s="33" t="s">
        <v>5277</v>
      </c>
      <c r="E2568" s="33" t="s">
        <v>5265</v>
      </c>
      <c r="F2568" s="33"/>
      <c r="G2568" s="33"/>
      <c r="H2568" s="33"/>
      <c r="I2568" s="33"/>
      <c r="J2568" s="33" t="s">
        <v>5197</v>
      </c>
      <c r="K2568" s="33" t="s">
        <v>5197</v>
      </c>
    </row>
    <row r="2569" spans="1:11" ht="20.25" customHeight="1">
      <c r="A2569" s="33" t="s">
        <v>5086</v>
      </c>
      <c r="B2569" s="34" t="s">
        <v>5087</v>
      </c>
      <c r="C2569" s="33" t="s">
        <v>5088</v>
      </c>
      <c r="D2569" s="33" t="s">
        <v>5089</v>
      </c>
      <c r="E2569" s="33" t="s">
        <v>5265</v>
      </c>
      <c r="F2569" s="33">
        <v>900601</v>
      </c>
      <c r="G2569" s="33">
        <v>95100000</v>
      </c>
      <c r="H2569" s="33"/>
      <c r="I2569" s="33" t="s">
        <v>25</v>
      </c>
      <c r="J2569" s="33" t="s">
        <v>5198</v>
      </c>
      <c r="K2569" s="33" t="s">
        <v>5197</v>
      </c>
    </row>
    <row r="2570" spans="1:11" ht="20.25" customHeight="1">
      <c r="A2570" s="33" t="s">
        <v>5278</v>
      </c>
      <c r="B2570" s="34" t="s">
        <v>5279</v>
      </c>
      <c r="C2570" s="33" t="s">
        <v>5280</v>
      </c>
      <c r="D2570" s="33" t="s">
        <v>5281</v>
      </c>
      <c r="E2570" s="33" t="s">
        <v>5265</v>
      </c>
      <c r="F2570" s="33"/>
      <c r="G2570" s="33"/>
      <c r="H2570" s="33"/>
      <c r="I2570" s="33"/>
      <c r="J2570" s="33" t="s">
        <v>5198</v>
      </c>
      <c r="K2570" s="33" t="s">
        <v>5197</v>
      </c>
    </row>
    <row r="2571" spans="1:11" ht="20.25" customHeight="1">
      <c r="A2571" s="33" t="s">
        <v>5090</v>
      </c>
      <c r="B2571" s="34" t="s">
        <v>5091</v>
      </c>
      <c r="C2571" s="33" t="s">
        <v>5092</v>
      </c>
      <c r="D2571" s="33" t="s">
        <v>5093</v>
      </c>
      <c r="E2571" s="33" t="s">
        <v>5265</v>
      </c>
      <c r="F2571" s="33">
        <v>900611</v>
      </c>
      <c r="G2571" s="33">
        <v>95100000</v>
      </c>
      <c r="H2571" s="33"/>
      <c r="I2571" s="33" t="s">
        <v>25</v>
      </c>
      <c r="J2571" s="33" t="s">
        <v>5198</v>
      </c>
      <c r="K2571" s="33" t="s">
        <v>5197</v>
      </c>
    </row>
    <row r="2572" spans="1:11" ht="20.25" customHeight="1">
      <c r="A2572" s="33" t="s">
        <v>5094</v>
      </c>
      <c r="B2572" s="34" t="s">
        <v>5095</v>
      </c>
      <c r="C2572" s="33" t="s">
        <v>5092</v>
      </c>
      <c r="D2572" s="33" t="s">
        <v>5096</v>
      </c>
      <c r="E2572" s="33" t="s">
        <v>5265</v>
      </c>
      <c r="F2572" s="33">
        <v>900621</v>
      </c>
      <c r="G2572" s="33">
        <v>95100000</v>
      </c>
      <c r="H2572" s="33"/>
      <c r="I2572" s="33" t="s">
        <v>25</v>
      </c>
      <c r="J2572" s="33" t="s">
        <v>5198</v>
      </c>
      <c r="K2572" s="33" t="s">
        <v>5197</v>
      </c>
    </row>
    <row r="2573" spans="1:11" ht="20.25" customHeight="1">
      <c r="A2573" s="33" t="s">
        <v>5097</v>
      </c>
      <c r="B2573" s="34" t="s">
        <v>5098</v>
      </c>
      <c r="C2573" s="33" t="s">
        <v>5092</v>
      </c>
      <c r="D2573" s="33" t="s">
        <v>5282</v>
      </c>
      <c r="E2573" s="33" t="s">
        <v>5265</v>
      </c>
      <c r="F2573" s="33">
        <v>900631</v>
      </c>
      <c r="G2573" s="33">
        <v>95100000</v>
      </c>
      <c r="H2573" s="33"/>
      <c r="I2573" s="33" t="s">
        <v>25</v>
      </c>
      <c r="J2573" s="33" t="s">
        <v>5198</v>
      </c>
      <c r="K2573" s="33" t="s">
        <v>5197</v>
      </c>
    </row>
    <row r="2574" spans="1:11" ht="20.25" customHeight="1">
      <c r="A2574" s="33" t="s">
        <v>5099</v>
      </c>
      <c r="B2574" s="34" t="s">
        <v>5100</v>
      </c>
      <c r="C2574" s="33" t="s">
        <v>5011</v>
      </c>
      <c r="D2574" s="33" t="s">
        <v>5101</v>
      </c>
      <c r="E2574" s="33" t="s">
        <v>5265</v>
      </c>
      <c r="F2574" s="33">
        <v>900641</v>
      </c>
      <c r="G2574" s="33">
        <v>95100000</v>
      </c>
      <c r="H2574" s="33"/>
      <c r="I2574" s="33" t="s">
        <v>25</v>
      </c>
      <c r="J2574" s="33" t="s">
        <v>5198</v>
      </c>
      <c r="K2574" s="33" t="s">
        <v>5197</v>
      </c>
    </row>
    <row r="2575" spans="1:11" ht="20.25" customHeight="1">
      <c r="A2575" s="33" t="s">
        <v>5102</v>
      </c>
      <c r="B2575" s="34" t="s">
        <v>5103</v>
      </c>
      <c r="C2575" s="33" t="s">
        <v>3111</v>
      </c>
      <c r="D2575" s="33" t="s">
        <v>5104</v>
      </c>
      <c r="E2575" s="33" t="s">
        <v>5265</v>
      </c>
      <c r="F2575" s="33">
        <v>900651</v>
      </c>
      <c r="G2575" s="33">
        <v>95100000</v>
      </c>
      <c r="H2575" s="33"/>
      <c r="I2575" s="33" t="s">
        <v>25</v>
      </c>
      <c r="J2575" s="33" t="s">
        <v>5198</v>
      </c>
      <c r="K2575" s="33" t="s">
        <v>5197</v>
      </c>
    </row>
    <row r="2576" spans="1:11" ht="20.25" customHeight="1">
      <c r="A2576" s="33" t="s">
        <v>5105</v>
      </c>
      <c r="B2576" s="34" t="s">
        <v>5106</v>
      </c>
      <c r="C2576" s="33" t="s">
        <v>3111</v>
      </c>
      <c r="D2576" s="33" t="s">
        <v>5107</v>
      </c>
      <c r="E2576" s="33" t="s">
        <v>5265</v>
      </c>
      <c r="F2576" s="33">
        <v>900652</v>
      </c>
      <c r="G2576" s="33">
        <v>95100000</v>
      </c>
      <c r="H2576" s="33"/>
      <c r="I2576" s="33" t="s">
        <v>25</v>
      </c>
      <c r="J2576" s="33" t="s">
        <v>5198</v>
      </c>
      <c r="K2576" s="33" t="s">
        <v>5197</v>
      </c>
    </row>
    <row r="2577" spans="1:11" ht="20.25" customHeight="1">
      <c r="A2577" s="33" t="s">
        <v>5108</v>
      </c>
      <c r="B2577" s="34" t="s">
        <v>5109</v>
      </c>
      <c r="C2577" s="33" t="s">
        <v>3990</v>
      </c>
      <c r="D2577" s="33" t="s">
        <v>5110</v>
      </c>
      <c r="E2577" s="33" t="s">
        <v>5265</v>
      </c>
      <c r="F2577" s="33">
        <v>900661</v>
      </c>
      <c r="G2577" s="33">
        <v>95100000</v>
      </c>
      <c r="H2577" s="33"/>
      <c r="I2577" s="33" t="s">
        <v>25</v>
      </c>
      <c r="J2577" s="33" t="s">
        <v>5198</v>
      </c>
      <c r="K2577" s="33" t="s">
        <v>5197</v>
      </c>
    </row>
    <row r="2578" spans="1:11" ht="20.25" customHeight="1">
      <c r="A2578" s="33" t="s">
        <v>5111</v>
      </c>
      <c r="B2578" s="34" t="s">
        <v>5112</v>
      </c>
      <c r="C2578" s="33" t="s">
        <v>5113</v>
      </c>
      <c r="D2578" s="33" t="s">
        <v>5114</v>
      </c>
      <c r="E2578" s="33" t="s">
        <v>5265</v>
      </c>
      <c r="F2578" s="33">
        <v>900671</v>
      </c>
      <c r="G2578" s="33">
        <v>95100000</v>
      </c>
      <c r="H2578" s="33"/>
      <c r="I2578" s="33" t="s">
        <v>25</v>
      </c>
      <c r="J2578" s="33" t="s">
        <v>5197</v>
      </c>
      <c r="K2578" s="33" t="s">
        <v>5197</v>
      </c>
    </row>
    <row r="2579" spans="1:11" ht="20.25" customHeight="1">
      <c r="A2579" s="33" t="s">
        <v>5115</v>
      </c>
      <c r="B2579" s="34" t="s">
        <v>5116</v>
      </c>
      <c r="C2579" s="33" t="s">
        <v>5117</v>
      </c>
      <c r="D2579" s="33" t="s">
        <v>5118</v>
      </c>
      <c r="E2579" s="33" t="s">
        <v>5265</v>
      </c>
      <c r="F2579" s="33">
        <v>900741</v>
      </c>
      <c r="G2579" s="33">
        <v>95100000</v>
      </c>
      <c r="H2579" s="33"/>
      <c r="I2579" s="33" t="s">
        <v>5119</v>
      </c>
      <c r="J2579" s="33" t="s">
        <v>5197</v>
      </c>
      <c r="K2579" s="33" t="s">
        <v>5197</v>
      </c>
    </row>
    <row r="2580" spans="1:11" ht="20.25" customHeight="1">
      <c r="A2580" s="33" t="s">
        <v>5120</v>
      </c>
      <c r="B2580" s="34" t="s">
        <v>5121</v>
      </c>
      <c r="C2580" s="33" t="s">
        <v>5076</v>
      </c>
      <c r="D2580" s="33" t="s">
        <v>5122</v>
      </c>
      <c r="E2580" s="33" t="s">
        <v>5265</v>
      </c>
      <c r="F2580" s="33">
        <v>900751</v>
      </c>
      <c r="G2580" s="33">
        <v>95100000</v>
      </c>
      <c r="H2580" s="33"/>
      <c r="I2580" s="33" t="s">
        <v>25</v>
      </c>
      <c r="J2580" s="33" t="s">
        <v>5198</v>
      </c>
      <c r="K2580" s="33" t="s">
        <v>5197</v>
      </c>
    </row>
    <row r="2581" spans="1:11" ht="20.25" customHeight="1">
      <c r="A2581" s="33" t="s">
        <v>5123</v>
      </c>
      <c r="B2581" s="34" t="s">
        <v>5283</v>
      </c>
      <c r="C2581" s="33" t="s">
        <v>3723</v>
      </c>
      <c r="D2581" s="33" t="s">
        <v>5124</v>
      </c>
      <c r="E2581" s="33" t="s">
        <v>2468</v>
      </c>
      <c r="F2581" s="33">
        <v>900841</v>
      </c>
      <c r="G2581" s="33">
        <v>95100000</v>
      </c>
      <c r="H2581" s="33"/>
      <c r="I2581" s="33" t="s">
        <v>25</v>
      </c>
      <c r="J2581" s="33" t="s">
        <v>5198</v>
      </c>
      <c r="K2581" s="33" t="s">
        <v>5197</v>
      </c>
    </row>
    <row r="2582" spans="1:11" ht="20.25" customHeight="1">
      <c r="A2582" s="33" t="s">
        <v>5125</v>
      </c>
      <c r="B2582" s="34" t="s">
        <v>5284</v>
      </c>
      <c r="C2582" s="33" t="s">
        <v>5126</v>
      </c>
      <c r="D2582" s="33" t="s">
        <v>5127</v>
      </c>
      <c r="E2582" s="33" t="s">
        <v>3725</v>
      </c>
      <c r="F2582" s="33">
        <v>900921</v>
      </c>
      <c r="G2582" s="33">
        <v>95100000</v>
      </c>
      <c r="H2582" s="33"/>
      <c r="I2582" s="33" t="s">
        <v>25</v>
      </c>
      <c r="J2582" s="33" t="s">
        <v>5197</v>
      </c>
      <c r="K2582" s="33" t="s">
        <v>5197</v>
      </c>
    </row>
    <row r="2583" spans="1:11" ht="20.25" customHeight="1">
      <c r="A2583" s="33" t="s">
        <v>5128</v>
      </c>
      <c r="B2583" s="34" t="s">
        <v>5129</v>
      </c>
      <c r="C2583" s="33" t="s">
        <v>4028</v>
      </c>
      <c r="D2583" s="33" t="s">
        <v>5130</v>
      </c>
      <c r="E2583" s="33" t="s">
        <v>4197</v>
      </c>
      <c r="F2583" s="33">
        <v>900944</v>
      </c>
      <c r="G2583" s="33">
        <v>95100000</v>
      </c>
      <c r="H2583" s="33"/>
      <c r="I2583" s="33" t="s">
        <v>25</v>
      </c>
      <c r="J2583" s="33" t="s">
        <v>5198</v>
      </c>
      <c r="K2583" s="33" t="s">
        <v>5197</v>
      </c>
    </row>
    <row r="2584" spans="1:11" ht="20.25" customHeight="1">
      <c r="A2584" s="33" t="s">
        <v>5131</v>
      </c>
      <c r="B2584" s="34" t="s">
        <v>5132</v>
      </c>
      <c r="C2584" s="33" t="s">
        <v>5133</v>
      </c>
      <c r="D2584" s="33" t="s">
        <v>5285</v>
      </c>
      <c r="E2584" s="33" t="s">
        <v>5286</v>
      </c>
      <c r="F2584" s="33">
        <v>900951</v>
      </c>
      <c r="G2584" s="33">
        <v>95100000</v>
      </c>
      <c r="H2584" s="33"/>
      <c r="I2584" s="33" t="s">
        <v>25</v>
      </c>
      <c r="J2584" s="33" t="s">
        <v>5198</v>
      </c>
      <c r="K2584" s="33" t="s">
        <v>5197</v>
      </c>
    </row>
    <row r="2585" spans="1:11" ht="20.25" customHeight="1">
      <c r="A2585" s="33" t="s">
        <v>5134</v>
      </c>
      <c r="B2585" s="34" t="s">
        <v>5135</v>
      </c>
      <c r="C2585" s="33" t="s">
        <v>5133</v>
      </c>
      <c r="D2585" s="33" t="s">
        <v>5136</v>
      </c>
      <c r="E2585" s="33" t="s">
        <v>5016</v>
      </c>
      <c r="F2585" s="33">
        <v>900961</v>
      </c>
      <c r="G2585" s="33">
        <v>95100000</v>
      </c>
      <c r="H2585" s="33"/>
      <c r="I2585" s="33" t="s">
        <v>25</v>
      </c>
      <c r="J2585" s="33" t="s">
        <v>5198</v>
      </c>
      <c r="K2585" s="33" t="s">
        <v>5197</v>
      </c>
    </row>
    <row r="2586" spans="1:11" ht="20.25" customHeight="1">
      <c r="A2586" s="33" t="s">
        <v>5137</v>
      </c>
      <c r="B2586" s="34" t="s">
        <v>5138</v>
      </c>
      <c r="C2586" s="33" t="s">
        <v>5139</v>
      </c>
      <c r="D2586" s="33" t="s">
        <v>5140</v>
      </c>
      <c r="E2586" s="33" t="s">
        <v>5016</v>
      </c>
      <c r="F2586" s="33">
        <v>901001</v>
      </c>
      <c r="G2586" s="33">
        <v>95100000</v>
      </c>
      <c r="H2586" s="33"/>
      <c r="I2586" s="33" t="s">
        <v>25</v>
      </c>
      <c r="J2586" s="33" t="s">
        <v>5197</v>
      </c>
      <c r="K2586" s="33" t="s">
        <v>5197</v>
      </c>
    </row>
    <row r="2587" spans="1:11" ht="20.25" customHeight="1">
      <c r="A2587" s="33" t="s">
        <v>5141</v>
      </c>
      <c r="B2587" s="34" t="s">
        <v>5142</v>
      </c>
      <c r="C2587" s="33" t="s">
        <v>5143</v>
      </c>
      <c r="D2587" s="33" t="s">
        <v>5144</v>
      </c>
      <c r="E2587" s="33" t="s">
        <v>5016</v>
      </c>
      <c r="F2587" s="33">
        <v>901101</v>
      </c>
      <c r="G2587" s="33">
        <v>95100000</v>
      </c>
      <c r="H2587" s="33"/>
      <c r="I2587" s="33" t="s">
        <v>25</v>
      </c>
      <c r="J2587" s="33" t="s">
        <v>5197</v>
      </c>
      <c r="K2587" s="33" t="s">
        <v>5197</v>
      </c>
    </row>
    <row r="2588" spans="1:11" ht="20.25" customHeight="1">
      <c r="A2588" s="33" t="s">
        <v>5287</v>
      </c>
      <c r="B2588" s="34" t="s">
        <v>5288</v>
      </c>
      <c r="C2588" s="33" t="s">
        <v>5289</v>
      </c>
      <c r="D2588" s="33" t="s">
        <v>5290</v>
      </c>
      <c r="E2588" s="33" t="s">
        <v>5016</v>
      </c>
      <c r="F2588" s="33"/>
      <c r="G2588" s="33"/>
      <c r="H2588" s="33"/>
      <c r="I2588" s="33"/>
      <c r="J2588" s="33" t="s">
        <v>5197</v>
      </c>
      <c r="K2588" s="33" t="s">
        <v>5197</v>
      </c>
    </row>
    <row r="2589" spans="1:11" ht="20.25" customHeight="1">
      <c r="A2589" s="33" t="s">
        <v>5145</v>
      </c>
      <c r="B2589" s="34" t="s">
        <v>5146</v>
      </c>
      <c r="C2589" s="33" t="s">
        <v>5147</v>
      </c>
      <c r="D2589" s="33" t="s">
        <v>5148</v>
      </c>
      <c r="E2589" s="33" t="s">
        <v>5016</v>
      </c>
      <c r="F2589" s="33">
        <v>901111</v>
      </c>
      <c r="G2589" s="33">
        <v>95100000</v>
      </c>
      <c r="H2589" s="33"/>
      <c r="I2589" s="33" t="s">
        <v>25</v>
      </c>
      <c r="J2589" s="33" t="s">
        <v>5197</v>
      </c>
      <c r="K2589" s="33" t="s">
        <v>5197</v>
      </c>
    </row>
    <row r="2590" spans="1:11" ht="20.25" customHeight="1">
      <c r="A2590" s="33" t="s">
        <v>5149</v>
      </c>
      <c r="B2590" s="34" t="s">
        <v>5150</v>
      </c>
      <c r="C2590" s="33" t="s">
        <v>5151</v>
      </c>
      <c r="D2590" s="33" t="s">
        <v>3813</v>
      </c>
      <c r="E2590" s="33" t="s">
        <v>5016</v>
      </c>
      <c r="F2590" s="33">
        <v>901121</v>
      </c>
      <c r="G2590" s="33">
        <v>95100000</v>
      </c>
      <c r="H2590" s="33"/>
      <c r="I2590" s="33" t="s">
        <v>25</v>
      </c>
      <c r="J2590" s="33" t="s">
        <v>5197</v>
      </c>
      <c r="K2590" s="33" t="s">
        <v>5198</v>
      </c>
    </row>
    <row r="2591" spans="1:11" ht="20.25" customHeight="1">
      <c r="A2591" s="33" t="s">
        <v>5152</v>
      </c>
      <c r="B2591" s="34" t="s">
        <v>5153</v>
      </c>
      <c r="C2591" s="33" t="s">
        <v>4007</v>
      </c>
      <c r="D2591" s="33" t="s">
        <v>5154</v>
      </c>
      <c r="E2591" s="33" t="s">
        <v>5016</v>
      </c>
      <c r="F2591" s="33">
        <v>901131</v>
      </c>
      <c r="G2591" s="33">
        <v>95100000</v>
      </c>
      <c r="H2591" s="33"/>
      <c r="I2591" s="33" t="s">
        <v>25</v>
      </c>
      <c r="J2591" s="33" t="s">
        <v>5198</v>
      </c>
      <c r="K2591" s="33" t="s">
        <v>5198</v>
      </c>
    </row>
    <row r="2592" spans="1:11" ht="20.25" customHeight="1">
      <c r="A2592" s="33" t="s">
        <v>5155</v>
      </c>
      <c r="B2592" s="34" t="s">
        <v>5156</v>
      </c>
      <c r="C2592" s="33" t="s">
        <v>4030</v>
      </c>
      <c r="D2592" s="33" t="s">
        <v>5157</v>
      </c>
      <c r="E2592" s="33" t="s">
        <v>5016</v>
      </c>
      <c r="F2592" s="33">
        <v>901141</v>
      </c>
      <c r="G2592" s="33">
        <v>95100000</v>
      </c>
      <c r="H2592" s="33"/>
      <c r="I2592" s="33" t="s">
        <v>25</v>
      </c>
      <c r="J2592" s="33" t="s">
        <v>5198</v>
      </c>
      <c r="K2592" s="33" t="s">
        <v>5197</v>
      </c>
    </row>
    <row r="2593" spans="1:11" ht="20.25" customHeight="1">
      <c r="A2593" s="33" t="s">
        <v>5158</v>
      </c>
      <c r="B2593" s="34" t="s">
        <v>5159</v>
      </c>
      <c r="C2593" s="33" t="s">
        <v>5160</v>
      </c>
      <c r="D2593" s="33" t="s">
        <v>5161</v>
      </c>
      <c r="E2593" s="33" t="s">
        <v>5016</v>
      </c>
      <c r="F2593" s="33">
        <v>901151</v>
      </c>
      <c r="G2593" s="33">
        <v>95100000</v>
      </c>
      <c r="H2593" s="33"/>
      <c r="I2593" s="33" t="s">
        <v>25</v>
      </c>
      <c r="J2593" s="33" t="s">
        <v>5197</v>
      </c>
      <c r="K2593" s="33" t="s">
        <v>5197</v>
      </c>
    </row>
    <row r="2594" spans="1:11" ht="20.25" customHeight="1">
      <c r="A2594" s="33" t="s">
        <v>5291</v>
      </c>
      <c r="B2594" s="34" t="s">
        <v>5292</v>
      </c>
      <c r="C2594" s="33" t="s">
        <v>5063</v>
      </c>
      <c r="D2594" s="33" t="s">
        <v>5293</v>
      </c>
      <c r="E2594" s="33" t="s">
        <v>1918</v>
      </c>
      <c r="F2594" s="33"/>
      <c r="G2594" s="33"/>
      <c r="H2594" s="33"/>
      <c r="I2594" s="33"/>
      <c r="J2594" s="33" t="s">
        <v>5198</v>
      </c>
      <c r="K2594" s="33" t="s">
        <v>5197</v>
      </c>
    </row>
    <row r="2595" spans="1:11" ht="20.25" customHeight="1">
      <c r="A2595" s="33" t="s">
        <v>5162</v>
      </c>
      <c r="B2595" s="34" t="s">
        <v>5163</v>
      </c>
      <c r="C2595" s="33" t="s">
        <v>1318</v>
      </c>
      <c r="D2595" s="33" t="s">
        <v>5164</v>
      </c>
      <c r="E2595" s="33" t="s">
        <v>5016</v>
      </c>
      <c r="F2595" s="33">
        <v>901161</v>
      </c>
      <c r="G2595" s="33">
        <v>95100000</v>
      </c>
      <c r="H2595" s="33"/>
      <c r="I2595" s="33" t="s">
        <v>5165</v>
      </c>
      <c r="J2595" s="33" t="s">
        <v>5198</v>
      </c>
      <c r="K2595" s="33" t="s">
        <v>5197</v>
      </c>
    </row>
    <row r="2596" spans="1:11" ht="20.25" customHeight="1">
      <c r="A2596" s="33" t="s">
        <v>5166</v>
      </c>
      <c r="B2596" s="34" t="s">
        <v>5167</v>
      </c>
      <c r="C2596" s="33" t="s">
        <v>5168</v>
      </c>
      <c r="D2596" s="33" t="s">
        <v>5169</v>
      </c>
      <c r="E2596" s="33" t="s">
        <v>5016</v>
      </c>
      <c r="F2596" s="33">
        <v>901171</v>
      </c>
      <c r="G2596" s="33">
        <v>95100000</v>
      </c>
      <c r="H2596" s="33"/>
      <c r="I2596" s="33" t="s">
        <v>25</v>
      </c>
      <c r="J2596" s="33" t="s">
        <v>5197</v>
      </c>
      <c r="K2596" s="33" t="s">
        <v>5197</v>
      </c>
    </row>
    <row r="2597" spans="1:11" ht="20.25" customHeight="1">
      <c r="A2597" s="33" t="s">
        <v>5170</v>
      </c>
      <c r="B2597" s="34" t="s">
        <v>5171</v>
      </c>
      <c r="C2597" s="33" t="s">
        <v>5172</v>
      </c>
      <c r="D2597" s="33" t="s">
        <v>5173</v>
      </c>
      <c r="E2597" s="33" t="s">
        <v>5016</v>
      </c>
      <c r="F2597" s="33">
        <v>901175</v>
      </c>
      <c r="G2597" s="33">
        <v>95100000</v>
      </c>
      <c r="H2597" s="33"/>
      <c r="I2597" s="33" t="s">
        <v>25</v>
      </c>
      <c r="J2597" s="33" t="s">
        <v>5197</v>
      </c>
      <c r="K2597" s="33" t="s">
        <v>5197</v>
      </c>
    </row>
    <row r="2598" spans="1:11" ht="20.25" customHeight="1">
      <c r="A2598" s="33" t="s">
        <v>5174</v>
      </c>
      <c r="B2598" s="34" t="s">
        <v>5175</v>
      </c>
      <c r="C2598" s="33" t="s">
        <v>5176</v>
      </c>
      <c r="D2598" s="33" t="s">
        <v>5177</v>
      </c>
      <c r="E2598" s="33" t="s">
        <v>5016</v>
      </c>
      <c r="F2598" s="33">
        <v>901181</v>
      </c>
      <c r="G2598" s="33">
        <v>95100000</v>
      </c>
      <c r="H2598" s="33"/>
      <c r="I2598" s="33" t="s">
        <v>25</v>
      </c>
      <c r="J2598" s="33" t="s">
        <v>5197</v>
      </c>
      <c r="K2598" s="33" t="s">
        <v>5197</v>
      </c>
    </row>
    <row r="2599" spans="1:11" ht="20.25" customHeight="1">
      <c r="A2599" s="33" t="s">
        <v>5178</v>
      </c>
      <c r="B2599" s="34" t="s">
        <v>5179</v>
      </c>
      <c r="C2599" s="33" t="s">
        <v>1595</v>
      </c>
      <c r="D2599" s="33" t="s">
        <v>5180</v>
      </c>
      <c r="E2599" s="33" t="s">
        <v>5016</v>
      </c>
      <c r="F2599" s="33">
        <v>901191</v>
      </c>
      <c r="G2599" s="33">
        <v>95100000</v>
      </c>
      <c r="H2599" s="33"/>
      <c r="I2599" s="33" t="s">
        <v>25</v>
      </c>
      <c r="J2599" s="33" t="s">
        <v>5198</v>
      </c>
      <c r="K2599" s="33" t="s">
        <v>5197</v>
      </c>
    </row>
    <row r="2600" spans="1:11" ht="20.25" customHeight="1">
      <c r="A2600" s="33" t="s">
        <v>5181</v>
      </c>
      <c r="B2600" s="34" t="s">
        <v>5182</v>
      </c>
      <c r="C2600" s="33" t="s">
        <v>5183</v>
      </c>
      <c r="D2600" s="33" t="s">
        <v>5184</v>
      </c>
      <c r="E2600" s="33" t="s">
        <v>5016</v>
      </c>
      <c r="F2600" s="33">
        <v>903001</v>
      </c>
      <c r="G2600" s="33">
        <v>95100000</v>
      </c>
      <c r="H2600" s="33"/>
      <c r="I2600" s="33" t="s">
        <v>25</v>
      </c>
      <c r="J2600" s="33" t="s">
        <v>5197</v>
      </c>
      <c r="K2600" s="33" t="s">
        <v>5197</v>
      </c>
    </row>
    <row r="2601" spans="1:11" ht="20.25" customHeight="1">
      <c r="A2601" s="33" t="s">
        <v>5185</v>
      </c>
      <c r="B2601" s="34" t="s">
        <v>5186</v>
      </c>
      <c r="C2601" s="33" t="s">
        <v>5187</v>
      </c>
      <c r="D2601" s="33" t="s">
        <v>5188</v>
      </c>
      <c r="E2601" s="33" t="s">
        <v>5016</v>
      </c>
      <c r="F2601" s="33">
        <v>903002</v>
      </c>
      <c r="G2601" s="33">
        <v>95100000</v>
      </c>
      <c r="H2601" s="33"/>
      <c r="I2601" s="33" t="s">
        <v>25</v>
      </c>
      <c r="J2601" s="33" t="s">
        <v>5197</v>
      </c>
      <c r="K2601" s="33" t="s">
        <v>5197</v>
      </c>
    </row>
    <row r="2602" spans="1:11" ht="20.25" customHeight="1">
      <c r="A2602" s="33" t="s">
        <v>5189</v>
      </c>
      <c r="B2602" s="34" t="s">
        <v>5190</v>
      </c>
      <c r="C2602" s="33" t="s">
        <v>5191</v>
      </c>
      <c r="D2602" s="33" t="s">
        <v>5192</v>
      </c>
      <c r="E2602" s="33" t="s">
        <v>5016</v>
      </c>
      <c r="F2602" s="33">
        <v>909999</v>
      </c>
      <c r="G2602" s="33">
        <v>95100000</v>
      </c>
      <c r="H2602" s="33"/>
      <c r="I2602" s="33" t="s">
        <v>25</v>
      </c>
      <c r="J2602" s="33" t="s">
        <v>5197</v>
      </c>
      <c r="K2602" s="33" t="s">
        <v>5197</v>
      </c>
    </row>
    <row r="2603" spans="1:11" ht="20.25" customHeight="1">
      <c r="A2603" s="33" t="s">
        <v>5193</v>
      </c>
      <c r="B2603" s="34" t="s">
        <v>5194</v>
      </c>
      <c r="C2603" s="33" t="s">
        <v>5195</v>
      </c>
      <c r="D2603" s="33" t="s">
        <v>5196</v>
      </c>
      <c r="E2603" s="33" t="s">
        <v>5193</v>
      </c>
      <c r="F2603" s="33">
        <v>999999</v>
      </c>
      <c r="G2603" s="33">
        <v>99000000</v>
      </c>
      <c r="H2603" s="33"/>
      <c r="I2603" s="33" t="s">
        <v>25</v>
      </c>
      <c r="J2603" s="33" t="s">
        <v>5197</v>
      </c>
      <c r="K2603" s="33" t="s">
        <v>5197</v>
      </c>
    </row>
    <row r="2604" spans="1:11" ht="20.25" customHeight="1">
      <c r="A2604" s="33" t="s">
        <v>5294</v>
      </c>
      <c r="B2604" s="34" t="s">
        <v>5295</v>
      </c>
      <c r="C2604" s="33" t="s">
        <v>5296</v>
      </c>
      <c r="D2604" s="33" t="s">
        <v>5297</v>
      </c>
      <c r="E2604" s="33" t="s">
        <v>2468</v>
      </c>
      <c r="F2604" s="33"/>
      <c r="G2604" s="33"/>
      <c r="H2604" s="33"/>
      <c r="I2604" s="33"/>
      <c r="J2604" s="33" t="s">
        <v>5197</v>
      </c>
      <c r="K2604" s="33" t="s">
        <v>5197</v>
      </c>
    </row>
    <row r="2605" spans="1:11" ht="20.25" customHeight="1">
      <c r="A2605" s="33"/>
      <c r="B2605" s="34" t="s">
        <v>5244</v>
      </c>
      <c r="C2605" s="33" t="s">
        <v>5245</v>
      </c>
      <c r="D2605" s="33" t="s">
        <v>5246</v>
      </c>
      <c r="E2605" s="33" t="s">
        <v>2468</v>
      </c>
      <c r="F2605" s="33"/>
      <c r="G2605" s="33"/>
      <c r="H2605" s="33"/>
      <c r="I2605" s="33"/>
      <c r="J2605" s="33" t="s">
        <v>5198</v>
      </c>
      <c r="K2605" s="33" t="s">
        <v>5198</v>
      </c>
    </row>
  </sheetData>
  <sheetProtection formatCells="0" formatColumns="0" formatRows="0" sort="0" autoFilter="0" pivotTables="0"/>
  <mergeCells count="1">
    <mergeCell ref="A1:K1"/>
  </mergeCells>
  <conditionalFormatting sqref="A3:K2383">
    <cfRule type="expression" priority="1" dxfId="0" stopIfTrue="1">
      <formula>MOD(ROW(),5)=0</formula>
    </cfRule>
  </conditionalFormatting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User</cp:lastModifiedBy>
  <dcterms:created xsi:type="dcterms:W3CDTF">2006-09-16T00:00:00Z</dcterms:created>
  <dcterms:modified xsi:type="dcterms:W3CDTF">2019-10-29T04:03:15Z</dcterms:modified>
  <cp:category/>
  <cp:contentType/>
  <cp:contentStatus/>
</cp:coreProperties>
</file>